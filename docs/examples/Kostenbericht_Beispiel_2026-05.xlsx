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hnung" sheetId="1" r:id="rId1"/>
    <sheet name="Eingaben" sheetId="2" r:id="rId2"/>
    <sheet name="Tageswerte" sheetId="3" r:id="rId3"/>
    <sheet name="96 Werte" sheetId="4" r:id="rId4"/>
    <sheet name="Intervalle" sheetId="5" r:id="rId5"/>
    <sheet name="Netzzeiten" sheetId="6" r:id="rId6"/>
    <sheet name="Reportdaten" sheetId="7" r:id="rId7"/>
    <sheet name="Hinweise" sheetId="8" r:id="rId8"/>
  </sheets>
  <definedNames>
    <definedName name="_xlnm._FilterDatabase" localSheetId="3" hidden="1">'96 Werte'!$A$5:$CU$36</definedName>
    <definedName name="_xlnm._FilterDatabase" localSheetId="4" hidden="1">Intervalle!$A$5:$K$2981</definedName>
    <definedName name="_xlnm._FilterDatabase" localSheetId="6" hidden="1">Reportdaten!$A$5:$Q$36</definedName>
    <definedName name="_xlnm._FilterDatabase" localSheetId="2" hidden="1">Tageswerte!$A$5:$AF$36</definedName>
    <definedName name="_xlnm.Print_Area" localSheetId="0">Rechnung!$A$1:$D$45</definedName>
    <definedName name="_xlnm.Print_Titles" localSheetId="0">Rechnung!$1:$7</definedName>
  </definedNames>
  <calcPr calcId="124519" fullCalcOnLoad="1"/>
</workbook>
</file>

<file path=xl/sharedStrings.xml><?xml version="1.0" encoding="utf-8"?>
<sst xmlns="http://schemas.openxmlformats.org/spreadsheetml/2006/main" count="383" uniqueCount="301">
  <si>
    <t>Eingaben und Rechenbasis</t>
  </si>
  <si>
    <t>Blau = editierbar. Alle Endbetraege brutto. Netzentgelte und Modul-1-Jahresbetrag werden netto eingegeben. Das Beispiel ist eine Kostensimulation, keine Lieferantenrechnung.</t>
  </si>
  <si>
    <t>Datenmodus</t>
  </si>
  <si>
    <t>Report</t>
  </si>
  <si>
    <t>Report = echte Tagesaggregate der CSV; Viertelstunden = ausschliesslich eigene 96-Werte-Eingaben.</t>
  </si>
  <si>
    <t>Vergleich Modul 3</t>
  </si>
  <si>
    <t>Vertragsstart</t>
  </si>
  <si>
    <t>Aktuelles Jahr erfordert B9. Das ST-Band ist NICHT automatisch das normale Standard-Netzentgelt.</t>
  </si>
  <si>
    <t>Umsatzsteuer</t>
  </si>
  <si>
    <t>Aus BASIS: 19 %.</t>
  </si>
  <si>
    <t>Netzentgelt im Vertrags-AP (netto ct/kWh)</t>
  </si>
  <si>
    <t>Vertragsstart: 7,65 ct/kWh. Wird nicht erneut auf den Vertrags-AP addiert.</t>
  </si>
  <si>
    <t>Normales Netzentgelt aktuelles Jahr (netto ct/kWh)</t>
  </si>
  <si>
    <t>NICHT im Report separat belegt. Vor Vergleich 'Aktuelles Jahr' hier eintragen.</t>
  </si>
  <si>
    <t>GO Arbeitspreis (brutto ct/kWh)</t>
  </si>
  <si>
    <t>Mai-Vertrag aus BASIS, nicht der erst ab September gueltige Vertrag.</t>
  </si>
  <si>
    <t>STANDARD Arbeitspreis (brutto ct/kWh)</t>
  </si>
  <si>
    <t>STANDARD bezeichnet den Stromtarif, ST bezeichnet das Netzzeitband.</t>
  </si>
  <si>
    <t>HEAT Arbeitspreis (brutto ct/kWh)</t>
  </si>
  <si>
    <t>Optional. Im gelieferten Report kein HEAT-Verbrauch. Bei HEAT-Menge ist der Preis Pflicht.</t>
  </si>
  <si>
    <t>Vertragliche Grundgebuehr (brutto EUR/Monat)</t>
  </si>
  <si>
    <t>17,74885 EUR; im vorhandenen Report auf Jahresbasis zeitanteilig verrechnet.</t>
  </si>
  <si>
    <t>Grundgebuehr-Verrechnung</t>
  </si>
  <si>
    <t>Zeitanteilig</t>
  </si>
  <si>
    <t>Zeitanteilig: Monatsbetrag x 12 / 365 je Tag; Pauschal: Monatsbetrag / Monatstage. Bewusste Szenarioaenderung.</t>
  </si>
  <si>
    <t>Modul 1 Gutschrift (netto EUR/Jahr)</t>
  </si>
  <si>
    <t>Aus BASIS: 108,33 EUR. Anteil ab Wirksamkeitsdatum / Kalendertage des Jahres, danach USt.</t>
  </si>
  <si>
    <t>Modul 1 wirksam ab</t>
  </si>
  <si>
    <t>Kein Bezug zu NT/ST/HT: Modul 1 ist eine zeitanteilige pauschale Gutschrift.</t>
  </si>
  <si>
    <t>Modul 3 wirksam ab</t>
  </si>
  <si>
    <t>Vorher normales Netzentgelt verwenden; dafuer ist B9 erforderlich.</t>
  </si>
  <si>
    <t>Abrechnungsjahr</t>
  </si>
  <si>
    <t>Prototyp fest Mai 2026; Datumseingaben nicht auf einen anderen Monat umstellen.</t>
  </si>
  <si>
    <t>Abrechnungsmonat</t>
  </si>
  <si>
    <t>Produktive Version erzeugt passende Tabellen fuer jeden Monat.</t>
  </si>
  <si>
    <t>GO Zeitfenster von</t>
  </si>
  <si>
    <t>00:00 bis 05:00 aus Mai-Vertrag. Individuelle Intelligent-GO-Slots haben im Blatt Intervalle Vorrang.</t>
  </si>
  <si>
    <t>GO Zeitfenster bis (exklusiv)</t>
  </si>
  <si>
    <t>Tarif und Netzband sind unabhaengige Zuordnungen.</t>
  </si>
  <si>
    <t>Optionales HEAT Zeitfenster von</t>
  </si>
  <si>
    <t>Nur im Viertelstundenmodus. Beide Zeiten und HEAT-Preis setzen; individuelles Override hat Vorrang.</t>
  </si>
  <si>
    <t>Optionales HEAT Zeitfenster bis</t>
  </si>
  <si>
    <t>HEAT wird im Prototyp nach GO geprueft. Produktionsversion uebernimmt echte Vertragsregeln.</t>
  </si>
  <si>
    <t>Netzbetreiber</t>
  </si>
  <si>
    <t>EAM Netz GmbH</t>
  </si>
  <si>
    <t>API bezeichnet MODULE_1, liefert aber variable NT/ST/HT-Raten. Explizites Modul-3-Datum ist gesetzt.</t>
  </si>
  <si>
    <t>Modul 3 NT (netto ct/kWh)</t>
  </si>
  <si>
    <t>OFFPEAK aus API. Stundenweise Overrides im Blatt Netzzeiten moeglich.</t>
  </si>
  <si>
    <t>Modul 3 ST (netto ct/kWh)</t>
  </si>
  <si>
    <t>STANDARD aus variablem Netzzeitplan, kein belegter normaler Jahrestarif.</t>
  </si>
  <si>
    <t>Modul 3 HT (netto ct/kWh)</t>
  </si>
  <si>
    <t>PEAK aus API.</t>
  </si>
  <si>
    <t>Gewaehlte Vergleichsrate netto ct/kWh</t>
  </si>
  <si>
    <t>Kalendertage des Monats</t>
  </si>
  <si>
    <t>Kalendertage des Jahres</t>
  </si>
  <si>
    <t>Vergleichsrate Status</t>
  </si>
  <si>
    <t>Modul 3 - Zeitplan aus dem Report (lokale Zeit)</t>
  </si>
  <si>
    <t>Stundenplan fuer Mai 2026. NT = Niedertarif, ST = Standardtarif, HT = Hochtarif des Netzentgelts. Blaue Felder sind manuell aenderbar. E erlaubt einen individuellen Netto-Preis je Stunde.</t>
  </si>
  <si>
    <t>Stunde ab</t>
  </si>
  <si>
    <t>Netzband</t>
  </si>
  <si>
    <t>Netto ct/kWh</t>
  </si>
  <si>
    <t>Brutto ct/kWh</t>
  </si>
  <si>
    <t>Netto-Override ct/kWh</t>
  </si>
  <si>
    <t>Quelle / Gueltigkeit</t>
  </si>
  <si>
    <t>NT</t>
  </si>
  <si>
    <t>API-Snapshot: 2026-01-01 bis offen; keine Online-Abfrage</t>
  </si>
  <si>
    <t>ST</t>
  </si>
  <si>
    <t>HT</t>
  </si>
  <si>
    <t>Echte Viertelstundenwerte - ein Monat, 96 Spalten pro Tag</t>
  </si>
  <si>
    <t>Die CSV enthaelt KEINE Viertelstundenmesswerte. Deshalb sind alle 2.976 Eingabefelder absichtlich leer. kWh je Intervall eintragen (keine Zaehlerstaende). Danach Eingaben!B5 auf Viertelstunden setzen. 0 ist ein gueltiger Messwert; leer ist fehlend.</t>
  </si>
  <si>
    <t>Datum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</si>
  <si>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</si>
  <si>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</si>
  <si>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</si>
  <si>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</si>
  <si>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</si>
  <si>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</si>
  <si>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</si>
  <si>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</si>
  <si>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</si>
  <si>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</si>
  <si>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</si>
  <si>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</si>
  <si>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</si>
  <si>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</si>
  <si>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</si>
  <si>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</si>
  <si>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</si>
  <si>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</si>
  <si>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</si>
  <si>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</si>
  <si>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</si>
  <si>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</si>
  <si>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</si>
  <si>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</si>
  <si>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</si>
  <si>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</si>
  <si>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</si>
  <si>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</si>
  <si>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</si>
  <si>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</si>
  <si>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</si>
  <si>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</si>
  <si>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</si>
  <si>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</si>
  <si>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</si>
  <si>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</si>
  <si>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</si>
  <si>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</si>
  <si>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</si>
  <si>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</si>
  <si>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</si>
  <si>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</si>
  <si>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</si>
  <si>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</si>
  <si>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</si>
  <si>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</si>
  <si>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</si>
  <si>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</si>
  <si>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</si>
  <si>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</si>
  <si>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</si>
  <si>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</si>
  <si>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</si>
  <si>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</si>
  <si>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</si>
  <si>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</si>
  <si>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</si>
  <si>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</si>
  <si>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</si>
  <si>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</si>
  <si>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</si>
  <si>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</si>
  <si>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</si>
  <si>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</si>
  <si>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</si>
  <si>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</si>
  <si>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</si>
  <si>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</si>
  <si>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</si>
  <si>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</si>
  <si>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</si>
  <si>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</si>
  <si>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</si>
  <si>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</si>
  <si>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</si>
  <si>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</si>
  <si>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</si>
  <si>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</si>
  <si>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</si>
  <si>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</si>
  <si>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</si>
  <si>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</si>
  <si>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</si>
  <si>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</si>
  <si>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</si>
  <si>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</si>
  <si>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</si>
  <si>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</si>
  <si>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</si>
  <si>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</si>
  <si>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</si>
  <si>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</si>
  <si>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</si>
  <si>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</si>
  <si>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</si>
  <si>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</si>
  <si>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Anzahl Werte</t>
  </si>
  <si>
    <t>Datenstatus</t>
  </si>
  <si>
    <t>Viertelstunden - Tarif und Netzband getrennt zugeordnet</t>
  </si>
  <si>
    <t>Nur Viertelstundenmodus. Tarif-Override (blau) fuer echte Intelligent-GO-Slots oder HEAT setzen, nicht aus Tageswerten rekonstruieren. Netzzeiten werden unabhaengig vom Stromtarif angewendet.</t>
  </si>
  <si>
    <t>Zeit ab</t>
  </si>
  <si>
    <t>Verbrauch kWh</t>
  </si>
  <si>
    <t>Tarif automatisch</t>
  </si>
  <si>
    <t>Tarif-Override</t>
  </si>
  <si>
    <t>Tarif effektiv</t>
  </si>
  <si>
    <t>AP brutto ct/kWh</t>
  </si>
  <si>
    <t>Netz netto ct/kWh</t>
  </si>
  <si>
    <t>Intervallstatus</t>
  </si>
  <si>
    <t>Netzkosten netto EUR</t>
  </si>
  <si>
    <t>Sanitisierte Tagesaggregate aus der gelieferten CSV</t>
  </si>
  <si>
    <t>Echte Daten, keine synthetischen Messwerte. Fehlende Tarif-/Bandkombinationen haben im Report keinen Verbrauch. Kosten in der CSV sind bereits centgerundet; die Nachrechnung bleibt bis zur Anzeige ungerundet.</t>
  </si>
  <si>
    <t>Gesamt kWh</t>
  </si>
  <si>
    <t>GO NT</t>
  </si>
  <si>
    <t>GO ST</t>
  </si>
  <si>
    <t>GO HT</t>
  </si>
  <si>
    <t>STANDARD NT</t>
  </si>
  <si>
    <t>STANDARD ST</t>
  </si>
  <si>
    <t>STANDARD HT</t>
  </si>
  <si>
    <t>HEAT NT</t>
  </si>
  <si>
    <t>HEAT ST</t>
  </si>
  <si>
    <t>HEAT HT</t>
  </si>
  <si>
    <t>Report Gesamt EUR</t>
  </si>
  <si>
    <t>Report Grundgebuehr EUR</t>
  </si>
  <si>
    <t>Report Modul 1 EUR</t>
  </si>
  <si>
    <t>Report Netzkorrektur EUR</t>
  </si>
  <si>
    <t>Report Energie EUR</t>
  </si>
  <si>
    <t>Status</t>
  </si>
  <si>
    <t>complete</t>
  </si>
  <si>
    <t>CSV-Monatssumme (nicht Summe gerundeter Tageskosten)</t>
  </si>
  <si>
    <t>Tagesmengen und Tagesrechnung</t>
  </si>
  <si>
    <t>Tarif x Netzband: zwei unabhaengige Dimensionen. Alle Tageskosten als Excel-Formeln. Leere/ungueltige Viertelstunden sperren die Monatsrechnung. Reportmodus verwendet echte Tagesmengen; er rekonstruiert keine Zeitreihe.</t>
  </si>
  <si>
    <t>Berechnungsstatus</t>
  </si>
  <si>
    <t>GO NT kWh</t>
  </si>
  <si>
    <t>GO ST kWh</t>
  </si>
  <si>
    <t>GO HT kWh</t>
  </si>
  <si>
    <t>STANDARD NT kWh</t>
  </si>
  <si>
    <t>STANDARD ST kWh</t>
  </si>
  <si>
    <t>STANDARD HT kWh</t>
  </si>
  <si>
    <t>HEAT NT kWh</t>
  </si>
  <si>
    <t>HEAT ST kWh</t>
  </si>
  <si>
    <t>HEAT HT kWh</t>
  </si>
  <si>
    <t>GO kWh</t>
  </si>
  <si>
    <t>STANDARD kWh</t>
  </si>
  <si>
    <t>HEAT kWh</t>
  </si>
  <si>
    <t>NT kWh</t>
  </si>
  <si>
    <t>ST kWh</t>
  </si>
  <si>
    <t>HT kWh</t>
  </si>
  <si>
    <t>GO Kosten EUR</t>
  </si>
  <si>
    <t>STANDARD Kosten EUR</t>
  </si>
  <si>
    <t>HEAT Kosten EUR</t>
  </si>
  <si>
    <t>Grundgebuehr EUR</t>
  </si>
  <si>
    <t>Referenzanpassung EUR</t>
  </si>
  <si>
    <t>Modul 1 Abzug EUR</t>
  </si>
  <si>
    <t>Referenznetz entfernen EUR</t>
  </si>
  <si>
    <t>NT Netz EUR</t>
  </si>
  <si>
    <t>ST Netz EUR</t>
  </si>
  <si>
    <t>HT Netz EUR</t>
  </si>
  <si>
    <t>Modul 3 Einsparung EUR</t>
  </si>
  <si>
    <t>Gesamt EUR</t>
  </si>
  <si>
    <t>CSV Tag EUR</t>
  </si>
  <si>
    <t>Differenz EUR</t>
  </si>
  <si>
    <t>Monatssumme</t>
  </si>
  <si>
    <t>Stromkosten - Mai 2026</t>
  </si>
  <si>
    <t>Rechnungsansicht / Offline-Nachrechnung, keine offizielle Rechnung. Blau markierte Eingaben sind im Blatt Eingaben aenderbar. Die gelieferte CSV wird ohne Kontonummer weiterverarbeitet.</t>
  </si>
  <si>
    <t>Datenbasis</t>
  </si>
  <si>
    <t>Vollstaendigkeit</t>
  </si>
  <si>
    <t>Position</t>
  </si>
  <si>
    <t>Menge</t>
  </si>
  <si>
    <t>Preis / Basis</t>
  </si>
  <si>
    <t>Betrag brutto</t>
  </si>
  <si>
    <t>Stromverbrauch GO</t>
  </si>
  <si>
    <t>Stromverbrauch STANDARD</t>
  </si>
  <si>
    <t>Stromverbrauch HEAT (optional)</t>
  </si>
  <si>
    <t>Gesamtverbrauch</t>
  </si>
  <si>
    <t>Grundgebuehr fuer den Monat</t>
  </si>
  <si>
    <t>Anpassung Vertragsnetz an Vergleichsnetz</t>
  </si>
  <si>
    <t>Zwischensumme vor Modulen</t>
  </si>
  <si>
    <t>Abzueglich Modul 1 - pauschale Gutschrift</t>
  </si>
  <si>
    <t>Abzueglich Modul 3 - Nettoeffekt NT/ST/HT</t>
  </si>
  <si>
    <t>GESAMTKOSTEN DES MONATS</t>
  </si>
  <si>
    <t>Monatssumme im gelieferten CSV</t>
  </si>
  <si>
    <t>Differenz Nachrechnung minus CSV</t>
  </si>
  <si>
    <t>Rundung: die CSV enthaelt bereits gerundete Mengen und Centbetraege. Excel rechnet ungerundet bis zur Anzeige. Im Ausgangsbeispiel stimmt die Monatssumme auf Cent. Tagescentwerte muessen nicht auf die Monatssumme addieren.</t>
  </si>
  <si>
    <t>Modul 3 ausgeschrieben - so wird das Netzentgelt ausgetauscht</t>
  </si>
  <si>
    <t>Rechenschritt</t>
  </si>
  <si>
    <t>Betrag</t>
  </si>
  <si>
    <t>Vergleichs-Netzentgelt abziehen</t>
  </si>
  <si>
    <t>Netzentgelt NT hinzufuegen</t>
  </si>
  <si>
    <t>Netzentgelt ST hinzufuegen</t>
  </si>
  <si>
    <t>Netzentgelt HT hinzufuegen</t>
  </si>
  <si>
    <t>Nettoeffekt des Austauschs (bereits oben)</t>
  </si>
  <si>
    <t>Negative Differenz = Einsparung, positive Differenz = Mehrkosten. Die Detailpositionen 29-32 werden NICHT noch einmal auf die Rechnung addiert. Bei Vergleich aktuelles Jahr gleicht Position 14 zuerst das im Vertrags-AP enthaltene Netzentgelt an. So bleibt der Endbetrag bei gleicher NT/ST/HT-Bepreisung unabhaengig von der gewaehlten Vergleichsbasis.</t>
  </si>
  <si>
    <t>Modul 1 - Jahresgutschrift netto</t>
  </si>
  <si>
    <t>Modul 1 - Jahresgutschrift brutto</t>
  </si>
  <si>
    <t>Modul 1 - Monatsanteil brutto</t>
  </si>
  <si>
    <t>Viertelstundenmodus: Erst 96 Werte pro Tag eintragen, individuelle Tarif-Slots bei Bedarf im Blatt Intervalle setzen, danach den Datenmodus umstellen. Fehlende Werte sperren die Monatsrechnung. Tarifpreise und Modul-1-/Modul-3-Eingaben werden ohne Home Assistant, API, Makros oder Python in Excel neu berechnet.</t>
  </si>
  <si>
    <t>Lesen, Datenlage und Grenzen des Prototyps</t>
  </si>
  <si>
    <t>Start</t>
  </si>
  <si>
    <t>Rechnung ist die Monatsansicht. Tageswerte zeigt Mengen und Kosten je Tag. Reportdaten bewahrt die importierten Tagesaggregate.</t>
  </si>
  <si>
    <t>Offline und statisch</t>
  </si>
  <si>
    <t>Alle Berechnungen sind normale Excel-Formeln. Keine externen Verknuepfungen, Makros oder API-Aufrufe. API-Preise sind ein gespeicherter Snapshot, manuell editierbar.</t>
  </si>
  <si>
    <t>96 Werte</t>
  </si>
  <si>
    <t>Mai 2026 hat 31 Tage und 2.976 Viertelstunden. Die gelieferten Daten enthalten nur Tagesaggregate, daher bleiben alle Messfelder leer. Keine kuenstliche Verteilung.</t>
  </si>
  <si>
    <t>Aktuelles Standard-Netzentgelt</t>
  </si>
  <si>
    <t>Im Report fehlt ein separat belegtes normales Jahresentgelt. 5,48 ct/kWh ist das ST-Band von Modul 3. Eingaben B9 ist absichtlich leer.</t>
  </si>
  <si>
    <t>Vergleichsbasis</t>
  </si>
  <si>
    <t>Vertragsstart nutzt 7,65 ct/kWh netto. Aktuelles Jahr erfordert B9. Anpassung = Menge x (Vergleich - Vertragsstart) x USt-Faktor / 100. Modul-3-Einsparung = Vergleichskosten minus NT/ST/HT-Kosten.</t>
  </si>
  <si>
    <t>Modul 1</t>
  </si>
  <si>
    <t>108,33 EUR netto pro Jahr, ab 01.03.2024. Tagesanteil / 365 im Jahr 2026, brutto mit 19 % USt. Nicht nach NT/ST/HT aufteilen; beides sind unabhaengige Mechanismen.</t>
  </si>
  <si>
    <t>Modul 3</t>
  </si>
  <si>
    <t>Wirksam seit 01.04.2025. API meldet MODULE_1, liefert trotzdem variable Raten. Der bestehende Report nutzt diese wegen gesetztem Modul-3-Datum.</t>
  </si>
  <si>
    <t>GO und Intelligent Slots</t>
  </si>
  <si>
    <t>Basisfenster 00:00-05:00 aus dem Vertrag. Intelligent-Slots koennen ausserhalb liegen; echte Slots muessen als Override eingegeben/exportiert werden. Im Reportmodus sind die vorhandenen GO-Mengen massgeblich.</t>
  </si>
  <si>
    <t>HEAT</t>
  </si>
  <si>
    <t>Im Mai-Report nicht vorhanden. Im Prototyp als optionales drittes Tarifsegment vorbereitet; keine Aussage, dass alle HEAT-Vertraege so funktionieren. Reale Vertrags- und Zaehlerstruktur ist vor Implementierung zu klaeren.</t>
  </si>
  <si>
    <t>Grundgebuehr</t>
  </si>
  <si>
    <t>Vertrag: 17,74885 EUR brutto/Monat. Reportlogik: x12/365 x31 = 18,0892389 EUR im Mai. Pauschal-Modus ergibt dagegen 17,74885 EUR und veraendert absichtlich das Szenario.</t>
  </si>
  <si>
    <t>Rundung</t>
  </si>
  <si>
    <t>Mengen im CSV: 3 Nachkommastellen, Kosten: 2. Abweichungen durch bereits gerundete Eingaben sind moeglich. Monatssumme aus der CSV ist die Referenz, nicht die Summe der Tagescentwerte.</t>
  </si>
  <si>
    <t>Gueltigkeit und Zeitraum</t>
  </si>
  <si>
    <t>Dieser Prototyp ist fest Mai 2026. Produktionsversion muss Vertrags-/Preiswechsel, Jahreswechsel und saisonale Netzzeiten mit Gueltigkeit je Intervall abbilden.</t>
  </si>
  <si>
    <t>Sommer-/Winterzeit</t>
  </si>
  <si>
    <t>Ein lokaler Tag hat normalerweise 96, bei Zeitumstellung aber 92 oder 100 Viertelstunden. Produktive Version braucht UTC-Zeitstempel plus lokale Zeit und explizite Zusatz-/Fehlspalten. Die Mai-Vorlage hat keinen Zeitwechsel.</t>
  </si>
  <si>
    <t>Keine Mischung der Modi: Report = Tagesaggregate; Viertelstunden = nur eingegebene Intervalle. Einzelne fehlende Intervalle verhindern eine scheinbar vollstaendige Rechnung.</t>
  </si>
  <si>
    <t>Reportmodus und Netz-Overrides</t>
  </si>
  <si>
    <t>Reportmodus verwendet nur globale NT/ST/HT-Preise aus Eingaben. Stunden-Overrides in Netzzeiten wirken nur im Viertelstundenmodus: Tagesaggregate reichen fuer unterschiedlich bepreiste Stunden desselben Bands nicht aus.</t>
  </si>
  <si>
    <t>Sicherheit</t>
  </si>
  <si>
    <t>Keine Kontonummer, Zaehlerkennung, Adresse, Tokens oder externe Datenverbindungen in dieser Datei. Verbrauchsdaten sind nur lokal aus der bereitgestellten CSV uebernommen.</t>
  </si>
  <si>
    <t>Berechnung</t>
  </si>
  <si>
    <t>Gesamt = GO + STANDARD + HEAT + Grundgebuehr + Referenzanpassung - Modul 1 - Modul 3 Einsparung. Modul 3 kann auch Mehrkosten ergeben, etwa bei hohem HT-Verbrauch.</t>
  </si>
</sst>
</file>

<file path=xl/styles.xml><?xml version="1.0" encoding="utf-8"?>
<styleSheet xmlns="http://schemas.openxmlformats.org/spreadsheetml/2006/main">
  <numFmts count="8">
    <numFmt numFmtId="164" formatCode="0.000 &quot;kWh&quot;"/>
    <numFmt numFmtId="165" formatCode="0.000000 &quot;ct/kWh&quot;"/>
    <numFmt numFmtId="166" formatCode="#,##0.00 &quot;EUR&quot;;[Red]-#,##0.00 &quot;EUR&quot;"/>
    <numFmt numFmtId="167" formatCode="#,##0.00 &quot;EUR&quot;"/>
    <numFmt numFmtId="168" formatCode="0%"/>
    <numFmt numFmtId="169" formatCode="0.000000"/>
    <numFmt numFmtId="170" formatCode="dd.mm.yyyy"/>
    <numFmt numFmtId="171" formatCode="hh:mm"/>
  </numFmts>
  <fonts count="6">
    <font>
      <sz val="11"/>
      <color theme="1"/>
      <name val="Calibri"/>
      <family val="2"/>
      <scheme val="minor"/>
    </font>
    <font>
      <b/>
      <sz val="20"/>
      <color rgb="FF153E56"/>
      <name val="Calibri"/>
      <family val="2"/>
      <scheme val="minor"/>
    </font>
    <font>
      <sz val="11"/>
      <color rgb="FF48596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5A9C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53E56"/>
        <bgColor indexed="64"/>
      </patternFill>
    </fill>
    <fill>
      <patternFill patternType="solid">
        <fgColor rgb="FFDCEEDB"/>
        <bgColor indexed="64"/>
      </patternFill>
    </fill>
    <fill>
      <patternFill patternType="solid">
        <fgColor rgb="FFE5F3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4" fillId="4" borderId="0" xfId="0" applyNumberFormat="1" applyFont="1" applyFill="1"/>
    <xf numFmtId="0" fontId="5" fillId="5" borderId="0" xfId="0" applyFont="1" applyFill="1"/>
    <xf numFmtId="168" fontId="0" fillId="5" borderId="0" xfId="0" applyNumberFormat="1" applyFill="1"/>
    <xf numFmtId="169" fontId="5" fillId="5" borderId="0" xfId="0" applyNumberFormat="1" applyFont="1" applyFill="1"/>
    <xf numFmtId="170" fontId="0" fillId="5" borderId="0" xfId="0" applyNumberFormat="1" applyFill="1"/>
    <xf numFmtId="171" fontId="0" fillId="5" borderId="0" xfId="0" applyNumberFormat="1" applyFill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1">
    <dxf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45"/>
  <sheetViews>
    <sheetView tabSelected="1" workbookViewId="0"/>
  </sheetViews>
  <sheetFormatPr defaultRowHeight="15"/>
  <cols>
    <col min="1" max="1" width="52.7109375" customWidth="1"/>
    <col min="2" max="2" width="19.7109375" customWidth="1"/>
    <col min="3" max="3" width="22.7109375" customWidth="1"/>
    <col min="4" max="4" width="23.7109375" customWidth="1"/>
  </cols>
  <sheetData>
    <row r="1" spans="1:4">
      <c r="A1" s="1" t="s">
        <v>233</v>
      </c>
      <c r="B1" s="1"/>
      <c r="C1" s="1"/>
      <c r="D1" s="1"/>
    </row>
    <row r="2" spans="1:4">
      <c r="A2" s="2" t="s">
        <v>234</v>
      </c>
      <c r="B2" s="2"/>
      <c r="C2" s="2"/>
      <c r="D2" s="2"/>
    </row>
    <row r="3" spans="1:4">
      <c r="A3" s="2"/>
      <c r="B3" s="2"/>
      <c r="C3" s="2"/>
      <c r="D3" s="2"/>
    </row>
    <row r="5" spans="1:4">
      <c r="A5" t="s">
        <v>235</v>
      </c>
      <c r="B5" t="str">
        <f>Eingaben!B5</f>
        <v>Report</v>
      </c>
    </row>
    <row r="6" spans="1:4">
      <c r="A6" t="s">
        <v>236</v>
      </c>
      <c r="B6" s="3" t="str">
        <f>Tageswerte!B39</f>
        <v>OK</v>
      </c>
    </row>
    <row r="7" spans="1:4">
      <c r="A7" s="4" t="s">
        <v>237</v>
      </c>
      <c r="B7" s="4" t="s">
        <v>238</v>
      </c>
      <c r="C7" s="4" t="s">
        <v>239</v>
      </c>
      <c r="D7" s="4" t="s">
        <v>240</v>
      </c>
    </row>
    <row r="8" spans="1:4">
      <c r="A8" t="s">
        <v>241</v>
      </c>
      <c r="B8" s="5">
        <f>Tageswerte!M39</f>
        <v>3.199</v>
      </c>
      <c r="C8" s="6">
        <f>IF(ISNUMBER(Eingaben!B11),Eingaben!B11,"nicht belegt")</f>
        <v>15.0654</v>
      </c>
      <c r="D8" s="7">
        <f>IF(Tageswerte!$B$39&lt;&gt;"OK","",Tageswerte!S39)</f>
        <v>0.481942146</v>
      </c>
    </row>
    <row r="9" spans="1:4">
      <c r="A9" t="s">
        <v>242</v>
      </c>
      <c r="B9" s="5">
        <f>Tageswerte!N39</f>
        <v>9.197</v>
      </c>
      <c r="C9" s="6">
        <f>IF(ISNUMBER(Eingaben!B12),Eingaben!B12,"nicht belegt")</f>
        <v>28.2744</v>
      </c>
      <c r="D9" s="7">
        <f>IF(Tageswerte!$B$39&lt;&gt;"OK","",Tageswerte!T39)</f>
        <v>2.600396568</v>
      </c>
    </row>
    <row r="10" spans="1:4">
      <c r="A10" t="s">
        <v>243</v>
      </c>
      <c r="B10" s="5">
        <f>Tageswerte!O39</f>
        <v>0.0</v>
      </c>
      <c r="C10" s="6" t="str">
        <f>IF(ISNUMBER(Eingaben!B13),Eingaben!B13,"nicht belegt")</f>
        <v>nicht belegt</v>
      </c>
      <c r="D10" s="7">
        <f>IF(Tageswerte!$B$39&lt;&gt;"OK","",Tageswerte!U39)</f>
        <v>0.0</v>
      </c>
    </row>
    <row r="11" spans="1:4">
      <c r="A11" t="s">
        <v>244</v>
      </c>
      <c r="B11" s="5">
        <f>Tageswerte!L39</f>
        <v>12.396</v>
      </c>
    </row>
    <row r="13" spans="1:4">
      <c r="A13" t="s">
        <v>245</v>
      </c>
      <c r="C13" t="str">
        <f>Eingaben!B15</f>
        <v>Zeitanteilig</v>
      </c>
      <c r="D13" s="7">
        <f>IF(Tageswerte!$B$39&lt;&gt;"OK","",Tageswerte!V39)</f>
        <v>18.08923890410959</v>
      </c>
    </row>
    <row r="14" spans="1:4">
      <c r="A14" t="s">
        <v>246</v>
      </c>
      <c r="C14" t="str">
        <f>Eingaben!B6</f>
        <v>Vertragsstart</v>
      </c>
      <c r="D14" s="7">
        <f>IF(Tageswerte!$B$39&lt;&gt;"OK","",Tageswerte!W39)</f>
        <v>0.0</v>
      </c>
    </row>
    <row r="15" spans="1:4">
      <c r="A15" s="4" t="s">
        <v>247</v>
      </c>
      <c r="D15" s="7">
        <f>IF(Tageswerte!$B$39&lt;&gt;"OK","",SUM(D8:D10,D13:D14))</f>
        <v>21.171577618109588</v>
      </c>
    </row>
    <row r="17" spans="1:4">
      <c r="A17" t="s">
        <v>248</v>
      </c>
      <c r="D17" s="7">
        <f>IF(Tageswerte!$B$39&lt;&gt;"OK","",Tageswerte!X39)</f>
        <v>-10.948749863013699</v>
      </c>
    </row>
    <row r="18" spans="1:4">
      <c r="A18" t="s">
        <v>249</v>
      </c>
      <c r="D18" s="7">
        <f>IF(Tageswerte!$B$39&lt;&gt;"OK","",-Tageswerte!AC39)</f>
        <v>-0.35122374</v>
      </c>
    </row>
    <row r="20" spans="1:4">
      <c r="A20" s="4" t="s">
        <v>250</v>
      </c>
      <c r="D20" s="8">
        <f>IF(Tageswerte!$B$39&lt;&gt;"OK","",D15+D17+D18)</f>
        <v>9.87160401509589</v>
      </c>
    </row>
    <row r="22" spans="1:4">
      <c r="A22" t="s">
        <v>251</v>
      </c>
      <c r="D22" s="7">
        <v>9.869999999999999</v>
      </c>
    </row>
    <row r="23" spans="1:4">
      <c r="A23" t="s">
        <v>252</v>
      </c>
      <c r="D23" s="7">
        <f>IF(Tageswerte!$B$39&lt;&gt;"OK","",D20-D22)</f>
        <v>0.001604015095890411</v>
      </c>
    </row>
    <row r="24" spans="1:4">
      <c r="A24" s="2" t="s">
        <v>253</v>
      </c>
      <c r="B24" s="2"/>
      <c r="C24" s="2"/>
      <c r="D24" s="2"/>
    </row>
    <row r="25" spans="1:4">
      <c r="A25" s="2"/>
      <c r="B25" s="2"/>
      <c r="C25" s="2"/>
      <c r="D25" s="2"/>
    </row>
    <row r="27" spans="1:4">
      <c r="A27" s="4" t="s">
        <v>254</v>
      </c>
      <c r="B27" s="4"/>
      <c r="C27" s="4"/>
      <c r="D27" s="4"/>
    </row>
    <row r="28" spans="1:4">
      <c r="A28" s="4" t="s">
        <v>255</v>
      </c>
      <c r="B28" s="4" t="s">
        <v>238</v>
      </c>
      <c r="C28" s="4" t="s">
        <v>61</v>
      </c>
      <c r="D28" s="4" t="s">
        <v>256</v>
      </c>
    </row>
    <row r="29" spans="1:4">
      <c r="A29" t="s">
        <v>257</v>
      </c>
      <c r="B29" s="5">
        <f>Tageswerte!L39</f>
        <v>12.396</v>
      </c>
      <c r="C29" s="6">
        <f>IF(ISNUMBER(Eingaben!B10),Eingaben!B10*(1+Eingaben!B7),"")</f>
        <v>9.1035</v>
      </c>
      <c r="D29" s="7">
        <f>IF(Tageswerte!$B$39&lt;&gt;"OK","",Tageswerte!Y39)</f>
        <v>-1.12846986</v>
      </c>
    </row>
    <row r="30" spans="1:4">
      <c r="A30" t="s">
        <v>258</v>
      </c>
      <c r="B30" s="5">
        <f>Tageswerte!P39</f>
        <v>4.78</v>
      </c>
      <c r="C30" s="6">
        <f>IF(OR(B30="",B30=0),"",D30/B30*100)</f>
        <v>1.9516</v>
      </c>
      <c r="D30" s="7">
        <f>IF(Tageswerte!$B$39&lt;&gt;"OK","",Tageswerte!Z39)</f>
        <v>0.09328648</v>
      </c>
    </row>
    <row r="31" spans="1:4">
      <c r="A31" t="s">
        <v>259</v>
      </c>
      <c r="B31" s="5">
        <f>Tageswerte!Q39</f>
        <v>4.493</v>
      </c>
      <c r="C31" s="6">
        <f>IF(OR(B31="",B31=0),"",D31/B31*100)</f>
        <v>6.5212</v>
      </c>
      <c r="D31" s="7">
        <f>IF(Tageswerte!$B$39&lt;&gt;"OK","",Tageswerte!AA39)</f>
        <v>0.292997516</v>
      </c>
    </row>
    <row r="32" spans="1:4">
      <c r="A32" t="s">
        <v>260</v>
      </c>
      <c r="B32" s="5">
        <f>Tageswerte!R39</f>
        <v>3.123</v>
      </c>
      <c r="C32" s="6">
        <f>IF(OR(B32="",B32=0),"",D32/B32*100)</f>
        <v>12.5188</v>
      </c>
      <c r="D32" s="7">
        <f>IF(Tageswerte!$B$39&lt;&gt;"OK","",Tageswerte!AB39)</f>
        <v>0.390962124</v>
      </c>
    </row>
    <row r="34" spans="1:4">
      <c r="A34" t="s">
        <v>261</v>
      </c>
      <c r="D34" s="7">
        <f>IF(Tageswerte!$B$39&lt;&gt;"OK","",SUM(D29:D32))</f>
        <v>-0.35122374</v>
      </c>
    </row>
    <row r="35" spans="1:4">
      <c r="A35" s="3" t="s">
        <v>262</v>
      </c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9" spans="1:4">
      <c r="A39" t="s">
        <v>263</v>
      </c>
      <c r="D39" s="7">
        <f>Eingaben!B16</f>
        <v>108.33</v>
      </c>
    </row>
    <row r="40" spans="1:4">
      <c r="A40" t="s">
        <v>264</v>
      </c>
      <c r="D40" s="7">
        <f>Eingaben!B16*(1+Eingaben!B7)</f>
        <v>128.9127</v>
      </c>
    </row>
    <row r="41" spans="1:4">
      <c r="A41" t="s">
        <v>265</v>
      </c>
      <c r="D41" s="7">
        <f>IF(Tageswerte!$B$39&lt;&gt;"OK","",-Tageswerte!X39)</f>
        <v>10.948749863013699</v>
      </c>
    </row>
    <row r="43" spans="1:4">
      <c r="A43" s="2" t="s">
        <v>266</v>
      </c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</sheetData>
  <mergeCells count="6">
    <mergeCell ref="A1:D1"/>
    <mergeCell ref="A2:D3"/>
    <mergeCell ref="A24:D25"/>
    <mergeCell ref="A27:D27"/>
    <mergeCell ref="A35:D37"/>
    <mergeCell ref="A43:D45"/>
  </mergeCells>
  <pageMargins left="0.7" right="0.7" top="0.75" bottom="0.75" header="0.3" footer="0.3"/>
  <pageSetup paperSize="9" fitToHeight="2" orientation="landscape"/>
  <headerFooter>
    <oddFooter>&amp;LExcel-Prototyp - keine Lieferantenrechnung&amp;RSeite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cols>
    <col min="1" max="1" width="46.7109375" customWidth="1"/>
    <col min="2" max="2" width="26.7109375" customWidth="1"/>
    <col min="3" max="3" width="95.7109375" customWidth="1"/>
  </cols>
  <sheetData>
    <row r="1" spans="1:3">
      <c r="A1" s="1" t="s">
        <v>0</v>
      </c>
      <c r="B1" s="1"/>
      <c r="C1" s="1"/>
    </row>
    <row r="2" spans="1:3">
      <c r="A2" s="3" t="s">
        <v>1</v>
      </c>
      <c r="B2" s="3"/>
      <c r="C2" s="3"/>
    </row>
    <row r="3" spans="1:3">
      <c r="A3" s="3"/>
      <c r="B3" s="3"/>
      <c r="C3" s="3"/>
    </row>
    <row r="5" spans="1:3" ht="38" customHeight="1">
      <c r="A5" t="s">
        <v>2</v>
      </c>
      <c r="B5" s="9" t="s">
        <v>3</v>
      </c>
      <c r="C5" s="2" t="s">
        <v>4</v>
      </c>
    </row>
    <row r="6" spans="1:3" ht="38" customHeight="1">
      <c r="A6" t="s">
        <v>5</v>
      </c>
      <c r="B6" s="9" t="s">
        <v>6</v>
      </c>
      <c r="C6" s="2" t="s">
        <v>7</v>
      </c>
    </row>
    <row r="7" spans="1:3" ht="38" customHeight="1">
      <c r="A7" t="s">
        <v>8</v>
      </c>
      <c r="B7" s="10">
        <v>0.19</v>
      </c>
      <c r="C7" s="2" t="s">
        <v>9</v>
      </c>
    </row>
    <row r="8" spans="1:3" ht="38" customHeight="1">
      <c r="A8" t="s">
        <v>10</v>
      </c>
      <c r="B8" s="11">
        <v>7.65</v>
      </c>
      <c r="C8" s="2" t="s">
        <v>11</v>
      </c>
    </row>
    <row r="9" spans="1:3" ht="38" customHeight="1">
      <c r="A9" t="s">
        <v>12</v>
      </c>
      <c r="B9" s="11"/>
      <c r="C9" s="2" t="s">
        <v>13</v>
      </c>
    </row>
    <row r="10" spans="1:3">
      <c r="A10" t="s">
        <v>52</v>
      </c>
      <c r="B10" s="6">
        <f>IF(B6="Vertragsstart",B8,IF(ISNUMBER(B9),B9,""))</f>
        <v>7.65</v>
      </c>
    </row>
    <row r="11" spans="1:3" ht="38" customHeight="1">
      <c r="A11" t="s">
        <v>14</v>
      </c>
      <c r="B11" s="11">
        <v>15.0654</v>
      </c>
      <c r="C11" s="2" t="s">
        <v>15</v>
      </c>
    </row>
    <row r="12" spans="1:3" ht="38" customHeight="1">
      <c r="A12" t="s">
        <v>16</v>
      </c>
      <c r="B12" s="11">
        <v>28.2744</v>
      </c>
      <c r="C12" s="2" t="s">
        <v>17</v>
      </c>
    </row>
    <row r="13" spans="1:3" ht="38" customHeight="1">
      <c r="A13" t="s">
        <v>18</v>
      </c>
      <c r="B13" s="11"/>
      <c r="C13" s="2" t="s">
        <v>19</v>
      </c>
    </row>
    <row r="14" spans="1:3" ht="38" customHeight="1">
      <c r="A14" t="s">
        <v>20</v>
      </c>
      <c r="B14" s="11">
        <v>17.74885</v>
      </c>
      <c r="C14" s="2" t="s">
        <v>21</v>
      </c>
    </row>
    <row r="15" spans="1:3" ht="38" customHeight="1">
      <c r="A15" t="s">
        <v>22</v>
      </c>
      <c r="B15" s="9" t="s">
        <v>23</v>
      </c>
      <c r="C15" s="2" t="s">
        <v>24</v>
      </c>
    </row>
    <row r="16" spans="1:3" ht="38" customHeight="1">
      <c r="A16" t="s">
        <v>25</v>
      </c>
      <c r="B16" s="11">
        <v>108.33</v>
      </c>
      <c r="C16" s="2" t="s">
        <v>26</v>
      </c>
    </row>
    <row r="17" spans="1:3" ht="38" customHeight="1">
      <c r="A17" t="s">
        <v>27</v>
      </c>
      <c r="B17" s="12">
        <v>45352</v>
      </c>
      <c r="C17" s="2" t="s">
        <v>28</v>
      </c>
    </row>
    <row r="18" spans="1:3" ht="38" customHeight="1">
      <c r="A18" t="s">
        <v>29</v>
      </c>
      <c r="B18" s="12">
        <v>45748</v>
      </c>
      <c r="C18" s="2" t="s">
        <v>30</v>
      </c>
    </row>
    <row r="19" spans="1:3" ht="38" customHeight="1">
      <c r="A19" t="s">
        <v>31</v>
      </c>
      <c r="B19" s="11">
        <v>2026</v>
      </c>
      <c r="C19" s="2" t="s">
        <v>32</v>
      </c>
    </row>
    <row r="20" spans="1:3" ht="38" customHeight="1">
      <c r="A20" t="s">
        <v>33</v>
      </c>
      <c r="B20" s="11">
        <v>5</v>
      </c>
      <c r="C20" s="2" t="s">
        <v>34</v>
      </c>
    </row>
    <row r="21" spans="1:3" ht="38" customHeight="1">
      <c r="A21" t="s">
        <v>35</v>
      </c>
      <c r="B21" s="13">
        <v>0</v>
      </c>
      <c r="C21" s="2" t="s">
        <v>36</v>
      </c>
    </row>
    <row r="22" spans="1:3" ht="38" customHeight="1">
      <c r="A22" t="s">
        <v>37</v>
      </c>
      <c r="B22" s="13">
        <v>0.2083333333333333</v>
      </c>
      <c r="C22" s="2" t="s">
        <v>38</v>
      </c>
    </row>
    <row r="23" spans="1:3" ht="38" customHeight="1">
      <c r="A23" t="s">
        <v>39</v>
      </c>
      <c r="B23" s="13"/>
      <c r="C23" s="2" t="s">
        <v>40</v>
      </c>
    </row>
    <row r="24" spans="1:3" ht="38" customHeight="1">
      <c r="A24" t="s">
        <v>41</v>
      </c>
      <c r="B24" s="13"/>
      <c r="C24" s="2" t="s">
        <v>42</v>
      </c>
    </row>
    <row r="25" spans="1:3">
      <c r="A25" t="s">
        <v>53</v>
      </c>
      <c r="B25">
        <f>DAY(DATE(B19,B20+1,0))</f>
        <v>31</v>
      </c>
    </row>
    <row r="26" spans="1:3">
      <c r="A26" t="s">
        <v>54</v>
      </c>
      <c r="B26">
        <f>DATE(B19+1,1,1)-DATE(B19,1,1)</f>
        <v>365</v>
      </c>
    </row>
    <row r="27" spans="1:3">
      <c r="A27" t="s">
        <v>55</v>
      </c>
      <c r="B27" s="3" t="str">
        <f>IF(ISNUMBER(B10),"OK","NETZREFERENZ FEHLT")</f>
        <v>OK</v>
      </c>
    </row>
    <row r="28" spans="1:3" ht="38" customHeight="1">
      <c r="A28" t="s">
        <v>43</v>
      </c>
      <c r="B28" s="9" t="s">
        <v>44</v>
      </c>
      <c r="C28" s="2" t="s">
        <v>45</v>
      </c>
    </row>
    <row r="30" spans="1:3" ht="38" customHeight="1">
      <c r="A30" t="s">
        <v>46</v>
      </c>
      <c r="B30" s="11">
        <v>1.64</v>
      </c>
      <c r="C30" s="2" t="s">
        <v>47</v>
      </c>
    </row>
    <row r="31" spans="1:3" ht="38" customHeight="1">
      <c r="A31" t="s">
        <v>48</v>
      </c>
      <c r="B31" s="11">
        <v>5.48</v>
      </c>
      <c r="C31" s="2" t="s">
        <v>49</v>
      </c>
    </row>
    <row r="32" spans="1:3" ht="38" customHeight="1">
      <c r="A32" t="s">
        <v>50</v>
      </c>
      <c r="B32" s="11">
        <v>10.52</v>
      </c>
      <c r="C32" s="2" t="s">
        <v>51</v>
      </c>
    </row>
  </sheetData>
  <mergeCells count="2">
    <mergeCell ref="A1:C1"/>
    <mergeCell ref="A2:C3"/>
  </mergeCells>
  <dataValidations count="13">
    <dataValidation type="list" allowBlank="1" showInputMessage="1" showErrorMessage="1" errorTitle="Ungueltige Eingabe" error="Bitte einen Listenwert auswaehlen." sqref="B5">
      <formula1>"Report,Viertelstunden"</formula1>
    </dataValidation>
    <dataValidation type="list" allowBlank="1" showInputMessage="1" showErrorMessage="1" errorTitle="Ungueltige Eingabe" error="Bitte einen Listenwert auswaehlen." sqref="B6">
      <formula1>"Vertragsstart,Aktuelles Jahr"</formula1>
    </dataValidation>
    <dataValidation type="list" allowBlank="1" showInputMessage="1" showErrorMessage="1" errorTitle="Ungueltige Eingabe" error="Bitte einen Listenwert auswaehlen." sqref="B15">
      <formula1>"Zeitanteilig,Pauschal"</formula1>
    </dataValidation>
    <dataValidation type="decimal" operator="greaterThanOrEqual" allowBlank="1" showInputMessage="1" showErrorMessage="1" error="Nichtnegative Zahl eingeben." sqref="B8">
      <formula1>0</formula1>
    </dataValidation>
    <dataValidation type="decimal" operator="greaterThanOrEqual" allowBlank="1" showInputMessage="1" showErrorMessage="1" error="Nichtnegative Zahl eingeben." sqref="B9">
      <formula1>0</formula1>
    </dataValidation>
    <dataValidation type="decimal" operator="greaterThanOrEqual" allowBlank="1" showInputMessage="1" showErrorMessage="1" error="Nichtnegative Zahl eingeben." sqref="B11">
      <formula1>0</formula1>
    </dataValidation>
    <dataValidation type="decimal" operator="greaterThanOrEqual" allowBlank="1" showInputMessage="1" showErrorMessage="1" error="Nichtnegative Zahl eingeben." sqref="B12">
      <formula1>0</formula1>
    </dataValidation>
    <dataValidation type="decimal" operator="greaterThanOrEqual" allowBlank="1" showInputMessage="1" showErrorMessage="1" error="Nichtnegative Zahl eingeben." sqref="B13">
      <formula1>0</formula1>
    </dataValidation>
    <dataValidation type="decimal" operator="greaterThanOrEqual" allowBlank="1" showInputMessage="1" showErrorMessage="1" error="Nichtnegative Zahl eingeben." sqref="B14">
      <formula1>0</formula1>
    </dataValidation>
    <dataValidation type="decimal" operator="greaterThanOrEqual" allowBlank="1" showInputMessage="1" showErrorMessage="1" error="Nichtnegative Zahl eingeben." sqref="B16">
      <formula1>0</formula1>
    </dataValidation>
    <dataValidation type="decimal" operator="greaterThanOrEqual" allowBlank="1" showInputMessage="1" showErrorMessage="1" error="Nichtnegative Zahl eingeben." sqref="B30">
      <formula1>0</formula1>
    </dataValidation>
    <dataValidation type="decimal" operator="greaterThanOrEqual" allowBlank="1" showInputMessage="1" showErrorMessage="1" error="Nichtnegative Zahl eingeben." sqref="B31">
      <formula1>0</formula1>
    </dataValidation>
    <dataValidation type="decimal" operator="greaterThanOrEqual" allowBlank="1" showInputMessage="1" showErrorMessage="1" error="Nichtnegative Zahl eingeben." sqref="B32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3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5.7109375" customWidth="1"/>
    <col min="2" max="2" width="27.7109375" customWidth="1"/>
    <col min="3" max="32" width="19.7109375" customWidth="1"/>
  </cols>
  <sheetData>
    <row r="1" spans="1:32">
      <c r="A1" s="1" t="s">
        <v>200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32">
      <c r="A2" s="2" t="s">
        <v>201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3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spans="1:32" ht="38" customHeight="1">
      <c r="A5" s="4" t="s">
        <v>70</v>
      </c>
      <c r="B5" s="4" t="s">
        <v>202</v>
      </c>
      <c r="C5" s="4" t="s">
        <v>203</v>
      </c>
      <c r="D5" s="4" t="s">
        <v>204</v>
      </c>
      <c r="E5" s="4" t="s">
        <v>205</v>
      </c>
      <c r="F5" s="4" t="s">
        <v>206</v>
      </c>
      <c r="G5" s="4" t="s">
        <v>207</v>
      </c>
      <c r="H5" s="4" t="s">
        <v>208</v>
      </c>
      <c r="I5" s="4" t="s">
        <v>209</v>
      </c>
      <c r="J5" s="4" t="s">
        <v>210</v>
      </c>
      <c r="K5" s="4" t="s">
        <v>211</v>
      </c>
      <c r="L5" s="4" t="s">
        <v>182</v>
      </c>
      <c r="M5" s="4" t="s">
        <v>212</v>
      </c>
      <c r="N5" s="4" t="s">
        <v>213</v>
      </c>
      <c r="O5" s="4" t="s">
        <v>214</v>
      </c>
      <c r="P5" s="4" t="s">
        <v>215</v>
      </c>
      <c r="Q5" s="4" t="s">
        <v>216</v>
      </c>
      <c r="R5" s="4" t="s">
        <v>217</v>
      </c>
      <c r="S5" s="4" t="s">
        <v>218</v>
      </c>
      <c r="T5" s="4" t="s">
        <v>219</v>
      </c>
      <c r="U5" s="4" t="s">
        <v>220</v>
      </c>
      <c r="V5" s="4" t="s">
        <v>221</v>
      </c>
      <c r="W5" s="4" t="s">
        <v>222</v>
      </c>
      <c r="X5" s="4" t="s">
        <v>223</v>
      </c>
      <c r="Y5" s="4" t="s">
        <v>224</v>
      </c>
      <c r="Z5" s="4" t="s">
        <v>225</v>
      </c>
      <c r="AA5" s="4" t="s">
        <v>226</v>
      </c>
      <c r="AB5" s="4" t="s">
        <v>227</v>
      </c>
      <c r="AC5" s="4" t="s">
        <v>228</v>
      </c>
      <c r="AD5" s="4" t="s">
        <v>229</v>
      </c>
      <c r="AE5" s="4" t="s">
        <v>230</v>
      </c>
      <c r="AF5" s="4" t="s">
        <v>231</v>
      </c>
    </row>
    <row r="6" spans="1:32">
      <c r="A6" s="14">
        <v>46143</v>
      </c>
      <c r="B6" t="str">
        <f>IF(Eingaben!$B$27&lt;&gt;"OK","NETZREFERENZ FEHLT",IF(AND(A6&lt;Eingaben!$B$18,NOT(ISNUMBER(Eingaben!$B$9))),"NORMALER NETZPREIS FEHLT",IF(Eingaben!$B$5="Report",IF(Reportdaten!Q6&lt;&gt;"complete","REPORT UNVOLLSTAENDIG",IF(AND(SUM(Reportdaten!I6:K6)&gt;0,NOT(ISNUMBER(Eingaben!$B$13))),"HEAT-PREIS FEHLT","OK")),IF(COUNTIF(Intervalle!J6:J101,"OK")=96,"OK","INTERVALLE UNVOLLSTAENDIG"))))</f>
        <v>OK</v>
      </c>
      <c r="C6" s="5">
        <f>IF($B6&lt;&gt;"OK","",IF(Eingaben!$B$5="Report",Reportdaten!C6,SUMIFS(Intervalle!$C$6:$C$101,Intervalle!$F$6:$F$101,"GO",Intervalle!$G$6:$G$101,"NT")))</f>
        <v>0.22</v>
      </c>
      <c r="D6" s="5">
        <f>IF($B6&lt;&gt;"OK","",IF(Eingaben!$B$5="Report",Reportdaten!D6,SUMIFS(Intervalle!$C$6:$C$101,Intervalle!$F$6:$F$101,"GO",Intervalle!$G$6:$G$101,"ST")))</f>
        <v>0.0</v>
      </c>
      <c r="E6" s="5">
        <f>IF($B6&lt;&gt;"OK","",IF(Eingaben!$B$5="Report",Reportdaten!E6,SUMIFS(Intervalle!$C$6:$C$101,Intervalle!$F$6:$F$101,"GO",Intervalle!$G$6:$G$101,"HT")))</f>
        <v>0.0</v>
      </c>
      <c r="F6" s="5">
        <f>IF($B6&lt;&gt;"OK","",IF(Eingaben!$B$5="Report",Reportdaten!F6,SUMIFS(Intervalle!$C$6:$C$101,Intervalle!$F$6:$F$101,"STANDARD",Intervalle!$G$6:$G$101,"NT")))</f>
        <v>0.02</v>
      </c>
      <c r="G6" s="5">
        <f>IF($B6&lt;&gt;"OK","",IF(Eingaben!$B$5="Report",Reportdaten!G6,SUMIFS(Intervalle!$C$6:$C$101,Intervalle!$F$6:$F$101,"STANDARD",Intervalle!$G$6:$G$101,"ST")))</f>
        <v>0.086</v>
      </c>
      <c r="H6" s="5">
        <f>IF($B6&lt;&gt;"OK","",IF(Eingaben!$B$5="Report",Reportdaten!H6,SUMIFS(Intervalle!$C$6:$C$101,Intervalle!$F$6:$F$101,"STANDARD",Intervalle!$G$6:$G$101,"HT")))</f>
        <v>0.068</v>
      </c>
      <c r="I6" s="5">
        <f>IF($B6&lt;&gt;"OK","",IF(Eingaben!$B$5="Report",Reportdaten!I6,SUMIFS(Intervalle!$C$6:$C$101,Intervalle!$F$6:$F$101,"HEAT",Intervalle!$G$6:$G$101,"NT")))</f>
        <v>0.0</v>
      </c>
      <c r="J6" s="5">
        <f>IF($B6&lt;&gt;"OK","",IF(Eingaben!$B$5="Report",Reportdaten!J6,SUMIFS(Intervalle!$C$6:$C$101,Intervalle!$F$6:$F$101,"HEAT",Intervalle!$G$6:$G$101,"ST")))</f>
        <v>0.0</v>
      </c>
      <c r="K6" s="5">
        <f>IF($B6&lt;&gt;"OK","",IF(Eingaben!$B$5="Report",Reportdaten!K6,SUMIFS(Intervalle!$C$6:$C$101,Intervalle!$F$6:$F$101,"HEAT",Intervalle!$G$6:$G$101,"HT")))</f>
        <v>0.0</v>
      </c>
      <c r="L6" s="5">
        <f>IF($B6&lt;&gt;"OK","",SUM(C6:K6))</f>
        <v>0.394</v>
      </c>
      <c r="M6" s="5">
        <f>IF($B6&lt;&gt;"OK","",SUM(C6:E6))</f>
        <v>0.22</v>
      </c>
      <c r="N6" s="5">
        <f>IF($B6&lt;&gt;"OK","",SUM(F6:H6))</f>
        <v>0.174</v>
      </c>
      <c r="O6" s="5">
        <f>IF($B6&lt;&gt;"OK","",SUM(I6:K6))</f>
        <v>0.0</v>
      </c>
      <c r="P6" s="5">
        <f>IF($B6&lt;&gt;"OK","",C6+F6+I6)</f>
        <v>0.24</v>
      </c>
      <c r="Q6" s="5">
        <f>IF($B6&lt;&gt;"OK","",D6+G6+J6)</f>
        <v>0.086</v>
      </c>
      <c r="R6" s="5">
        <f>IF($B6&lt;&gt;"OK","",E6+H6+K6)</f>
        <v>0.068</v>
      </c>
      <c r="S6" s="7">
        <f>IF($B6&lt;&gt;"OK","",M6*Eingaben!$B$11/100)</f>
        <v>0.03314388</v>
      </c>
      <c r="T6" s="7">
        <f>IF($B6&lt;&gt;"OK","",N6*Eingaben!$B$12/100)</f>
        <v>0.049197456</v>
      </c>
      <c r="U6" s="7">
        <f>IF($B6&lt;&gt;"OK","",IF(O6=0,0,O6*Eingaben!$B$13/100))</f>
        <v>0.0</v>
      </c>
      <c r="V6" s="7">
        <f>IF($B6&lt;&gt;"OK","",IF(Eingaben!$B$15="Zeitanteilig",Eingaben!$B$14*12/365,Eingaben!$B$14/Eingaben!$B$25))</f>
        <v>0.5835238356164384</v>
      </c>
      <c r="W6" s="7">
        <f>IF($B6&lt;&gt;"OK","",L6*(IF(A6&lt;Eingaben!$B$18,Eingaben!$B$9,Eingaben!$B$10)-Eingaben!$B$8)*(1+Eingaben!$B$7)/100)</f>
        <v>0.0</v>
      </c>
      <c r="X6" s="7">
        <f>IF($B6&lt;&gt;"OK","",IF(A6&gt;=Eingaben!$B$17,-Eingaben!$B$16*(1+Eingaben!$B$7)/Eingaben!$B$26,0))</f>
        <v>-0.3531854794520548</v>
      </c>
      <c r="Y6" s="7">
        <f>IF($B6&lt;&gt;"OK","",-L6*IF(A6&lt;Eingaben!$B$18,Eingaben!$B$9,Eingaben!$B$10)*(1+Eingaben!$B$7)/100)</f>
        <v>-0.03586779</v>
      </c>
      <c r="Z6" s="7">
        <f>IF($B6&lt;&gt;"OK","",IF(A6&lt;Eingaben!$B$18,P6*Eingaben!$B$9/100,IF(Eingaben!$B$5="Report",P6*Eingaben!$B$30/100,SUMIFS(Intervalle!$K$6:$K$101,Intervalle!$G$6:$G$101,"NT")))*(1+Eingaben!$B$7))</f>
        <v>0.00468384</v>
      </c>
      <c r="AA6" s="7">
        <f>IF($B6&lt;&gt;"OK","",IF(A6&lt;Eingaben!$B$18,Q6*Eingaben!$B$9/100,IF(Eingaben!$B$5="Report",Q6*Eingaben!$B$31/100,SUMIFS(Intervalle!$K$6:$K$101,Intervalle!$G$6:$G$101,"ST")))*(1+Eingaben!$B$7))</f>
        <v>0.005608232</v>
      </c>
      <c r="AB6" s="7">
        <f>IF($B6&lt;&gt;"OK","",IF(A6&lt;Eingaben!$B$18,R6*Eingaben!$B$9/100,IF(Eingaben!$B$5="Report",R6*Eingaben!$B$32/100,SUMIFS(Intervalle!$K$6:$K$101,Intervalle!$G$6:$G$101,"HT")))*(1+Eingaben!$B$7))</f>
        <v>0.008512784</v>
      </c>
      <c r="AC6" s="7">
        <f>IF($B6&lt;&gt;"OK","",-SUM(Y6:AB6))</f>
        <v>0.017062934</v>
      </c>
      <c r="AD6" s="7">
        <f>IF($B6&lt;&gt;"OK","",SUM(S6:AB6))</f>
        <v>0.29561675816438354</v>
      </c>
      <c r="AE6" s="7">
        <f>IF($B6&lt;&gt;"OK","",IF(Eingaben!$B$5="Report",Reportdaten!L6,""))</f>
        <v>0.3</v>
      </c>
      <c r="AF6" s="7">
        <f>IF($B6&lt;&gt;"OK","",IF(Eingaben!$B$5="Report",AD6-AE6,""))</f>
        <v>-0.004383241835616438</v>
      </c>
    </row>
    <row r="7" spans="1:32">
      <c r="A7" s="14">
        <v>46144</v>
      </c>
      <c r="B7" t="str">
        <f>IF(Eingaben!$B$27&lt;&gt;"OK","NETZREFERENZ FEHLT",IF(AND(A7&lt;Eingaben!$B$18,NOT(ISNUMBER(Eingaben!$B$9))),"NORMALER NETZPREIS FEHLT",IF(Eingaben!$B$5="Report",IF(Reportdaten!Q7&lt;&gt;"complete","REPORT UNVOLLSTAENDIG",IF(AND(SUM(Reportdaten!I7:K7)&gt;0,NOT(ISNUMBER(Eingaben!$B$13))),"HEAT-PREIS FEHLT","OK")),IF(COUNTIF(Intervalle!J102:J197,"OK")=96,"OK","INTERVALLE UNVOLLSTAENDIG"))))</f>
        <v>OK</v>
      </c>
      <c r="C7" s="5">
        <f>IF($B7&lt;&gt;"OK","",IF(Eingaben!$B$5="Report",Reportdaten!C7,SUMIFS(Intervalle!$C$102:$C$197,Intervalle!$F$102:$F$197,"GO",Intervalle!$G$102:$G$197,"NT")))</f>
        <v>0.06</v>
      </c>
      <c r="D7" s="5">
        <f>IF($B7&lt;&gt;"OK","",IF(Eingaben!$B$5="Report",Reportdaten!D7,SUMIFS(Intervalle!$C$102:$C$197,Intervalle!$F$102:$F$197,"GO",Intervalle!$G$102:$G$197,"ST")))</f>
        <v>0.0</v>
      </c>
      <c r="E7" s="5">
        <f>IF($B7&lt;&gt;"OK","",IF(Eingaben!$B$5="Report",Reportdaten!E7,SUMIFS(Intervalle!$C$102:$C$197,Intervalle!$F$102:$F$197,"GO",Intervalle!$G$102:$G$197,"HT")))</f>
        <v>0.0</v>
      </c>
      <c r="F7" s="5">
        <f>IF($B7&lt;&gt;"OK","",IF(Eingaben!$B$5="Report",Reportdaten!F7,SUMIFS(Intervalle!$C$102:$C$197,Intervalle!$F$102:$F$197,"STANDARD",Intervalle!$G$102:$G$197,"NT")))</f>
        <v>0.023</v>
      </c>
      <c r="G7" s="5">
        <f>IF($B7&lt;&gt;"OK","",IF(Eingaben!$B$5="Report",Reportdaten!G7,SUMIFS(Intervalle!$C$102:$C$197,Intervalle!$F$102:$F$197,"STANDARD",Intervalle!$G$102:$G$197,"ST")))</f>
        <v>0.061</v>
      </c>
      <c r="H7" s="5">
        <f>IF($B7&lt;&gt;"OK","",IF(Eingaben!$B$5="Report",Reportdaten!H7,SUMIFS(Intervalle!$C$102:$C$197,Intervalle!$F$102:$F$197,"STANDARD",Intervalle!$G$102:$G$197,"HT")))</f>
        <v>0.266</v>
      </c>
      <c r="I7" s="5">
        <f>IF($B7&lt;&gt;"OK","",IF(Eingaben!$B$5="Report",Reportdaten!I7,SUMIFS(Intervalle!$C$102:$C$197,Intervalle!$F$102:$F$197,"HEAT",Intervalle!$G$102:$G$197,"NT")))</f>
        <v>0.0</v>
      </c>
      <c r="J7" s="5">
        <f>IF($B7&lt;&gt;"OK","",IF(Eingaben!$B$5="Report",Reportdaten!J7,SUMIFS(Intervalle!$C$102:$C$197,Intervalle!$F$102:$F$197,"HEAT",Intervalle!$G$102:$G$197,"ST")))</f>
        <v>0.0</v>
      </c>
      <c r="K7" s="5">
        <f>IF($B7&lt;&gt;"OK","",IF(Eingaben!$B$5="Report",Reportdaten!K7,SUMIFS(Intervalle!$C$102:$C$197,Intervalle!$F$102:$F$197,"HEAT",Intervalle!$G$102:$G$197,"HT")))</f>
        <v>0.0</v>
      </c>
      <c r="L7" s="5">
        <f>IF($B7&lt;&gt;"OK","",SUM(C7:K7))</f>
        <v>0.41</v>
      </c>
      <c r="M7" s="5">
        <f>IF($B7&lt;&gt;"OK","",SUM(C7:E7))</f>
        <v>0.06</v>
      </c>
      <c r="N7" s="5">
        <f>IF($B7&lt;&gt;"OK","",SUM(F7:H7))</f>
        <v>0.35</v>
      </c>
      <c r="O7" s="5">
        <f>IF($B7&lt;&gt;"OK","",SUM(I7:K7))</f>
        <v>0.0</v>
      </c>
      <c r="P7" s="5">
        <f>IF($B7&lt;&gt;"OK","",C7+F7+I7)</f>
        <v>0.083</v>
      </c>
      <c r="Q7" s="5">
        <f>IF($B7&lt;&gt;"OK","",D7+G7+J7)</f>
        <v>0.061</v>
      </c>
      <c r="R7" s="5">
        <f>IF($B7&lt;&gt;"OK","",E7+H7+K7)</f>
        <v>0.266</v>
      </c>
      <c r="S7" s="7">
        <f>IF($B7&lt;&gt;"OK","",M7*Eingaben!$B$11/100)</f>
        <v>0.00903924</v>
      </c>
      <c r="T7" s="7">
        <f>IF($B7&lt;&gt;"OK","",N7*Eingaben!$B$12/100)</f>
        <v>0.0989604</v>
      </c>
      <c r="U7" s="7">
        <f>IF($B7&lt;&gt;"OK","",IF(O7=0,0,O7*Eingaben!$B$13/100))</f>
        <v>0.0</v>
      </c>
      <c r="V7" s="7">
        <f>IF($B7&lt;&gt;"OK","",IF(Eingaben!$B$15="Zeitanteilig",Eingaben!$B$14*12/365,Eingaben!$B$14/Eingaben!$B$25))</f>
        <v>0.5835238356164384</v>
      </c>
      <c r="W7" s="7">
        <f>IF($B7&lt;&gt;"OK","",L7*(IF(A7&lt;Eingaben!$B$18,Eingaben!$B$9,Eingaben!$B$10)-Eingaben!$B$8)*(1+Eingaben!$B$7)/100)</f>
        <v>0.0</v>
      </c>
      <c r="X7" s="7">
        <f>IF($B7&lt;&gt;"OK","",IF(A7&gt;=Eingaben!$B$17,-Eingaben!$B$16*(1+Eingaben!$B$7)/Eingaben!$B$26,0))</f>
        <v>-0.3531854794520548</v>
      </c>
      <c r="Y7" s="7">
        <f>IF($B7&lt;&gt;"OK","",-L7*IF(A7&lt;Eingaben!$B$18,Eingaben!$B$9,Eingaben!$B$10)*(1+Eingaben!$B$7)/100)</f>
        <v>-0.03732435</v>
      </c>
      <c r="Z7" s="7">
        <f>IF($B7&lt;&gt;"OK","",IF(A7&lt;Eingaben!$B$18,P7*Eingaben!$B$9/100,IF(Eingaben!$B$5="Report",P7*Eingaben!$B$30/100,SUMIFS(Intervalle!$K$102:$K$197,Intervalle!$G$102:$G$197,"NT")))*(1+Eingaben!$B$7))</f>
        <v>0.001619828</v>
      </c>
      <c r="AA7" s="7">
        <f>IF($B7&lt;&gt;"OK","",IF(A7&lt;Eingaben!$B$18,Q7*Eingaben!$B$9/100,IF(Eingaben!$B$5="Report",Q7*Eingaben!$B$31/100,SUMIFS(Intervalle!$K$102:$K$197,Intervalle!$G$102:$G$197,"ST")))*(1+Eingaben!$B$7))</f>
        <v>0.003977932</v>
      </c>
      <c r="AB7" s="7">
        <f>IF($B7&lt;&gt;"OK","",IF(A7&lt;Eingaben!$B$18,R7*Eingaben!$B$9/100,IF(Eingaben!$B$5="Report",R7*Eingaben!$B$32/100,SUMIFS(Intervalle!$K$102:$K$197,Intervalle!$G$102:$G$197,"HT")))*(1+Eingaben!$B$7))</f>
        <v>0.033300008</v>
      </c>
      <c r="AC7" s="7">
        <f>IF($B7&lt;&gt;"OK","",-SUM(Y7:AB7))</f>
        <v>-0.001573418</v>
      </c>
      <c r="AD7" s="7">
        <f>IF($B7&lt;&gt;"OK","",SUM(S7:AB7))</f>
        <v>0.3399114141643836</v>
      </c>
      <c r="AE7" s="7">
        <f>IF($B7&lt;&gt;"OK","",IF(Eingaben!$B$5="Report",Reportdaten!L7,""))</f>
        <v>0.34</v>
      </c>
      <c r="AF7" s="7">
        <f>IF($B7&lt;&gt;"OK","",IF(Eingaben!$B$5="Report",AD7-AE7,""))</f>
        <v>-8.858583561643836e-05</v>
      </c>
    </row>
    <row r="8" spans="1:32">
      <c r="A8" s="14">
        <v>46145</v>
      </c>
      <c r="B8" t="str">
        <f>IF(Eingaben!$B$27&lt;&gt;"OK","NETZREFERENZ FEHLT",IF(AND(A8&lt;Eingaben!$B$18,NOT(ISNUMBER(Eingaben!$B$9))),"NORMALER NETZPREIS FEHLT",IF(Eingaben!$B$5="Report",IF(Reportdaten!Q8&lt;&gt;"complete","REPORT UNVOLLSTAENDIG",IF(AND(SUM(Reportdaten!I8:K8)&gt;0,NOT(ISNUMBER(Eingaben!$B$13))),"HEAT-PREIS FEHLT","OK")),IF(COUNTIF(Intervalle!J198:J293,"OK")=96,"OK","INTERVALLE UNVOLLSTAENDIG"))))</f>
        <v>OK</v>
      </c>
      <c r="C8" s="5">
        <f>IF($B8&lt;&gt;"OK","",IF(Eingaben!$B$5="Report",Reportdaten!C8,SUMIFS(Intervalle!$C$198:$C$293,Intervalle!$F$198:$F$293,"GO",Intervalle!$G$198:$G$293,"NT")))</f>
        <v>0.066</v>
      </c>
      <c r="D8" s="5">
        <f>IF($B8&lt;&gt;"OK","",IF(Eingaben!$B$5="Report",Reportdaten!D8,SUMIFS(Intervalle!$C$198:$C$293,Intervalle!$F$198:$F$293,"GO",Intervalle!$G$198:$G$293,"ST")))</f>
        <v>0.0</v>
      </c>
      <c r="E8" s="5">
        <f>IF($B8&lt;&gt;"OK","",IF(Eingaben!$B$5="Report",Reportdaten!E8,SUMIFS(Intervalle!$C$198:$C$293,Intervalle!$F$198:$F$293,"GO",Intervalle!$G$198:$G$293,"HT")))</f>
        <v>0.0</v>
      </c>
      <c r="F8" s="5">
        <f>IF($B8&lt;&gt;"OK","",IF(Eingaben!$B$5="Report",Reportdaten!F8,SUMIFS(Intervalle!$C$198:$C$293,Intervalle!$F$198:$F$293,"STANDARD",Intervalle!$G$198:$G$293,"NT")))</f>
        <v>0.024</v>
      </c>
      <c r="G8" s="5">
        <f>IF($B8&lt;&gt;"OK","",IF(Eingaben!$B$5="Report",Reportdaten!G8,SUMIFS(Intervalle!$C$198:$C$293,Intervalle!$F$198:$F$293,"STANDARD",Intervalle!$G$198:$G$293,"ST")))</f>
        <v>0.07</v>
      </c>
      <c r="H8" s="5">
        <f>IF($B8&lt;&gt;"OK","",IF(Eingaben!$B$5="Report",Reportdaten!H8,SUMIFS(Intervalle!$C$198:$C$293,Intervalle!$F$198:$F$293,"STANDARD",Intervalle!$G$198:$G$293,"HT")))</f>
        <v>0.051</v>
      </c>
      <c r="I8" s="5">
        <f>IF($B8&lt;&gt;"OK","",IF(Eingaben!$B$5="Report",Reportdaten!I8,SUMIFS(Intervalle!$C$198:$C$293,Intervalle!$F$198:$F$293,"HEAT",Intervalle!$G$198:$G$293,"NT")))</f>
        <v>0.0</v>
      </c>
      <c r="J8" s="5">
        <f>IF($B8&lt;&gt;"OK","",IF(Eingaben!$B$5="Report",Reportdaten!J8,SUMIFS(Intervalle!$C$198:$C$293,Intervalle!$F$198:$F$293,"HEAT",Intervalle!$G$198:$G$293,"ST")))</f>
        <v>0.0</v>
      </c>
      <c r="K8" s="5">
        <f>IF($B8&lt;&gt;"OK","",IF(Eingaben!$B$5="Report",Reportdaten!K8,SUMIFS(Intervalle!$C$198:$C$293,Intervalle!$F$198:$F$293,"HEAT",Intervalle!$G$198:$G$293,"HT")))</f>
        <v>0.0</v>
      </c>
      <c r="L8" s="5">
        <f>IF($B8&lt;&gt;"OK","",SUM(C8:K8))</f>
        <v>0.211</v>
      </c>
      <c r="M8" s="5">
        <f>IF($B8&lt;&gt;"OK","",SUM(C8:E8))</f>
        <v>0.066</v>
      </c>
      <c r="N8" s="5">
        <f>IF($B8&lt;&gt;"OK","",SUM(F8:H8))</f>
        <v>0.145</v>
      </c>
      <c r="O8" s="5">
        <f>IF($B8&lt;&gt;"OK","",SUM(I8:K8))</f>
        <v>0.0</v>
      </c>
      <c r="P8" s="5">
        <f>IF($B8&lt;&gt;"OK","",C8+F8+I8)</f>
        <v>0.09</v>
      </c>
      <c r="Q8" s="5">
        <f>IF($B8&lt;&gt;"OK","",D8+G8+J8)</f>
        <v>0.07</v>
      </c>
      <c r="R8" s="5">
        <f>IF($B8&lt;&gt;"OK","",E8+H8+K8)</f>
        <v>0.051</v>
      </c>
      <c r="S8" s="7">
        <f>IF($B8&lt;&gt;"OK","",M8*Eingaben!$B$11/100)</f>
        <v>0.009943164</v>
      </c>
      <c r="T8" s="7">
        <f>IF($B8&lt;&gt;"OK","",N8*Eingaben!$B$12/100)</f>
        <v>0.04099788</v>
      </c>
      <c r="U8" s="7">
        <f>IF($B8&lt;&gt;"OK","",IF(O8=0,0,O8*Eingaben!$B$13/100))</f>
        <v>0.0</v>
      </c>
      <c r="V8" s="7">
        <f>IF($B8&lt;&gt;"OK","",IF(Eingaben!$B$15="Zeitanteilig",Eingaben!$B$14*12/365,Eingaben!$B$14/Eingaben!$B$25))</f>
        <v>0.5835238356164384</v>
      </c>
      <c r="W8" s="7">
        <f>IF($B8&lt;&gt;"OK","",L8*(IF(A8&lt;Eingaben!$B$18,Eingaben!$B$9,Eingaben!$B$10)-Eingaben!$B$8)*(1+Eingaben!$B$7)/100)</f>
        <v>0.0</v>
      </c>
      <c r="X8" s="7">
        <f>IF($B8&lt;&gt;"OK","",IF(A8&gt;=Eingaben!$B$17,-Eingaben!$B$16*(1+Eingaben!$B$7)/Eingaben!$B$26,0))</f>
        <v>-0.3531854794520548</v>
      </c>
      <c r="Y8" s="7">
        <f>IF($B8&lt;&gt;"OK","",-L8*IF(A8&lt;Eingaben!$B$18,Eingaben!$B$9,Eingaben!$B$10)*(1+Eingaben!$B$7)/100)</f>
        <v>-0.019208385</v>
      </c>
      <c r="Z8" s="7">
        <f>IF($B8&lt;&gt;"OK","",IF(A8&lt;Eingaben!$B$18,P8*Eingaben!$B$9/100,IF(Eingaben!$B$5="Report",P8*Eingaben!$B$30/100,SUMIFS(Intervalle!$K$198:$K$293,Intervalle!$G$198:$G$293,"NT")))*(1+Eingaben!$B$7))</f>
        <v>0.00175644</v>
      </c>
      <c r="AA8" s="7">
        <f>IF($B8&lt;&gt;"OK","",IF(A8&lt;Eingaben!$B$18,Q8*Eingaben!$B$9/100,IF(Eingaben!$B$5="Report",Q8*Eingaben!$B$31/100,SUMIFS(Intervalle!$K$198:$K$293,Intervalle!$G$198:$G$293,"ST")))*(1+Eingaben!$B$7))</f>
        <v>0.00456484</v>
      </c>
      <c r="AB8" s="7">
        <f>IF($B8&lt;&gt;"OK","",IF(A8&lt;Eingaben!$B$18,R8*Eingaben!$B$9/100,IF(Eingaben!$B$5="Report",R8*Eingaben!$B$32/100,SUMIFS(Intervalle!$K$198:$K$293,Intervalle!$G$198:$G$293,"HT")))*(1+Eingaben!$B$7))</f>
        <v>0.006384588</v>
      </c>
      <c r="AC8" s="7">
        <f>IF($B8&lt;&gt;"OK","",-SUM(Y8:AB8))</f>
        <v>0.006502517</v>
      </c>
      <c r="AD8" s="7">
        <f>IF($B8&lt;&gt;"OK","",SUM(S8:AB8))</f>
        <v>0.27477688316438353</v>
      </c>
      <c r="AE8" s="7">
        <f>IF($B8&lt;&gt;"OK","",IF(Eingaben!$B$5="Report",Reportdaten!L8,""))</f>
        <v>0.27</v>
      </c>
      <c r="AF8" s="7">
        <f>IF($B8&lt;&gt;"OK","",IF(Eingaben!$B$5="Report",AD8-AE8,""))</f>
        <v>0.0047768831643835614</v>
      </c>
    </row>
    <row r="9" spans="1:32">
      <c r="A9" s="14">
        <v>46146</v>
      </c>
      <c r="B9" t="str">
        <f>IF(Eingaben!$B$27&lt;&gt;"OK","NETZREFERENZ FEHLT",IF(AND(A9&lt;Eingaben!$B$18,NOT(ISNUMBER(Eingaben!$B$9))),"NORMALER NETZPREIS FEHLT",IF(Eingaben!$B$5="Report",IF(Reportdaten!Q9&lt;&gt;"complete","REPORT UNVOLLSTAENDIG",IF(AND(SUM(Reportdaten!I9:K9)&gt;0,NOT(ISNUMBER(Eingaben!$B$13))),"HEAT-PREIS FEHLT","OK")),IF(COUNTIF(Intervalle!J294:J389,"OK")=96,"OK","INTERVALLE UNVOLLSTAENDIG"))))</f>
        <v>OK</v>
      </c>
      <c r="C9" s="5">
        <f>IF($B9&lt;&gt;"OK","",IF(Eingaben!$B$5="Report",Reportdaten!C9,SUMIFS(Intervalle!$C$294:$C$389,Intervalle!$F$294:$F$389,"GO",Intervalle!$G$294:$G$389,"NT")))</f>
        <v>0.059</v>
      </c>
      <c r="D9" s="5">
        <f>IF($B9&lt;&gt;"OK","",IF(Eingaben!$B$5="Report",Reportdaten!D9,SUMIFS(Intervalle!$C$294:$C$389,Intervalle!$F$294:$F$389,"GO",Intervalle!$G$294:$G$389,"ST")))</f>
        <v>0.0</v>
      </c>
      <c r="E9" s="5">
        <f>IF($B9&lt;&gt;"OK","",IF(Eingaben!$B$5="Report",Reportdaten!E9,SUMIFS(Intervalle!$C$294:$C$389,Intervalle!$F$294:$F$389,"GO",Intervalle!$G$294:$G$389,"HT")))</f>
        <v>0.0</v>
      </c>
      <c r="F9" s="5">
        <f>IF($B9&lt;&gt;"OK","",IF(Eingaben!$B$5="Report",Reportdaten!F9,SUMIFS(Intervalle!$C$294:$C$389,Intervalle!$F$294:$F$389,"STANDARD",Intervalle!$G$294:$G$389,"NT")))</f>
        <v>0.018</v>
      </c>
      <c r="G9" s="5">
        <f>IF($B9&lt;&gt;"OK","",IF(Eingaben!$B$5="Report",Reportdaten!G9,SUMIFS(Intervalle!$C$294:$C$389,Intervalle!$F$294:$F$389,"STANDARD",Intervalle!$G$294:$G$389,"ST")))</f>
        <v>0.074</v>
      </c>
      <c r="H9" s="5">
        <f>IF($B9&lt;&gt;"OK","",IF(Eingaben!$B$5="Report",Reportdaten!H9,SUMIFS(Intervalle!$C$294:$C$389,Intervalle!$F$294:$F$389,"STANDARD",Intervalle!$G$294:$G$389,"HT")))</f>
        <v>0.042</v>
      </c>
      <c r="I9" s="5">
        <f>IF($B9&lt;&gt;"OK","",IF(Eingaben!$B$5="Report",Reportdaten!I9,SUMIFS(Intervalle!$C$294:$C$389,Intervalle!$F$294:$F$389,"HEAT",Intervalle!$G$294:$G$389,"NT")))</f>
        <v>0.0</v>
      </c>
      <c r="J9" s="5">
        <f>IF($B9&lt;&gt;"OK","",IF(Eingaben!$B$5="Report",Reportdaten!J9,SUMIFS(Intervalle!$C$294:$C$389,Intervalle!$F$294:$F$389,"HEAT",Intervalle!$G$294:$G$389,"ST")))</f>
        <v>0.0</v>
      </c>
      <c r="K9" s="5">
        <f>IF($B9&lt;&gt;"OK","",IF(Eingaben!$B$5="Report",Reportdaten!K9,SUMIFS(Intervalle!$C$294:$C$389,Intervalle!$F$294:$F$389,"HEAT",Intervalle!$G$294:$G$389,"HT")))</f>
        <v>0.0</v>
      </c>
      <c r="L9" s="5">
        <f>IF($B9&lt;&gt;"OK","",SUM(C9:K9))</f>
        <v>0.193</v>
      </c>
      <c r="M9" s="5">
        <f>IF($B9&lt;&gt;"OK","",SUM(C9:E9))</f>
        <v>0.059</v>
      </c>
      <c r="N9" s="5">
        <f>IF($B9&lt;&gt;"OK","",SUM(F9:H9))</f>
        <v>0.134</v>
      </c>
      <c r="O9" s="5">
        <f>IF($B9&lt;&gt;"OK","",SUM(I9:K9))</f>
        <v>0.0</v>
      </c>
      <c r="P9" s="5">
        <f>IF($B9&lt;&gt;"OK","",C9+F9+I9)</f>
        <v>0.077</v>
      </c>
      <c r="Q9" s="5">
        <f>IF($B9&lt;&gt;"OK","",D9+G9+J9)</f>
        <v>0.074</v>
      </c>
      <c r="R9" s="5">
        <f>IF($B9&lt;&gt;"OK","",E9+H9+K9)</f>
        <v>0.042</v>
      </c>
      <c r="S9" s="7">
        <f>IF($B9&lt;&gt;"OK","",M9*Eingaben!$B$11/100)</f>
        <v>0.008888586</v>
      </c>
      <c r="T9" s="7">
        <f>IF($B9&lt;&gt;"OK","",N9*Eingaben!$B$12/100)</f>
        <v>0.037887696</v>
      </c>
      <c r="U9" s="7">
        <f>IF($B9&lt;&gt;"OK","",IF(O9=0,0,O9*Eingaben!$B$13/100))</f>
        <v>0.0</v>
      </c>
      <c r="V9" s="7">
        <f>IF($B9&lt;&gt;"OK","",IF(Eingaben!$B$15="Zeitanteilig",Eingaben!$B$14*12/365,Eingaben!$B$14/Eingaben!$B$25))</f>
        <v>0.5835238356164384</v>
      </c>
      <c r="W9" s="7">
        <f>IF($B9&lt;&gt;"OK","",L9*(IF(A9&lt;Eingaben!$B$18,Eingaben!$B$9,Eingaben!$B$10)-Eingaben!$B$8)*(1+Eingaben!$B$7)/100)</f>
        <v>0.0</v>
      </c>
      <c r="X9" s="7">
        <f>IF($B9&lt;&gt;"OK","",IF(A9&gt;=Eingaben!$B$17,-Eingaben!$B$16*(1+Eingaben!$B$7)/Eingaben!$B$26,0))</f>
        <v>-0.3531854794520548</v>
      </c>
      <c r="Y9" s="7">
        <f>IF($B9&lt;&gt;"OK","",-L9*IF(A9&lt;Eingaben!$B$18,Eingaben!$B$9,Eingaben!$B$10)*(1+Eingaben!$B$7)/100)</f>
        <v>-0.017569755</v>
      </c>
      <c r="Z9" s="7">
        <f>IF($B9&lt;&gt;"OK","",IF(A9&lt;Eingaben!$B$18,P9*Eingaben!$B$9/100,IF(Eingaben!$B$5="Report",P9*Eingaben!$B$30/100,SUMIFS(Intervalle!$K$294:$K$389,Intervalle!$G$294:$G$389,"NT")))*(1+Eingaben!$B$7))</f>
        <v>0.001502732</v>
      </c>
      <c r="AA9" s="7">
        <f>IF($B9&lt;&gt;"OK","",IF(A9&lt;Eingaben!$B$18,Q9*Eingaben!$B$9/100,IF(Eingaben!$B$5="Report",Q9*Eingaben!$B$31/100,SUMIFS(Intervalle!$K$294:$K$389,Intervalle!$G$294:$G$389,"ST")))*(1+Eingaben!$B$7))</f>
        <v>0.004825688</v>
      </c>
      <c r="AB9" s="7">
        <f>IF($B9&lt;&gt;"OK","",IF(A9&lt;Eingaben!$B$18,R9*Eingaben!$B$9/100,IF(Eingaben!$B$5="Report",R9*Eingaben!$B$32/100,SUMIFS(Intervalle!$K$294:$K$389,Intervalle!$G$294:$G$389,"HT")))*(1+Eingaben!$B$7))</f>
        <v>0.005257896</v>
      </c>
      <c r="AC9" s="7">
        <f>IF($B9&lt;&gt;"OK","",-SUM(Y9:AB9))</f>
        <v>0.005983439</v>
      </c>
      <c r="AD9" s="7">
        <f>IF($B9&lt;&gt;"OK","",SUM(S9:AB9))</f>
        <v>0.27113119916438355</v>
      </c>
      <c r="AE9" s="7">
        <f>IF($B9&lt;&gt;"OK","",IF(Eingaben!$B$5="Report",Reportdaten!L9,""))</f>
        <v>0.27</v>
      </c>
      <c r="AF9" s="7">
        <f>IF($B9&lt;&gt;"OK","",IF(Eingaben!$B$5="Report",AD9-AE9,""))</f>
        <v>0.0011311991643835617</v>
      </c>
    </row>
    <row r="10" spans="1:32">
      <c r="A10" s="14">
        <v>46147</v>
      </c>
      <c r="B10" t="str">
        <f>IF(Eingaben!$B$27&lt;&gt;"OK","NETZREFERENZ FEHLT",IF(AND(A10&lt;Eingaben!$B$18,NOT(ISNUMBER(Eingaben!$B$9))),"NORMALER NETZPREIS FEHLT",IF(Eingaben!$B$5="Report",IF(Reportdaten!Q10&lt;&gt;"complete","REPORT UNVOLLSTAENDIG",IF(AND(SUM(Reportdaten!I10:K10)&gt;0,NOT(ISNUMBER(Eingaben!$B$13))),"HEAT-PREIS FEHLT","OK")),IF(COUNTIF(Intervalle!J390:J485,"OK")=96,"OK","INTERVALLE UNVOLLSTAENDIG"))))</f>
        <v>OK</v>
      </c>
      <c r="C10" s="5">
        <f>IF($B10&lt;&gt;"OK","",IF(Eingaben!$B$5="Report",Reportdaten!C10,SUMIFS(Intervalle!$C$390:$C$485,Intervalle!$F$390:$F$485,"GO",Intervalle!$G$390:$G$485,"NT")))</f>
        <v>0.521</v>
      </c>
      <c r="D10" s="5">
        <f>IF($B10&lt;&gt;"OK","",IF(Eingaben!$B$5="Report",Reportdaten!D10,SUMIFS(Intervalle!$C$390:$C$485,Intervalle!$F$390:$F$485,"GO",Intervalle!$G$390:$G$485,"ST")))</f>
        <v>0.0</v>
      </c>
      <c r="E10" s="5">
        <f>IF($B10&lt;&gt;"OK","",IF(Eingaben!$B$5="Report",Reportdaten!E10,SUMIFS(Intervalle!$C$390:$C$485,Intervalle!$F$390:$F$485,"GO",Intervalle!$G$390:$G$485,"HT")))</f>
        <v>0.0</v>
      </c>
      <c r="F10" s="5">
        <f>IF($B10&lt;&gt;"OK","",IF(Eingaben!$B$5="Report",Reportdaten!F10,SUMIFS(Intervalle!$C$390:$C$485,Intervalle!$F$390:$F$485,"STANDARD",Intervalle!$G$390:$G$485,"NT")))</f>
        <v>0.003</v>
      </c>
      <c r="G10" s="5">
        <f>IF($B10&lt;&gt;"OK","",IF(Eingaben!$B$5="Report",Reportdaten!G10,SUMIFS(Intervalle!$C$390:$C$485,Intervalle!$F$390:$F$485,"STANDARD",Intervalle!$G$390:$G$485,"ST")))</f>
        <v>0.035</v>
      </c>
      <c r="H10" s="5">
        <f>IF($B10&lt;&gt;"OK","",IF(Eingaben!$B$5="Report",Reportdaten!H10,SUMIFS(Intervalle!$C$390:$C$485,Intervalle!$F$390:$F$485,"STANDARD",Intervalle!$G$390:$G$485,"HT")))</f>
        <v>0.005</v>
      </c>
      <c r="I10" s="5">
        <f>IF($B10&lt;&gt;"OK","",IF(Eingaben!$B$5="Report",Reportdaten!I10,SUMIFS(Intervalle!$C$390:$C$485,Intervalle!$F$390:$F$485,"HEAT",Intervalle!$G$390:$G$485,"NT")))</f>
        <v>0.0</v>
      </c>
      <c r="J10" s="5">
        <f>IF($B10&lt;&gt;"OK","",IF(Eingaben!$B$5="Report",Reportdaten!J10,SUMIFS(Intervalle!$C$390:$C$485,Intervalle!$F$390:$F$485,"HEAT",Intervalle!$G$390:$G$485,"ST")))</f>
        <v>0.0</v>
      </c>
      <c r="K10" s="5">
        <f>IF($B10&lt;&gt;"OK","",IF(Eingaben!$B$5="Report",Reportdaten!K10,SUMIFS(Intervalle!$C$390:$C$485,Intervalle!$F$390:$F$485,"HEAT",Intervalle!$G$390:$G$485,"HT")))</f>
        <v>0.0</v>
      </c>
      <c r="L10" s="5">
        <f>IF($B10&lt;&gt;"OK","",SUM(C10:K10))</f>
        <v>0.564</v>
      </c>
      <c r="M10" s="5">
        <f>IF($B10&lt;&gt;"OK","",SUM(C10:E10))</f>
        <v>0.521</v>
      </c>
      <c r="N10" s="5">
        <f>IF($B10&lt;&gt;"OK","",SUM(F10:H10))</f>
        <v>0.043</v>
      </c>
      <c r="O10" s="5">
        <f>IF($B10&lt;&gt;"OK","",SUM(I10:K10))</f>
        <v>0.0</v>
      </c>
      <c r="P10" s="5">
        <f>IF($B10&lt;&gt;"OK","",C10+F10+I10)</f>
        <v>0.524</v>
      </c>
      <c r="Q10" s="5">
        <f>IF($B10&lt;&gt;"OK","",D10+G10+J10)</f>
        <v>0.035</v>
      </c>
      <c r="R10" s="5">
        <f>IF($B10&lt;&gt;"OK","",E10+H10+K10)</f>
        <v>0.005</v>
      </c>
      <c r="S10" s="7">
        <f>IF($B10&lt;&gt;"OK","",M10*Eingaben!$B$11/100)</f>
        <v>0.078490734</v>
      </c>
      <c r="T10" s="7">
        <f>IF($B10&lt;&gt;"OK","",N10*Eingaben!$B$12/100)</f>
        <v>0.012157992</v>
      </c>
      <c r="U10" s="7">
        <f>IF($B10&lt;&gt;"OK","",IF(O10=0,0,O10*Eingaben!$B$13/100))</f>
        <v>0.0</v>
      </c>
      <c r="V10" s="7">
        <f>IF($B10&lt;&gt;"OK","",IF(Eingaben!$B$15="Zeitanteilig",Eingaben!$B$14*12/365,Eingaben!$B$14/Eingaben!$B$25))</f>
        <v>0.5835238356164384</v>
      </c>
      <c r="W10" s="7">
        <f>IF($B10&lt;&gt;"OK","",L10*(IF(A10&lt;Eingaben!$B$18,Eingaben!$B$9,Eingaben!$B$10)-Eingaben!$B$8)*(1+Eingaben!$B$7)/100)</f>
        <v>0.0</v>
      </c>
      <c r="X10" s="7">
        <f>IF($B10&lt;&gt;"OK","",IF(A10&gt;=Eingaben!$B$17,-Eingaben!$B$16*(1+Eingaben!$B$7)/Eingaben!$B$26,0))</f>
        <v>-0.3531854794520548</v>
      </c>
      <c r="Y10" s="7">
        <f>IF($B10&lt;&gt;"OK","",-L10*IF(A10&lt;Eingaben!$B$18,Eingaben!$B$9,Eingaben!$B$10)*(1+Eingaben!$B$7)/100)</f>
        <v>-0.05134374</v>
      </c>
      <c r="Z10" s="7">
        <f>IF($B10&lt;&gt;"OK","",IF(A10&lt;Eingaben!$B$18,P10*Eingaben!$B$9/100,IF(Eingaben!$B$5="Report",P10*Eingaben!$B$30/100,SUMIFS(Intervalle!$K$390:$K$485,Intervalle!$G$390:$G$485,"NT")))*(1+Eingaben!$B$7))</f>
        <v>0.010226384</v>
      </c>
      <c r="AA10" s="7">
        <f>IF($B10&lt;&gt;"OK","",IF(A10&lt;Eingaben!$B$18,Q10*Eingaben!$B$9/100,IF(Eingaben!$B$5="Report",Q10*Eingaben!$B$31/100,SUMIFS(Intervalle!$K$390:$K$485,Intervalle!$G$390:$G$485,"ST")))*(1+Eingaben!$B$7))</f>
        <v>0.00228242</v>
      </c>
      <c r="AB10" s="7">
        <f>IF($B10&lt;&gt;"OK","",IF(A10&lt;Eingaben!$B$18,R10*Eingaben!$B$9/100,IF(Eingaben!$B$5="Report",R10*Eingaben!$B$32/100,SUMIFS(Intervalle!$K$390:$K$485,Intervalle!$G$390:$G$485,"HT")))*(1+Eingaben!$B$7))</f>
        <v>0.00062594</v>
      </c>
      <c r="AC10" s="7">
        <f>IF($B10&lt;&gt;"OK","",-SUM(Y10:AB10))</f>
        <v>0.038208996</v>
      </c>
      <c r="AD10" s="7">
        <f>IF($B10&lt;&gt;"OK","",SUM(S10:AB10))</f>
        <v>0.28277808616438355</v>
      </c>
      <c r="AE10" s="7">
        <f>IF($B10&lt;&gt;"OK","",IF(Eingaben!$B$5="Report",Reportdaten!L10,""))</f>
        <v>0.28</v>
      </c>
      <c r="AF10" s="7">
        <f>IF($B10&lt;&gt;"OK","",IF(Eingaben!$B$5="Report",AD10-AE10,""))</f>
        <v>0.002778086164383562</v>
      </c>
    </row>
    <row r="11" spans="1:32">
      <c r="A11" s="14">
        <v>46148</v>
      </c>
      <c r="B11" t="str">
        <f>IF(Eingaben!$B$27&lt;&gt;"OK","NETZREFERENZ FEHLT",IF(AND(A11&lt;Eingaben!$B$18,NOT(ISNUMBER(Eingaben!$B$9))),"NORMALER NETZPREIS FEHLT",IF(Eingaben!$B$5="Report",IF(Reportdaten!Q11&lt;&gt;"complete","REPORT UNVOLLSTAENDIG",IF(AND(SUM(Reportdaten!I11:K11)&gt;0,NOT(ISNUMBER(Eingaben!$B$13))),"HEAT-PREIS FEHLT","OK")),IF(COUNTIF(Intervalle!J486:J581,"OK")=96,"OK","INTERVALLE UNVOLLSTAENDIG"))))</f>
        <v>OK</v>
      </c>
      <c r="C11" s="5">
        <f>IF($B11&lt;&gt;"OK","",IF(Eingaben!$B$5="Report",Reportdaten!C11,SUMIFS(Intervalle!$C$486:$C$581,Intervalle!$F$486:$F$581,"GO",Intervalle!$G$486:$G$581,"NT")))</f>
        <v>0.15</v>
      </c>
      <c r="D11" s="5">
        <f>IF($B11&lt;&gt;"OK","",IF(Eingaben!$B$5="Report",Reportdaten!D11,SUMIFS(Intervalle!$C$486:$C$581,Intervalle!$F$486:$F$581,"GO",Intervalle!$G$486:$G$581,"ST")))</f>
        <v>0.0</v>
      </c>
      <c r="E11" s="5">
        <f>IF($B11&lt;&gt;"OK","",IF(Eingaben!$B$5="Report",Reportdaten!E11,SUMIFS(Intervalle!$C$486:$C$581,Intervalle!$F$486:$F$581,"GO",Intervalle!$G$486:$G$581,"HT")))</f>
        <v>0.0</v>
      </c>
      <c r="F11" s="5">
        <f>IF($B11&lt;&gt;"OK","",IF(Eingaben!$B$5="Report",Reportdaten!F11,SUMIFS(Intervalle!$C$486:$C$581,Intervalle!$F$486:$F$581,"STANDARD",Intervalle!$G$486:$G$581,"NT")))</f>
        <v>0.067</v>
      </c>
      <c r="G11" s="5">
        <f>IF($B11&lt;&gt;"OK","",IF(Eingaben!$B$5="Report",Reportdaten!G11,SUMIFS(Intervalle!$C$486:$C$581,Intervalle!$F$486:$F$581,"STANDARD",Intervalle!$G$486:$G$581,"ST")))</f>
        <v>0.188</v>
      </c>
      <c r="H11" s="5">
        <f>IF($B11&lt;&gt;"OK","",IF(Eingaben!$B$5="Report",Reportdaten!H11,SUMIFS(Intervalle!$C$486:$C$581,Intervalle!$F$486:$F$581,"STANDARD",Intervalle!$G$486:$G$581,"HT")))</f>
        <v>0.041</v>
      </c>
      <c r="I11" s="5">
        <f>IF($B11&lt;&gt;"OK","",IF(Eingaben!$B$5="Report",Reportdaten!I11,SUMIFS(Intervalle!$C$486:$C$581,Intervalle!$F$486:$F$581,"HEAT",Intervalle!$G$486:$G$581,"NT")))</f>
        <v>0.0</v>
      </c>
      <c r="J11" s="5">
        <f>IF($B11&lt;&gt;"OK","",IF(Eingaben!$B$5="Report",Reportdaten!J11,SUMIFS(Intervalle!$C$486:$C$581,Intervalle!$F$486:$F$581,"HEAT",Intervalle!$G$486:$G$581,"ST")))</f>
        <v>0.0</v>
      </c>
      <c r="K11" s="5">
        <f>IF($B11&lt;&gt;"OK","",IF(Eingaben!$B$5="Report",Reportdaten!K11,SUMIFS(Intervalle!$C$486:$C$581,Intervalle!$F$486:$F$581,"HEAT",Intervalle!$G$486:$G$581,"HT")))</f>
        <v>0.0</v>
      </c>
      <c r="L11" s="5">
        <f>IF($B11&lt;&gt;"OK","",SUM(C11:K11))</f>
        <v>0.446</v>
      </c>
      <c r="M11" s="5">
        <f>IF($B11&lt;&gt;"OK","",SUM(C11:E11))</f>
        <v>0.15</v>
      </c>
      <c r="N11" s="5">
        <f>IF($B11&lt;&gt;"OK","",SUM(F11:H11))</f>
        <v>0.296</v>
      </c>
      <c r="O11" s="5">
        <f>IF($B11&lt;&gt;"OK","",SUM(I11:K11))</f>
        <v>0.0</v>
      </c>
      <c r="P11" s="5">
        <f>IF($B11&lt;&gt;"OK","",C11+F11+I11)</f>
        <v>0.217</v>
      </c>
      <c r="Q11" s="5">
        <f>IF($B11&lt;&gt;"OK","",D11+G11+J11)</f>
        <v>0.188</v>
      </c>
      <c r="R11" s="5">
        <f>IF($B11&lt;&gt;"OK","",E11+H11+K11)</f>
        <v>0.041</v>
      </c>
      <c r="S11" s="7">
        <f>IF($B11&lt;&gt;"OK","",M11*Eingaben!$B$11/100)</f>
        <v>0.0225981</v>
      </c>
      <c r="T11" s="7">
        <f>IF($B11&lt;&gt;"OK","",N11*Eingaben!$B$12/100)</f>
        <v>0.083692224</v>
      </c>
      <c r="U11" s="7">
        <f>IF($B11&lt;&gt;"OK","",IF(O11=0,0,O11*Eingaben!$B$13/100))</f>
        <v>0.0</v>
      </c>
      <c r="V11" s="7">
        <f>IF($B11&lt;&gt;"OK","",IF(Eingaben!$B$15="Zeitanteilig",Eingaben!$B$14*12/365,Eingaben!$B$14/Eingaben!$B$25))</f>
        <v>0.5835238356164384</v>
      </c>
      <c r="W11" s="7">
        <f>IF($B11&lt;&gt;"OK","",L11*(IF(A11&lt;Eingaben!$B$18,Eingaben!$B$9,Eingaben!$B$10)-Eingaben!$B$8)*(1+Eingaben!$B$7)/100)</f>
        <v>0.0</v>
      </c>
      <c r="X11" s="7">
        <f>IF($B11&lt;&gt;"OK","",IF(A11&gt;=Eingaben!$B$17,-Eingaben!$B$16*(1+Eingaben!$B$7)/Eingaben!$B$26,0))</f>
        <v>-0.3531854794520548</v>
      </c>
      <c r="Y11" s="7">
        <f>IF($B11&lt;&gt;"OK","",-L11*IF(A11&lt;Eingaben!$B$18,Eingaben!$B$9,Eingaben!$B$10)*(1+Eingaben!$B$7)/100)</f>
        <v>-0.04060161</v>
      </c>
      <c r="Z11" s="7">
        <f>IF($B11&lt;&gt;"OK","",IF(A11&lt;Eingaben!$B$18,P11*Eingaben!$B$9/100,IF(Eingaben!$B$5="Report",P11*Eingaben!$B$30/100,SUMIFS(Intervalle!$K$486:$K$581,Intervalle!$G$486:$G$581,"NT")))*(1+Eingaben!$B$7))</f>
        <v>0.004234972</v>
      </c>
      <c r="AA11" s="7">
        <f>IF($B11&lt;&gt;"OK","",IF(A11&lt;Eingaben!$B$18,Q11*Eingaben!$B$9/100,IF(Eingaben!$B$5="Report",Q11*Eingaben!$B$31/100,SUMIFS(Intervalle!$K$486:$K$581,Intervalle!$G$486:$G$581,"ST")))*(1+Eingaben!$B$7))</f>
        <v>0.012259856</v>
      </c>
      <c r="AB11" s="7">
        <f>IF($B11&lt;&gt;"OK","",IF(A11&lt;Eingaben!$B$18,R11*Eingaben!$B$9/100,IF(Eingaben!$B$5="Report",R11*Eingaben!$B$32/100,SUMIFS(Intervalle!$K$486:$K$581,Intervalle!$G$486:$G$581,"HT")))*(1+Eingaben!$B$7))</f>
        <v>0.005132708</v>
      </c>
      <c r="AC11" s="7">
        <f>IF($B11&lt;&gt;"OK","",-SUM(Y11:AB11))</f>
        <v>0.018974074</v>
      </c>
      <c r="AD11" s="7">
        <f>IF($B11&lt;&gt;"OK","",SUM(S11:AB11))</f>
        <v>0.31765460616438357</v>
      </c>
      <c r="AE11" s="7">
        <f>IF($B11&lt;&gt;"OK","",IF(Eingaben!$B$5="Report",Reportdaten!L11,""))</f>
        <v>0.32</v>
      </c>
      <c r="AF11" s="7">
        <f>IF($B11&lt;&gt;"OK","",IF(Eingaben!$B$5="Report",AD11-AE11,""))</f>
        <v>-0.0023453938356164383</v>
      </c>
    </row>
    <row r="12" spans="1:32">
      <c r="A12" s="14">
        <v>46149</v>
      </c>
      <c r="B12" t="str">
        <f>IF(Eingaben!$B$27&lt;&gt;"OK","NETZREFERENZ FEHLT",IF(AND(A12&lt;Eingaben!$B$18,NOT(ISNUMBER(Eingaben!$B$9))),"NORMALER NETZPREIS FEHLT",IF(Eingaben!$B$5="Report",IF(Reportdaten!Q12&lt;&gt;"complete","REPORT UNVOLLSTAENDIG",IF(AND(SUM(Reportdaten!I12:K12)&gt;0,NOT(ISNUMBER(Eingaben!$B$13))),"HEAT-PREIS FEHLT","OK")),IF(COUNTIF(Intervalle!J582:J677,"OK")=96,"OK","INTERVALLE UNVOLLSTAENDIG"))))</f>
        <v>OK</v>
      </c>
      <c r="C12" s="5">
        <f>IF($B12&lt;&gt;"OK","",IF(Eingaben!$B$5="Report",Reportdaten!C12,SUMIFS(Intervalle!$C$582:$C$677,Intervalle!$F$582:$F$677,"GO",Intervalle!$G$582:$G$677,"NT")))</f>
        <v>0.066</v>
      </c>
      <c r="D12" s="5">
        <f>IF($B12&lt;&gt;"OK","",IF(Eingaben!$B$5="Report",Reportdaten!D12,SUMIFS(Intervalle!$C$582:$C$677,Intervalle!$F$582:$F$677,"GO",Intervalle!$G$582:$G$677,"ST")))</f>
        <v>0.0</v>
      </c>
      <c r="E12" s="5">
        <f>IF($B12&lt;&gt;"OK","",IF(Eingaben!$B$5="Report",Reportdaten!E12,SUMIFS(Intervalle!$C$582:$C$677,Intervalle!$F$582:$F$677,"GO",Intervalle!$G$582:$G$677,"HT")))</f>
        <v>0.0</v>
      </c>
      <c r="F12" s="5">
        <f>IF($B12&lt;&gt;"OK","",IF(Eingaben!$B$5="Report",Reportdaten!F12,SUMIFS(Intervalle!$C$582:$C$677,Intervalle!$F$582:$F$677,"STANDARD",Intervalle!$G$582:$G$677,"NT")))</f>
        <v>0.044</v>
      </c>
      <c r="G12" s="5">
        <f>IF($B12&lt;&gt;"OK","",IF(Eingaben!$B$5="Report",Reportdaten!G12,SUMIFS(Intervalle!$C$582:$C$677,Intervalle!$F$582:$F$677,"STANDARD",Intervalle!$G$582:$G$677,"ST")))</f>
        <v>0.118</v>
      </c>
      <c r="H12" s="5">
        <f>IF($B12&lt;&gt;"OK","",IF(Eingaben!$B$5="Report",Reportdaten!H12,SUMIFS(Intervalle!$C$582:$C$677,Intervalle!$F$582:$F$677,"STANDARD",Intervalle!$G$582:$G$677,"HT")))</f>
        <v>0.134</v>
      </c>
      <c r="I12" s="5">
        <f>IF($B12&lt;&gt;"OK","",IF(Eingaben!$B$5="Report",Reportdaten!I12,SUMIFS(Intervalle!$C$582:$C$677,Intervalle!$F$582:$F$677,"HEAT",Intervalle!$G$582:$G$677,"NT")))</f>
        <v>0.0</v>
      </c>
      <c r="J12" s="5">
        <f>IF($B12&lt;&gt;"OK","",IF(Eingaben!$B$5="Report",Reportdaten!J12,SUMIFS(Intervalle!$C$582:$C$677,Intervalle!$F$582:$F$677,"HEAT",Intervalle!$G$582:$G$677,"ST")))</f>
        <v>0.0</v>
      </c>
      <c r="K12" s="5">
        <f>IF($B12&lt;&gt;"OK","",IF(Eingaben!$B$5="Report",Reportdaten!K12,SUMIFS(Intervalle!$C$582:$C$677,Intervalle!$F$582:$F$677,"HEAT",Intervalle!$G$582:$G$677,"HT")))</f>
        <v>0.0</v>
      </c>
      <c r="L12" s="5">
        <f>IF($B12&lt;&gt;"OK","",SUM(C12:K12))</f>
        <v>0.362</v>
      </c>
      <c r="M12" s="5">
        <f>IF($B12&lt;&gt;"OK","",SUM(C12:E12))</f>
        <v>0.066</v>
      </c>
      <c r="N12" s="5">
        <f>IF($B12&lt;&gt;"OK","",SUM(F12:H12))</f>
        <v>0.296</v>
      </c>
      <c r="O12" s="5">
        <f>IF($B12&lt;&gt;"OK","",SUM(I12:K12))</f>
        <v>0.0</v>
      </c>
      <c r="P12" s="5">
        <f>IF($B12&lt;&gt;"OK","",C12+F12+I12)</f>
        <v>0.11</v>
      </c>
      <c r="Q12" s="5">
        <f>IF($B12&lt;&gt;"OK","",D12+G12+J12)</f>
        <v>0.118</v>
      </c>
      <c r="R12" s="5">
        <f>IF($B12&lt;&gt;"OK","",E12+H12+K12)</f>
        <v>0.134</v>
      </c>
      <c r="S12" s="7">
        <f>IF($B12&lt;&gt;"OK","",M12*Eingaben!$B$11/100)</f>
        <v>0.009943164</v>
      </c>
      <c r="T12" s="7">
        <f>IF($B12&lt;&gt;"OK","",N12*Eingaben!$B$12/100)</f>
        <v>0.083692224</v>
      </c>
      <c r="U12" s="7">
        <f>IF($B12&lt;&gt;"OK","",IF(O12=0,0,O12*Eingaben!$B$13/100))</f>
        <v>0.0</v>
      </c>
      <c r="V12" s="7">
        <f>IF($B12&lt;&gt;"OK","",IF(Eingaben!$B$15="Zeitanteilig",Eingaben!$B$14*12/365,Eingaben!$B$14/Eingaben!$B$25))</f>
        <v>0.5835238356164384</v>
      </c>
      <c r="W12" s="7">
        <f>IF($B12&lt;&gt;"OK","",L12*(IF(A12&lt;Eingaben!$B$18,Eingaben!$B$9,Eingaben!$B$10)-Eingaben!$B$8)*(1+Eingaben!$B$7)/100)</f>
        <v>0.0</v>
      </c>
      <c r="X12" s="7">
        <f>IF($B12&lt;&gt;"OK","",IF(A12&gt;=Eingaben!$B$17,-Eingaben!$B$16*(1+Eingaben!$B$7)/Eingaben!$B$26,0))</f>
        <v>-0.3531854794520548</v>
      </c>
      <c r="Y12" s="7">
        <f>IF($B12&lt;&gt;"OK","",-L12*IF(A12&lt;Eingaben!$B$18,Eingaben!$B$9,Eingaben!$B$10)*(1+Eingaben!$B$7)/100)</f>
        <v>-0.03295467</v>
      </c>
      <c r="Z12" s="7">
        <f>IF($B12&lt;&gt;"OK","",IF(A12&lt;Eingaben!$B$18,P12*Eingaben!$B$9/100,IF(Eingaben!$B$5="Report",P12*Eingaben!$B$30/100,SUMIFS(Intervalle!$K$582:$K$677,Intervalle!$G$582:$G$677,"NT")))*(1+Eingaben!$B$7))</f>
        <v>0.00214676</v>
      </c>
      <c r="AA12" s="7">
        <f>IF($B12&lt;&gt;"OK","",IF(A12&lt;Eingaben!$B$18,Q12*Eingaben!$B$9/100,IF(Eingaben!$B$5="Report",Q12*Eingaben!$B$31/100,SUMIFS(Intervalle!$K$582:$K$677,Intervalle!$G$582:$G$677,"ST")))*(1+Eingaben!$B$7))</f>
        <v>0.007695016</v>
      </c>
      <c r="AB12" s="7">
        <f>IF($B12&lt;&gt;"OK","",IF(A12&lt;Eingaben!$B$18,R12*Eingaben!$B$9/100,IF(Eingaben!$B$5="Report",R12*Eingaben!$B$32/100,SUMIFS(Intervalle!$K$582:$K$677,Intervalle!$G$582:$G$677,"HT")))*(1+Eingaben!$B$7))</f>
        <v>0.016775192</v>
      </c>
      <c r="AC12" s="7">
        <f>IF($B12&lt;&gt;"OK","",-SUM(Y12:AB12))</f>
        <v>0.006337702</v>
      </c>
      <c r="AD12" s="7">
        <f>IF($B12&lt;&gt;"OK","",SUM(S12:AB12))</f>
        <v>0.31763604216438357</v>
      </c>
      <c r="AE12" s="7">
        <f>IF($B12&lt;&gt;"OK","",IF(Eingaben!$B$5="Report",Reportdaten!L12,""))</f>
        <v>0.32</v>
      </c>
      <c r="AF12" s="7">
        <f>IF($B12&lt;&gt;"OK","",IF(Eingaben!$B$5="Report",AD12-AE12,""))</f>
        <v>-0.0023639578356164383</v>
      </c>
    </row>
    <row r="13" spans="1:32">
      <c r="A13" s="14">
        <v>46150</v>
      </c>
      <c r="B13" t="str">
        <f>IF(Eingaben!$B$27&lt;&gt;"OK","NETZREFERENZ FEHLT",IF(AND(A13&lt;Eingaben!$B$18,NOT(ISNUMBER(Eingaben!$B$9))),"NORMALER NETZPREIS FEHLT",IF(Eingaben!$B$5="Report",IF(Reportdaten!Q13&lt;&gt;"complete","REPORT UNVOLLSTAENDIG",IF(AND(SUM(Reportdaten!I13:K13)&gt;0,NOT(ISNUMBER(Eingaben!$B$13))),"HEAT-PREIS FEHLT","OK")),IF(COUNTIF(Intervalle!J678:J773,"OK")=96,"OK","INTERVALLE UNVOLLSTAENDIG"))))</f>
        <v>OK</v>
      </c>
      <c r="C13" s="5">
        <f>IF($B13&lt;&gt;"OK","",IF(Eingaben!$B$5="Report",Reportdaten!C13,SUMIFS(Intervalle!$C$678:$C$773,Intervalle!$F$678:$F$773,"GO",Intervalle!$G$678:$G$773,"NT")))</f>
        <v>0.291</v>
      </c>
      <c r="D13" s="5">
        <f>IF($B13&lt;&gt;"OK","",IF(Eingaben!$B$5="Report",Reportdaten!D13,SUMIFS(Intervalle!$C$678:$C$773,Intervalle!$F$678:$F$773,"GO",Intervalle!$G$678:$G$773,"ST")))</f>
        <v>0.0</v>
      </c>
      <c r="E13" s="5">
        <f>IF($B13&lt;&gt;"OK","",IF(Eingaben!$B$5="Report",Reportdaten!E13,SUMIFS(Intervalle!$C$678:$C$773,Intervalle!$F$678:$F$773,"GO",Intervalle!$G$678:$G$773,"HT")))</f>
        <v>0.0</v>
      </c>
      <c r="F13" s="5">
        <f>IF($B13&lt;&gt;"OK","",IF(Eingaben!$B$5="Report",Reportdaten!F13,SUMIFS(Intervalle!$C$678:$C$773,Intervalle!$F$678:$F$773,"STANDARD",Intervalle!$G$678:$G$773,"NT")))</f>
        <v>0.052</v>
      </c>
      <c r="G13" s="5">
        <f>IF($B13&lt;&gt;"OK","",IF(Eingaben!$B$5="Report",Reportdaten!G13,SUMIFS(Intervalle!$C$678:$C$773,Intervalle!$F$678:$F$773,"STANDARD",Intervalle!$G$678:$G$773,"ST")))</f>
        <v>0.213</v>
      </c>
      <c r="H13" s="5">
        <f>IF($B13&lt;&gt;"OK","",IF(Eingaben!$B$5="Report",Reportdaten!H13,SUMIFS(Intervalle!$C$678:$C$773,Intervalle!$F$678:$F$773,"STANDARD",Intervalle!$G$678:$G$773,"HT")))</f>
        <v>0.023</v>
      </c>
      <c r="I13" s="5">
        <f>IF($B13&lt;&gt;"OK","",IF(Eingaben!$B$5="Report",Reportdaten!I13,SUMIFS(Intervalle!$C$678:$C$773,Intervalle!$F$678:$F$773,"HEAT",Intervalle!$G$678:$G$773,"NT")))</f>
        <v>0.0</v>
      </c>
      <c r="J13" s="5">
        <f>IF($B13&lt;&gt;"OK","",IF(Eingaben!$B$5="Report",Reportdaten!J13,SUMIFS(Intervalle!$C$678:$C$773,Intervalle!$F$678:$F$773,"HEAT",Intervalle!$G$678:$G$773,"ST")))</f>
        <v>0.0</v>
      </c>
      <c r="K13" s="5">
        <f>IF($B13&lt;&gt;"OK","",IF(Eingaben!$B$5="Report",Reportdaten!K13,SUMIFS(Intervalle!$C$678:$C$773,Intervalle!$F$678:$F$773,"HEAT",Intervalle!$G$678:$G$773,"HT")))</f>
        <v>0.0</v>
      </c>
      <c r="L13" s="5">
        <f>IF($B13&lt;&gt;"OK","",SUM(C13:K13))</f>
        <v>0.579</v>
      </c>
      <c r="M13" s="5">
        <f>IF($B13&lt;&gt;"OK","",SUM(C13:E13))</f>
        <v>0.291</v>
      </c>
      <c r="N13" s="5">
        <f>IF($B13&lt;&gt;"OK","",SUM(F13:H13))</f>
        <v>0.288</v>
      </c>
      <c r="O13" s="5">
        <f>IF($B13&lt;&gt;"OK","",SUM(I13:K13))</f>
        <v>0.0</v>
      </c>
      <c r="P13" s="5">
        <f>IF($B13&lt;&gt;"OK","",C13+F13+I13)</f>
        <v>0.343</v>
      </c>
      <c r="Q13" s="5">
        <f>IF($B13&lt;&gt;"OK","",D13+G13+J13)</f>
        <v>0.213</v>
      </c>
      <c r="R13" s="5">
        <f>IF($B13&lt;&gt;"OK","",E13+H13+K13)</f>
        <v>0.023</v>
      </c>
      <c r="S13" s="7">
        <f>IF($B13&lt;&gt;"OK","",M13*Eingaben!$B$11/100)</f>
        <v>0.043840314</v>
      </c>
      <c r="T13" s="7">
        <f>IF($B13&lt;&gt;"OK","",N13*Eingaben!$B$12/100)</f>
        <v>0.081430272</v>
      </c>
      <c r="U13" s="7">
        <f>IF($B13&lt;&gt;"OK","",IF(O13=0,0,O13*Eingaben!$B$13/100))</f>
        <v>0.0</v>
      </c>
      <c r="V13" s="7">
        <f>IF($B13&lt;&gt;"OK","",IF(Eingaben!$B$15="Zeitanteilig",Eingaben!$B$14*12/365,Eingaben!$B$14/Eingaben!$B$25))</f>
        <v>0.5835238356164384</v>
      </c>
      <c r="W13" s="7">
        <f>IF($B13&lt;&gt;"OK","",L13*(IF(A13&lt;Eingaben!$B$18,Eingaben!$B$9,Eingaben!$B$10)-Eingaben!$B$8)*(1+Eingaben!$B$7)/100)</f>
        <v>0.0</v>
      </c>
      <c r="X13" s="7">
        <f>IF($B13&lt;&gt;"OK","",IF(A13&gt;=Eingaben!$B$17,-Eingaben!$B$16*(1+Eingaben!$B$7)/Eingaben!$B$26,0))</f>
        <v>-0.3531854794520548</v>
      </c>
      <c r="Y13" s="7">
        <f>IF($B13&lt;&gt;"OK","",-L13*IF(A13&lt;Eingaben!$B$18,Eingaben!$B$9,Eingaben!$B$10)*(1+Eingaben!$B$7)/100)</f>
        <v>-0.052709265</v>
      </c>
      <c r="Z13" s="7">
        <f>IF($B13&lt;&gt;"OK","",IF(A13&lt;Eingaben!$B$18,P13*Eingaben!$B$9/100,IF(Eingaben!$B$5="Report",P13*Eingaben!$B$30/100,SUMIFS(Intervalle!$K$678:$K$773,Intervalle!$G$678:$G$773,"NT")))*(1+Eingaben!$B$7))</f>
        <v>0.006693988</v>
      </c>
      <c r="AA13" s="7">
        <f>IF($B13&lt;&gt;"OK","",IF(A13&lt;Eingaben!$B$18,Q13*Eingaben!$B$9/100,IF(Eingaben!$B$5="Report",Q13*Eingaben!$B$31/100,SUMIFS(Intervalle!$K$678:$K$773,Intervalle!$G$678:$G$773,"ST")))*(1+Eingaben!$B$7))</f>
        <v>0.013890156</v>
      </c>
      <c r="AB13" s="7">
        <f>IF($B13&lt;&gt;"OK","",IF(A13&lt;Eingaben!$B$18,R13*Eingaben!$B$9/100,IF(Eingaben!$B$5="Report",R13*Eingaben!$B$32/100,SUMIFS(Intervalle!$K$678:$K$773,Intervalle!$G$678:$G$773,"HT")))*(1+Eingaben!$B$7))</f>
        <v>0.002879324</v>
      </c>
      <c r="AC13" s="7">
        <f>IF($B13&lt;&gt;"OK","",-SUM(Y13:AB13))</f>
        <v>0.029245797</v>
      </c>
      <c r="AD13" s="7">
        <f>IF($B13&lt;&gt;"OK","",SUM(S13:AB13))</f>
        <v>0.3263631451643836</v>
      </c>
      <c r="AE13" s="7">
        <f>IF($B13&lt;&gt;"OK","",IF(Eingaben!$B$5="Report",Reportdaten!L13,""))</f>
        <v>0.33</v>
      </c>
      <c r="AF13" s="7">
        <f>IF($B13&lt;&gt;"OK","",IF(Eingaben!$B$5="Report",AD13-AE13,""))</f>
        <v>-0.003636854835616438</v>
      </c>
    </row>
    <row r="14" spans="1:32">
      <c r="A14" s="14">
        <v>46151</v>
      </c>
      <c r="B14" t="str">
        <f>IF(Eingaben!$B$27&lt;&gt;"OK","NETZREFERENZ FEHLT",IF(AND(A14&lt;Eingaben!$B$18,NOT(ISNUMBER(Eingaben!$B$9))),"NORMALER NETZPREIS FEHLT",IF(Eingaben!$B$5="Report",IF(Reportdaten!Q14&lt;&gt;"complete","REPORT UNVOLLSTAENDIG",IF(AND(SUM(Reportdaten!I14:K14)&gt;0,NOT(ISNUMBER(Eingaben!$B$13))),"HEAT-PREIS FEHLT","OK")),IF(COUNTIF(Intervalle!J774:J869,"OK")=96,"OK","INTERVALLE UNVOLLSTAENDIG"))))</f>
        <v>OK</v>
      </c>
      <c r="C14" s="5">
        <f>IF($B14&lt;&gt;"OK","",IF(Eingaben!$B$5="Report",Reportdaten!C14,SUMIFS(Intervalle!$C$774:$C$869,Intervalle!$F$774:$F$869,"GO",Intervalle!$G$774:$G$869,"NT")))</f>
        <v>0.133</v>
      </c>
      <c r="D14" s="5">
        <f>IF($B14&lt;&gt;"OK","",IF(Eingaben!$B$5="Report",Reportdaten!D14,SUMIFS(Intervalle!$C$774:$C$869,Intervalle!$F$774:$F$869,"GO",Intervalle!$G$774:$G$869,"ST")))</f>
        <v>0.0</v>
      </c>
      <c r="E14" s="5">
        <f>IF($B14&lt;&gt;"OK","",IF(Eingaben!$B$5="Report",Reportdaten!E14,SUMIFS(Intervalle!$C$774:$C$869,Intervalle!$F$774:$F$869,"GO",Intervalle!$G$774:$G$869,"HT")))</f>
        <v>0.0</v>
      </c>
      <c r="F14" s="5">
        <f>IF($B14&lt;&gt;"OK","",IF(Eingaben!$B$5="Report",Reportdaten!F14,SUMIFS(Intervalle!$C$774:$C$869,Intervalle!$F$774:$F$869,"STANDARD",Intervalle!$G$774:$G$869,"NT")))</f>
        <v>0.069</v>
      </c>
      <c r="G14" s="5">
        <f>IF($B14&lt;&gt;"OK","",IF(Eingaben!$B$5="Report",Reportdaten!G14,SUMIFS(Intervalle!$C$774:$C$869,Intervalle!$F$774:$F$869,"STANDARD",Intervalle!$G$774:$G$869,"ST")))</f>
        <v>0.096</v>
      </c>
      <c r="H14" s="5">
        <f>IF($B14&lt;&gt;"OK","",IF(Eingaben!$B$5="Report",Reportdaten!H14,SUMIFS(Intervalle!$C$774:$C$869,Intervalle!$F$774:$F$869,"STANDARD",Intervalle!$G$774:$G$869,"HT")))</f>
        <v>0.018</v>
      </c>
      <c r="I14" s="5">
        <f>IF($B14&lt;&gt;"OK","",IF(Eingaben!$B$5="Report",Reportdaten!I14,SUMIFS(Intervalle!$C$774:$C$869,Intervalle!$F$774:$F$869,"HEAT",Intervalle!$G$774:$G$869,"NT")))</f>
        <v>0.0</v>
      </c>
      <c r="J14" s="5">
        <f>IF($B14&lt;&gt;"OK","",IF(Eingaben!$B$5="Report",Reportdaten!J14,SUMIFS(Intervalle!$C$774:$C$869,Intervalle!$F$774:$F$869,"HEAT",Intervalle!$G$774:$G$869,"ST")))</f>
        <v>0.0</v>
      </c>
      <c r="K14" s="5">
        <f>IF($B14&lt;&gt;"OK","",IF(Eingaben!$B$5="Report",Reportdaten!K14,SUMIFS(Intervalle!$C$774:$C$869,Intervalle!$F$774:$F$869,"HEAT",Intervalle!$G$774:$G$869,"HT")))</f>
        <v>0.0</v>
      </c>
      <c r="L14" s="5">
        <f>IF($B14&lt;&gt;"OK","",SUM(C14:K14))</f>
        <v>0.316</v>
      </c>
      <c r="M14" s="5">
        <f>IF($B14&lt;&gt;"OK","",SUM(C14:E14))</f>
        <v>0.133</v>
      </c>
      <c r="N14" s="5">
        <f>IF($B14&lt;&gt;"OK","",SUM(F14:H14))</f>
        <v>0.183</v>
      </c>
      <c r="O14" s="5">
        <f>IF($B14&lt;&gt;"OK","",SUM(I14:K14))</f>
        <v>0.0</v>
      </c>
      <c r="P14" s="5">
        <f>IF($B14&lt;&gt;"OK","",C14+F14+I14)</f>
        <v>0.202</v>
      </c>
      <c r="Q14" s="5">
        <f>IF($B14&lt;&gt;"OK","",D14+G14+J14)</f>
        <v>0.096</v>
      </c>
      <c r="R14" s="5">
        <f>IF($B14&lt;&gt;"OK","",E14+H14+K14)</f>
        <v>0.018</v>
      </c>
      <c r="S14" s="7">
        <f>IF($B14&lt;&gt;"OK","",M14*Eingaben!$B$11/100)</f>
        <v>0.020036982</v>
      </c>
      <c r="T14" s="7">
        <f>IF($B14&lt;&gt;"OK","",N14*Eingaben!$B$12/100)</f>
        <v>0.051742152</v>
      </c>
      <c r="U14" s="7">
        <f>IF($B14&lt;&gt;"OK","",IF(O14=0,0,O14*Eingaben!$B$13/100))</f>
        <v>0.0</v>
      </c>
      <c r="V14" s="7">
        <f>IF($B14&lt;&gt;"OK","",IF(Eingaben!$B$15="Zeitanteilig",Eingaben!$B$14*12/365,Eingaben!$B$14/Eingaben!$B$25))</f>
        <v>0.5835238356164384</v>
      </c>
      <c r="W14" s="7">
        <f>IF($B14&lt;&gt;"OK","",L14*(IF(A14&lt;Eingaben!$B$18,Eingaben!$B$9,Eingaben!$B$10)-Eingaben!$B$8)*(1+Eingaben!$B$7)/100)</f>
        <v>0.0</v>
      </c>
      <c r="X14" s="7">
        <f>IF($B14&lt;&gt;"OK","",IF(A14&gt;=Eingaben!$B$17,-Eingaben!$B$16*(1+Eingaben!$B$7)/Eingaben!$B$26,0))</f>
        <v>-0.3531854794520548</v>
      </c>
      <c r="Y14" s="7">
        <f>IF($B14&lt;&gt;"OK","",-L14*IF(A14&lt;Eingaben!$B$18,Eingaben!$B$9,Eingaben!$B$10)*(1+Eingaben!$B$7)/100)</f>
        <v>-0.02876706</v>
      </c>
      <c r="Z14" s="7">
        <f>IF($B14&lt;&gt;"OK","",IF(A14&lt;Eingaben!$B$18,P14*Eingaben!$B$9/100,IF(Eingaben!$B$5="Report",P14*Eingaben!$B$30/100,SUMIFS(Intervalle!$K$774:$K$869,Intervalle!$G$774:$G$869,"NT")))*(1+Eingaben!$B$7))</f>
        <v>0.003942232</v>
      </c>
      <c r="AA14" s="7">
        <f>IF($B14&lt;&gt;"OK","",IF(A14&lt;Eingaben!$B$18,Q14*Eingaben!$B$9/100,IF(Eingaben!$B$5="Report",Q14*Eingaben!$B$31/100,SUMIFS(Intervalle!$K$774:$K$869,Intervalle!$G$774:$G$869,"ST")))*(1+Eingaben!$B$7))</f>
        <v>0.006260352</v>
      </c>
      <c r="AB14" s="7">
        <f>IF($B14&lt;&gt;"OK","",IF(A14&lt;Eingaben!$B$18,R14*Eingaben!$B$9/100,IF(Eingaben!$B$5="Report",R14*Eingaben!$B$32/100,SUMIFS(Intervalle!$K$774:$K$869,Intervalle!$G$774:$G$869,"HT")))*(1+Eingaben!$B$7))</f>
        <v>0.002253384</v>
      </c>
      <c r="AC14" s="7">
        <f>IF($B14&lt;&gt;"OK","",-SUM(Y14:AB14))</f>
        <v>0.016311092</v>
      </c>
      <c r="AD14" s="7">
        <f>IF($B14&lt;&gt;"OK","",SUM(S14:AB14))</f>
        <v>0.2858063981643836</v>
      </c>
      <c r="AE14" s="7">
        <f>IF($B14&lt;&gt;"OK","",IF(Eingaben!$B$5="Report",Reportdaten!L14,""))</f>
        <v>0.29</v>
      </c>
      <c r="AF14" s="7">
        <f>IF($B14&lt;&gt;"OK","",IF(Eingaben!$B$5="Report",AD14-AE14,""))</f>
        <v>-0.004193601835616438</v>
      </c>
    </row>
    <row r="15" spans="1:32">
      <c r="A15" s="14">
        <v>46152</v>
      </c>
      <c r="B15" t="str">
        <f>IF(Eingaben!$B$27&lt;&gt;"OK","NETZREFERENZ FEHLT",IF(AND(A15&lt;Eingaben!$B$18,NOT(ISNUMBER(Eingaben!$B$9))),"NORMALER NETZPREIS FEHLT",IF(Eingaben!$B$5="Report",IF(Reportdaten!Q15&lt;&gt;"complete","REPORT UNVOLLSTAENDIG",IF(AND(SUM(Reportdaten!I15:K15)&gt;0,NOT(ISNUMBER(Eingaben!$B$13))),"HEAT-PREIS FEHLT","OK")),IF(COUNTIF(Intervalle!J870:J965,"OK")=96,"OK","INTERVALLE UNVOLLSTAENDIG"))))</f>
        <v>OK</v>
      </c>
      <c r="C15" s="5">
        <f>IF($B15&lt;&gt;"OK","",IF(Eingaben!$B$5="Report",Reportdaten!C15,SUMIFS(Intervalle!$C$870:$C$965,Intervalle!$F$870:$F$965,"GO",Intervalle!$G$870:$G$965,"NT")))</f>
        <v>0.113</v>
      </c>
      <c r="D15" s="5">
        <f>IF($B15&lt;&gt;"OK","",IF(Eingaben!$B$5="Report",Reportdaten!D15,SUMIFS(Intervalle!$C$870:$C$965,Intervalle!$F$870:$F$965,"GO",Intervalle!$G$870:$G$965,"ST")))</f>
        <v>0.0</v>
      </c>
      <c r="E15" s="5">
        <f>IF($B15&lt;&gt;"OK","",IF(Eingaben!$B$5="Report",Reportdaten!E15,SUMIFS(Intervalle!$C$870:$C$965,Intervalle!$F$870:$F$965,"GO",Intervalle!$G$870:$G$965,"HT")))</f>
        <v>0.0</v>
      </c>
      <c r="F15" s="5">
        <f>IF($B15&lt;&gt;"OK","",IF(Eingaben!$B$5="Report",Reportdaten!F15,SUMIFS(Intervalle!$C$870:$C$965,Intervalle!$F$870:$F$965,"STANDARD",Intervalle!$G$870:$G$965,"NT")))</f>
        <v>0.039</v>
      </c>
      <c r="G15" s="5">
        <f>IF($B15&lt;&gt;"OK","",IF(Eingaben!$B$5="Report",Reportdaten!G15,SUMIFS(Intervalle!$C$870:$C$965,Intervalle!$F$870:$F$965,"STANDARD",Intervalle!$G$870:$G$965,"ST")))</f>
        <v>0.024</v>
      </c>
      <c r="H15" s="5">
        <f>IF($B15&lt;&gt;"OK","",IF(Eingaben!$B$5="Report",Reportdaten!H15,SUMIFS(Intervalle!$C$870:$C$965,Intervalle!$F$870:$F$965,"STANDARD",Intervalle!$G$870:$G$965,"HT")))</f>
        <v>0.024</v>
      </c>
      <c r="I15" s="5">
        <f>IF($B15&lt;&gt;"OK","",IF(Eingaben!$B$5="Report",Reportdaten!I15,SUMIFS(Intervalle!$C$870:$C$965,Intervalle!$F$870:$F$965,"HEAT",Intervalle!$G$870:$G$965,"NT")))</f>
        <v>0.0</v>
      </c>
      <c r="J15" s="5">
        <f>IF($B15&lt;&gt;"OK","",IF(Eingaben!$B$5="Report",Reportdaten!J15,SUMIFS(Intervalle!$C$870:$C$965,Intervalle!$F$870:$F$965,"HEAT",Intervalle!$G$870:$G$965,"ST")))</f>
        <v>0.0</v>
      </c>
      <c r="K15" s="5">
        <f>IF($B15&lt;&gt;"OK","",IF(Eingaben!$B$5="Report",Reportdaten!K15,SUMIFS(Intervalle!$C$870:$C$965,Intervalle!$F$870:$F$965,"HEAT",Intervalle!$G$870:$G$965,"HT")))</f>
        <v>0.0</v>
      </c>
      <c r="L15" s="5">
        <f>IF($B15&lt;&gt;"OK","",SUM(C15:K15))</f>
        <v>0.2</v>
      </c>
      <c r="M15" s="5">
        <f>IF($B15&lt;&gt;"OK","",SUM(C15:E15))</f>
        <v>0.113</v>
      </c>
      <c r="N15" s="5">
        <f>IF($B15&lt;&gt;"OK","",SUM(F15:H15))</f>
        <v>0.087</v>
      </c>
      <c r="O15" s="5">
        <f>IF($B15&lt;&gt;"OK","",SUM(I15:K15))</f>
        <v>0.0</v>
      </c>
      <c r="P15" s="5">
        <f>IF($B15&lt;&gt;"OK","",C15+F15+I15)</f>
        <v>0.152</v>
      </c>
      <c r="Q15" s="5">
        <f>IF($B15&lt;&gt;"OK","",D15+G15+J15)</f>
        <v>0.024</v>
      </c>
      <c r="R15" s="5">
        <f>IF($B15&lt;&gt;"OK","",E15+H15+K15)</f>
        <v>0.024</v>
      </c>
      <c r="S15" s="7">
        <f>IF($B15&lt;&gt;"OK","",M15*Eingaben!$B$11/100)</f>
        <v>0.017023902</v>
      </c>
      <c r="T15" s="7">
        <f>IF($B15&lt;&gt;"OK","",N15*Eingaben!$B$12/100)</f>
        <v>0.024598728</v>
      </c>
      <c r="U15" s="7">
        <f>IF($B15&lt;&gt;"OK","",IF(O15=0,0,O15*Eingaben!$B$13/100))</f>
        <v>0.0</v>
      </c>
      <c r="V15" s="7">
        <f>IF($B15&lt;&gt;"OK","",IF(Eingaben!$B$15="Zeitanteilig",Eingaben!$B$14*12/365,Eingaben!$B$14/Eingaben!$B$25))</f>
        <v>0.5835238356164384</v>
      </c>
      <c r="W15" s="7">
        <f>IF($B15&lt;&gt;"OK","",L15*(IF(A15&lt;Eingaben!$B$18,Eingaben!$B$9,Eingaben!$B$10)-Eingaben!$B$8)*(1+Eingaben!$B$7)/100)</f>
        <v>0.0</v>
      </c>
      <c r="X15" s="7">
        <f>IF($B15&lt;&gt;"OK","",IF(A15&gt;=Eingaben!$B$17,-Eingaben!$B$16*(1+Eingaben!$B$7)/Eingaben!$B$26,0))</f>
        <v>-0.3531854794520548</v>
      </c>
      <c r="Y15" s="7">
        <f>IF($B15&lt;&gt;"OK","",-L15*IF(A15&lt;Eingaben!$B$18,Eingaben!$B$9,Eingaben!$B$10)*(1+Eingaben!$B$7)/100)</f>
        <v>-0.018207</v>
      </c>
      <c r="Z15" s="7">
        <f>IF($B15&lt;&gt;"OK","",IF(A15&lt;Eingaben!$B$18,P15*Eingaben!$B$9/100,IF(Eingaben!$B$5="Report",P15*Eingaben!$B$30/100,SUMIFS(Intervalle!$K$870:$K$965,Intervalle!$G$870:$G$965,"NT")))*(1+Eingaben!$B$7))</f>
        <v>0.002966432</v>
      </c>
      <c r="AA15" s="7">
        <f>IF($B15&lt;&gt;"OK","",IF(A15&lt;Eingaben!$B$18,Q15*Eingaben!$B$9/100,IF(Eingaben!$B$5="Report",Q15*Eingaben!$B$31/100,SUMIFS(Intervalle!$K$870:$K$965,Intervalle!$G$870:$G$965,"ST")))*(1+Eingaben!$B$7))</f>
        <v>0.001565088</v>
      </c>
      <c r="AB15" s="7">
        <f>IF($B15&lt;&gt;"OK","",IF(A15&lt;Eingaben!$B$18,R15*Eingaben!$B$9/100,IF(Eingaben!$B$5="Report",R15*Eingaben!$B$32/100,SUMIFS(Intervalle!$K$870:$K$965,Intervalle!$G$870:$G$965,"HT")))*(1+Eingaben!$B$7))</f>
        <v>0.003004512</v>
      </c>
      <c r="AC15" s="7">
        <f>IF($B15&lt;&gt;"OK","",-SUM(Y15:AB15))</f>
        <v>0.010670968</v>
      </c>
      <c r="AD15" s="7">
        <f>IF($B15&lt;&gt;"OK","",SUM(S15:AB15))</f>
        <v>0.2612900181643836</v>
      </c>
      <c r="AE15" s="7">
        <f>IF($B15&lt;&gt;"OK","",IF(Eingaben!$B$5="Report",Reportdaten!L15,""))</f>
        <v>0.26</v>
      </c>
      <c r="AF15" s="7">
        <f>IF($B15&lt;&gt;"OK","",IF(Eingaben!$B$5="Report",AD15-AE15,""))</f>
        <v>0.0012900181643835616</v>
      </c>
    </row>
    <row r="16" spans="1:32">
      <c r="A16" s="14">
        <v>46153</v>
      </c>
      <c r="B16" t="str">
        <f>IF(Eingaben!$B$27&lt;&gt;"OK","NETZREFERENZ FEHLT",IF(AND(A16&lt;Eingaben!$B$18,NOT(ISNUMBER(Eingaben!$B$9))),"NORMALER NETZPREIS FEHLT",IF(Eingaben!$B$5="Report",IF(Reportdaten!Q16&lt;&gt;"complete","REPORT UNVOLLSTAENDIG",IF(AND(SUM(Reportdaten!I16:K16)&gt;0,NOT(ISNUMBER(Eingaben!$B$13))),"HEAT-PREIS FEHLT","OK")),IF(COUNTIF(Intervalle!J966:J1061,"OK")=96,"OK","INTERVALLE UNVOLLSTAENDIG"))))</f>
        <v>OK</v>
      </c>
      <c r="C16" s="5">
        <f>IF($B16&lt;&gt;"OK","",IF(Eingaben!$B$5="Report",Reportdaten!C16,SUMIFS(Intervalle!$C$966:$C$1061,Intervalle!$F$966:$F$1061,"GO",Intervalle!$G$966:$G$1061,"NT")))</f>
        <v>0.064</v>
      </c>
      <c r="D16" s="5">
        <f>IF($B16&lt;&gt;"OK","",IF(Eingaben!$B$5="Report",Reportdaten!D16,SUMIFS(Intervalle!$C$966:$C$1061,Intervalle!$F$966:$F$1061,"GO",Intervalle!$G$966:$G$1061,"ST")))</f>
        <v>0.0</v>
      </c>
      <c r="E16" s="5">
        <f>IF($B16&lt;&gt;"OK","",IF(Eingaben!$B$5="Report",Reportdaten!E16,SUMIFS(Intervalle!$C$966:$C$1061,Intervalle!$F$966:$F$1061,"GO",Intervalle!$G$966:$G$1061,"HT")))</f>
        <v>0.0</v>
      </c>
      <c r="F16" s="5">
        <f>IF($B16&lt;&gt;"OK","",IF(Eingaben!$B$5="Report",Reportdaten!F16,SUMIFS(Intervalle!$C$966:$C$1061,Intervalle!$F$966:$F$1061,"STANDARD",Intervalle!$G$966:$G$1061,"NT")))</f>
        <v>0.081</v>
      </c>
      <c r="G16" s="5">
        <f>IF($B16&lt;&gt;"OK","",IF(Eingaben!$B$5="Report",Reportdaten!G16,SUMIFS(Intervalle!$C$966:$C$1061,Intervalle!$F$966:$F$1061,"STANDARD",Intervalle!$G$966:$G$1061,"ST")))</f>
        <v>0.179</v>
      </c>
      <c r="H16" s="5">
        <f>IF($B16&lt;&gt;"OK","",IF(Eingaben!$B$5="Report",Reportdaten!H16,SUMIFS(Intervalle!$C$966:$C$1061,Intervalle!$F$966:$F$1061,"STANDARD",Intervalle!$G$966:$G$1061,"HT")))</f>
        <v>0.096</v>
      </c>
      <c r="I16" s="5">
        <f>IF($B16&lt;&gt;"OK","",IF(Eingaben!$B$5="Report",Reportdaten!I16,SUMIFS(Intervalle!$C$966:$C$1061,Intervalle!$F$966:$F$1061,"HEAT",Intervalle!$G$966:$G$1061,"NT")))</f>
        <v>0.0</v>
      </c>
      <c r="J16" s="5">
        <f>IF($B16&lt;&gt;"OK","",IF(Eingaben!$B$5="Report",Reportdaten!J16,SUMIFS(Intervalle!$C$966:$C$1061,Intervalle!$F$966:$F$1061,"HEAT",Intervalle!$G$966:$G$1061,"ST")))</f>
        <v>0.0</v>
      </c>
      <c r="K16" s="5">
        <f>IF($B16&lt;&gt;"OK","",IF(Eingaben!$B$5="Report",Reportdaten!K16,SUMIFS(Intervalle!$C$966:$C$1061,Intervalle!$F$966:$F$1061,"HEAT",Intervalle!$G$966:$G$1061,"HT")))</f>
        <v>0.0</v>
      </c>
      <c r="L16" s="5">
        <f>IF($B16&lt;&gt;"OK","",SUM(C16:K16))</f>
        <v>0.42</v>
      </c>
      <c r="M16" s="5">
        <f>IF($B16&lt;&gt;"OK","",SUM(C16:E16))</f>
        <v>0.064</v>
      </c>
      <c r="N16" s="5">
        <f>IF($B16&lt;&gt;"OK","",SUM(F16:H16))</f>
        <v>0.356</v>
      </c>
      <c r="O16" s="5">
        <f>IF($B16&lt;&gt;"OK","",SUM(I16:K16))</f>
        <v>0.0</v>
      </c>
      <c r="P16" s="5">
        <f>IF($B16&lt;&gt;"OK","",C16+F16+I16)</f>
        <v>0.145</v>
      </c>
      <c r="Q16" s="5">
        <f>IF($B16&lt;&gt;"OK","",D16+G16+J16)</f>
        <v>0.179</v>
      </c>
      <c r="R16" s="5">
        <f>IF($B16&lt;&gt;"OK","",E16+H16+K16)</f>
        <v>0.096</v>
      </c>
      <c r="S16" s="7">
        <f>IF($B16&lt;&gt;"OK","",M16*Eingaben!$B$11/100)</f>
        <v>0.009641856</v>
      </c>
      <c r="T16" s="7">
        <f>IF($B16&lt;&gt;"OK","",N16*Eingaben!$B$12/100)</f>
        <v>0.100656864</v>
      </c>
      <c r="U16" s="7">
        <f>IF($B16&lt;&gt;"OK","",IF(O16=0,0,O16*Eingaben!$B$13/100))</f>
        <v>0.0</v>
      </c>
      <c r="V16" s="7">
        <f>IF($B16&lt;&gt;"OK","",IF(Eingaben!$B$15="Zeitanteilig",Eingaben!$B$14*12/365,Eingaben!$B$14/Eingaben!$B$25))</f>
        <v>0.5835238356164384</v>
      </c>
      <c r="W16" s="7">
        <f>IF($B16&lt;&gt;"OK","",L16*(IF(A16&lt;Eingaben!$B$18,Eingaben!$B$9,Eingaben!$B$10)-Eingaben!$B$8)*(1+Eingaben!$B$7)/100)</f>
        <v>0.0</v>
      </c>
      <c r="X16" s="7">
        <f>IF($B16&lt;&gt;"OK","",IF(A16&gt;=Eingaben!$B$17,-Eingaben!$B$16*(1+Eingaben!$B$7)/Eingaben!$B$26,0))</f>
        <v>-0.3531854794520548</v>
      </c>
      <c r="Y16" s="7">
        <f>IF($B16&lt;&gt;"OK","",-L16*IF(A16&lt;Eingaben!$B$18,Eingaben!$B$9,Eingaben!$B$10)*(1+Eingaben!$B$7)/100)</f>
        <v>-0.0382347</v>
      </c>
      <c r="Z16" s="7">
        <f>IF($B16&lt;&gt;"OK","",IF(A16&lt;Eingaben!$B$18,P16*Eingaben!$B$9/100,IF(Eingaben!$B$5="Report",P16*Eingaben!$B$30/100,SUMIFS(Intervalle!$K$966:$K$1061,Intervalle!$G$966:$G$1061,"NT")))*(1+Eingaben!$B$7))</f>
        <v>0.00282982</v>
      </c>
      <c r="AA16" s="7">
        <f>IF($B16&lt;&gt;"OK","",IF(A16&lt;Eingaben!$B$18,Q16*Eingaben!$B$9/100,IF(Eingaben!$B$5="Report",Q16*Eingaben!$B$31/100,SUMIFS(Intervalle!$K$966:$K$1061,Intervalle!$G$966:$G$1061,"ST")))*(1+Eingaben!$B$7))</f>
        <v>0.011672948</v>
      </c>
      <c r="AB16" s="7">
        <f>IF($B16&lt;&gt;"OK","",IF(A16&lt;Eingaben!$B$18,R16*Eingaben!$B$9/100,IF(Eingaben!$B$5="Report",R16*Eingaben!$B$32/100,SUMIFS(Intervalle!$K$966:$K$1061,Intervalle!$G$966:$G$1061,"HT")))*(1+Eingaben!$B$7))</f>
        <v>0.012018048</v>
      </c>
      <c r="AC16" s="7">
        <f>IF($B16&lt;&gt;"OK","",-SUM(Y16:AB16))</f>
        <v>0.011713884</v>
      </c>
      <c r="AD16" s="7">
        <f>IF($B16&lt;&gt;"OK","",SUM(S16:AB16))</f>
        <v>0.32892319216438354</v>
      </c>
      <c r="AE16" s="7">
        <f>IF($B16&lt;&gt;"OK","",IF(Eingaben!$B$5="Report",Reportdaten!L16,""))</f>
        <v>0.33</v>
      </c>
      <c r="AF16" s="7">
        <f>IF($B16&lt;&gt;"OK","",IF(Eingaben!$B$5="Report",AD16-AE16,""))</f>
        <v>-0.0010768078356164384</v>
      </c>
    </row>
    <row r="17" spans="1:32">
      <c r="A17" s="14">
        <v>46154</v>
      </c>
      <c r="B17" t="str">
        <f>IF(Eingaben!$B$27&lt;&gt;"OK","NETZREFERENZ FEHLT",IF(AND(A17&lt;Eingaben!$B$18,NOT(ISNUMBER(Eingaben!$B$9))),"NORMALER NETZPREIS FEHLT",IF(Eingaben!$B$5="Report",IF(Reportdaten!Q17&lt;&gt;"complete","REPORT UNVOLLSTAENDIG",IF(AND(SUM(Reportdaten!I17:K17)&gt;0,NOT(ISNUMBER(Eingaben!$B$13))),"HEAT-PREIS FEHLT","OK")),IF(COUNTIF(Intervalle!J1062:J1157,"OK")=96,"OK","INTERVALLE UNVOLLSTAENDIG"))))</f>
        <v>OK</v>
      </c>
      <c r="C17" s="5">
        <f>IF($B17&lt;&gt;"OK","",IF(Eingaben!$B$5="Report",Reportdaten!C17,SUMIFS(Intervalle!$C$1062:$C$1157,Intervalle!$F$1062:$F$1157,"GO",Intervalle!$G$1062:$G$1157,"NT")))</f>
        <v>0.086</v>
      </c>
      <c r="D17" s="5">
        <f>IF($B17&lt;&gt;"OK","",IF(Eingaben!$B$5="Report",Reportdaten!D17,SUMIFS(Intervalle!$C$1062:$C$1157,Intervalle!$F$1062:$F$1157,"GO",Intervalle!$G$1062:$G$1157,"ST")))</f>
        <v>0.0</v>
      </c>
      <c r="E17" s="5">
        <f>IF($B17&lt;&gt;"OK","",IF(Eingaben!$B$5="Report",Reportdaten!E17,SUMIFS(Intervalle!$C$1062:$C$1157,Intervalle!$F$1062:$F$1157,"GO",Intervalle!$G$1062:$G$1157,"HT")))</f>
        <v>0.0</v>
      </c>
      <c r="F17" s="5">
        <f>IF($B17&lt;&gt;"OK","",IF(Eingaben!$B$5="Report",Reportdaten!F17,SUMIFS(Intervalle!$C$1062:$C$1157,Intervalle!$F$1062:$F$1157,"STANDARD",Intervalle!$G$1062:$G$1157,"NT")))</f>
        <v>0.026</v>
      </c>
      <c r="G17" s="5">
        <f>IF($B17&lt;&gt;"OK","",IF(Eingaben!$B$5="Report",Reportdaten!G17,SUMIFS(Intervalle!$C$1062:$C$1157,Intervalle!$F$1062:$F$1157,"STANDARD",Intervalle!$G$1062:$G$1157,"ST")))</f>
        <v>0.164</v>
      </c>
      <c r="H17" s="5">
        <f>IF($B17&lt;&gt;"OK","",IF(Eingaben!$B$5="Report",Reportdaten!H17,SUMIFS(Intervalle!$C$1062:$C$1157,Intervalle!$F$1062:$F$1157,"STANDARD",Intervalle!$G$1062:$G$1157,"HT")))</f>
        <v>0.056</v>
      </c>
      <c r="I17" s="5">
        <f>IF($B17&lt;&gt;"OK","",IF(Eingaben!$B$5="Report",Reportdaten!I17,SUMIFS(Intervalle!$C$1062:$C$1157,Intervalle!$F$1062:$F$1157,"HEAT",Intervalle!$G$1062:$G$1157,"NT")))</f>
        <v>0.0</v>
      </c>
      <c r="J17" s="5">
        <f>IF($B17&lt;&gt;"OK","",IF(Eingaben!$B$5="Report",Reportdaten!J17,SUMIFS(Intervalle!$C$1062:$C$1157,Intervalle!$F$1062:$F$1157,"HEAT",Intervalle!$G$1062:$G$1157,"ST")))</f>
        <v>0.0</v>
      </c>
      <c r="K17" s="5">
        <f>IF($B17&lt;&gt;"OK","",IF(Eingaben!$B$5="Report",Reportdaten!K17,SUMIFS(Intervalle!$C$1062:$C$1157,Intervalle!$F$1062:$F$1157,"HEAT",Intervalle!$G$1062:$G$1157,"HT")))</f>
        <v>0.0</v>
      </c>
      <c r="L17" s="5">
        <f>IF($B17&lt;&gt;"OK","",SUM(C17:K17))</f>
        <v>0.332</v>
      </c>
      <c r="M17" s="5">
        <f>IF($B17&lt;&gt;"OK","",SUM(C17:E17))</f>
        <v>0.086</v>
      </c>
      <c r="N17" s="5">
        <f>IF($B17&lt;&gt;"OK","",SUM(F17:H17))</f>
        <v>0.246</v>
      </c>
      <c r="O17" s="5">
        <f>IF($B17&lt;&gt;"OK","",SUM(I17:K17))</f>
        <v>0.0</v>
      </c>
      <c r="P17" s="5">
        <f>IF($B17&lt;&gt;"OK","",C17+F17+I17)</f>
        <v>0.112</v>
      </c>
      <c r="Q17" s="5">
        <f>IF($B17&lt;&gt;"OK","",D17+G17+J17)</f>
        <v>0.164</v>
      </c>
      <c r="R17" s="5">
        <f>IF($B17&lt;&gt;"OK","",E17+H17+K17)</f>
        <v>0.056</v>
      </c>
      <c r="S17" s="7">
        <f>IF($B17&lt;&gt;"OK","",M17*Eingaben!$B$11/100)</f>
        <v>0.012956244</v>
      </c>
      <c r="T17" s="7">
        <f>IF($B17&lt;&gt;"OK","",N17*Eingaben!$B$12/100)</f>
        <v>0.069555024</v>
      </c>
      <c r="U17" s="7">
        <f>IF($B17&lt;&gt;"OK","",IF(O17=0,0,O17*Eingaben!$B$13/100))</f>
        <v>0.0</v>
      </c>
      <c r="V17" s="7">
        <f>IF($B17&lt;&gt;"OK","",IF(Eingaben!$B$15="Zeitanteilig",Eingaben!$B$14*12/365,Eingaben!$B$14/Eingaben!$B$25))</f>
        <v>0.5835238356164384</v>
      </c>
      <c r="W17" s="7">
        <f>IF($B17&lt;&gt;"OK","",L17*(IF(A17&lt;Eingaben!$B$18,Eingaben!$B$9,Eingaben!$B$10)-Eingaben!$B$8)*(1+Eingaben!$B$7)/100)</f>
        <v>0.0</v>
      </c>
      <c r="X17" s="7">
        <f>IF($B17&lt;&gt;"OK","",IF(A17&gt;=Eingaben!$B$17,-Eingaben!$B$16*(1+Eingaben!$B$7)/Eingaben!$B$26,0))</f>
        <v>-0.3531854794520548</v>
      </c>
      <c r="Y17" s="7">
        <f>IF($B17&lt;&gt;"OK","",-L17*IF(A17&lt;Eingaben!$B$18,Eingaben!$B$9,Eingaben!$B$10)*(1+Eingaben!$B$7)/100)</f>
        <v>-0.03022362</v>
      </c>
      <c r="Z17" s="7">
        <f>IF($B17&lt;&gt;"OK","",IF(A17&lt;Eingaben!$B$18,P17*Eingaben!$B$9/100,IF(Eingaben!$B$5="Report",P17*Eingaben!$B$30/100,SUMIFS(Intervalle!$K$1062:$K$1157,Intervalle!$G$1062:$G$1157,"NT")))*(1+Eingaben!$B$7))</f>
        <v>0.002185792</v>
      </c>
      <c r="AA17" s="7">
        <f>IF($B17&lt;&gt;"OK","",IF(A17&lt;Eingaben!$B$18,Q17*Eingaben!$B$9/100,IF(Eingaben!$B$5="Report",Q17*Eingaben!$B$31/100,SUMIFS(Intervalle!$K$1062:$K$1157,Intervalle!$G$1062:$G$1157,"ST")))*(1+Eingaben!$B$7))</f>
        <v>0.010694768</v>
      </c>
      <c r="AB17" s="7">
        <f>IF($B17&lt;&gt;"OK","",IF(A17&lt;Eingaben!$B$18,R17*Eingaben!$B$9/100,IF(Eingaben!$B$5="Report",R17*Eingaben!$B$32/100,SUMIFS(Intervalle!$K$1062:$K$1157,Intervalle!$G$1062:$G$1157,"HT")))*(1+Eingaben!$B$7))</f>
        <v>0.007010528</v>
      </c>
      <c r="AC17" s="7">
        <f>IF($B17&lt;&gt;"OK","",-SUM(Y17:AB17))</f>
        <v>0.010332532</v>
      </c>
      <c r="AD17" s="7">
        <f>IF($B17&lt;&gt;"OK","",SUM(S17:AB17))</f>
        <v>0.30251709216438355</v>
      </c>
      <c r="AE17" s="7">
        <f>IF($B17&lt;&gt;"OK","",IF(Eingaben!$B$5="Report",Reportdaten!L17,""))</f>
        <v>0.3</v>
      </c>
      <c r="AF17" s="7">
        <f>IF($B17&lt;&gt;"OK","",IF(Eingaben!$B$5="Report",AD17-AE17,""))</f>
        <v>0.0025170921643835617</v>
      </c>
    </row>
    <row r="18" spans="1:32">
      <c r="A18" s="14">
        <v>46155</v>
      </c>
      <c r="B18" t="str">
        <f>IF(Eingaben!$B$27&lt;&gt;"OK","NETZREFERENZ FEHLT",IF(AND(A18&lt;Eingaben!$B$18,NOT(ISNUMBER(Eingaben!$B$9))),"NORMALER NETZPREIS FEHLT",IF(Eingaben!$B$5="Report",IF(Reportdaten!Q18&lt;&gt;"complete","REPORT UNVOLLSTAENDIG",IF(AND(SUM(Reportdaten!I18:K18)&gt;0,NOT(ISNUMBER(Eingaben!$B$13))),"HEAT-PREIS FEHLT","OK")),IF(COUNTIF(Intervalle!J1158:J1253,"OK")=96,"OK","INTERVALLE UNVOLLSTAENDIG"))))</f>
        <v>OK</v>
      </c>
      <c r="C18" s="5">
        <f>IF($B18&lt;&gt;"OK","",IF(Eingaben!$B$5="Report",Reportdaten!C18,SUMIFS(Intervalle!$C$1158:$C$1253,Intervalle!$F$1158:$F$1253,"GO",Intervalle!$G$1158:$G$1253,"NT")))</f>
        <v>0.07</v>
      </c>
      <c r="D18" s="5">
        <f>IF($B18&lt;&gt;"OK","",IF(Eingaben!$B$5="Report",Reportdaten!D18,SUMIFS(Intervalle!$C$1158:$C$1253,Intervalle!$F$1158:$F$1253,"GO",Intervalle!$G$1158:$G$1253,"ST")))</f>
        <v>0.0</v>
      </c>
      <c r="E18" s="5">
        <f>IF($B18&lt;&gt;"OK","",IF(Eingaben!$B$5="Report",Reportdaten!E18,SUMIFS(Intervalle!$C$1158:$C$1253,Intervalle!$F$1158:$F$1253,"GO",Intervalle!$G$1158:$G$1253,"HT")))</f>
        <v>0.0</v>
      </c>
      <c r="F18" s="5">
        <f>IF($B18&lt;&gt;"OK","",IF(Eingaben!$B$5="Report",Reportdaten!F18,SUMIFS(Intervalle!$C$1158:$C$1253,Intervalle!$F$1158:$F$1253,"STANDARD",Intervalle!$G$1158:$G$1253,"NT")))</f>
        <v>0.397</v>
      </c>
      <c r="G18" s="5">
        <f>IF($B18&lt;&gt;"OK","",IF(Eingaben!$B$5="Report",Reportdaten!G18,SUMIFS(Intervalle!$C$1158:$C$1253,Intervalle!$F$1158:$F$1253,"STANDARD",Intervalle!$G$1158:$G$1253,"ST")))</f>
        <v>0.137</v>
      </c>
      <c r="H18" s="5">
        <f>IF($B18&lt;&gt;"OK","",IF(Eingaben!$B$5="Report",Reportdaten!H18,SUMIFS(Intervalle!$C$1158:$C$1253,Intervalle!$F$1158:$F$1253,"STANDARD",Intervalle!$G$1158:$G$1253,"HT")))</f>
        <v>0.028</v>
      </c>
      <c r="I18" s="5">
        <f>IF($B18&lt;&gt;"OK","",IF(Eingaben!$B$5="Report",Reportdaten!I18,SUMIFS(Intervalle!$C$1158:$C$1253,Intervalle!$F$1158:$F$1253,"HEAT",Intervalle!$G$1158:$G$1253,"NT")))</f>
        <v>0.0</v>
      </c>
      <c r="J18" s="5">
        <f>IF($B18&lt;&gt;"OK","",IF(Eingaben!$B$5="Report",Reportdaten!J18,SUMIFS(Intervalle!$C$1158:$C$1253,Intervalle!$F$1158:$F$1253,"HEAT",Intervalle!$G$1158:$G$1253,"ST")))</f>
        <v>0.0</v>
      </c>
      <c r="K18" s="5">
        <f>IF($B18&lt;&gt;"OK","",IF(Eingaben!$B$5="Report",Reportdaten!K18,SUMIFS(Intervalle!$C$1158:$C$1253,Intervalle!$F$1158:$F$1253,"HEAT",Intervalle!$G$1158:$G$1253,"HT")))</f>
        <v>0.0</v>
      </c>
      <c r="L18" s="5">
        <f>IF($B18&lt;&gt;"OK","",SUM(C18:K18))</f>
        <v>0.632</v>
      </c>
      <c r="M18" s="5">
        <f>IF($B18&lt;&gt;"OK","",SUM(C18:E18))</f>
        <v>0.07</v>
      </c>
      <c r="N18" s="5">
        <f>IF($B18&lt;&gt;"OK","",SUM(F18:H18))</f>
        <v>0.562</v>
      </c>
      <c r="O18" s="5">
        <f>IF($B18&lt;&gt;"OK","",SUM(I18:K18))</f>
        <v>0.0</v>
      </c>
      <c r="P18" s="5">
        <f>IF($B18&lt;&gt;"OK","",C18+F18+I18)</f>
        <v>0.467</v>
      </c>
      <c r="Q18" s="5">
        <f>IF($B18&lt;&gt;"OK","",D18+G18+J18)</f>
        <v>0.137</v>
      </c>
      <c r="R18" s="5">
        <f>IF($B18&lt;&gt;"OK","",E18+H18+K18)</f>
        <v>0.028</v>
      </c>
      <c r="S18" s="7">
        <f>IF($B18&lt;&gt;"OK","",M18*Eingaben!$B$11/100)</f>
        <v>0.01054578</v>
      </c>
      <c r="T18" s="7">
        <f>IF($B18&lt;&gt;"OK","",N18*Eingaben!$B$12/100)</f>
        <v>0.158902128</v>
      </c>
      <c r="U18" s="7">
        <f>IF($B18&lt;&gt;"OK","",IF(O18=0,0,O18*Eingaben!$B$13/100))</f>
        <v>0.0</v>
      </c>
      <c r="V18" s="7">
        <f>IF($B18&lt;&gt;"OK","",IF(Eingaben!$B$15="Zeitanteilig",Eingaben!$B$14*12/365,Eingaben!$B$14/Eingaben!$B$25))</f>
        <v>0.5835238356164384</v>
      </c>
      <c r="W18" s="7">
        <f>IF($B18&lt;&gt;"OK","",L18*(IF(A18&lt;Eingaben!$B$18,Eingaben!$B$9,Eingaben!$B$10)-Eingaben!$B$8)*(1+Eingaben!$B$7)/100)</f>
        <v>0.0</v>
      </c>
      <c r="X18" s="7">
        <f>IF($B18&lt;&gt;"OK","",IF(A18&gt;=Eingaben!$B$17,-Eingaben!$B$16*(1+Eingaben!$B$7)/Eingaben!$B$26,0))</f>
        <v>-0.3531854794520548</v>
      </c>
      <c r="Y18" s="7">
        <f>IF($B18&lt;&gt;"OK","",-L18*IF(A18&lt;Eingaben!$B$18,Eingaben!$B$9,Eingaben!$B$10)*(1+Eingaben!$B$7)/100)</f>
        <v>-0.05753412</v>
      </c>
      <c r="Z18" s="7">
        <f>IF($B18&lt;&gt;"OK","",IF(A18&lt;Eingaben!$B$18,P18*Eingaben!$B$9/100,IF(Eingaben!$B$5="Report",P18*Eingaben!$B$30/100,SUMIFS(Intervalle!$K$1158:$K$1253,Intervalle!$G$1158:$G$1253,"NT")))*(1+Eingaben!$B$7))</f>
        <v>0.009113972</v>
      </c>
      <c r="AA18" s="7">
        <f>IF($B18&lt;&gt;"OK","",IF(A18&lt;Eingaben!$B$18,Q18*Eingaben!$B$9/100,IF(Eingaben!$B$5="Report",Q18*Eingaben!$B$31/100,SUMIFS(Intervalle!$K$1158:$K$1253,Intervalle!$G$1158:$G$1253,"ST")))*(1+Eingaben!$B$7))</f>
        <v>0.008934044</v>
      </c>
      <c r="AB18" s="7">
        <f>IF($B18&lt;&gt;"OK","",IF(A18&lt;Eingaben!$B$18,R18*Eingaben!$B$9/100,IF(Eingaben!$B$5="Report",R18*Eingaben!$B$32/100,SUMIFS(Intervalle!$K$1158:$K$1253,Intervalle!$G$1158:$G$1253,"HT")))*(1+Eingaben!$B$7))</f>
        <v>0.003505264</v>
      </c>
      <c r="AC18" s="7">
        <f>IF($B18&lt;&gt;"OK","",-SUM(Y18:AB18))</f>
        <v>0.03598084</v>
      </c>
      <c r="AD18" s="7">
        <f>IF($B18&lt;&gt;"OK","",SUM(S18:AB18))</f>
        <v>0.36380542416438355</v>
      </c>
      <c r="AE18" s="7">
        <f>IF($B18&lt;&gt;"OK","",IF(Eingaben!$B$5="Report",Reportdaten!L18,""))</f>
        <v>0.36</v>
      </c>
      <c r="AF18" s="7">
        <f>IF($B18&lt;&gt;"OK","",IF(Eingaben!$B$5="Report",AD18-AE18,""))</f>
        <v>0.003805424164383562</v>
      </c>
    </row>
    <row r="19" spans="1:32">
      <c r="A19" s="14">
        <v>46156</v>
      </c>
      <c r="B19" t="str">
        <f>IF(Eingaben!$B$27&lt;&gt;"OK","NETZREFERENZ FEHLT",IF(AND(A19&lt;Eingaben!$B$18,NOT(ISNUMBER(Eingaben!$B$9))),"NORMALER NETZPREIS FEHLT",IF(Eingaben!$B$5="Report",IF(Reportdaten!Q19&lt;&gt;"complete","REPORT UNVOLLSTAENDIG",IF(AND(SUM(Reportdaten!I19:K19)&gt;0,NOT(ISNUMBER(Eingaben!$B$13))),"HEAT-PREIS FEHLT","OK")),IF(COUNTIF(Intervalle!J1254:J1349,"OK")=96,"OK","INTERVALLE UNVOLLSTAENDIG"))))</f>
        <v>OK</v>
      </c>
      <c r="C19" s="5">
        <f>IF($B19&lt;&gt;"OK","",IF(Eingaben!$B$5="Report",Reportdaten!C19,SUMIFS(Intervalle!$C$1254:$C$1349,Intervalle!$F$1254:$F$1349,"GO",Intervalle!$G$1254:$G$1349,"NT")))</f>
        <v>0.086</v>
      </c>
      <c r="D19" s="5">
        <f>IF($B19&lt;&gt;"OK","",IF(Eingaben!$B$5="Report",Reportdaten!D19,SUMIFS(Intervalle!$C$1254:$C$1349,Intervalle!$F$1254:$F$1349,"GO",Intervalle!$G$1254:$G$1349,"ST")))</f>
        <v>0.0</v>
      </c>
      <c r="E19" s="5">
        <f>IF($B19&lt;&gt;"OK","",IF(Eingaben!$B$5="Report",Reportdaten!E19,SUMIFS(Intervalle!$C$1254:$C$1349,Intervalle!$F$1254:$F$1349,"GO",Intervalle!$G$1254:$G$1349,"HT")))</f>
        <v>0.0</v>
      </c>
      <c r="F19" s="5">
        <f>IF($B19&lt;&gt;"OK","",IF(Eingaben!$B$5="Report",Reportdaten!F19,SUMIFS(Intervalle!$C$1254:$C$1349,Intervalle!$F$1254:$F$1349,"STANDARD",Intervalle!$G$1254:$G$1349,"NT")))</f>
        <v>0.17</v>
      </c>
      <c r="G19" s="5">
        <f>IF($B19&lt;&gt;"OK","",IF(Eingaben!$B$5="Report",Reportdaten!G19,SUMIFS(Intervalle!$C$1254:$C$1349,Intervalle!$F$1254:$F$1349,"STANDARD",Intervalle!$G$1254:$G$1349,"ST")))</f>
        <v>0.511</v>
      </c>
      <c r="H19" s="5">
        <f>IF($B19&lt;&gt;"OK","",IF(Eingaben!$B$5="Report",Reportdaten!H19,SUMIFS(Intervalle!$C$1254:$C$1349,Intervalle!$F$1254:$F$1349,"STANDARD",Intervalle!$G$1254:$G$1349,"HT")))</f>
        <v>0.039</v>
      </c>
      <c r="I19" s="5">
        <f>IF($B19&lt;&gt;"OK","",IF(Eingaben!$B$5="Report",Reportdaten!I19,SUMIFS(Intervalle!$C$1254:$C$1349,Intervalle!$F$1254:$F$1349,"HEAT",Intervalle!$G$1254:$G$1349,"NT")))</f>
        <v>0.0</v>
      </c>
      <c r="J19" s="5">
        <f>IF($B19&lt;&gt;"OK","",IF(Eingaben!$B$5="Report",Reportdaten!J19,SUMIFS(Intervalle!$C$1254:$C$1349,Intervalle!$F$1254:$F$1349,"HEAT",Intervalle!$G$1254:$G$1349,"ST")))</f>
        <v>0.0</v>
      </c>
      <c r="K19" s="5">
        <f>IF($B19&lt;&gt;"OK","",IF(Eingaben!$B$5="Report",Reportdaten!K19,SUMIFS(Intervalle!$C$1254:$C$1349,Intervalle!$F$1254:$F$1349,"HEAT",Intervalle!$G$1254:$G$1349,"HT")))</f>
        <v>0.0</v>
      </c>
      <c r="L19" s="5">
        <f>IF($B19&lt;&gt;"OK","",SUM(C19:K19))</f>
        <v>0.806</v>
      </c>
      <c r="M19" s="5">
        <f>IF($B19&lt;&gt;"OK","",SUM(C19:E19))</f>
        <v>0.086</v>
      </c>
      <c r="N19" s="5">
        <f>IF($B19&lt;&gt;"OK","",SUM(F19:H19))</f>
        <v>0.72</v>
      </c>
      <c r="O19" s="5">
        <f>IF($B19&lt;&gt;"OK","",SUM(I19:K19))</f>
        <v>0.0</v>
      </c>
      <c r="P19" s="5">
        <f>IF($B19&lt;&gt;"OK","",C19+F19+I19)</f>
        <v>0.256</v>
      </c>
      <c r="Q19" s="5">
        <f>IF($B19&lt;&gt;"OK","",D19+G19+J19)</f>
        <v>0.511</v>
      </c>
      <c r="R19" s="5">
        <f>IF($B19&lt;&gt;"OK","",E19+H19+K19)</f>
        <v>0.039</v>
      </c>
      <c r="S19" s="7">
        <f>IF($B19&lt;&gt;"OK","",M19*Eingaben!$B$11/100)</f>
        <v>0.012956244</v>
      </c>
      <c r="T19" s="7">
        <f>IF($B19&lt;&gt;"OK","",N19*Eingaben!$B$12/100)</f>
        <v>0.20357568</v>
      </c>
      <c r="U19" s="7">
        <f>IF($B19&lt;&gt;"OK","",IF(O19=0,0,O19*Eingaben!$B$13/100))</f>
        <v>0.0</v>
      </c>
      <c r="V19" s="7">
        <f>IF($B19&lt;&gt;"OK","",IF(Eingaben!$B$15="Zeitanteilig",Eingaben!$B$14*12/365,Eingaben!$B$14/Eingaben!$B$25))</f>
        <v>0.5835238356164384</v>
      </c>
      <c r="W19" s="7">
        <f>IF($B19&lt;&gt;"OK","",L19*(IF(A19&lt;Eingaben!$B$18,Eingaben!$B$9,Eingaben!$B$10)-Eingaben!$B$8)*(1+Eingaben!$B$7)/100)</f>
        <v>0.0</v>
      </c>
      <c r="X19" s="7">
        <f>IF($B19&lt;&gt;"OK","",IF(A19&gt;=Eingaben!$B$17,-Eingaben!$B$16*(1+Eingaben!$B$7)/Eingaben!$B$26,0))</f>
        <v>-0.3531854794520548</v>
      </c>
      <c r="Y19" s="7">
        <f>IF($B19&lt;&gt;"OK","",-L19*IF(A19&lt;Eingaben!$B$18,Eingaben!$B$9,Eingaben!$B$10)*(1+Eingaben!$B$7)/100)</f>
        <v>-0.07337421</v>
      </c>
      <c r="Z19" s="7">
        <f>IF($B19&lt;&gt;"OK","",IF(A19&lt;Eingaben!$B$18,P19*Eingaben!$B$9/100,IF(Eingaben!$B$5="Report",P19*Eingaben!$B$30/100,SUMIFS(Intervalle!$K$1254:$K$1349,Intervalle!$G$1254:$G$1349,"NT")))*(1+Eingaben!$B$7))</f>
        <v>0.004996096</v>
      </c>
      <c r="AA19" s="7">
        <f>IF($B19&lt;&gt;"OK","",IF(A19&lt;Eingaben!$B$18,Q19*Eingaben!$B$9/100,IF(Eingaben!$B$5="Report",Q19*Eingaben!$B$31/100,SUMIFS(Intervalle!$K$1254:$K$1349,Intervalle!$G$1254:$G$1349,"ST")))*(1+Eingaben!$B$7))</f>
        <v>0.033323332</v>
      </c>
      <c r="AB19" s="7">
        <f>IF($B19&lt;&gt;"OK","",IF(A19&lt;Eingaben!$B$18,R19*Eingaben!$B$9/100,IF(Eingaben!$B$5="Report",R19*Eingaben!$B$32/100,SUMIFS(Intervalle!$K$1254:$K$1349,Intervalle!$G$1254:$G$1349,"HT")))*(1+Eingaben!$B$7))</f>
        <v>0.004882332</v>
      </c>
      <c r="AC19" s="7">
        <f>IF($B19&lt;&gt;"OK","",-SUM(Y19:AB19))</f>
        <v>0.03017245</v>
      </c>
      <c r="AD19" s="7">
        <f>IF($B19&lt;&gt;"OK","",SUM(S19:AB19))</f>
        <v>0.41669783016438355</v>
      </c>
      <c r="AE19" s="7">
        <f>IF($B19&lt;&gt;"OK","",IF(Eingaben!$B$5="Report",Reportdaten!L19,""))</f>
        <v>0.42</v>
      </c>
      <c r="AF19" s="7">
        <f>IF($B19&lt;&gt;"OK","",IF(Eingaben!$B$5="Report",AD19-AE19,""))</f>
        <v>-0.0033021698356164382</v>
      </c>
    </row>
    <row r="20" spans="1:32">
      <c r="A20" s="14">
        <v>46157</v>
      </c>
      <c r="B20" t="str">
        <f>IF(Eingaben!$B$27&lt;&gt;"OK","NETZREFERENZ FEHLT",IF(AND(A20&lt;Eingaben!$B$18,NOT(ISNUMBER(Eingaben!$B$9))),"NORMALER NETZPREIS FEHLT",IF(Eingaben!$B$5="Report",IF(Reportdaten!Q20&lt;&gt;"complete","REPORT UNVOLLSTAENDIG",IF(AND(SUM(Reportdaten!I20:K20)&gt;0,NOT(ISNUMBER(Eingaben!$B$13))),"HEAT-PREIS FEHLT","OK")),IF(COUNTIF(Intervalle!J1350:J1445,"OK")=96,"OK","INTERVALLE UNVOLLSTAENDIG"))))</f>
        <v>OK</v>
      </c>
      <c r="C20" s="5">
        <f>IF($B20&lt;&gt;"OK","",IF(Eingaben!$B$5="Report",Reportdaten!C20,SUMIFS(Intervalle!$C$1350:$C$1445,Intervalle!$F$1350:$F$1445,"GO",Intervalle!$G$1350:$G$1445,"NT")))</f>
        <v>0.058</v>
      </c>
      <c r="D20" s="5">
        <f>IF($B20&lt;&gt;"OK","",IF(Eingaben!$B$5="Report",Reportdaten!D20,SUMIFS(Intervalle!$C$1350:$C$1445,Intervalle!$F$1350:$F$1445,"GO",Intervalle!$G$1350:$G$1445,"ST")))</f>
        <v>0.0</v>
      </c>
      <c r="E20" s="5">
        <f>IF($B20&lt;&gt;"OK","",IF(Eingaben!$B$5="Report",Reportdaten!E20,SUMIFS(Intervalle!$C$1350:$C$1445,Intervalle!$F$1350:$F$1445,"GO",Intervalle!$G$1350:$G$1445,"HT")))</f>
        <v>0.0</v>
      </c>
      <c r="F20" s="5">
        <f>IF($B20&lt;&gt;"OK","",IF(Eingaben!$B$5="Report",Reportdaten!F20,SUMIFS(Intervalle!$C$1350:$C$1445,Intervalle!$F$1350:$F$1445,"STANDARD",Intervalle!$G$1350:$G$1445,"NT")))</f>
        <v>0.058</v>
      </c>
      <c r="G20" s="5">
        <f>IF($B20&lt;&gt;"OK","",IF(Eingaben!$B$5="Report",Reportdaten!G20,SUMIFS(Intervalle!$C$1350:$C$1445,Intervalle!$F$1350:$F$1445,"STANDARD",Intervalle!$G$1350:$G$1445,"ST")))</f>
        <v>0.124</v>
      </c>
      <c r="H20" s="5">
        <f>IF($B20&lt;&gt;"OK","",IF(Eingaben!$B$5="Report",Reportdaten!H20,SUMIFS(Intervalle!$C$1350:$C$1445,Intervalle!$F$1350:$F$1445,"STANDARD",Intervalle!$G$1350:$G$1445,"HT")))</f>
        <v>0.195</v>
      </c>
      <c r="I20" s="5">
        <f>IF($B20&lt;&gt;"OK","",IF(Eingaben!$B$5="Report",Reportdaten!I20,SUMIFS(Intervalle!$C$1350:$C$1445,Intervalle!$F$1350:$F$1445,"HEAT",Intervalle!$G$1350:$G$1445,"NT")))</f>
        <v>0.0</v>
      </c>
      <c r="J20" s="5">
        <f>IF($B20&lt;&gt;"OK","",IF(Eingaben!$B$5="Report",Reportdaten!J20,SUMIFS(Intervalle!$C$1350:$C$1445,Intervalle!$F$1350:$F$1445,"HEAT",Intervalle!$G$1350:$G$1445,"ST")))</f>
        <v>0.0</v>
      </c>
      <c r="K20" s="5">
        <f>IF($B20&lt;&gt;"OK","",IF(Eingaben!$B$5="Report",Reportdaten!K20,SUMIFS(Intervalle!$C$1350:$C$1445,Intervalle!$F$1350:$F$1445,"HEAT",Intervalle!$G$1350:$G$1445,"HT")))</f>
        <v>0.0</v>
      </c>
      <c r="L20" s="5">
        <f>IF($B20&lt;&gt;"OK","",SUM(C20:K20))</f>
        <v>0.435</v>
      </c>
      <c r="M20" s="5">
        <f>IF($B20&lt;&gt;"OK","",SUM(C20:E20))</f>
        <v>0.058</v>
      </c>
      <c r="N20" s="5">
        <f>IF($B20&lt;&gt;"OK","",SUM(F20:H20))</f>
        <v>0.377</v>
      </c>
      <c r="O20" s="5">
        <f>IF($B20&lt;&gt;"OK","",SUM(I20:K20))</f>
        <v>0.0</v>
      </c>
      <c r="P20" s="5">
        <f>IF($B20&lt;&gt;"OK","",C20+F20+I20)</f>
        <v>0.116</v>
      </c>
      <c r="Q20" s="5">
        <f>IF($B20&lt;&gt;"OK","",D20+G20+J20)</f>
        <v>0.124</v>
      </c>
      <c r="R20" s="5">
        <f>IF($B20&lt;&gt;"OK","",E20+H20+K20)</f>
        <v>0.195</v>
      </c>
      <c r="S20" s="7">
        <f>IF($B20&lt;&gt;"OK","",M20*Eingaben!$B$11/100)</f>
        <v>0.008737932</v>
      </c>
      <c r="T20" s="7">
        <f>IF($B20&lt;&gt;"OK","",N20*Eingaben!$B$12/100)</f>
        <v>0.106594488</v>
      </c>
      <c r="U20" s="7">
        <f>IF($B20&lt;&gt;"OK","",IF(O20=0,0,O20*Eingaben!$B$13/100))</f>
        <v>0.0</v>
      </c>
      <c r="V20" s="7">
        <f>IF($B20&lt;&gt;"OK","",IF(Eingaben!$B$15="Zeitanteilig",Eingaben!$B$14*12/365,Eingaben!$B$14/Eingaben!$B$25))</f>
        <v>0.5835238356164384</v>
      </c>
      <c r="W20" s="7">
        <f>IF($B20&lt;&gt;"OK","",L20*(IF(A20&lt;Eingaben!$B$18,Eingaben!$B$9,Eingaben!$B$10)-Eingaben!$B$8)*(1+Eingaben!$B$7)/100)</f>
        <v>0.0</v>
      </c>
      <c r="X20" s="7">
        <f>IF($B20&lt;&gt;"OK","",IF(A20&gt;=Eingaben!$B$17,-Eingaben!$B$16*(1+Eingaben!$B$7)/Eingaben!$B$26,0))</f>
        <v>-0.3531854794520548</v>
      </c>
      <c r="Y20" s="7">
        <f>IF($B20&lt;&gt;"OK","",-L20*IF(A20&lt;Eingaben!$B$18,Eingaben!$B$9,Eingaben!$B$10)*(1+Eingaben!$B$7)/100)</f>
        <v>-0.039600225</v>
      </c>
      <c r="Z20" s="7">
        <f>IF($B20&lt;&gt;"OK","",IF(A20&lt;Eingaben!$B$18,P20*Eingaben!$B$9/100,IF(Eingaben!$B$5="Report",P20*Eingaben!$B$30/100,SUMIFS(Intervalle!$K$1350:$K$1445,Intervalle!$G$1350:$G$1445,"NT")))*(1+Eingaben!$B$7))</f>
        <v>0.002263856</v>
      </c>
      <c r="AA20" s="7">
        <f>IF($B20&lt;&gt;"OK","",IF(A20&lt;Eingaben!$B$18,Q20*Eingaben!$B$9/100,IF(Eingaben!$B$5="Report",Q20*Eingaben!$B$31/100,SUMIFS(Intervalle!$K$1350:$K$1445,Intervalle!$G$1350:$G$1445,"ST")))*(1+Eingaben!$B$7))</f>
        <v>0.008086288</v>
      </c>
      <c r="AB20" s="7">
        <f>IF($B20&lt;&gt;"OK","",IF(A20&lt;Eingaben!$B$18,R20*Eingaben!$B$9/100,IF(Eingaben!$B$5="Report",R20*Eingaben!$B$32/100,SUMIFS(Intervalle!$K$1350:$K$1445,Intervalle!$G$1350:$G$1445,"HT")))*(1+Eingaben!$B$7))</f>
        <v>0.02441166</v>
      </c>
      <c r="AC20" s="7">
        <f>IF($B20&lt;&gt;"OK","",-SUM(Y20:AB20))</f>
        <v>0.004838421</v>
      </c>
      <c r="AD20" s="7">
        <f>IF($B20&lt;&gt;"OK","",SUM(S20:AB20))</f>
        <v>0.34083235516438354</v>
      </c>
      <c r="AE20" s="7">
        <f>IF($B20&lt;&gt;"OK","",IF(Eingaben!$B$5="Report",Reportdaten!L20,""))</f>
        <v>0.34</v>
      </c>
      <c r="AF20" s="7">
        <f>IF($B20&lt;&gt;"OK","",IF(Eingaben!$B$5="Report",AD20-AE20,""))</f>
        <v>0.0008323551643835617</v>
      </c>
    </row>
    <row r="21" spans="1:32">
      <c r="A21" s="14">
        <v>46158</v>
      </c>
      <c r="B21" t="str">
        <f>IF(Eingaben!$B$27&lt;&gt;"OK","NETZREFERENZ FEHLT",IF(AND(A21&lt;Eingaben!$B$18,NOT(ISNUMBER(Eingaben!$B$9))),"NORMALER NETZPREIS FEHLT",IF(Eingaben!$B$5="Report",IF(Reportdaten!Q21&lt;&gt;"complete","REPORT UNVOLLSTAENDIG",IF(AND(SUM(Reportdaten!I21:K21)&gt;0,NOT(ISNUMBER(Eingaben!$B$13))),"HEAT-PREIS FEHLT","OK")),IF(COUNTIF(Intervalle!J1446:J1541,"OK")=96,"OK","INTERVALLE UNVOLLSTAENDIG"))))</f>
        <v>OK</v>
      </c>
      <c r="C21" s="5">
        <f>IF($B21&lt;&gt;"OK","",IF(Eingaben!$B$5="Report",Reportdaten!C21,SUMIFS(Intervalle!$C$1446:$C$1541,Intervalle!$F$1446:$F$1541,"GO",Intervalle!$G$1446:$G$1541,"NT")))</f>
        <v>0.059</v>
      </c>
      <c r="D21" s="5">
        <f>IF($B21&lt;&gt;"OK","",IF(Eingaben!$B$5="Report",Reportdaten!D21,SUMIFS(Intervalle!$C$1446:$C$1541,Intervalle!$F$1446:$F$1541,"GO",Intervalle!$G$1446:$G$1541,"ST")))</f>
        <v>0.0</v>
      </c>
      <c r="E21" s="5">
        <f>IF($B21&lt;&gt;"OK","",IF(Eingaben!$B$5="Report",Reportdaten!E21,SUMIFS(Intervalle!$C$1446:$C$1541,Intervalle!$F$1446:$F$1541,"GO",Intervalle!$G$1446:$G$1541,"HT")))</f>
        <v>0.0</v>
      </c>
      <c r="F21" s="5">
        <f>IF($B21&lt;&gt;"OK","",IF(Eingaben!$B$5="Report",Reportdaten!F21,SUMIFS(Intervalle!$C$1446:$C$1541,Intervalle!$F$1446:$F$1541,"STANDARD",Intervalle!$G$1446:$G$1541,"NT")))</f>
        <v>0.093</v>
      </c>
      <c r="G21" s="5">
        <f>IF($B21&lt;&gt;"OK","",IF(Eingaben!$B$5="Report",Reportdaten!G21,SUMIFS(Intervalle!$C$1446:$C$1541,Intervalle!$F$1446:$F$1541,"STANDARD",Intervalle!$G$1446:$G$1541,"ST")))</f>
        <v>0.874</v>
      </c>
      <c r="H21" s="5">
        <f>IF($B21&lt;&gt;"OK","",IF(Eingaben!$B$5="Report",Reportdaten!H21,SUMIFS(Intervalle!$C$1446:$C$1541,Intervalle!$F$1446:$F$1541,"STANDARD",Intervalle!$G$1446:$G$1541,"HT")))</f>
        <v>0.304</v>
      </c>
      <c r="I21" s="5">
        <f>IF($B21&lt;&gt;"OK","",IF(Eingaben!$B$5="Report",Reportdaten!I21,SUMIFS(Intervalle!$C$1446:$C$1541,Intervalle!$F$1446:$F$1541,"HEAT",Intervalle!$G$1446:$G$1541,"NT")))</f>
        <v>0.0</v>
      </c>
      <c r="J21" s="5">
        <f>IF($B21&lt;&gt;"OK","",IF(Eingaben!$B$5="Report",Reportdaten!J21,SUMIFS(Intervalle!$C$1446:$C$1541,Intervalle!$F$1446:$F$1541,"HEAT",Intervalle!$G$1446:$G$1541,"ST")))</f>
        <v>0.0</v>
      </c>
      <c r="K21" s="5">
        <f>IF($B21&lt;&gt;"OK","",IF(Eingaben!$B$5="Report",Reportdaten!K21,SUMIFS(Intervalle!$C$1446:$C$1541,Intervalle!$F$1446:$F$1541,"HEAT",Intervalle!$G$1446:$G$1541,"HT")))</f>
        <v>0.0</v>
      </c>
      <c r="L21" s="5">
        <f>IF($B21&lt;&gt;"OK","",SUM(C21:K21))</f>
        <v>1.33</v>
      </c>
      <c r="M21" s="5">
        <f>IF($B21&lt;&gt;"OK","",SUM(C21:E21))</f>
        <v>0.059</v>
      </c>
      <c r="N21" s="5">
        <f>IF($B21&lt;&gt;"OK","",SUM(F21:H21))</f>
        <v>1.271</v>
      </c>
      <c r="O21" s="5">
        <f>IF($B21&lt;&gt;"OK","",SUM(I21:K21))</f>
        <v>0.0</v>
      </c>
      <c r="P21" s="5">
        <f>IF($B21&lt;&gt;"OK","",C21+F21+I21)</f>
        <v>0.152</v>
      </c>
      <c r="Q21" s="5">
        <f>IF($B21&lt;&gt;"OK","",D21+G21+J21)</f>
        <v>0.874</v>
      </c>
      <c r="R21" s="5">
        <f>IF($B21&lt;&gt;"OK","",E21+H21+K21)</f>
        <v>0.304</v>
      </c>
      <c r="S21" s="7">
        <f>IF($B21&lt;&gt;"OK","",M21*Eingaben!$B$11/100)</f>
        <v>0.008888586</v>
      </c>
      <c r="T21" s="7">
        <f>IF($B21&lt;&gt;"OK","",N21*Eingaben!$B$12/100)</f>
        <v>0.359367624</v>
      </c>
      <c r="U21" s="7">
        <f>IF($B21&lt;&gt;"OK","",IF(O21=0,0,O21*Eingaben!$B$13/100))</f>
        <v>0.0</v>
      </c>
      <c r="V21" s="7">
        <f>IF($B21&lt;&gt;"OK","",IF(Eingaben!$B$15="Zeitanteilig",Eingaben!$B$14*12/365,Eingaben!$B$14/Eingaben!$B$25))</f>
        <v>0.5835238356164384</v>
      </c>
      <c r="W21" s="7">
        <f>IF($B21&lt;&gt;"OK","",L21*(IF(A21&lt;Eingaben!$B$18,Eingaben!$B$9,Eingaben!$B$10)-Eingaben!$B$8)*(1+Eingaben!$B$7)/100)</f>
        <v>0.0</v>
      </c>
      <c r="X21" s="7">
        <f>IF($B21&lt;&gt;"OK","",IF(A21&gt;=Eingaben!$B$17,-Eingaben!$B$16*(1+Eingaben!$B$7)/Eingaben!$B$26,0))</f>
        <v>-0.3531854794520548</v>
      </c>
      <c r="Y21" s="7">
        <f>IF($B21&lt;&gt;"OK","",-L21*IF(A21&lt;Eingaben!$B$18,Eingaben!$B$9,Eingaben!$B$10)*(1+Eingaben!$B$7)/100)</f>
        <v>-0.12107655</v>
      </c>
      <c r="Z21" s="7">
        <f>IF($B21&lt;&gt;"OK","",IF(A21&lt;Eingaben!$B$18,P21*Eingaben!$B$9/100,IF(Eingaben!$B$5="Report",P21*Eingaben!$B$30/100,SUMIFS(Intervalle!$K$1446:$K$1541,Intervalle!$G$1446:$G$1541,"NT")))*(1+Eingaben!$B$7))</f>
        <v>0.002966432</v>
      </c>
      <c r="AA21" s="7">
        <f>IF($B21&lt;&gt;"OK","",IF(A21&lt;Eingaben!$B$18,Q21*Eingaben!$B$9/100,IF(Eingaben!$B$5="Report",Q21*Eingaben!$B$31/100,SUMIFS(Intervalle!$K$1446:$K$1541,Intervalle!$G$1446:$G$1541,"ST")))*(1+Eingaben!$B$7))</f>
        <v>0.056995288</v>
      </c>
      <c r="AB21" s="7">
        <f>IF($B21&lt;&gt;"OK","",IF(A21&lt;Eingaben!$B$18,R21*Eingaben!$B$9/100,IF(Eingaben!$B$5="Report",R21*Eingaben!$B$32/100,SUMIFS(Intervalle!$K$1446:$K$1541,Intervalle!$G$1446:$G$1541,"HT")))*(1+Eingaben!$B$7))</f>
        <v>0.038057152</v>
      </c>
      <c r="AC21" s="7">
        <f>IF($B21&lt;&gt;"OK","",-SUM(Y21:AB21))</f>
        <v>0.023057678</v>
      </c>
      <c r="AD21" s="7">
        <f>IF($B21&lt;&gt;"OK","",SUM(S21:AB21))</f>
        <v>0.5755368881643835</v>
      </c>
      <c r="AE21" s="7">
        <f>IF($B21&lt;&gt;"OK","",IF(Eingaben!$B$5="Report",Reportdaten!L21,""))</f>
        <v>0.58</v>
      </c>
      <c r="AF21" s="7">
        <f>IF($B21&lt;&gt;"OK","",IF(Eingaben!$B$5="Report",AD21-AE21,""))</f>
        <v>-0.0044631118356164385</v>
      </c>
    </row>
    <row r="22" spans="1:32">
      <c r="A22" s="14">
        <v>46159</v>
      </c>
      <c r="B22" t="str">
        <f>IF(Eingaben!$B$27&lt;&gt;"OK","NETZREFERENZ FEHLT",IF(AND(A22&lt;Eingaben!$B$18,NOT(ISNUMBER(Eingaben!$B$9))),"NORMALER NETZPREIS FEHLT",IF(Eingaben!$B$5="Report",IF(Reportdaten!Q22&lt;&gt;"complete","REPORT UNVOLLSTAENDIG",IF(AND(SUM(Reportdaten!I22:K22)&gt;0,NOT(ISNUMBER(Eingaben!$B$13))),"HEAT-PREIS FEHLT","OK")),IF(COUNTIF(Intervalle!J1542:J1637,"OK")=96,"OK","INTERVALLE UNVOLLSTAENDIG"))))</f>
        <v>OK</v>
      </c>
      <c r="C22" s="5">
        <f>IF($B22&lt;&gt;"OK","",IF(Eingaben!$B$5="Report",Reportdaten!C22,SUMIFS(Intervalle!$C$1542:$C$1637,Intervalle!$F$1542:$F$1637,"GO",Intervalle!$G$1542:$G$1637,"NT")))</f>
        <v>0.052</v>
      </c>
      <c r="D22" s="5">
        <f>IF($B22&lt;&gt;"OK","",IF(Eingaben!$B$5="Report",Reportdaten!D22,SUMIFS(Intervalle!$C$1542:$C$1637,Intervalle!$F$1542:$F$1637,"GO",Intervalle!$G$1542:$G$1637,"ST")))</f>
        <v>0.0</v>
      </c>
      <c r="E22" s="5">
        <f>IF($B22&lt;&gt;"OK","",IF(Eingaben!$B$5="Report",Reportdaten!E22,SUMIFS(Intervalle!$C$1542:$C$1637,Intervalle!$F$1542:$F$1637,"GO",Intervalle!$G$1542:$G$1637,"HT")))</f>
        <v>0.0</v>
      </c>
      <c r="F22" s="5">
        <f>IF($B22&lt;&gt;"OK","",IF(Eingaben!$B$5="Report",Reportdaten!F22,SUMIFS(Intervalle!$C$1542:$C$1637,Intervalle!$F$1542:$F$1637,"STANDARD",Intervalle!$G$1542:$G$1637,"NT")))</f>
        <v>0.021</v>
      </c>
      <c r="G22" s="5">
        <f>IF($B22&lt;&gt;"OK","",IF(Eingaben!$B$5="Report",Reportdaten!G22,SUMIFS(Intervalle!$C$1542:$C$1637,Intervalle!$F$1542:$F$1637,"STANDARD",Intervalle!$G$1542:$G$1637,"ST")))</f>
        <v>0.057</v>
      </c>
      <c r="H22" s="5">
        <f>IF($B22&lt;&gt;"OK","",IF(Eingaben!$B$5="Report",Reportdaten!H22,SUMIFS(Intervalle!$C$1542:$C$1637,Intervalle!$F$1542:$F$1637,"STANDARD",Intervalle!$G$1542:$G$1637,"HT")))</f>
        <v>0.078</v>
      </c>
      <c r="I22" s="5">
        <f>IF($B22&lt;&gt;"OK","",IF(Eingaben!$B$5="Report",Reportdaten!I22,SUMIFS(Intervalle!$C$1542:$C$1637,Intervalle!$F$1542:$F$1637,"HEAT",Intervalle!$G$1542:$G$1637,"NT")))</f>
        <v>0.0</v>
      </c>
      <c r="J22" s="5">
        <f>IF($B22&lt;&gt;"OK","",IF(Eingaben!$B$5="Report",Reportdaten!J22,SUMIFS(Intervalle!$C$1542:$C$1637,Intervalle!$F$1542:$F$1637,"HEAT",Intervalle!$G$1542:$G$1637,"ST")))</f>
        <v>0.0</v>
      </c>
      <c r="K22" s="5">
        <f>IF($B22&lt;&gt;"OK","",IF(Eingaben!$B$5="Report",Reportdaten!K22,SUMIFS(Intervalle!$C$1542:$C$1637,Intervalle!$F$1542:$F$1637,"HEAT",Intervalle!$G$1542:$G$1637,"HT")))</f>
        <v>0.0</v>
      </c>
      <c r="L22" s="5">
        <f>IF($B22&lt;&gt;"OK","",SUM(C22:K22))</f>
        <v>0.208</v>
      </c>
      <c r="M22" s="5">
        <f>IF($B22&lt;&gt;"OK","",SUM(C22:E22))</f>
        <v>0.052</v>
      </c>
      <c r="N22" s="5">
        <f>IF($B22&lt;&gt;"OK","",SUM(F22:H22))</f>
        <v>0.156</v>
      </c>
      <c r="O22" s="5">
        <f>IF($B22&lt;&gt;"OK","",SUM(I22:K22))</f>
        <v>0.0</v>
      </c>
      <c r="P22" s="5">
        <f>IF($B22&lt;&gt;"OK","",C22+F22+I22)</f>
        <v>0.073</v>
      </c>
      <c r="Q22" s="5">
        <f>IF($B22&lt;&gt;"OK","",D22+G22+J22)</f>
        <v>0.057</v>
      </c>
      <c r="R22" s="5">
        <f>IF($B22&lt;&gt;"OK","",E22+H22+K22)</f>
        <v>0.078</v>
      </c>
      <c r="S22" s="7">
        <f>IF($B22&lt;&gt;"OK","",M22*Eingaben!$B$11/100)</f>
        <v>0.007834008</v>
      </c>
      <c r="T22" s="7">
        <f>IF($B22&lt;&gt;"OK","",N22*Eingaben!$B$12/100)</f>
        <v>0.044108064</v>
      </c>
      <c r="U22" s="7">
        <f>IF($B22&lt;&gt;"OK","",IF(O22=0,0,O22*Eingaben!$B$13/100))</f>
        <v>0.0</v>
      </c>
      <c r="V22" s="7">
        <f>IF($B22&lt;&gt;"OK","",IF(Eingaben!$B$15="Zeitanteilig",Eingaben!$B$14*12/365,Eingaben!$B$14/Eingaben!$B$25))</f>
        <v>0.5835238356164384</v>
      </c>
      <c r="W22" s="7">
        <f>IF($B22&lt;&gt;"OK","",L22*(IF(A22&lt;Eingaben!$B$18,Eingaben!$B$9,Eingaben!$B$10)-Eingaben!$B$8)*(1+Eingaben!$B$7)/100)</f>
        <v>0.0</v>
      </c>
      <c r="X22" s="7">
        <f>IF($B22&lt;&gt;"OK","",IF(A22&gt;=Eingaben!$B$17,-Eingaben!$B$16*(1+Eingaben!$B$7)/Eingaben!$B$26,0))</f>
        <v>-0.3531854794520548</v>
      </c>
      <c r="Y22" s="7">
        <f>IF($B22&lt;&gt;"OK","",-L22*IF(A22&lt;Eingaben!$B$18,Eingaben!$B$9,Eingaben!$B$10)*(1+Eingaben!$B$7)/100)</f>
        <v>-0.01893528</v>
      </c>
      <c r="Z22" s="7">
        <f>IF($B22&lt;&gt;"OK","",IF(A22&lt;Eingaben!$B$18,P22*Eingaben!$B$9/100,IF(Eingaben!$B$5="Report",P22*Eingaben!$B$30/100,SUMIFS(Intervalle!$K$1542:$K$1637,Intervalle!$G$1542:$G$1637,"NT")))*(1+Eingaben!$B$7))</f>
        <v>0.001424668</v>
      </c>
      <c r="AA22" s="7">
        <f>IF($B22&lt;&gt;"OK","",IF(A22&lt;Eingaben!$B$18,Q22*Eingaben!$B$9/100,IF(Eingaben!$B$5="Report",Q22*Eingaben!$B$31/100,SUMIFS(Intervalle!$K$1542:$K$1637,Intervalle!$G$1542:$G$1637,"ST")))*(1+Eingaben!$B$7))</f>
        <v>0.003717084</v>
      </c>
      <c r="AB22" s="7">
        <f>IF($B22&lt;&gt;"OK","",IF(A22&lt;Eingaben!$B$18,R22*Eingaben!$B$9/100,IF(Eingaben!$B$5="Report",R22*Eingaben!$B$32/100,SUMIFS(Intervalle!$K$1542:$K$1637,Intervalle!$G$1542:$G$1637,"HT")))*(1+Eingaben!$B$7))</f>
        <v>0.009764664</v>
      </c>
      <c r="AC22" s="7">
        <f>IF($B22&lt;&gt;"OK","",-SUM(Y22:AB22))</f>
        <v>0.004028864</v>
      </c>
      <c r="AD22" s="7">
        <f>IF($B22&lt;&gt;"OK","",SUM(S22:AB22))</f>
        <v>0.27825156416438357</v>
      </c>
      <c r="AE22" s="7">
        <f>IF($B22&lt;&gt;"OK","",IF(Eingaben!$B$5="Report",Reportdaten!L22,""))</f>
        <v>0.28</v>
      </c>
      <c r="AF22" s="7">
        <f>IF($B22&lt;&gt;"OK","",IF(Eingaben!$B$5="Report",AD22-AE22,""))</f>
        <v>-0.0017484358356164385</v>
      </c>
    </row>
    <row r="23" spans="1:32">
      <c r="A23" s="14">
        <v>46160</v>
      </c>
      <c r="B23" t="str">
        <f>IF(Eingaben!$B$27&lt;&gt;"OK","NETZREFERENZ FEHLT",IF(AND(A23&lt;Eingaben!$B$18,NOT(ISNUMBER(Eingaben!$B$9))),"NORMALER NETZPREIS FEHLT",IF(Eingaben!$B$5="Report",IF(Reportdaten!Q23&lt;&gt;"complete","REPORT UNVOLLSTAENDIG",IF(AND(SUM(Reportdaten!I23:K23)&gt;0,NOT(ISNUMBER(Eingaben!$B$13))),"HEAT-PREIS FEHLT","OK")),IF(COUNTIF(Intervalle!J1638:J1733,"OK")=96,"OK","INTERVALLE UNVOLLSTAENDIG"))))</f>
        <v>OK</v>
      </c>
      <c r="C23" s="5">
        <f>IF($B23&lt;&gt;"OK","",IF(Eingaben!$B$5="Report",Reportdaten!C23,SUMIFS(Intervalle!$C$1638:$C$1733,Intervalle!$F$1638:$F$1733,"GO",Intervalle!$G$1638:$G$1733,"NT")))</f>
        <v>0.065</v>
      </c>
      <c r="D23" s="5">
        <f>IF($B23&lt;&gt;"OK","",IF(Eingaben!$B$5="Report",Reportdaten!D23,SUMIFS(Intervalle!$C$1638:$C$1733,Intervalle!$F$1638:$F$1733,"GO",Intervalle!$G$1638:$G$1733,"ST")))</f>
        <v>0.0</v>
      </c>
      <c r="E23" s="5">
        <f>IF($B23&lt;&gt;"OK","",IF(Eingaben!$B$5="Report",Reportdaten!E23,SUMIFS(Intervalle!$C$1638:$C$1733,Intervalle!$F$1638:$F$1733,"GO",Intervalle!$G$1638:$G$1733,"HT")))</f>
        <v>0.0</v>
      </c>
      <c r="F23" s="5">
        <f>IF($B23&lt;&gt;"OK","",IF(Eingaben!$B$5="Report",Reportdaten!F23,SUMIFS(Intervalle!$C$1638:$C$1733,Intervalle!$F$1638:$F$1733,"STANDARD",Intervalle!$G$1638:$G$1733,"NT")))</f>
        <v>0.024</v>
      </c>
      <c r="G23" s="5">
        <f>IF($B23&lt;&gt;"OK","",IF(Eingaben!$B$5="Report",Reportdaten!G23,SUMIFS(Intervalle!$C$1638:$C$1733,Intervalle!$F$1638:$F$1733,"STANDARD",Intervalle!$G$1638:$G$1733,"ST")))</f>
        <v>0.089</v>
      </c>
      <c r="H23" s="5">
        <f>IF($B23&lt;&gt;"OK","",IF(Eingaben!$B$5="Report",Reportdaten!H23,SUMIFS(Intervalle!$C$1638:$C$1733,Intervalle!$F$1638:$F$1733,"STANDARD",Intervalle!$G$1638:$G$1733,"HT")))</f>
        <v>0.093</v>
      </c>
      <c r="I23" s="5">
        <f>IF($B23&lt;&gt;"OK","",IF(Eingaben!$B$5="Report",Reportdaten!I23,SUMIFS(Intervalle!$C$1638:$C$1733,Intervalle!$F$1638:$F$1733,"HEAT",Intervalle!$G$1638:$G$1733,"NT")))</f>
        <v>0.0</v>
      </c>
      <c r="J23" s="5">
        <f>IF($B23&lt;&gt;"OK","",IF(Eingaben!$B$5="Report",Reportdaten!J23,SUMIFS(Intervalle!$C$1638:$C$1733,Intervalle!$F$1638:$F$1733,"HEAT",Intervalle!$G$1638:$G$1733,"ST")))</f>
        <v>0.0</v>
      </c>
      <c r="K23" s="5">
        <f>IF($B23&lt;&gt;"OK","",IF(Eingaben!$B$5="Report",Reportdaten!K23,SUMIFS(Intervalle!$C$1638:$C$1733,Intervalle!$F$1638:$F$1733,"HEAT",Intervalle!$G$1638:$G$1733,"HT")))</f>
        <v>0.0</v>
      </c>
      <c r="L23" s="5">
        <f>IF($B23&lt;&gt;"OK","",SUM(C23:K23))</f>
        <v>0.271</v>
      </c>
      <c r="M23" s="5">
        <f>IF($B23&lt;&gt;"OK","",SUM(C23:E23))</f>
        <v>0.065</v>
      </c>
      <c r="N23" s="5">
        <f>IF($B23&lt;&gt;"OK","",SUM(F23:H23))</f>
        <v>0.206</v>
      </c>
      <c r="O23" s="5">
        <f>IF($B23&lt;&gt;"OK","",SUM(I23:K23))</f>
        <v>0.0</v>
      </c>
      <c r="P23" s="5">
        <f>IF($B23&lt;&gt;"OK","",C23+F23+I23)</f>
        <v>0.089</v>
      </c>
      <c r="Q23" s="5">
        <f>IF($B23&lt;&gt;"OK","",D23+G23+J23)</f>
        <v>0.089</v>
      </c>
      <c r="R23" s="5">
        <f>IF($B23&lt;&gt;"OK","",E23+H23+K23)</f>
        <v>0.093</v>
      </c>
      <c r="S23" s="7">
        <f>IF($B23&lt;&gt;"OK","",M23*Eingaben!$B$11/100)</f>
        <v>0.00979251</v>
      </c>
      <c r="T23" s="7">
        <f>IF($B23&lt;&gt;"OK","",N23*Eingaben!$B$12/100)</f>
        <v>0.058245264</v>
      </c>
      <c r="U23" s="7">
        <f>IF($B23&lt;&gt;"OK","",IF(O23=0,0,O23*Eingaben!$B$13/100))</f>
        <v>0.0</v>
      </c>
      <c r="V23" s="7">
        <f>IF($B23&lt;&gt;"OK","",IF(Eingaben!$B$15="Zeitanteilig",Eingaben!$B$14*12/365,Eingaben!$B$14/Eingaben!$B$25))</f>
        <v>0.5835238356164384</v>
      </c>
      <c r="W23" s="7">
        <f>IF($B23&lt;&gt;"OK","",L23*(IF(A23&lt;Eingaben!$B$18,Eingaben!$B$9,Eingaben!$B$10)-Eingaben!$B$8)*(1+Eingaben!$B$7)/100)</f>
        <v>0.0</v>
      </c>
      <c r="X23" s="7">
        <f>IF($B23&lt;&gt;"OK","",IF(A23&gt;=Eingaben!$B$17,-Eingaben!$B$16*(1+Eingaben!$B$7)/Eingaben!$B$26,0))</f>
        <v>-0.3531854794520548</v>
      </c>
      <c r="Y23" s="7">
        <f>IF($B23&lt;&gt;"OK","",-L23*IF(A23&lt;Eingaben!$B$18,Eingaben!$B$9,Eingaben!$B$10)*(1+Eingaben!$B$7)/100)</f>
        <v>-0.024670485</v>
      </c>
      <c r="Z23" s="7">
        <f>IF($B23&lt;&gt;"OK","",IF(A23&lt;Eingaben!$B$18,P23*Eingaben!$B$9/100,IF(Eingaben!$B$5="Report",P23*Eingaben!$B$30/100,SUMIFS(Intervalle!$K$1638:$K$1733,Intervalle!$G$1638:$G$1733,"NT")))*(1+Eingaben!$B$7))</f>
        <v>0.001736924</v>
      </c>
      <c r="AA23" s="7">
        <f>IF($B23&lt;&gt;"OK","",IF(A23&lt;Eingaben!$B$18,Q23*Eingaben!$B$9/100,IF(Eingaben!$B$5="Report",Q23*Eingaben!$B$31/100,SUMIFS(Intervalle!$K$1638:$K$1733,Intervalle!$G$1638:$G$1733,"ST")))*(1+Eingaben!$B$7))</f>
        <v>0.005803868</v>
      </c>
      <c r="AB23" s="7">
        <f>IF($B23&lt;&gt;"OK","",IF(A23&lt;Eingaben!$B$18,R23*Eingaben!$B$9/100,IF(Eingaben!$B$5="Report",R23*Eingaben!$B$32/100,SUMIFS(Intervalle!$K$1638:$K$1733,Intervalle!$G$1638:$G$1733,"HT")))*(1+Eingaben!$B$7))</f>
        <v>0.011642484</v>
      </c>
      <c r="AC23" s="7">
        <f>IF($B23&lt;&gt;"OK","",-SUM(Y23:AB23))</f>
        <v>0.005487209</v>
      </c>
      <c r="AD23" s="7">
        <f>IF($B23&lt;&gt;"OK","",SUM(S23:AB23))</f>
        <v>0.2928889211643836</v>
      </c>
      <c r="AE23" s="7">
        <f>IF($B23&lt;&gt;"OK","",IF(Eingaben!$B$5="Report",Reportdaten!L23,""))</f>
        <v>0.29</v>
      </c>
      <c r="AF23" s="7">
        <f>IF($B23&lt;&gt;"OK","",IF(Eingaben!$B$5="Report",AD23-AE23,""))</f>
        <v>0.0028889211643835615</v>
      </c>
    </row>
    <row r="24" spans="1:32">
      <c r="A24" s="14">
        <v>46161</v>
      </c>
      <c r="B24" t="str">
        <f>IF(Eingaben!$B$27&lt;&gt;"OK","NETZREFERENZ FEHLT",IF(AND(A24&lt;Eingaben!$B$18,NOT(ISNUMBER(Eingaben!$B$9))),"NORMALER NETZPREIS FEHLT",IF(Eingaben!$B$5="Report",IF(Reportdaten!Q24&lt;&gt;"complete","REPORT UNVOLLSTAENDIG",IF(AND(SUM(Reportdaten!I24:K24)&gt;0,NOT(ISNUMBER(Eingaben!$B$13))),"HEAT-PREIS FEHLT","OK")),IF(COUNTIF(Intervalle!J1734:J1829,"OK")=96,"OK","INTERVALLE UNVOLLSTAENDIG"))))</f>
        <v>OK</v>
      </c>
      <c r="C24" s="5">
        <f>IF($B24&lt;&gt;"OK","",IF(Eingaben!$B$5="Report",Reportdaten!C24,SUMIFS(Intervalle!$C$1734:$C$1829,Intervalle!$F$1734:$F$1829,"GO",Intervalle!$G$1734:$G$1829,"NT")))</f>
        <v>0.048</v>
      </c>
      <c r="D24" s="5">
        <f>IF($B24&lt;&gt;"OK","",IF(Eingaben!$B$5="Report",Reportdaten!D24,SUMIFS(Intervalle!$C$1734:$C$1829,Intervalle!$F$1734:$F$1829,"GO",Intervalle!$G$1734:$G$1829,"ST")))</f>
        <v>0.0</v>
      </c>
      <c r="E24" s="5">
        <f>IF($B24&lt;&gt;"OK","",IF(Eingaben!$B$5="Report",Reportdaten!E24,SUMIFS(Intervalle!$C$1734:$C$1829,Intervalle!$F$1734:$F$1829,"GO",Intervalle!$G$1734:$G$1829,"HT")))</f>
        <v>0.0</v>
      </c>
      <c r="F24" s="5">
        <f>IF($B24&lt;&gt;"OK","",IF(Eingaben!$B$5="Report",Reportdaten!F24,SUMIFS(Intervalle!$C$1734:$C$1829,Intervalle!$F$1734:$F$1829,"STANDARD",Intervalle!$G$1734:$G$1829,"NT")))</f>
        <v>0.03</v>
      </c>
      <c r="G24" s="5">
        <f>IF($B24&lt;&gt;"OK","",IF(Eingaben!$B$5="Report",Reportdaten!G24,SUMIFS(Intervalle!$C$1734:$C$1829,Intervalle!$F$1734:$F$1829,"STANDARD",Intervalle!$G$1734:$G$1829,"ST")))</f>
        <v>0.026</v>
      </c>
      <c r="H24" s="5">
        <f>IF($B24&lt;&gt;"OK","",IF(Eingaben!$B$5="Report",Reportdaten!H24,SUMIFS(Intervalle!$C$1734:$C$1829,Intervalle!$F$1734:$F$1829,"STANDARD",Intervalle!$G$1734:$G$1829,"HT")))</f>
        <v>0.096</v>
      </c>
      <c r="I24" s="5">
        <f>IF($B24&lt;&gt;"OK","",IF(Eingaben!$B$5="Report",Reportdaten!I24,SUMIFS(Intervalle!$C$1734:$C$1829,Intervalle!$F$1734:$F$1829,"HEAT",Intervalle!$G$1734:$G$1829,"NT")))</f>
        <v>0.0</v>
      </c>
      <c r="J24" s="5">
        <f>IF($B24&lt;&gt;"OK","",IF(Eingaben!$B$5="Report",Reportdaten!J24,SUMIFS(Intervalle!$C$1734:$C$1829,Intervalle!$F$1734:$F$1829,"HEAT",Intervalle!$G$1734:$G$1829,"ST")))</f>
        <v>0.0</v>
      </c>
      <c r="K24" s="5">
        <f>IF($B24&lt;&gt;"OK","",IF(Eingaben!$B$5="Report",Reportdaten!K24,SUMIFS(Intervalle!$C$1734:$C$1829,Intervalle!$F$1734:$F$1829,"HEAT",Intervalle!$G$1734:$G$1829,"HT")))</f>
        <v>0.0</v>
      </c>
      <c r="L24" s="5">
        <f>IF($B24&lt;&gt;"OK","",SUM(C24:K24))</f>
        <v>0.2</v>
      </c>
      <c r="M24" s="5">
        <f>IF($B24&lt;&gt;"OK","",SUM(C24:E24))</f>
        <v>0.048</v>
      </c>
      <c r="N24" s="5">
        <f>IF($B24&lt;&gt;"OK","",SUM(F24:H24))</f>
        <v>0.152</v>
      </c>
      <c r="O24" s="5">
        <f>IF($B24&lt;&gt;"OK","",SUM(I24:K24))</f>
        <v>0.0</v>
      </c>
      <c r="P24" s="5">
        <f>IF($B24&lt;&gt;"OK","",C24+F24+I24)</f>
        <v>0.078</v>
      </c>
      <c r="Q24" s="5">
        <f>IF($B24&lt;&gt;"OK","",D24+G24+J24)</f>
        <v>0.026</v>
      </c>
      <c r="R24" s="5">
        <f>IF($B24&lt;&gt;"OK","",E24+H24+K24)</f>
        <v>0.096</v>
      </c>
      <c r="S24" s="7">
        <f>IF($B24&lt;&gt;"OK","",M24*Eingaben!$B$11/100)</f>
        <v>0.007231392</v>
      </c>
      <c r="T24" s="7">
        <f>IF($B24&lt;&gt;"OK","",N24*Eingaben!$B$12/100)</f>
        <v>0.042977088</v>
      </c>
      <c r="U24" s="7">
        <f>IF($B24&lt;&gt;"OK","",IF(O24=0,0,O24*Eingaben!$B$13/100))</f>
        <v>0.0</v>
      </c>
      <c r="V24" s="7">
        <f>IF($B24&lt;&gt;"OK","",IF(Eingaben!$B$15="Zeitanteilig",Eingaben!$B$14*12/365,Eingaben!$B$14/Eingaben!$B$25))</f>
        <v>0.5835238356164384</v>
      </c>
      <c r="W24" s="7">
        <f>IF($B24&lt;&gt;"OK","",L24*(IF(A24&lt;Eingaben!$B$18,Eingaben!$B$9,Eingaben!$B$10)-Eingaben!$B$8)*(1+Eingaben!$B$7)/100)</f>
        <v>0.0</v>
      </c>
      <c r="X24" s="7">
        <f>IF($B24&lt;&gt;"OK","",IF(A24&gt;=Eingaben!$B$17,-Eingaben!$B$16*(1+Eingaben!$B$7)/Eingaben!$B$26,0))</f>
        <v>-0.3531854794520548</v>
      </c>
      <c r="Y24" s="7">
        <f>IF($B24&lt;&gt;"OK","",-L24*IF(A24&lt;Eingaben!$B$18,Eingaben!$B$9,Eingaben!$B$10)*(1+Eingaben!$B$7)/100)</f>
        <v>-0.018207</v>
      </c>
      <c r="Z24" s="7">
        <f>IF($B24&lt;&gt;"OK","",IF(A24&lt;Eingaben!$B$18,P24*Eingaben!$B$9/100,IF(Eingaben!$B$5="Report",P24*Eingaben!$B$30/100,SUMIFS(Intervalle!$K$1734:$K$1829,Intervalle!$G$1734:$G$1829,"NT")))*(1+Eingaben!$B$7))</f>
        <v>0.001522248</v>
      </c>
      <c r="AA24" s="7">
        <f>IF($B24&lt;&gt;"OK","",IF(A24&lt;Eingaben!$B$18,Q24*Eingaben!$B$9/100,IF(Eingaben!$B$5="Report",Q24*Eingaben!$B$31/100,SUMIFS(Intervalle!$K$1734:$K$1829,Intervalle!$G$1734:$G$1829,"ST")))*(1+Eingaben!$B$7))</f>
        <v>0.001695512</v>
      </c>
      <c r="AB24" s="7">
        <f>IF($B24&lt;&gt;"OK","",IF(A24&lt;Eingaben!$B$18,R24*Eingaben!$B$9/100,IF(Eingaben!$B$5="Report",R24*Eingaben!$B$32/100,SUMIFS(Intervalle!$K$1734:$K$1829,Intervalle!$G$1734:$G$1829,"HT")))*(1+Eingaben!$B$7))</f>
        <v>0.012018048</v>
      </c>
      <c r="AC24" s="7">
        <f>IF($B24&lt;&gt;"OK","",-SUM(Y24:AB24))</f>
        <v>0.002971192</v>
      </c>
      <c r="AD24" s="7">
        <f>IF($B24&lt;&gt;"OK","",SUM(S24:AB24))</f>
        <v>0.2775756441643836</v>
      </c>
      <c r="AE24" s="7">
        <f>IF($B24&lt;&gt;"OK","",IF(Eingaben!$B$5="Report",Reportdaten!L24,""))</f>
        <v>0.28</v>
      </c>
      <c r="AF24" s="7">
        <f>IF($B24&lt;&gt;"OK","",IF(Eingaben!$B$5="Report",AD24-AE24,""))</f>
        <v>-0.0024243558356164385</v>
      </c>
    </row>
    <row r="25" spans="1:32">
      <c r="A25" s="14">
        <v>46162</v>
      </c>
      <c r="B25" t="str">
        <f>IF(Eingaben!$B$27&lt;&gt;"OK","NETZREFERENZ FEHLT",IF(AND(A25&lt;Eingaben!$B$18,NOT(ISNUMBER(Eingaben!$B$9))),"NORMALER NETZPREIS FEHLT",IF(Eingaben!$B$5="Report",IF(Reportdaten!Q25&lt;&gt;"complete","REPORT UNVOLLSTAENDIG",IF(AND(SUM(Reportdaten!I25:K25)&gt;0,NOT(ISNUMBER(Eingaben!$B$13))),"HEAT-PREIS FEHLT","OK")),IF(COUNTIF(Intervalle!J1830:J1925,"OK")=96,"OK","INTERVALLE UNVOLLSTAENDIG"))))</f>
        <v>OK</v>
      </c>
      <c r="C25" s="5">
        <f>IF($B25&lt;&gt;"OK","",IF(Eingaben!$B$5="Report",Reportdaten!C25,SUMIFS(Intervalle!$C$1830:$C$1925,Intervalle!$F$1830:$F$1925,"GO",Intervalle!$G$1830:$G$1925,"NT")))</f>
        <v>0.051</v>
      </c>
      <c r="D25" s="5">
        <f>IF($B25&lt;&gt;"OK","",IF(Eingaben!$B$5="Report",Reportdaten!D25,SUMIFS(Intervalle!$C$1830:$C$1925,Intervalle!$F$1830:$F$1925,"GO",Intervalle!$G$1830:$G$1925,"ST")))</f>
        <v>0.0</v>
      </c>
      <c r="E25" s="5">
        <f>IF($B25&lt;&gt;"OK","",IF(Eingaben!$B$5="Report",Reportdaten!E25,SUMIFS(Intervalle!$C$1830:$C$1925,Intervalle!$F$1830:$F$1925,"GO",Intervalle!$G$1830:$G$1925,"HT")))</f>
        <v>0.0</v>
      </c>
      <c r="F25" s="5">
        <f>IF($B25&lt;&gt;"OK","",IF(Eingaben!$B$5="Report",Reportdaten!F25,SUMIFS(Intervalle!$C$1830:$C$1925,Intervalle!$F$1830:$F$1925,"STANDARD",Intervalle!$G$1830:$G$1925,"NT")))</f>
        <v>0.057</v>
      </c>
      <c r="G25" s="5">
        <f>IF($B25&lt;&gt;"OK","",IF(Eingaben!$B$5="Report",Reportdaten!G25,SUMIFS(Intervalle!$C$1830:$C$1925,Intervalle!$F$1830:$F$1925,"STANDARD",Intervalle!$G$1830:$G$1925,"ST")))</f>
        <v>0.291</v>
      </c>
      <c r="H25" s="5">
        <f>IF($B25&lt;&gt;"OK","",IF(Eingaben!$B$5="Report",Reportdaten!H25,SUMIFS(Intervalle!$C$1830:$C$1925,Intervalle!$F$1830:$F$1925,"STANDARD",Intervalle!$G$1830:$G$1925,"HT")))</f>
        <v>0.036</v>
      </c>
      <c r="I25" s="5">
        <f>IF($B25&lt;&gt;"OK","",IF(Eingaben!$B$5="Report",Reportdaten!I25,SUMIFS(Intervalle!$C$1830:$C$1925,Intervalle!$F$1830:$F$1925,"HEAT",Intervalle!$G$1830:$G$1925,"NT")))</f>
        <v>0.0</v>
      </c>
      <c r="J25" s="5">
        <f>IF($B25&lt;&gt;"OK","",IF(Eingaben!$B$5="Report",Reportdaten!J25,SUMIFS(Intervalle!$C$1830:$C$1925,Intervalle!$F$1830:$F$1925,"HEAT",Intervalle!$G$1830:$G$1925,"ST")))</f>
        <v>0.0</v>
      </c>
      <c r="K25" s="5">
        <f>IF($B25&lt;&gt;"OK","",IF(Eingaben!$B$5="Report",Reportdaten!K25,SUMIFS(Intervalle!$C$1830:$C$1925,Intervalle!$F$1830:$F$1925,"HEAT",Intervalle!$G$1830:$G$1925,"HT")))</f>
        <v>0.0</v>
      </c>
      <c r="L25" s="5">
        <f>IF($B25&lt;&gt;"OK","",SUM(C25:K25))</f>
        <v>0.435</v>
      </c>
      <c r="M25" s="5">
        <f>IF($B25&lt;&gt;"OK","",SUM(C25:E25))</f>
        <v>0.051</v>
      </c>
      <c r="N25" s="5">
        <f>IF($B25&lt;&gt;"OK","",SUM(F25:H25))</f>
        <v>0.384</v>
      </c>
      <c r="O25" s="5">
        <f>IF($B25&lt;&gt;"OK","",SUM(I25:K25))</f>
        <v>0.0</v>
      </c>
      <c r="P25" s="5">
        <f>IF($B25&lt;&gt;"OK","",C25+F25+I25)</f>
        <v>0.108</v>
      </c>
      <c r="Q25" s="5">
        <f>IF($B25&lt;&gt;"OK","",D25+G25+J25)</f>
        <v>0.291</v>
      </c>
      <c r="R25" s="5">
        <f>IF($B25&lt;&gt;"OK","",E25+H25+K25)</f>
        <v>0.036</v>
      </c>
      <c r="S25" s="7">
        <f>IF($B25&lt;&gt;"OK","",M25*Eingaben!$B$11/100)</f>
        <v>0.007683354</v>
      </c>
      <c r="T25" s="7">
        <f>IF($B25&lt;&gt;"OK","",N25*Eingaben!$B$12/100)</f>
        <v>0.108573696</v>
      </c>
      <c r="U25" s="7">
        <f>IF($B25&lt;&gt;"OK","",IF(O25=0,0,O25*Eingaben!$B$13/100))</f>
        <v>0.0</v>
      </c>
      <c r="V25" s="7">
        <f>IF($B25&lt;&gt;"OK","",IF(Eingaben!$B$15="Zeitanteilig",Eingaben!$B$14*12/365,Eingaben!$B$14/Eingaben!$B$25))</f>
        <v>0.5835238356164384</v>
      </c>
      <c r="W25" s="7">
        <f>IF($B25&lt;&gt;"OK","",L25*(IF(A25&lt;Eingaben!$B$18,Eingaben!$B$9,Eingaben!$B$10)-Eingaben!$B$8)*(1+Eingaben!$B$7)/100)</f>
        <v>0.0</v>
      </c>
      <c r="X25" s="7">
        <f>IF($B25&lt;&gt;"OK","",IF(A25&gt;=Eingaben!$B$17,-Eingaben!$B$16*(1+Eingaben!$B$7)/Eingaben!$B$26,0))</f>
        <v>-0.3531854794520548</v>
      </c>
      <c r="Y25" s="7">
        <f>IF($B25&lt;&gt;"OK","",-L25*IF(A25&lt;Eingaben!$B$18,Eingaben!$B$9,Eingaben!$B$10)*(1+Eingaben!$B$7)/100)</f>
        <v>-0.039600225</v>
      </c>
      <c r="Z25" s="7">
        <f>IF($B25&lt;&gt;"OK","",IF(A25&lt;Eingaben!$B$18,P25*Eingaben!$B$9/100,IF(Eingaben!$B$5="Report",P25*Eingaben!$B$30/100,SUMIFS(Intervalle!$K$1830:$K$1925,Intervalle!$G$1830:$G$1925,"NT")))*(1+Eingaben!$B$7))</f>
        <v>0.002107728</v>
      </c>
      <c r="AA25" s="7">
        <f>IF($B25&lt;&gt;"OK","",IF(A25&lt;Eingaben!$B$18,Q25*Eingaben!$B$9/100,IF(Eingaben!$B$5="Report",Q25*Eingaben!$B$31/100,SUMIFS(Intervalle!$K$1830:$K$1925,Intervalle!$G$1830:$G$1925,"ST")))*(1+Eingaben!$B$7))</f>
        <v>0.018976692</v>
      </c>
      <c r="AB25" s="7">
        <f>IF($B25&lt;&gt;"OK","",IF(A25&lt;Eingaben!$B$18,R25*Eingaben!$B$9/100,IF(Eingaben!$B$5="Report",R25*Eingaben!$B$32/100,SUMIFS(Intervalle!$K$1830:$K$1925,Intervalle!$G$1830:$G$1925,"HT")))*(1+Eingaben!$B$7))</f>
        <v>0.004506768</v>
      </c>
      <c r="AC25" s="7">
        <f>IF($B25&lt;&gt;"OK","",-SUM(Y25:AB25))</f>
        <v>0.014009037</v>
      </c>
      <c r="AD25" s="7">
        <f>IF($B25&lt;&gt;"OK","",SUM(S25:AB25))</f>
        <v>0.33258636916438356</v>
      </c>
      <c r="AE25" s="7">
        <f>IF($B25&lt;&gt;"OK","",IF(Eingaben!$B$5="Report",Reportdaten!L25,""))</f>
        <v>0.33</v>
      </c>
      <c r="AF25" s="7">
        <f>IF($B25&lt;&gt;"OK","",IF(Eingaben!$B$5="Report",AD25-AE25,""))</f>
        <v>0.0025863691643835617</v>
      </c>
    </row>
    <row r="26" spans="1:32">
      <c r="A26" s="14">
        <v>46163</v>
      </c>
      <c r="B26" t="str">
        <f>IF(Eingaben!$B$27&lt;&gt;"OK","NETZREFERENZ FEHLT",IF(AND(A26&lt;Eingaben!$B$18,NOT(ISNUMBER(Eingaben!$B$9))),"NORMALER NETZPREIS FEHLT",IF(Eingaben!$B$5="Report",IF(Reportdaten!Q26&lt;&gt;"complete","REPORT UNVOLLSTAENDIG",IF(AND(SUM(Reportdaten!I26:K26)&gt;0,NOT(ISNUMBER(Eingaben!$B$13))),"HEAT-PREIS FEHLT","OK")),IF(COUNTIF(Intervalle!J1926:J2021,"OK")=96,"OK","INTERVALLE UNVOLLSTAENDIG"))))</f>
        <v>OK</v>
      </c>
      <c r="C26" s="5">
        <f>IF($B26&lt;&gt;"OK","",IF(Eingaben!$B$5="Report",Reportdaten!C26,SUMIFS(Intervalle!$C$1926:$C$2021,Intervalle!$F$1926:$F$2021,"GO",Intervalle!$G$1926:$G$2021,"NT")))</f>
        <v>0.062</v>
      </c>
      <c r="D26" s="5">
        <f>IF($B26&lt;&gt;"OK","",IF(Eingaben!$B$5="Report",Reportdaten!D26,SUMIFS(Intervalle!$C$1926:$C$2021,Intervalle!$F$1926:$F$2021,"GO",Intervalle!$G$1926:$G$2021,"ST")))</f>
        <v>0.0</v>
      </c>
      <c r="E26" s="5">
        <f>IF($B26&lt;&gt;"OK","",IF(Eingaben!$B$5="Report",Reportdaten!E26,SUMIFS(Intervalle!$C$1926:$C$2021,Intervalle!$F$1926:$F$2021,"GO",Intervalle!$G$1926:$G$2021,"HT")))</f>
        <v>0.0</v>
      </c>
      <c r="F26" s="5">
        <f>IF($B26&lt;&gt;"OK","",IF(Eingaben!$B$5="Report",Reportdaten!F26,SUMIFS(Intervalle!$C$1926:$C$2021,Intervalle!$F$1926:$F$2021,"STANDARD",Intervalle!$G$1926:$G$2021,"NT")))</f>
        <v>0.04</v>
      </c>
      <c r="G26" s="5">
        <f>IF($B26&lt;&gt;"OK","",IF(Eingaben!$B$5="Report",Reportdaten!G26,SUMIFS(Intervalle!$C$1926:$C$2021,Intervalle!$F$1926:$F$2021,"STANDARD",Intervalle!$G$1926:$G$2021,"ST")))</f>
        <v>0.059</v>
      </c>
      <c r="H26" s="5">
        <f>IF($B26&lt;&gt;"OK","",IF(Eingaben!$B$5="Report",Reportdaten!H26,SUMIFS(Intervalle!$C$1926:$C$2021,Intervalle!$F$1926:$F$2021,"STANDARD",Intervalle!$G$1926:$G$2021,"HT")))</f>
        <v>0.018</v>
      </c>
      <c r="I26" s="5">
        <f>IF($B26&lt;&gt;"OK","",IF(Eingaben!$B$5="Report",Reportdaten!I26,SUMIFS(Intervalle!$C$1926:$C$2021,Intervalle!$F$1926:$F$2021,"HEAT",Intervalle!$G$1926:$G$2021,"NT")))</f>
        <v>0.0</v>
      </c>
      <c r="J26" s="5">
        <f>IF($B26&lt;&gt;"OK","",IF(Eingaben!$B$5="Report",Reportdaten!J26,SUMIFS(Intervalle!$C$1926:$C$2021,Intervalle!$F$1926:$F$2021,"HEAT",Intervalle!$G$1926:$G$2021,"ST")))</f>
        <v>0.0</v>
      </c>
      <c r="K26" s="5">
        <f>IF($B26&lt;&gt;"OK","",IF(Eingaben!$B$5="Report",Reportdaten!K26,SUMIFS(Intervalle!$C$1926:$C$2021,Intervalle!$F$1926:$F$2021,"HEAT",Intervalle!$G$1926:$G$2021,"HT")))</f>
        <v>0.0</v>
      </c>
      <c r="L26" s="5">
        <f>IF($B26&lt;&gt;"OK","",SUM(C26:K26))</f>
        <v>0.179</v>
      </c>
      <c r="M26" s="5">
        <f>IF($B26&lt;&gt;"OK","",SUM(C26:E26))</f>
        <v>0.062</v>
      </c>
      <c r="N26" s="5">
        <f>IF($B26&lt;&gt;"OK","",SUM(F26:H26))</f>
        <v>0.117</v>
      </c>
      <c r="O26" s="5">
        <f>IF($B26&lt;&gt;"OK","",SUM(I26:K26))</f>
        <v>0.0</v>
      </c>
      <c r="P26" s="5">
        <f>IF($B26&lt;&gt;"OK","",C26+F26+I26)</f>
        <v>0.102</v>
      </c>
      <c r="Q26" s="5">
        <f>IF($B26&lt;&gt;"OK","",D26+G26+J26)</f>
        <v>0.059</v>
      </c>
      <c r="R26" s="5">
        <f>IF($B26&lt;&gt;"OK","",E26+H26+K26)</f>
        <v>0.018</v>
      </c>
      <c r="S26" s="7">
        <f>IF($B26&lt;&gt;"OK","",M26*Eingaben!$B$11/100)</f>
        <v>0.009340548</v>
      </c>
      <c r="T26" s="7">
        <f>IF($B26&lt;&gt;"OK","",N26*Eingaben!$B$12/100)</f>
        <v>0.033081048</v>
      </c>
      <c r="U26" s="7">
        <f>IF($B26&lt;&gt;"OK","",IF(O26=0,0,O26*Eingaben!$B$13/100))</f>
        <v>0.0</v>
      </c>
      <c r="V26" s="7">
        <f>IF($B26&lt;&gt;"OK","",IF(Eingaben!$B$15="Zeitanteilig",Eingaben!$B$14*12/365,Eingaben!$B$14/Eingaben!$B$25))</f>
        <v>0.5835238356164384</v>
      </c>
      <c r="W26" s="7">
        <f>IF($B26&lt;&gt;"OK","",L26*(IF(A26&lt;Eingaben!$B$18,Eingaben!$B$9,Eingaben!$B$10)-Eingaben!$B$8)*(1+Eingaben!$B$7)/100)</f>
        <v>0.0</v>
      </c>
      <c r="X26" s="7">
        <f>IF($B26&lt;&gt;"OK","",IF(A26&gt;=Eingaben!$B$17,-Eingaben!$B$16*(1+Eingaben!$B$7)/Eingaben!$B$26,0))</f>
        <v>-0.3531854794520548</v>
      </c>
      <c r="Y26" s="7">
        <f>IF($B26&lt;&gt;"OK","",-L26*IF(A26&lt;Eingaben!$B$18,Eingaben!$B$9,Eingaben!$B$10)*(1+Eingaben!$B$7)/100)</f>
        <v>-0.016295265</v>
      </c>
      <c r="Z26" s="7">
        <f>IF($B26&lt;&gt;"OK","",IF(A26&lt;Eingaben!$B$18,P26*Eingaben!$B$9/100,IF(Eingaben!$B$5="Report",P26*Eingaben!$B$30/100,SUMIFS(Intervalle!$K$1926:$K$2021,Intervalle!$G$1926:$G$2021,"NT")))*(1+Eingaben!$B$7))</f>
        <v>0.001990632</v>
      </c>
      <c r="AA26" s="7">
        <f>IF($B26&lt;&gt;"OK","",IF(A26&lt;Eingaben!$B$18,Q26*Eingaben!$B$9/100,IF(Eingaben!$B$5="Report",Q26*Eingaben!$B$31/100,SUMIFS(Intervalle!$K$1926:$K$2021,Intervalle!$G$1926:$G$2021,"ST")))*(1+Eingaben!$B$7))</f>
        <v>0.003847508</v>
      </c>
      <c r="AB26" s="7">
        <f>IF($B26&lt;&gt;"OK","",IF(A26&lt;Eingaben!$B$18,R26*Eingaben!$B$9/100,IF(Eingaben!$B$5="Report",R26*Eingaben!$B$32/100,SUMIFS(Intervalle!$K$1926:$K$2021,Intervalle!$G$1926:$G$2021,"HT")))*(1+Eingaben!$B$7))</f>
        <v>0.002253384</v>
      </c>
      <c r="AC26" s="7">
        <f>IF($B26&lt;&gt;"OK","",-SUM(Y26:AB26))</f>
        <v>0.008203741</v>
      </c>
      <c r="AD26" s="7">
        <f>IF($B26&lt;&gt;"OK","",SUM(S26:AB26))</f>
        <v>0.26455621116438355</v>
      </c>
      <c r="AE26" s="7">
        <f>IF($B26&lt;&gt;"OK","",IF(Eingaben!$B$5="Report",Reportdaten!L26,""))</f>
        <v>0.26</v>
      </c>
      <c r="AF26" s="7">
        <f>IF($B26&lt;&gt;"OK","",IF(Eingaben!$B$5="Report",AD26-AE26,""))</f>
        <v>0.0045562111643835616</v>
      </c>
    </row>
    <row r="27" spans="1:32">
      <c r="A27" s="14">
        <v>46164</v>
      </c>
      <c r="B27" t="str">
        <f>IF(Eingaben!$B$27&lt;&gt;"OK","NETZREFERENZ FEHLT",IF(AND(A27&lt;Eingaben!$B$18,NOT(ISNUMBER(Eingaben!$B$9))),"NORMALER NETZPREIS FEHLT",IF(Eingaben!$B$5="Report",IF(Reportdaten!Q27&lt;&gt;"complete","REPORT UNVOLLSTAENDIG",IF(AND(SUM(Reportdaten!I27:K27)&gt;0,NOT(ISNUMBER(Eingaben!$B$13))),"HEAT-PREIS FEHLT","OK")),IF(COUNTIF(Intervalle!J2022:J2117,"OK")=96,"OK","INTERVALLE UNVOLLSTAENDIG"))))</f>
        <v>OK</v>
      </c>
      <c r="C27" s="5">
        <f>IF($B27&lt;&gt;"OK","",IF(Eingaben!$B$5="Report",Reportdaten!C27,SUMIFS(Intervalle!$C$2022:$C$2117,Intervalle!$F$2022:$F$2117,"GO",Intervalle!$G$2022:$G$2117,"NT")))</f>
        <v>0.071</v>
      </c>
      <c r="D27" s="5">
        <f>IF($B27&lt;&gt;"OK","",IF(Eingaben!$B$5="Report",Reportdaten!D27,SUMIFS(Intervalle!$C$2022:$C$2117,Intervalle!$F$2022:$F$2117,"GO",Intervalle!$G$2022:$G$2117,"ST")))</f>
        <v>0.0</v>
      </c>
      <c r="E27" s="5">
        <f>IF($B27&lt;&gt;"OK","",IF(Eingaben!$B$5="Report",Reportdaten!E27,SUMIFS(Intervalle!$C$2022:$C$2117,Intervalle!$F$2022:$F$2117,"GO",Intervalle!$G$2022:$G$2117,"HT")))</f>
        <v>0.0</v>
      </c>
      <c r="F27" s="5">
        <f>IF($B27&lt;&gt;"OK","",IF(Eingaben!$B$5="Report",Reportdaten!F27,SUMIFS(Intervalle!$C$2022:$C$2117,Intervalle!$F$2022:$F$2117,"STANDARD",Intervalle!$G$2022:$G$2117,"NT")))</f>
        <v>0.02</v>
      </c>
      <c r="G27" s="5">
        <f>IF($B27&lt;&gt;"OK","",IF(Eingaben!$B$5="Report",Reportdaten!G27,SUMIFS(Intervalle!$C$2022:$C$2117,Intervalle!$F$2022:$F$2117,"STANDARD",Intervalle!$G$2022:$G$2117,"ST")))</f>
        <v>0.161</v>
      </c>
      <c r="H27" s="5">
        <f>IF($B27&lt;&gt;"OK","",IF(Eingaben!$B$5="Report",Reportdaten!H27,SUMIFS(Intervalle!$C$2022:$C$2117,Intervalle!$F$2022:$F$2117,"STANDARD",Intervalle!$G$2022:$G$2117,"HT")))</f>
        <v>0.025</v>
      </c>
      <c r="I27" s="5">
        <f>IF($B27&lt;&gt;"OK","",IF(Eingaben!$B$5="Report",Reportdaten!I27,SUMIFS(Intervalle!$C$2022:$C$2117,Intervalle!$F$2022:$F$2117,"HEAT",Intervalle!$G$2022:$G$2117,"NT")))</f>
        <v>0.0</v>
      </c>
      <c r="J27" s="5">
        <f>IF($B27&lt;&gt;"OK","",IF(Eingaben!$B$5="Report",Reportdaten!J27,SUMIFS(Intervalle!$C$2022:$C$2117,Intervalle!$F$2022:$F$2117,"HEAT",Intervalle!$G$2022:$G$2117,"ST")))</f>
        <v>0.0</v>
      </c>
      <c r="K27" s="5">
        <f>IF($B27&lt;&gt;"OK","",IF(Eingaben!$B$5="Report",Reportdaten!K27,SUMIFS(Intervalle!$C$2022:$C$2117,Intervalle!$F$2022:$F$2117,"HEAT",Intervalle!$G$2022:$G$2117,"HT")))</f>
        <v>0.0</v>
      </c>
      <c r="L27" s="5">
        <f>IF($B27&lt;&gt;"OK","",SUM(C27:K27))</f>
        <v>0.277</v>
      </c>
      <c r="M27" s="5">
        <f>IF($B27&lt;&gt;"OK","",SUM(C27:E27))</f>
        <v>0.071</v>
      </c>
      <c r="N27" s="5">
        <f>IF($B27&lt;&gt;"OK","",SUM(F27:H27))</f>
        <v>0.206</v>
      </c>
      <c r="O27" s="5">
        <f>IF($B27&lt;&gt;"OK","",SUM(I27:K27))</f>
        <v>0.0</v>
      </c>
      <c r="P27" s="5">
        <f>IF($B27&lt;&gt;"OK","",C27+F27+I27)</f>
        <v>0.091</v>
      </c>
      <c r="Q27" s="5">
        <f>IF($B27&lt;&gt;"OK","",D27+G27+J27)</f>
        <v>0.161</v>
      </c>
      <c r="R27" s="5">
        <f>IF($B27&lt;&gt;"OK","",E27+H27+K27)</f>
        <v>0.025</v>
      </c>
      <c r="S27" s="7">
        <f>IF($B27&lt;&gt;"OK","",M27*Eingaben!$B$11/100)</f>
        <v>0.010696434</v>
      </c>
      <c r="T27" s="7">
        <f>IF($B27&lt;&gt;"OK","",N27*Eingaben!$B$12/100)</f>
        <v>0.058245264</v>
      </c>
      <c r="U27" s="7">
        <f>IF($B27&lt;&gt;"OK","",IF(O27=0,0,O27*Eingaben!$B$13/100))</f>
        <v>0.0</v>
      </c>
      <c r="V27" s="7">
        <f>IF($B27&lt;&gt;"OK","",IF(Eingaben!$B$15="Zeitanteilig",Eingaben!$B$14*12/365,Eingaben!$B$14/Eingaben!$B$25))</f>
        <v>0.5835238356164384</v>
      </c>
      <c r="W27" s="7">
        <f>IF($B27&lt;&gt;"OK","",L27*(IF(A27&lt;Eingaben!$B$18,Eingaben!$B$9,Eingaben!$B$10)-Eingaben!$B$8)*(1+Eingaben!$B$7)/100)</f>
        <v>0.0</v>
      </c>
      <c r="X27" s="7">
        <f>IF($B27&lt;&gt;"OK","",IF(A27&gt;=Eingaben!$B$17,-Eingaben!$B$16*(1+Eingaben!$B$7)/Eingaben!$B$26,0))</f>
        <v>-0.3531854794520548</v>
      </c>
      <c r="Y27" s="7">
        <f>IF($B27&lt;&gt;"OK","",-L27*IF(A27&lt;Eingaben!$B$18,Eingaben!$B$9,Eingaben!$B$10)*(1+Eingaben!$B$7)/100)</f>
        <v>-0.025216695</v>
      </c>
      <c r="Z27" s="7">
        <f>IF($B27&lt;&gt;"OK","",IF(A27&lt;Eingaben!$B$18,P27*Eingaben!$B$9/100,IF(Eingaben!$B$5="Report",P27*Eingaben!$B$30/100,SUMIFS(Intervalle!$K$2022:$K$2117,Intervalle!$G$2022:$G$2117,"NT")))*(1+Eingaben!$B$7))</f>
        <v>0.001775956</v>
      </c>
      <c r="AA27" s="7">
        <f>IF($B27&lt;&gt;"OK","",IF(A27&lt;Eingaben!$B$18,Q27*Eingaben!$B$9/100,IF(Eingaben!$B$5="Report",Q27*Eingaben!$B$31/100,SUMIFS(Intervalle!$K$2022:$K$2117,Intervalle!$G$2022:$G$2117,"ST")))*(1+Eingaben!$B$7))</f>
        <v>0.010499132</v>
      </c>
      <c r="AB27" s="7">
        <f>IF($B27&lt;&gt;"OK","",IF(A27&lt;Eingaben!$B$18,R27*Eingaben!$B$9/100,IF(Eingaben!$B$5="Report",R27*Eingaben!$B$32/100,SUMIFS(Intervalle!$K$2022:$K$2117,Intervalle!$G$2022:$G$2117,"HT")))*(1+Eingaben!$B$7))</f>
        <v>0.0031297</v>
      </c>
      <c r="AC27" s="7">
        <f>IF($B27&lt;&gt;"OK","",-SUM(Y27:AB27))</f>
        <v>0.009811907</v>
      </c>
      <c r="AD27" s="7">
        <f>IF($B27&lt;&gt;"OK","",SUM(S27:AB27))</f>
        <v>0.28946814716438357</v>
      </c>
      <c r="AE27" s="7">
        <f>IF($B27&lt;&gt;"OK","",IF(Eingaben!$B$5="Report",Reportdaten!L27,""))</f>
        <v>0.29</v>
      </c>
      <c r="AF27" s="7">
        <f>IF($B27&lt;&gt;"OK","",IF(Eingaben!$B$5="Report",AD27-AE27,""))</f>
        <v>-0.0005318528356164383</v>
      </c>
    </row>
    <row r="28" spans="1:32">
      <c r="A28" s="14">
        <v>46165</v>
      </c>
      <c r="B28" t="str">
        <f>IF(Eingaben!$B$27&lt;&gt;"OK","NETZREFERENZ FEHLT",IF(AND(A28&lt;Eingaben!$B$18,NOT(ISNUMBER(Eingaben!$B$9))),"NORMALER NETZPREIS FEHLT",IF(Eingaben!$B$5="Report",IF(Reportdaten!Q28&lt;&gt;"complete","REPORT UNVOLLSTAENDIG",IF(AND(SUM(Reportdaten!I28:K28)&gt;0,NOT(ISNUMBER(Eingaben!$B$13))),"HEAT-PREIS FEHLT","OK")),IF(COUNTIF(Intervalle!J2118:J2213,"OK")=96,"OK","INTERVALLE UNVOLLSTAENDIG"))))</f>
        <v>OK</v>
      </c>
      <c r="C28" s="5">
        <f>IF($B28&lt;&gt;"OK","",IF(Eingaben!$B$5="Report",Reportdaten!C28,SUMIFS(Intervalle!$C$2118:$C$2213,Intervalle!$F$2118:$F$2213,"GO",Intervalle!$G$2118:$G$2213,"NT")))</f>
        <v>0.053</v>
      </c>
      <c r="D28" s="5">
        <f>IF($B28&lt;&gt;"OK","",IF(Eingaben!$B$5="Report",Reportdaten!D28,SUMIFS(Intervalle!$C$2118:$C$2213,Intervalle!$F$2118:$F$2213,"GO",Intervalle!$G$2118:$G$2213,"ST")))</f>
        <v>0.0</v>
      </c>
      <c r="E28" s="5">
        <f>IF($B28&lt;&gt;"OK","",IF(Eingaben!$B$5="Report",Reportdaten!E28,SUMIFS(Intervalle!$C$2118:$C$2213,Intervalle!$F$2118:$F$2213,"GO",Intervalle!$G$2118:$G$2213,"HT")))</f>
        <v>0.0</v>
      </c>
      <c r="F28" s="5">
        <f>IF($B28&lt;&gt;"OK","",IF(Eingaben!$B$5="Report",Reportdaten!F28,SUMIFS(Intervalle!$C$2118:$C$2213,Intervalle!$F$2118:$F$2213,"STANDARD",Intervalle!$G$2118:$G$2213,"NT")))</f>
        <v>0.042</v>
      </c>
      <c r="G28" s="5">
        <f>IF($B28&lt;&gt;"OK","",IF(Eingaben!$B$5="Report",Reportdaten!G28,SUMIFS(Intervalle!$C$2118:$C$2213,Intervalle!$F$2118:$F$2213,"STANDARD",Intervalle!$G$2118:$G$2213,"ST")))</f>
        <v>0.053</v>
      </c>
      <c r="H28" s="5">
        <f>IF($B28&lt;&gt;"OK","",IF(Eingaben!$B$5="Report",Reportdaten!H28,SUMIFS(Intervalle!$C$2118:$C$2213,Intervalle!$F$2118:$F$2213,"STANDARD",Intervalle!$G$2118:$G$2213,"HT")))</f>
        <v>0.084</v>
      </c>
      <c r="I28" s="5">
        <f>IF($B28&lt;&gt;"OK","",IF(Eingaben!$B$5="Report",Reportdaten!I28,SUMIFS(Intervalle!$C$2118:$C$2213,Intervalle!$F$2118:$F$2213,"HEAT",Intervalle!$G$2118:$G$2213,"NT")))</f>
        <v>0.0</v>
      </c>
      <c r="J28" s="5">
        <f>IF($B28&lt;&gt;"OK","",IF(Eingaben!$B$5="Report",Reportdaten!J28,SUMIFS(Intervalle!$C$2118:$C$2213,Intervalle!$F$2118:$F$2213,"HEAT",Intervalle!$G$2118:$G$2213,"ST")))</f>
        <v>0.0</v>
      </c>
      <c r="K28" s="5">
        <f>IF($B28&lt;&gt;"OK","",IF(Eingaben!$B$5="Report",Reportdaten!K28,SUMIFS(Intervalle!$C$2118:$C$2213,Intervalle!$F$2118:$F$2213,"HEAT",Intervalle!$G$2118:$G$2213,"HT")))</f>
        <v>0.0</v>
      </c>
      <c r="L28" s="5">
        <f>IF($B28&lt;&gt;"OK","",SUM(C28:K28))</f>
        <v>0.232</v>
      </c>
      <c r="M28" s="5">
        <f>IF($B28&lt;&gt;"OK","",SUM(C28:E28))</f>
        <v>0.053</v>
      </c>
      <c r="N28" s="5">
        <f>IF($B28&lt;&gt;"OK","",SUM(F28:H28))</f>
        <v>0.179</v>
      </c>
      <c r="O28" s="5">
        <f>IF($B28&lt;&gt;"OK","",SUM(I28:K28))</f>
        <v>0.0</v>
      </c>
      <c r="P28" s="5">
        <f>IF($B28&lt;&gt;"OK","",C28+F28+I28)</f>
        <v>0.095</v>
      </c>
      <c r="Q28" s="5">
        <f>IF($B28&lt;&gt;"OK","",D28+G28+J28)</f>
        <v>0.053</v>
      </c>
      <c r="R28" s="5">
        <f>IF($B28&lt;&gt;"OK","",E28+H28+K28)</f>
        <v>0.084</v>
      </c>
      <c r="S28" s="7">
        <f>IF($B28&lt;&gt;"OK","",M28*Eingaben!$B$11/100)</f>
        <v>0.007984662</v>
      </c>
      <c r="T28" s="7">
        <f>IF($B28&lt;&gt;"OK","",N28*Eingaben!$B$12/100)</f>
        <v>0.050611176</v>
      </c>
      <c r="U28" s="7">
        <f>IF($B28&lt;&gt;"OK","",IF(O28=0,0,O28*Eingaben!$B$13/100))</f>
        <v>0.0</v>
      </c>
      <c r="V28" s="7">
        <f>IF($B28&lt;&gt;"OK","",IF(Eingaben!$B$15="Zeitanteilig",Eingaben!$B$14*12/365,Eingaben!$B$14/Eingaben!$B$25))</f>
        <v>0.5835238356164384</v>
      </c>
      <c r="W28" s="7">
        <f>IF($B28&lt;&gt;"OK","",L28*(IF(A28&lt;Eingaben!$B$18,Eingaben!$B$9,Eingaben!$B$10)-Eingaben!$B$8)*(1+Eingaben!$B$7)/100)</f>
        <v>0.0</v>
      </c>
      <c r="X28" s="7">
        <f>IF($B28&lt;&gt;"OK","",IF(A28&gt;=Eingaben!$B$17,-Eingaben!$B$16*(1+Eingaben!$B$7)/Eingaben!$B$26,0))</f>
        <v>-0.3531854794520548</v>
      </c>
      <c r="Y28" s="7">
        <f>IF($B28&lt;&gt;"OK","",-L28*IF(A28&lt;Eingaben!$B$18,Eingaben!$B$9,Eingaben!$B$10)*(1+Eingaben!$B$7)/100)</f>
        <v>-0.02112012</v>
      </c>
      <c r="Z28" s="7">
        <f>IF($B28&lt;&gt;"OK","",IF(A28&lt;Eingaben!$B$18,P28*Eingaben!$B$9/100,IF(Eingaben!$B$5="Report",P28*Eingaben!$B$30/100,SUMIFS(Intervalle!$K$2118:$K$2213,Intervalle!$G$2118:$G$2213,"NT")))*(1+Eingaben!$B$7))</f>
        <v>0.00185402</v>
      </c>
      <c r="AA28" s="7">
        <f>IF($B28&lt;&gt;"OK","",IF(A28&lt;Eingaben!$B$18,Q28*Eingaben!$B$9/100,IF(Eingaben!$B$5="Report",Q28*Eingaben!$B$31/100,SUMIFS(Intervalle!$K$2118:$K$2213,Intervalle!$G$2118:$G$2213,"ST")))*(1+Eingaben!$B$7))</f>
        <v>0.003456236</v>
      </c>
      <c r="AB28" s="7">
        <f>IF($B28&lt;&gt;"OK","",IF(A28&lt;Eingaben!$B$18,R28*Eingaben!$B$9/100,IF(Eingaben!$B$5="Report",R28*Eingaben!$B$32/100,SUMIFS(Intervalle!$K$2118:$K$2213,Intervalle!$G$2118:$G$2213,"HT")))*(1+Eingaben!$B$7))</f>
        <v>0.010515792</v>
      </c>
      <c r="AC28" s="7">
        <f>IF($B28&lt;&gt;"OK","",-SUM(Y28:AB28))</f>
        <v>0.005294072</v>
      </c>
      <c r="AD28" s="7">
        <f>IF($B28&lt;&gt;"OK","",SUM(S28:AB28))</f>
        <v>0.28364012216438356</v>
      </c>
      <c r="AE28" s="7">
        <f>IF($B28&lt;&gt;"OK","",IF(Eingaben!$B$5="Report",Reportdaten!L28,""))</f>
        <v>0.28</v>
      </c>
      <c r="AF28" s="7">
        <f>IF($B28&lt;&gt;"OK","",IF(Eingaben!$B$5="Report",AD28-AE28,""))</f>
        <v>0.003640122164383562</v>
      </c>
    </row>
    <row r="29" spans="1:32">
      <c r="A29" s="14">
        <v>46166</v>
      </c>
      <c r="B29" t="str">
        <f>IF(Eingaben!$B$27&lt;&gt;"OK","NETZREFERENZ FEHLT",IF(AND(A29&lt;Eingaben!$B$18,NOT(ISNUMBER(Eingaben!$B$9))),"NORMALER NETZPREIS FEHLT",IF(Eingaben!$B$5="Report",IF(Reportdaten!Q29&lt;&gt;"complete","REPORT UNVOLLSTAENDIG",IF(AND(SUM(Reportdaten!I29:K29)&gt;0,NOT(ISNUMBER(Eingaben!$B$13))),"HEAT-PREIS FEHLT","OK")),IF(COUNTIF(Intervalle!J2214:J2309,"OK")=96,"OK","INTERVALLE UNVOLLSTAENDIG"))))</f>
        <v>OK</v>
      </c>
      <c r="C29" s="5">
        <f>IF($B29&lt;&gt;"OK","",IF(Eingaben!$B$5="Report",Reportdaten!C29,SUMIFS(Intervalle!$C$2214:$C$2309,Intervalle!$F$2214:$F$2309,"GO",Intervalle!$G$2214:$G$2309,"NT")))</f>
        <v>0.065</v>
      </c>
      <c r="D29" s="5">
        <f>IF($B29&lt;&gt;"OK","",IF(Eingaben!$B$5="Report",Reportdaten!D29,SUMIFS(Intervalle!$C$2214:$C$2309,Intervalle!$F$2214:$F$2309,"GO",Intervalle!$G$2214:$G$2309,"ST")))</f>
        <v>0.0</v>
      </c>
      <c r="E29" s="5">
        <f>IF($B29&lt;&gt;"OK","",IF(Eingaben!$B$5="Report",Reportdaten!E29,SUMIFS(Intervalle!$C$2214:$C$2309,Intervalle!$F$2214:$F$2309,"GO",Intervalle!$G$2214:$G$2309,"HT")))</f>
        <v>0.0</v>
      </c>
      <c r="F29" s="5">
        <f>IF($B29&lt;&gt;"OK","",IF(Eingaben!$B$5="Report",Reportdaten!F29,SUMIFS(Intervalle!$C$2214:$C$2309,Intervalle!$F$2214:$F$2309,"STANDARD",Intervalle!$G$2214:$G$2309,"NT")))</f>
        <v>0.025</v>
      </c>
      <c r="G29" s="5">
        <f>IF($B29&lt;&gt;"OK","",IF(Eingaben!$B$5="Report",Reportdaten!G29,SUMIFS(Intervalle!$C$2214:$C$2309,Intervalle!$F$2214:$F$2309,"STANDARD",Intervalle!$G$2214:$G$2309,"ST")))</f>
        <v>0.024</v>
      </c>
      <c r="H29" s="5">
        <f>IF($B29&lt;&gt;"OK","",IF(Eingaben!$B$5="Report",Reportdaten!H29,SUMIFS(Intervalle!$C$2214:$C$2309,Intervalle!$F$2214:$F$2309,"STANDARD",Intervalle!$G$2214:$G$2309,"HT")))</f>
        <v>0.034</v>
      </c>
      <c r="I29" s="5">
        <f>IF($B29&lt;&gt;"OK","",IF(Eingaben!$B$5="Report",Reportdaten!I29,SUMIFS(Intervalle!$C$2214:$C$2309,Intervalle!$F$2214:$F$2309,"HEAT",Intervalle!$G$2214:$G$2309,"NT")))</f>
        <v>0.0</v>
      </c>
      <c r="J29" s="5">
        <f>IF($B29&lt;&gt;"OK","",IF(Eingaben!$B$5="Report",Reportdaten!J29,SUMIFS(Intervalle!$C$2214:$C$2309,Intervalle!$F$2214:$F$2309,"HEAT",Intervalle!$G$2214:$G$2309,"ST")))</f>
        <v>0.0</v>
      </c>
      <c r="K29" s="5">
        <f>IF($B29&lt;&gt;"OK","",IF(Eingaben!$B$5="Report",Reportdaten!K29,SUMIFS(Intervalle!$C$2214:$C$2309,Intervalle!$F$2214:$F$2309,"HEAT",Intervalle!$G$2214:$G$2309,"HT")))</f>
        <v>0.0</v>
      </c>
      <c r="L29" s="5">
        <f>IF($B29&lt;&gt;"OK","",SUM(C29:K29))</f>
        <v>0.148</v>
      </c>
      <c r="M29" s="5">
        <f>IF($B29&lt;&gt;"OK","",SUM(C29:E29))</f>
        <v>0.065</v>
      </c>
      <c r="N29" s="5">
        <f>IF($B29&lt;&gt;"OK","",SUM(F29:H29))</f>
        <v>0.083</v>
      </c>
      <c r="O29" s="5">
        <f>IF($B29&lt;&gt;"OK","",SUM(I29:K29))</f>
        <v>0.0</v>
      </c>
      <c r="P29" s="5">
        <f>IF($B29&lt;&gt;"OK","",C29+F29+I29)</f>
        <v>0.09</v>
      </c>
      <c r="Q29" s="5">
        <f>IF($B29&lt;&gt;"OK","",D29+G29+J29)</f>
        <v>0.024</v>
      </c>
      <c r="R29" s="5">
        <f>IF($B29&lt;&gt;"OK","",E29+H29+K29)</f>
        <v>0.034</v>
      </c>
      <c r="S29" s="7">
        <f>IF($B29&lt;&gt;"OK","",M29*Eingaben!$B$11/100)</f>
        <v>0.00979251</v>
      </c>
      <c r="T29" s="7">
        <f>IF($B29&lt;&gt;"OK","",N29*Eingaben!$B$12/100)</f>
        <v>0.023467752</v>
      </c>
      <c r="U29" s="7">
        <f>IF($B29&lt;&gt;"OK","",IF(O29=0,0,O29*Eingaben!$B$13/100))</f>
        <v>0.0</v>
      </c>
      <c r="V29" s="7">
        <f>IF($B29&lt;&gt;"OK","",IF(Eingaben!$B$15="Zeitanteilig",Eingaben!$B$14*12/365,Eingaben!$B$14/Eingaben!$B$25))</f>
        <v>0.5835238356164384</v>
      </c>
      <c r="W29" s="7">
        <f>IF($B29&lt;&gt;"OK","",L29*(IF(A29&lt;Eingaben!$B$18,Eingaben!$B$9,Eingaben!$B$10)-Eingaben!$B$8)*(1+Eingaben!$B$7)/100)</f>
        <v>0.0</v>
      </c>
      <c r="X29" s="7">
        <f>IF($B29&lt;&gt;"OK","",IF(A29&gt;=Eingaben!$B$17,-Eingaben!$B$16*(1+Eingaben!$B$7)/Eingaben!$B$26,0))</f>
        <v>-0.3531854794520548</v>
      </c>
      <c r="Y29" s="7">
        <f>IF($B29&lt;&gt;"OK","",-L29*IF(A29&lt;Eingaben!$B$18,Eingaben!$B$9,Eingaben!$B$10)*(1+Eingaben!$B$7)/100)</f>
        <v>-0.01347318</v>
      </c>
      <c r="Z29" s="7">
        <f>IF($B29&lt;&gt;"OK","",IF(A29&lt;Eingaben!$B$18,P29*Eingaben!$B$9/100,IF(Eingaben!$B$5="Report",P29*Eingaben!$B$30/100,SUMIFS(Intervalle!$K$2214:$K$2309,Intervalle!$G$2214:$G$2309,"NT")))*(1+Eingaben!$B$7))</f>
        <v>0.00175644</v>
      </c>
      <c r="AA29" s="7">
        <f>IF($B29&lt;&gt;"OK","",IF(A29&lt;Eingaben!$B$18,Q29*Eingaben!$B$9/100,IF(Eingaben!$B$5="Report",Q29*Eingaben!$B$31/100,SUMIFS(Intervalle!$K$2214:$K$2309,Intervalle!$G$2214:$G$2309,"ST")))*(1+Eingaben!$B$7))</f>
        <v>0.001565088</v>
      </c>
      <c r="AB29" s="7">
        <f>IF($B29&lt;&gt;"OK","",IF(A29&lt;Eingaben!$B$18,R29*Eingaben!$B$9/100,IF(Eingaben!$B$5="Report",R29*Eingaben!$B$32/100,SUMIFS(Intervalle!$K$2214:$K$2309,Intervalle!$G$2214:$G$2309,"HT")))*(1+Eingaben!$B$7))</f>
        <v>0.004256392</v>
      </c>
      <c r="AC29" s="7">
        <f>IF($B29&lt;&gt;"OK","",-SUM(Y29:AB29))</f>
        <v>0.00589526</v>
      </c>
      <c r="AD29" s="7">
        <f>IF($B29&lt;&gt;"OK","",SUM(S29:AB29))</f>
        <v>0.25770335816438356</v>
      </c>
      <c r="AE29" s="7">
        <f>IF($B29&lt;&gt;"OK","",IF(Eingaben!$B$5="Report",Reportdaten!L29,""))</f>
        <v>0.26</v>
      </c>
      <c r="AF29" s="7">
        <f>IF($B29&lt;&gt;"OK","",IF(Eingaben!$B$5="Report",AD29-AE29,""))</f>
        <v>-0.0022966418356164383</v>
      </c>
    </row>
    <row r="30" spans="1:32">
      <c r="A30" s="14">
        <v>46167</v>
      </c>
      <c r="B30" t="str">
        <f>IF(Eingaben!$B$27&lt;&gt;"OK","NETZREFERENZ FEHLT",IF(AND(A30&lt;Eingaben!$B$18,NOT(ISNUMBER(Eingaben!$B$9))),"NORMALER NETZPREIS FEHLT",IF(Eingaben!$B$5="Report",IF(Reportdaten!Q30&lt;&gt;"complete","REPORT UNVOLLSTAENDIG",IF(AND(SUM(Reportdaten!I30:K30)&gt;0,NOT(ISNUMBER(Eingaben!$B$13))),"HEAT-PREIS FEHLT","OK")),IF(COUNTIF(Intervalle!J2310:J2405,"OK")=96,"OK","INTERVALLE UNVOLLSTAENDIG"))))</f>
        <v>OK</v>
      </c>
      <c r="C30" s="5">
        <f>IF($B30&lt;&gt;"OK","",IF(Eingaben!$B$5="Report",Reportdaten!C30,SUMIFS(Intervalle!$C$2310:$C$2405,Intervalle!$F$2310:$F$2405,"GO",Intervalle!$G$2310:$G$2405,"NT")))</f>
        <v>0.049</v>
      </c>
      <c r="D30" s="5">
        <f>IF($B30&lt;&gt;"OK","",IF(Eingaben!$B$5="Report",Reportdaten!D30,SUMIFS(Intervalle!$C$2310:$C$2405,Intervalle!$F$2310:$F$2405,"GO",Intervalle!$G$2310:$G$2405,"ST")))</f>
        <v>0.0</v>
      </c>
      <c r="E30" s="5">
        <f>IF($B30&lt;&gt;"OK","",IF(Eingaben!$B$5="Report",Reportdaten!E30,SUMIFS(Intervalle!$C$2310:$C$2405,Intervalle!$F$2310:$F$2405,"GO",Intervalle!$G$2310:$G$2405,"HT")))</f>
        <v>0.0</v>
      </c>
      <c r="F30" s="5">
        <f>IF($B30&lt;&gt;"OK","",IF(Eingaben!$B$5="Report",Reportdaten!F30,SUMIFS(Intervalle!$C$2310:$C$2405,Intervalle!$F$2310:$F$2405,"STANDARD",Intervalle!$G$2310:$G$2405,"NT")))</f>
        <v>0.018</v>
      </c>
      <c r="G30" s="5">
        <f>IF($B30&lt;&gt;"OK","",IF(Eingaben!$B$5="Report",Reportdaten!G30,SUMIFS(Intervalle!$C$2310:$C$2405,Intervalle!$F$2310:$F$2405,"STANDARD",Intervalle!$G$2310:$G$2405,"ST")))</f>
        <v>0.294</v>
      </c>
      <c r="H30" s="5">
        <f>IF($B30&lt;&gt;"OK","",IF(Eingaben!$B$5="Report",Reportdaten!H30,SUMIFS(Intervalle!$C$2310:$C$2405,Intervalle!$F$2310:$F$2405,"STANDARD",Intervalle!$G$2310:$G$2405,"HT")))</f>
        <v>0.263</v>
      </c>
      <c r="I30" s="5">
        <f>IF($B30&lt;&gt;"OK","",IF(Eingaben!$B$5="Report",Reportdaten!I30,SUMIFS(Intervalle!$C$2310:$C$2405,Intervalle!$F$2310:$F$2405,"HEAT",Intervalle!$G$2310:$G$2405,"NT")))</f>
        <v>0.0</v>
      </c>
      <c r="J30" s="5">
        <f>IF($B30&lt;&gt;"OK","",IF(Eingaben!$B$5="Report",Reportdaten!J30,SUMIFS(Intervalle!$C$2310:$C$2405,Intervalle!$F$2310:$F$2405,"HEAT",Intervalle!$G$2310:$G$2405,"ST")))</f>
        <v>0.0</v>
      </c>
      <c r="K30" s="5">
        <f>IF($B30&lt;&gt;"OK","",IF(Eingaben!$B$5="Report",Reportdaten!K30,SUMIFS(Intervalle!$C$2310:$C$2405,Intervalle!$F$2310:$F$2405,"HEAT",Intervalle!$G$2310:$G$2405,"HT")))</f>
        <v>0.0</v>
      </c>
      <c r="L30" s="5">
        <f>IF($B30&lt;&gt;"OK","",SUM(C30:K30))</f>
        <v>0.624</v>
      </c>
      <c r="M30" s="5">
        <f>IF($B30&lt;&gt;"OK","",SUM(C30:E30))</f>
        <v>0.049</v>
      </c>
      <c r="N30" s="5">
        <f>IF($B30&lt;&gt;"OK","",SUM(F30:H30))</f>
        <v>0.575</v>
      </c>
      <c r="O30" s="5">
        <f>IF($B30&lt;&gt;"OK","",SUM(I30:K30))</f>
        <v>0.0</v>
      </c>
      <c r="P30" s="5">
        <f>IF($B30&lt;&gt;"OK","",C30+F30+I30)</f>
        <v>0.067</v>
      </c>
      <c r="Q30" s="5">
        <f>IF($B30&lt;&gt;"OK","",D30+G30+J30)</f>
        <v>0.294</v>
      </c>
      <c r="R30" s="5">
        <f>IF($B30&lt;&gt;"OK","",E30+H30+K30)</f>
        <v>0.263</v>
      </c>
      <c r="S30" s="7">
        <f>IF($B30&lt;&gt;"OK","",M30*Eingaben!$B$11/100)</f>
        <v>0.007382046</v>
      </c>
      <c r="T30" s="7">
        <f>IF($B30&lt;&gt;"OK","",N30*Eingaben!$B$12/100)</f>
        <v>0.1625778</v>
      </c>
      <c r="U30" s="7">
        <f>IF($B30&lt;&gt;"OK","",IF(O30=0,0,O30*Eingaben!$B$13/100))</f>
        <v>0.0</v>
      </c>
      <c r="V30" s="7">
        <f>IF($B30&lt;&gt;"OK","",IF(Eingaben!$B$15="Zeitanteilig",Eingaben!$B$14*12/365,Eingaben!$B$14/Eingaben!$B$25))</f>
        <v>0.5835238356164384</v>
      </c>
      <c r="W30" s="7">
        <f>IF($B30&lt;&gt;"OK","",L30*(IF(A30&lt;Eingaben!$B$18,Eingaben!$B$9,Eingaben!$B$10)-Eingaben!$B$8)*(1+Eingaben!$B$7)/100)</f>
        <v>0.0</v>
      </c>
      <c r="X30" s="7">
        <f>IF($B30&lt;&gt;"OK","",IF(A30&gt;=Eingaben!$B$17,-Eingaben!$B$16*(1+Eingaben!$B$7)/Eingaben!$B$26,0))</f>
        <v>-0.3531854794520548</v>
      </c>
      <c r="Y30" s="7">
        <f>IF($B30&lt;&gt;"OK","",-L30*IF(A30&lt;Eingaben!$B$18,Eingaben!$B$9,Eingaben!$B$10)*(1+Eingaben!$B$7)/100)</f>
        <v>-0.05680584</v>
      </c>
      <c r="Z30" s="7">
        <f>IF($B30&lt;&gt;"OK","",IF(A30&lt;Eingaben!$B$18,P30*Eingaben!$B$9/100,IF(Eingaben!$B$5="Report",P30*Eingaben!$B$30/100,SUMIFS(Intervalle!$K$2310:$K$2405,Intervalle!$G$2310:$G$2405,"NT")))*(1+Eingaben!$B$7))</f>
        <v>0.001307572</v>
      </c>
      <c r="AA30" s="7">
        <f>IF($B30&lt;&gt;"OK","",IF(A30&lt;Eingaben!$B$18,Q30*Eingaben!$B$9/100,IF(Eingaben!$B$5="Report",Q30*Eingaben!$B$31/100,SUMIFS(Intervalle!$K$2310:$K$2405,Intervalle!$G$2310:$G$2405,"ST")))*(1+Eingaben!$B$7))</f>
        <v>0.019172328</v>
      </c>
      <c r="AB30" s="7">
        <f>IF($B30&lt;&gt;"OK","",IF(A30&lt;Eingaben!$B$18,R30*Eingaben!$B$9/100,IF(Eingaben!$B$5="Report",R30*Eingaben!$B$32/100,SUMIFS(Intervalle!$K$2310:$K$2405,Intervalle!$G$2310:$G$2405,"HT")))*(1+Eingaben!$B$7))</f>
        <v>0.032924444</v>
      </c>
      <c r="AC30" s="7">
        <f>IF($B30&lt;&gt;"OK","",-SUM(Y30:AB30))</f>
        <v>0.003401496</v>
      </c>
      <c r="AD30" s="7">
        <f>IF($B30&lt;&gt;"OK","",SUM(S30:AB30))</f>
        <v>0.39689670616438355</v>
      </c>
      <c r="AE30" s="7">
        <f>IF($B30&lt;&gt;"OK","",IF(Eingaben!$B$5="Report",Reportdaten!L30,""))</f>
        <v>0.4</v>
      </c>
      <c r="AF30" s="7">
        <f>IF($B30&lt;&gt;"OK","",IF(Eingaben!$B$5="Report",AD30-AE30,""))</f>
        <v>-0.0031032938356164385</v>
      </c>
    </row>
    <row r="31" spans="1:32">
      <c r="A31" s="14">
        <v>46168</v>
      </c>
      <c r="B31" t="str">
        <f>IF(Eingaben!$B$27&lt;&gt;"OK","NETZREFERENZ FEHLT",IF(AND(A31&lt;Eingaben!$B$18,NOT(ISNUMBER(Eingaben!$B$9))),"NORMALER NETZPREIS FEHLT",IF(Eingaben!$B$5="Report",IF(Reportdaten!Q31&lt;&gt;"complete","REPORT UNVOLLSTAENDIG",IF(AND(SUM(Reportdaten!I31:K31)&gt;0,NOT(ISNUMBER(Eingaben!$B$13))),"HEAT-PREIS FEHLT","OK")),IF(COUNTIF(Intervalle!J2406:J2501,"OK")=96,"OK","INTERVALLE UNVOLLSTAENDIG"))))</f>
        <v>OK</v>
      </c>
      <c r="C31" s="5">
        <f>IF($B31&lt;&gt;"OK","",IF(Eingaben!$B$5="Report",Reportdaten!C31,SUMIFS(Intervalle!$C$2406:$C$2501,Intervalle!$F$2406:$F$2501,"GO",Intervalle!$G$2406:$G$2501,"NT")))</f>
        <v>0.054</v>
      </c>
      <c r="D31" s="5">
        <f>IF($B31&lt;&gt;"OK","",IF(Eingaben!$B$5="Report",Reportdaten!D31,SUMIFS(Intervalle!$C$2406:$C$2501,Intervalle!$F$2406:$F$2501,"GO",Intervalle!$G$2406:$G$2501,"ST")))</f>
        <v>0.0</v>
      </c>
      <c r="E31" s="5">
        <f>IF($B31&lt;&gt;"OK","",IF(Eingaben!$B$5="Report",Reportdaten!E31,SUMIFS(Intervalle!$C$2406:$C$2501,Intervalle!$F$2406:$F$2501,"GO",Intervalle!$G$2406:$G$2501,"HT")))</f>
        <v>0.0</v>
      </c>
      <c r="F31" s="5">
        <f>IF($B31&lt;&gt;"OK","",IF(Eingaben!$B$5="Report",Reportdaten!F31,SUMIFS(Intervalle!$C$2406:$C$2501,Intervalle!$F$2406:$F$2501,"STANDARD",Intervalle!$G$2406:$G$2501,"NT")))</f>
        <v>0.021</v>
      </c>
      <c r="G31" s="5">
        <f>IF($B31&lt;&gt;"OK","",IF(Eingaben!$B$5="Report",Reportdaten!G31,SUMIFS(Intervalle!$C$2406:$C$2501,Intervalle!$F$2406:$F$2501,"STANDARD",Intervalle!$G$2406:$G$2501,"ST")))</f>
        <v>0.05</v>
      </c>
      <c r="H31" s="5">
        <f>IF($B31&lt;&gt;"OK","",IF(Eingaben!$B$5="Report",Reportdaten!H31,SUMIFS(Intervalle!$C$2406:$C$2501,Intervalle!$F$2406:$F$2501,"STANDARD",Intervalle!$G$2406:$G$2501,"HT")))</f>
        <v>0.203</v>
      </c>
      <c r="I31" s="5">
        <f>IF($B31&lt;&gt;"OK","",IF(Eingaben!$B$5="Report",Reportdaten!I31,SUMIFS(Intervalle!$C$2406:$C$2501,Intervalle!$F$2406:$F$2501,"HEAT",Intervalle!$G$2406:$G$2501,"NT")))</f>
        <v>0.0</v>
      </c>
      <c r="J31" s="5">
        <f>IF($B31&lt;&gt;"OK","",IF(Eingaben!$B$5="Report",Reportdaten!J31,SUMIFS(Intervalle!$C$2406:$C$2501,Intervalle!$F$2406:$F$2501,"HEAT",Intervalle!$G$2406:$G$2501,"ST")))</f>
        <v>0.0</v>
      </c>
      <c r="K31" s="5">
        <f>IF($B31&lt;&gt;"OK","",IF(Eingaben!$B$5="Report",Reportdaten!K31,SUMIFS(Intervalle!$C$2406:$C$2501,Intervalle!$F$2406:$F$2501,"HEAT",Intervalle!$G$2406:$G$2501,"HT")))</f>
        <v>0.0</v>
      </c>
      <c r="L31" s="5">
        <f>IF($B31&lt;&gt;"OK","",SUM(C31:K31))</f>
        <v>0.328</v>
      </c>
      <c r="M31" s="5">
        <f>IF($B31&lt;&gt;"OK","",SUM(C31:E31))</f>
        <v>0.054</v>
      </c>
      <c r="N31" s="5">
        <f>IF($B31&lt;&gt;"OK","",SUM(F31:H31))</f>
        <v>0.274</v>
      </c>
      <c r="O31" s="5">
        <f>IF($B31&lt;&gt;"OK","",SUM(I31:K31))</f>
        <v>0.0</v>
      </c>
      <c r="P31" s="5">
        <f>IF($B31&lt;&gt;"OK","",C31+F31+I31)</f>
        <v>0.075</v>
      </c>
      <c r="Q31" s="5">
        <f>IF($B31&lt;&gt;"OK","",D31+G31+J31)</f>
        <v>0.05</v>
      </c>
      <c r="R31" s="5">
        <f>IF($B31&lt;&gt;"OK","",E31+H31+K31)</f>
        <v>0.203</v>
      </c>
      <c r="S31" s="7">
        <f>IF($B31&lt;&gt;"OK","",M31*Eingaben!$B$11/100)</f>
        <v>0.008135316</v>
      </c>
      <c r="T31" s="7">
        <f>IF($B31&lt;&gt;"OK","",N31*Eingaben!$B$12/100)</f>
        <v>0.077471856</v>
      </c>
      <c r="U31" s="7">
        <f>IF($B31&lt;&gt;"OK","",IF(O31=0,0,O31*Eingaben!$B$13/100))</f>
        <v>0.0</v>
      </c>
      <c r="V31" s="7">
        <f>IF($B31&lt;&gt;"OK","",IF(Eingaben!$B$15="Zeitanteilig",Eingaben!$B$14*12/365,Eingaben!$B$14/Eingaben!$B$25))</f>
        <v>0.5835238356164384</v>
      </c>
      <c r="W31" s="7">
        <f>IF($B31&lt;&gt;"OK","",L31*(IF(A31&lt;Eingaben!$B$18,Eingaben!$B$9,Eingaben!$B$10)-Eingaben!$B$8)*(1+Eingaben!$B$7)/100)</f>
        <v>0.0</v>
      </c>
      <c r="X31" s="7">
        <f>IF($B31&lt;&gt;"OK","",IF(A31&gt;=Eingaben!$B$17,-Eingaben!$B$16*(1+Eingaben!$B$7)/Eingaben!$B$26,0))</f>
        <v>-0.3531854794520548</v>
      </c>
      <c r="Y31" s="7">
        <f>IF($B31&lt;&gt;"OK","",-L31*IF(A31&lt;Eingaben!$B$18,Eingaben!$B$9,Eingaben!$B$10)*(1+Eingaben!$B$7)/100)</f>
        <v>-0.02985948</v>
      </c>
      <c r="Z31" s="7">
        <f>IF($B31&lt;&gt;"OK","",IF(A31&lt;Eingaben!$B$18,P31*Eingaben!$B$9/100,IF(Eingaben!$B$5="Report",P31*Eingaben!$B$30/100,SUMIFS(Intervalle!$K$2406:$K$2501,Intervalle!$G$2406:$G$2501,"NT")))*(1+Eingaben!$B$7))</f>
        <v>0.0014637</v>
      </c>
      <c r="AA31" s="7">
        <f>IF($B31&lt;&gt;"OK","",IF(A31&lt;Eingaben!$B$18,Q31*Eingaben!$B$9/100,IF(Eingaben!$B$5="Report",Q31*Eingaben!$B$31/100,SUMIFS(Intervalle!$K$2406:$K$2501,Intervalle!$G$2406:$G$2501,"ST")))*(1+Eingaben!$B$7))</f>
        <v>0.0032606</v>
      </c>
      <c r="AB31" s="7">
        <f>IF($B31&lt;&gt;"OK","",IF(A31&lt;Eingaben!$B$18,R31*Eingaben!$B$9/100,IF(Eingaben!$B$5="Report",R31*Eingaben!$B$32/100,SUMIFS(Intervalle!$K$2406:$K$2501,Intervalle!$G$2406:$G$2501,"HT")))*(1+Eingaben!$B$7))</f>
        <v>0.025413164</v>
      </c>
      <c r="AC31" s="7">
        <f>IF($B31&lt;&gt;"OK","",-SUM(Y31:AB31))</f>
        <v>-0.000277984</v>
      </c>
      <c r="AD31" s="7">
        <f>IF($B31&lt;&gt;"OK","",SUM(S31:AB31))</f>
        <v>0.31622351216438355</v>
      </c>
      <c r="AE31" s="7">
        <f>IF($B31&lt;&gt;"OK","",IF(Eingaben!$B$5="Report",Reportdaten!L31,""))</f>
        <v>0.32</v>
      </c>
      <c r="AF31" s="7">
        <f>IF($B31&lt;&gt;"OK","",IF(Eingaben!$B$5="Report",AD31-AE31,""))</f>
        <v>-0.0037764878356164383</v>
      </c>
    </row>
    <row r="32" spans="1:32">
      <c r="A32" s="14">
        <v>46169</v>
      </c>
      <c r="B32" t="str">
        <f>IF(Eingaben!$B$27&lt;&gt;"OK","NETZREFERENZ FEHLT",IF(AND(A32&lt;Eingaben!$B$18,NOT(ISNUMBER(Eingaben!$B$9))),"NORMALER NETZPREIS FEHLT",IF(Eingaben!$B$5="Report",IF(Reportdaten!Q32&lt;&gt;"complete","REPORT UNVOLLSTAENDIG",IF(AND(SUM(Reportdaten!I32:K32)&gt;0,NOT(ISNUMBER(Eingaben!$B$13))),"HEAT-PREIS FEHLT","OK")),IF(COUNTIF(Intervalle!J2502:J2597,"OK")=96,"OK","INTERVALLE UNVOLLSTAENDIG"))))</f>
        <v>OK</v>
      </c>
      <c r="C32" s="5">
        <f>IF($B32&lt;&gt;"OK","",IF(Eingaben!$B$5="Report",Reportdaten!C32,SUMIFS(Intervalle!$C$2502:$C$2597,Intervalle!$F$2502:$F$2597,"GO",Intervalle!$G$2502:$G$2597,"NT")))</f>
        <v>0.058</v>
      </c>
      <c r="D32" s="5">
        <f>IF($B32&lt;&gt;"OK","",IF(Eingaben!$B$5="Report",Reportdaten!D32,SUMIFS(Intervalle!$C$2502:$C$2597,Intervalle!$F$2502:$F$2597,"GO",Intervalle!$G$2502:$G$2597,"ST")))</f>
        <v>0.0</v>
      </c>
      <c r="E32" s="5">
        <f>IF($B32&lt;&gt;"OK","",IF(Eingaben!$B$5="Report",Reportdaten!E32,SUMIFS(Intervalle!$C$2502:$C$2597,Intervalle!$F$2502:$F$2597,"GO",Intervalle!$G$2502:$G$2597,"HT")))</f>
        <v>0.0</v>
      </c>
      <c r="F32" s="5">
        <f>IF($B32&lt;&gt;"OK","",IF(Eingaben!$B$5="Report",Reportdaten!F32,SUMIFS(Intervalle!$C$2502:$C$2597,Intervalle!$F$2502:$F$2597,"STANDARD",Intervalle!$G$2502:$G$2597,"NT")))</f>
        <v>0.019</v>
      </c>
      <c r="G32" s="5">
        <f>IF($B32&lt;&gt;"OK","",IF(Eingaben!$B$5="Report",Reportdaten!G32,SUMIFS(Intervalle!$C$2502:$C$2597,Intervalle!$F$2502:$F$2597,"STANDARD",Intervalle!$G$2502:$G$2597,"ST")))</f>
        <v>0.142</v>
      </c>
      <c r="H32" s="5">
        <f>IF($B32&lt;&gt;"OK","",IF(Eingaben!$B$5="Report",Reportdaten!H32,SUMIFS(Intervalle!$C$2502:$C$2597,Intervalle!$F$2502:$F$2597,"STANDARD",Intervalle!$G$2502:$G$2597,"HT")))</f>
        <v>0.031</v>
      </c>
      <c r="I32" s="5">
        <f>IF($B32&lt;&gt;"OK","",IF(Eingaben!$B$5="Report",Reportdaten!I32,SUMIFS(Intervalle!$C$2502:$C$2597,Intervalle!$F$2502:$F$2597,"HEAT",Intervalle!$G$2502:$G$2597,"NT")))</f>
        <v>0.0</v>
      </c>
      <c r="J32" s="5">
        <f>IF($B32&lt;&gt;"OK","",IF(Eingaben!$B$5="Report",Reportdaten!J32,SUMIFS(Intervalle!$C$2502:$C$2597,Intervalle!$F$2502:$F$2597,"HEAT",Intervalle!$G$2502:$G$2597,"ST")))</f>
        <v>0.0</v>
      </c>
      <c r="K32" s="5">
        <f>IF($B32&lt;&gt;"OK","",IF(Eingaben!$B$5="Report",Reportdaten!K32,SUMIFS(Intervalle!$C$2502:$C$2597,Intervalle!$F$2502:$F$2597,"HEAT",Intervalle!$G$2502:$G$2597,"HT")))</f>
        <v>0.0</v>
      </c>
      <c r="L32" s="5">
        <f>IF($B32&lt;&gt;"OK","",SUM(C32:K32))</f>
        <v>0.25</v>
      </c>
      <c r="M32" s="5">
        <f>IF($B32&lt;&gt;"OK","",SUM(C32:E32))</f>
        <v>0.058</v>
      </c>
      <c r="N32" s="5">
        <f>IF($B32&lt;&gt;"OK","",SUM(F32:H32))</f>
        <v>0.192</v>
      </c>
      <c r="O32" s="5">
        <f>IF($B32&lt;&gt;"OK","",SUM(I32:K32))</f>
        <v>0.0</v>
      </c>
      <c r="P32" s="5">
        <f>IF($B32&lt;&gt;"OK","",C32+F32+I32)</f>
        <v>0.077</v>
      </c>
      <c r="Q32" s="5">
        <f>IF($B32&lt;&gt;"OK","",D32+G32+J32)</f>
        <v>0.142</v>
      </c>
      <c r="R32" s="5">
        <f>IF($B32&lt;&gt;"OK","",E32+H32+K32)</f>
        <v>0.031</v>
      </c>
      <c r="S32" s="7">
        <f>IF($B32&lt;&gt;"OK","",M32*Eingaben!$B$11/100)</f>
        <v>0.008737932</v>
      </c>
      <c r="T32" s="7">
        <f>IF($B32&lt;&gt;"OK","",N32*Eingaben!$B$12/100)</f>
        <v>0.054286848</v>
      </c>
      <c r="U32" s="7">
        <f>IF($B32&lt;&gt;"OK","",IF(O32=0,0,O32*Eingaben!$B$13/100))</f>
        <v>0.0</v>
      </c>
      <c r="V32" s="7">
        <f>IF($B32&lt;&gt;"OK","",IF(Eingaben!$B$15="Zeitanteilig",Eingaben!$B$14*12/365,Eingaben!$B$14/Eingaben!$B$25))</f>
        <v>0.5835238356164384</v>
      </c>
      <c r="W32" s="7">
        <f>IF($B32&lt;&gt;"OK","",L32*(IF(A32&lt;Eingaben!$B$18,Eingaben!$B$9,Eingaben!$B$10)-Eingaben!$B$8)*(1+Eingaben!$B$7)/100)</f>
        <v>0.0</v>
      </c>
      <c r="X32" s="7">
        <f>IF($B32&lt;&gt;"OK","",IF(A32&gt;=Eingaben!$B$17,-Eingaben!$B$16*(1+Eingaben!$B$7)/Eingaben!$B$26,0))</f>
        <v>-0.3531854794520548</v>
      </c>
      <c r="Y32" s="7">
        <f>IF($B32&lt;&gt;"OK","",-L32*IF(A32&lt;Eingaben!$B$18,Eingaben!$B$9,Eingaben!$B$10)*(1+Eingaben!$B$7)/100)</f>
        <v>-0.02275875</v>
      </c>
      <c r="Z32" s="7">
        <f>IF($B32&lt;&gt;"OK","",IF(A32&lt;Eingaben!$B$18,P32*Eingaben!$B$9/100,IF(Eingaben!$B$5="Report",P32*Eingaben!$B$30/100,SUMIFS(Intervalle!$K$2502:$K$2597,Intervalle!$G$2502:$G$2597,"NT")))*(1+Eingaben!$B$7))</f>
        <v>0.001502732</v>
      </c>
      <c r="AA32" s="7">
        <f>IF($B32&lt;&gt;"OK","",IF(A32&lt;Eingaben!$B$18,Q32*Eingaben!$B$9/100,IF(Eingaben!$B$5="Report",Q32*Eingaben!$B$31/100,SUMIFS(Intervalle!$K$2502:$K$2597,Intervalle!$G$2502:$G$2597,"ST")))*(1+Eingaben!$B$7))</f>
        <v>0.009260104</v>
      </c>
      <c r="AB32" s="7">
        <f>IF($B32&lt;&gt;"OK","",IF(A32&lt;Eingaben!$B$18,R32*Eingaben!$B$9/100,IF(Eingaben!$B$5="Report",R32*Eingaben!$B$32/100,SUMIFS(Intervalle!$K$2502:$K$2597,Intervalle!$G$2502:$G$2597,"HT")))*(1+Eingaben!$B$7))</f>
        <v>0.003880828</v>
      </c>
      <c r="AC32" s="7">
        <f>IF($B32&lt;&gt;"OK","",-SUM(Y32:AB32))</f>
        <v>0.008115086</v>
      </c>
      <c r="AD32" s="7">
        <f>IF($B32&lt;&gt;"OK","",SUM(S32:AB32))</f>
        <v>0.28524805016438354</v>
      </c>
      <c r="AE32" s="7">
        <f>IF($B32&lt;&gt;"OK","",IF(Eingaben!$B$5="Report",Reportdaten!L32,""))</f>
        <v>0.29</v>
      </c>
      <c r="AF32" s="7">
        <f>IF($B32&lt;&gt;"OK","",IF(Eingaben!$B$5="Report",AD32-AE32,""))</f>
        <v>-0.004751949835616438</v>
      </c>
    </row>
    <row r="33" spans="1:32">
      <c r="A33" s="14">
        <v>46170</v>
      </c>
      <c r="B33" t="str">
        <f>IF(Eingaben!$B$27&lt;&gt;"OK","NETZREFERENZ FEHLT",IF(AND(A33&lt;Eingaben!$B$18,NOT(ISNUMBER(Eingaben!$B$9))),"NORMALER NETZPREIS FEHLT",IF(Eingaben!$B$5="Report",IF(Reportdaten!Q33&lt;&gt;"complete","REPORT UNVOLLSTAENDIG",IF(AND(SUM(Reportdaten!I33:K33)&gt;0,NOT(ISNUMBER(Eingaben!$B$13))),"HEAT-PREIS FEHLT","OK")),IF(COUNTIF(Intervalle!J2598:J2693,"OK")=96,"OK","INTERVALLE UNVOLLSTAENDIG"))))</f>
        <v>OK</v>
      </c>
      <c r="C33" s="5">
        <f>IF($B33&lt;&gt;"OK","",IF(Eingaben!$B$5="Report",Reportdaten!C33,SUMIFS(Intervalle!$C$2598:$C$2693,Intervalle!$F$2598:$F$2693,"GO",Intervalle!$G$2598:$G$2693,"NT")))</f>
        <v>0.271</v>
      </c>
      <c r="D33" s="5">
        <f>IF($B33&lt;&gt;"OK","",IF(Eingaben!$B$5="Report",Reportdaten!D33,SUMIFS(Intervalle!$C$2598:$C$2693,Intervalle!$F$2598:$F$2693,"GO",Intervalle!$G$2598:$G$2693,"ST")))</f>
        <v>0.0</v>
      </c>
      <c r="E33" s="5">
        <f>IF($B33&lt;&gt;"OK","",IF(Eingaben!$B$5="Report",Reportdaten!E33,SUMIFS(Intervalle!$C$2598:$C$2693,Intervalle!$F$2598:$F$2693,"GO",Intervalle!$G$2598:$G$2693,"HT")))</f>
        <v>0.0</v>
      </c>
      <c r="F33" s="5">
        <f>IF($B33&lt;&gt;"OK","",IF(Eingaben!$B$5="Report",Reportdaten!F33,SUMIFS(Intervalle!$C$2598:$C$2693,Intervalle!$F$2598:$F$2693,"STANDARD",Intervalle!$G$2598:$G$2693,"NT")))</f>
        <v>0.011</v>
      </c>
      <c r="G33" s="5">
        <f>IF($B33&lt;&gt;"OK","",IF(Eingaben!$B$5="Report",Reportdaten!G33,SUMIFS(Intervalle!$C$2598:$C$2693,Intervalle!$F$2598:$F$2693,"STANDARD",Intervalle!$G$2598:$G$2693,"ST")))</f>
        <v>0.007</v>
      </c>
      <c r="H33" s="5">
        <f>IF($B33&lt;&gt;"OK","",IF(Eingaben!$B$5="Report",Reportdaten!H33,SUMIFS(Intervalle!$C$2598:$C$2693,Intervalle!$F$2598:$F$2693,"STANDARD",Intervalle!$G$2598:$G$2693,"HT")))</f>
        <v>0.003</v>
      </c>
      <c r="I33" s="5">
        <f>IF($B33&lt;&gt;"OK","",IF(Eingaben!$B$5="Report",Reportdaten!I33,SUMIFS(Intervalle!$C$2598:$C$2693,Intervalle!$F$2598:$F$2693,"HEAT",Intervalle!$G$2598:$G$2693,"NT")))</f>
        <v>0.0</v>
      </c>
      <c r="J33" s="5">
        <f>IF($B33&lt;&gt;"OK","",IF(Eingaben!$B$5="Report",Reportdaten!J33,SUMIFS(Intervalle!$C$2598:$C$2693,Intervalle!$F$2598:$F$2693,"HEAT",Intervalle!$G$2598:$G$2693,"ST")))</f>
        <v>0.0</v>
      </c>
      <c r="K33" s="5">
        <f>IF($B33&lt;&gt;"OK","",IF(Eingaben!$B$5="Report",Reportdaten!K33,SUMIFS(Intervalle!$C$2598:$C$2693,Intervalle!$F$2598:$F$2693,"HEAT",Intervalle!$G$2598:$G$2693,"HT")))</f>
        <v>0.0</v>
      </c>
      <c r="L33" s="5">
        <f>IF($B33&lt;&gt;"OK","",SUM(C33:K33))</f>
        <v>0.292</v>
      </c>
      <c r="M33" s="5">
        <f>IF($B33&lt;&gt;"OK","",SUM(C33:E33))</f>
        <v>0.271</v>
      </c>
      <c r="N33" s="5">
        <f>IF($B33&lt;&gt;"OK","",SUM(F33:H33))</f>
        <v>0.021</v>
      </c>
      <c r="O33" s="5">
        <f>IF($B33&lt;&gt;"OK","",SUM(I33:K33))</f>
        <v>0.0</v>
      </c>
      <c r="P33" s="5">
        <f>IF($B33&lt;&gt;"OK","",C33+F33+I33)</f>
        <v>0.282</v>
      </c>
      <c r="Q33" s="5">
        <f>IF($B33&lt;&gt;"OK","",D33+G33+J33)</f>
        <v>0.007</v>
      </c>
      <c r="R33" s="5">
        <f>IF($B33&lt;&gt;"OK","",E33+H33+K33)</f>
        <v>0.003</v>
      </c>
      <c r="S33" s="7">
        <f>IF($B33&lt;&gt;"OK","",M33*Eingaben!$B$11/100)</f>
        <v>0.040827234</v>
      </c>
      <c r="T33" s="7">
        <f>IF($B33&lt;&gt;"OK","",N33*Eingaben!$B$12/100)</f>
        <v>0.005937624</v>
      </c>
      <c r="U33" s="7">
        <f>IF($B33&lt;&gt;"OK","",IF(O33=0,0,O33*Eingaben!$B$13/100))</f>
        <v>0.0</v>
      </c>
      <c r="V33" s="7">
        <f>IF($B33&lt;&gt;"OK","",IF(Eingaben!$B$15="Zeitanteilig",Eingaben!$B$14*12/365,Eingaben!$B$14/Eingaben!$B$25))</f>
        <v>0.5835238356164384</v>
      </c>
      <c r="W33" s="7">
        <f>IF($B33&lt;&gt;"OK","",L33*(IF(A33&lt;Eingaben!$B$18,Eingaben!$B$9,Eingaben!$B$10)-Eingaben!$B$8)*(1+Eingaben!$B$7)/100)</f>
        <v>0.0</v>
      </c>
      <c r="X33" s="7">
        <f>IF($B33&lt;&gt;"OK","",IF(A33&gt;=Eingaben!$B$17,-Eingaben!$B$16*(1+Eingaben!$B$7)/Eingaben!$B$26,0))</f>
        <v>-0.3531854794520548</v>
      </c>
      <c r="Y33" s="7">
        <f>IF($B33&lt;&gt;"OK","",-L33*IF(A33&lt;Eingaben!$B$18,Eingaben!$B$9,Eingaben!$B$10)*(1+Eingaben!$B$7)/100)</f>
        <v>-0.02658222</v>
      </c>
      <c r="Z33" s="7">
        <f>IF($B33&lt;&gt;"OK","",IF(A33&lt;Eingaben!$B$18,P33*Eingaben!$B$9/100,IF(Eingaben!$B$5="Report",P33*Eingaben!$B$30/100,SUMIFS(Intervalle!$K$2598:$K$2693,Intervalle!$G$2598:$G$2693,"NT")))*(1+Eingaben!$B$7))</f>
        <v>0.005503512</v>
      </c>
      <c r="AA33" s="7">
        <f>IF($B33&lt;&gt;"OK","",IF(A33&lt;Eingaben!$B$18,Q33*Eingaben!$B$9/100,IF(Eingaben!$B$5="Report",Q33*Eingaben!$B$31/100,SUMIFS(Intervalle!$K$2598:$K$2693,Intervalle!$G$2598:$G$2693,"ST")))*(1+Eingaben!$B$7))</f>
        <v>0.000456484</v>
      </c>
      <c r="AB33" s="7">
        <f>IF($B33&lt;&gt;"OK","",IF(A33&lt;Eingaben!$B$18,R33*Eingaben!$B$9/100,IF(Eingaben!$B$5="Report",R33*Eingaben!$B$32/100,SUMIFS(Intervalle!$K$2598:$K$2693,Intervalle!$G$2598:$G$2693,"HT")))*(1+Eingaben!$B$7))</f>
        <v>0.000375564</v>
      </c>
      <c r="AC33" s="7">
        <f>IF($B33&lt;&gt;"OK","",-SUM(Y33:AB33))</f>
        <v>0.02024666</v>
      </c>
      <c r="AD33" s="7">
        <f>IF($B33&lt;&gt;"OK","",SUM(S33:AB33))</f>
        <v>0.2568565541643836</v>
      </c>
      <c r="AE33" s="7">
        <f>IF($B33&lt;&gt;"OK","",IF(Eingaben!$B$5="Report",Reportdaten!L33,""))</f>
        <v>0.26</v>
      </c>
      <c r="AF33" s="7">
        <f>IF($B33&lt;&gt;"OK","",IF(Eingaben!$B$5="Report",AD33-AE33,""))</f>
        <v>-0.0031434458356164384</v>
      </c>
    </row>
    <row r="34" spans="1:32">
      <c r="A34" s="14">
        <v>46171</v>
      </c>
      <c r="B34" t="str">
        <f>IF(Eingaben!$B$27&lt;&gt;"OK","NETZREFERENZ FEHLT",IF(AND(A34&lt;Eingaben!$B$18,NOT(ISNUMBER(Eingaben!$B$9))),"NORMALER NETZPREIS FEHLT",IF(Eingaben!$B$5="Report",IF(Reportdaten!Q34&lt;&gt;"complete","REPORT UNVOLLSTAENDIG",IF(AND(SUM(Reportdaten!I34:K34)&gt;0,NOT(ISNUMBER(Eingaben!$B$13))),"HEAT-PREIS FEHLT","OK")),IF(COUNTIF(Intervalle!J2694:J2789,"OK")=96,"OK","INTERVALLE UNVOLLSTAENDIG"))))</f>
        <v>OK</v>
      </c>
      <c r="C34" s="5">
        <f>IF($B34&lt;&gt;"OK","",IF(Eingaben!$B$5="Report",Reportdaten!C34,SUMIFS(Intervalle!$C$2694:$C$2789,Intervalle!$F$2694:$F$2789,"GO",Intervalle!$G$2694:$G$2789,"NT")))</f>
        <v>0.063</v>
      </c>
      <c r="D34" s="5">
        <f>IF($B34&lt;&gt;"OK","",IF(Eingaben!$B$5="Report",Reportdaten!D34,SUMIFS(Intervalle!$C$2694:$C$2789,Intervalle!$F$2694:$F$2789,"GO",Intervalle!$G$2694:$G$2789,"ST")))</f>
        <v>0.0</v>
      </c>
      <c r="E34" s="5">
        <f>IF($B34&lt;&gt;"OK","",IF(Eingaben!$B$5="Report",Reportdaten!E34,SUMIFS(Intervalle!$C$2694:$C$2789,Intervalle!$F$2694:$F$2789,"GO",Intervalle!$G$2694:$G$2789,"HT")))</f>
        <v>0.0</v>
      </c>
      <c r="F34" s="5">
        <f>IF($B34&lt;&gt;"OK","",IF(Eingaben!$B$5="Report",Reportdaten!F34,SUMIFS(Intervalle!$C$2694:$C$2789,Intervalle!$F$2694:$F$2789,"STANDARD",Intervalle!$G$2694:$G$2789,"NT")))</f>
        <v>0.017</v>
      </c>
      <c r="G34" s="5">
        <f>IF($B34&lt;&gt;"OK","",IF(Eingaben!$B$5="Report",Reportdaten!G34,SUMIFS(Intervalle!$C$2694:$C$2789,Intervalle!$F$2694:$F$2789,"STANDARD",Intervalle!$G$2694:$G$2789,"ST")))</f>
        <v>0.05</v>
      </c>
      <c r="H34" s="5">
        <f>IF($B34&lt;&gt;"OK","",IF(Eingaben!$B$5="Report",Reportdaten!H34,SUMIFS(Intervalle!$C$2694:$C$2789,Intervalle!$F$2694:$F$2789,"STANDARD",Intervalle!$G$2694:$G$2789,"HT")))</f>
        <v>0.268</v>
      </c>
      <c r="I34" s="5">
        <f>IF($B34&lt;&gt;"OK","",IF(Eingaben!$B$5="Report",Reportdaten!I34,SUMIFS(Intervalle!$C$2694:$C$2789,Intervalle!$F$2694:$F$2789,"HEAT",Intervalle!$G$2694:$G$2789,"NT")))</f>
        <v>0.0</v>
      </c>
      <c r="J34" s="5">
        <f>IF($B34&lt;&gt;"OK","",IF(Eingaben!$B$5="Report",Reportdaten!J34,SUMIFS(Intervalle!$C$2694:$C$2789,Intervalle!$F$2694:$F$2789,"HEAT",Intervalle!$G$2694:$G$2789,"ST")))</f>
        <v>0.0</v>
      </c>
      <c r="K34" s="5">
        <f>IF($B34&lt;&gt;"OK","",IF(Eingaben!$B$5="Report",Reportdaten!K34,SUMIFS(Intervalle!$C$2694:$C$2789,Intervalle!$F$2694:$F$2789,"HEAT",Intervalle!$G$2694:$G$2789,"HT")))</f>
        <v>0.0</v>
      </c>
      <c r="L34" s="5">
        <f>IF($B34&lt;&gt;"OK","",SUM(C34:K34))</f>
        <v>0.398</v>
      </c>
      <c r="M34" s="5">
        <f>IF($B34&lt;&gt;"OK","",SUM(C34:E34))</f>
        <v>0.063</v>
      </c>
      <c r="N34" s="5">
        <f>IF($B34&lt;&gt;"OK","",SUM(F34:H34))</f>
        <v>0.335</v>
      </c>
      <c r="O34" s="5">
        <f>IF($B34&lt;&gt;"OK","",SUM(I34:K34))</f>
        <v>0.0</v>
      </c>
      <c r="P34" s="5">
        <f>IF($B34&lt;&gt;"OK","",C34+F34+I34)</f>
        <v>0.08</v>
      </c>
      <c r="Q34" s="5">
        <f>IF($B34&lt;&gt;"OK","",D34+G34+J34)</f>
        <v>0.05</v>
      </c>
      <c r="R34" s="5">
        <f>IF($B34&lt;&gt;"OK","",E34+H34+K34)</f>
        <v>0.268</v>
      </c>
      <c r="S34" s="7">
        <f>IF($B34&lt;&gt;"OK","",M34*Eingaben!$B$11/100)</f>
        <v>0.009491202</v>
      </c>
      <c r="T34" s="7">
        <f>IF($B34&lt;&gt;"OK","",N34*Eingaben!$B$12/100)</f>
        <v>0.09471924</v>
      </c>
      <c r="U34" s="7">
        <f>IF($B34&lt;&gt;"OK","",IF(O34=0,0,O34*Eingaben!$B$13/100))</f>
        <v>0.0</v>
      </c>
      <c r="V34" s="7">
        <f>IF($B34&lt;&gt;"OK","",IF(Eingaben!$B$15="Zeitanteilig",Eingaben!$B$14*12/365,Eingaben!$B$14/Eingaben!$B$25))</f>
        <v>0.5835238356164384</v>
      </c>
      <c r="W34" s="7">
        <f>IF($B34&lt;&gt;"OK","",L34*(IF(A34&lt;Eingaben!$B$18,Eingaben!$B$9,Eingaben!$B$10)-Eingaben!$B$8)*(1+Eingaben!$B$7)/100)</f>
        <v>0.0</v>
      </c>
      <c r="X34" s="7">
        <f>IF($B34&lt;&gt;"OK","",IF(A34&gt;=Eingaben!$B$17,-Eingaben!$B$16*(1+Eingaben!$B$7)/Eingaben!$B$26,0))</f>
        <v>-0.3531854794520548</v>
      </c>
      <c r="Y34" s="7">
        <f>IF($B34&lt;&gt;"OK","",-L34*IF(A34&lt;Eingaben!$B$18,Eingaben!$B$9,Eingaben!$B$10)*(1+Eingaben!$B$7)/100)</f>
        <v>-0.03623193</v>
      </c>
      <c r="Z34" s="7">
        <f>IF($B34&lt;&gt;"OK","",IF(A34&lt;Eingaben!$B$18,P34*Eingaben!$B$9/100,IF(Eingaben!$B$5="Report",P34*Eingaben!$B$30/100,SUMIFS(Intervalle!$K$2694:$K$2789,Intervalle!$G$2694:$G$2789,"NT")))*(1+Eingaben!$B$7))</f>
        <v>0.00156128</v>
      </c>
      <c r="AA34" s="7">
        <f>IF($B34&lt;&gt;"OK","",IF(A34&lt;Eingaben!$B$18,Q34*Eingaben!$B$9/100,IF(Eingaben!$B$5="Report",Q34*Eingaben!$B$31/100,SUMIFS(Intervalle!$K$2694:$K$2789,Intervalle!$G$2694:$G$2789,"ST")))*(1+Eingaben!$B$7))</f>
        <v>0.0032606</v>
      </c>
      <c r="AB34" s="7">
        <f>IF($B34&lt;&gt;"OK","",IF(A34&lt;Eingaben!$B$18,R34*Eingaben!$B$9/100,IF(Eingaben!$B$5="Report",R34*Eingaben!$B$32/100,SUMIFS(Intervalle!$K$2694:$K$2789,Intervalle!$G$2694:$G$2789,"HT")))*(1+Eingaben!$B$7))</f>
        <v>0.033550384</v>
      </c>
      <c r="AC34" s="7">
        <f>IF($B34&lt;&gt;"OK","",-SUM(Y34:AB34))</f>
        <v>-0.002140334</v>
      </c>
      <c r="AD34" s="7">
        <f>IF($B34&lt;&gt;"OK","",SUM(S34:AB34))</f>
        <v>0.33668913216438356</v>
      </c>
      <c r="AE34" s="7">
        <f>IF($B34&lt;&gt;"OK","",IF(Eingaben!$B$5="Report",Reportdaten!L34,""))</f>
        <v>0.34</v>
      </c>
      <c r="AF34" s="7">
        <f>IF($B34&lt;&gt;"OK","",IF(Eingaben!$B$5="Report",AD34-AE34,""))</f>
        <v>-0.0033108678356164383</v>
      </c>
    </row>
    <row r="35" spans="1:32">
      <c r="A35" s="14">
        <v>46172</v>
      </c>
      <c r="B35" t="str">
        <f>IF(Eingaben!$B$27&lt;&gt;"OK","NETZREFERENZ FEHLT",IF(AND(A35&lt;Eingaben!$B$18,NOT(ISNUMBER(Eingaben!$B$9))),"NORMALER NETZPREIS FEHLT",IF(Eingaben!$B$5="Report",IF(Reportdaten!Q35&lt;&gt;"complete","REPORT UNVOLLSTAENDIG",IF(AND(SUM(Reportdaten!I35:K35)&gt;0,NOT(ISNUMBER(Eingaben!$B$13))),"HEAT-PREIS FEHLT","OK")),IF(COUNTIF(Intervalle!J2790:J2885,"OK")=96,"OK","INTERVALLE UNVOLLSTAENDIG"))))</f>
        <v>OK</v>
      </c>
      <c r="C35" s="5">
        <f>IF($B35&lt;&gt;"OK","",IF(Eingaben!$B$5="Report",Reportdaten!C35,SUMIFS(Intervalle!$C$2790:$C$2885,Intervalle!$F$2790:$F$2885,"GO",Intervalle!$G$2790:$G$2885,"NT")))</f>
        <v>0.07</v>
      </c>
      <c r="D35" s="5">
        <f>IF($B35&lt;&gt;"OK","",IF(Eingaben!$B$5="Report",Reportdaten!D35,SUMIFS(Intervalle!$C$2790:$C$2885,Intervalle!$F$2790:$F$2885,"GO",Intervalle!$G$2790:$G$2885,"ST")))</f>
        <v>0.0</v>
      </c>
      <c r="E35" s="5">
        <f>IF($B35&lt;&gt;"OK","",IF(Eingaben!$B$5="Report",Reportdaten!E35,SUMIFS(Intervalle!$C$2790:$C$2885,Intervalle!$F$2790:$F$2885,"GO",Intervalle!$G$2790:$G$2885,"HT")))</f>
        <v>0.0</v>
      </c>
      <c r="F35" s="5">
        <f>IF($B35&lt;&gt;"OK","",IF(Eingaben!$B$5="Report",Reportdaten!F35,SUMIFS(Intervalle!$C$2790:$C$2885,Intervalle!$F$2790:$F$2885,"STANDARD",Intervalle!$G$2790:$G$2885,"NT")))</f>
        <v>0.03</v>
      </c>
      <c r="G35" s="5">
        <f>IF($B35&lt;&gt;"OK","",IF(Eingaben!$B$5="Report",Reportdaten!G35,SUMIFS(Intervalle!$C$2790:$C$2885,Intervalle!$F$2790:$F$2885,"STANDARD",Intervalle!$G$2790:$G$2885,"ST")))</f>
        <v>0.116</v>
      </c>
      <c r="H35" s="5">
        <f>IF($B35&lt;&gt;"OK","",IF(Eingaben!$B$5="Report",Reportdaten!H35,SUMIFS(Intervalle!$C$2790:$C$2885,Intervalle!$F$2790:$F$2885,"STANDARD",Intervalle!$G$2790:$G$2885,"HT")))</f>
        <v>0.172</v>
      </c>
      <c r="I35" s="5">
        <f>IF($B35&lt;&gt;"OK","",IF(Eingaben!$B$5="Report",Reportdaten!I35,SUMIFS(Intervalle!$C$2790:$C$2885,Intervalle!$F$2790:$F$2885,"HEAT",Intervalle!$G$2790:$G$2885,"NT")))</f>
        <v>0.0</v>
      </c>
      <c r="J35" s="5">
        <f>IF($B35&lt;&gt;"OK","",IF(Eingaben!$B$5="Report",Reportdaten!J35,SUMIFS(Intervalle!$C$2790:$C$2885,Intervalle!$F$2790:$F$2885,"HEAT",Intervalle!$G$2790:$G$2885,"ST")))</f>
        <v>0.0</v>
      </c>
      <c r="K35" s="5">
        <f>IF($B35&lt;&gt;"OK","",IF(Eingaben!$B$5="Report",Reportdaten!K35,SUMIFS(Intervalle!$C$2790:$C$2885,Intervalle!$F$2790:$F$2885,"HEAT",Intervalle!$G$2790:$G$2885,"HT")))</f>
        <v>0.0</v>
      </c>
      <c r="L35" s="5">
        <f>IF($B35&lt;&gt;"OK","",SUM(C35:K35))</f>
        <v>0.388</v>
      </c>
      <c r="M35" s="5">
        <f>IF($B35&lt;&gt;"OK","",SUM(C35:E35))</f>
        <v>0.07</v>
      </c>
      <c r="N35" s="5">
        <f>IF($B35&lt;&gt;"OK","",SUM(F35:H35))</f>
        <v>0.318</v>
      </c>
      <c r="O35" s="5">
        <f>IF($B35&lt;&gt;"OK","",SUM(I35:K35))</f>
        <v>0.0</v>
      </c>
      <c r="P35" s="5">
        <f>IF($B35&lt;&gt;"OK","",C35+F35+I35)</f>
        <v>0.1</v>
      </c>
      <c r="Q35" s="5">
        <f>IF($B35&lt;&gt;"OK","",D35+G35+J35)</f>
        <v>0.116</v>
      </c>
      <c r="R35" s="5">
        <f>IF($B35&lt;&gt;"OK","",E35+H35+K35)</f>
        <v>0.172</v>
      </c>
      <c r="S35" s="7">
        <f>IF($B35&lt;&gt;"OK","",M35*Eingaben!$B$11/100)</f>
        <v>0.01054578</v>
      </c>
      <c r="T35" s="7">
        <f>IF($B35&lt;&gt;"OK","",N35*Eingaben!$B$12/100)</f>
        <v>0.089912592</v>
      </c>
      <c r="U35" s="7">
        <f>IF($B35&lt;&gt;"OK","",IF(O35=0,0,O35*Eingaben!$B$13/100))</f>
        <v>0.0</v>
      </c>
      <c r="V35" s="7">
        <f>IF($B35&lt;&gt;"OK","",IF(Eingaben!$B$15="Zeitanteilig",Eingaben!$B$14*12/365,Eingaben!$B$14/Eingaben!$B$25))</f>
        <v>0.5835238356164384</v>
      </c>
      <c r="W35" s="7">
        <f>IF($B35&lt;&gt;"OK","",L35*(IF(A35&lt;Eingaben!$B$18,Eingaben!$B$9,Eingaben!$B$10)-Eingaben!$B$8)*(1+Eingaben!$B$7)/100)</f>
        <v>0.0</v>
      </c>
      <c r="X35" s="7">
        <f>IF($B35&lt;&gt;"OK","",IF(A35&gt;=Eingaben!$B$17,-Eingaben!$B$16*(1+Eingaben!$B$7)/Eingaben!$B$26,0))</f>
        <v>-0.3531854794520548</v>
      </c>
      <c r="Y35" s="7">
        <f>IF($B35&lt;&gt;"OK","",-L35*IF(A35&lt;Eingaben!$B$18,Eingaben!$B$9,Eingaben!$B$10)*(1+Eingaben!$B$7)/100)</f>
        <v>-0.03532158</v>
      </c>
      <c r="Z35" s="7">
        <f>IF($B35&lt;&gt;"OK","",IF(A35&lt;Eingaben!$B$18,P35*Eingaben!$B$9/100,IF(Eingaben!$B$5="Report",P35*Eingaben!$B$30/100,SUMIFS(Intervalle!$K$2790:$K$2885,Intervalle!$G$2790:$G$2885,"NT")))*(1+Eingaben!$B$7))</f>
        <v>0.0019516</v>
      </c>
      <c r="AA35" s="7">
        <f>IF($B35&lt;&gt;"OK","",IF(A35&lt;Eingaben!$B$18,Q35*Eingaben!$B$9/100,IF(Eingaben!$B$5="Report",Q35*Eingaben!$B$31/100,SUMIFS(Intervalle!$K$2790:$K$2885,Intervalle!$G$2790:$G$2885,"ST")))*(1+Eingaben!$B$7))</f>
        <v>0.007564592</v>
      </c>
      <c r="AB35" s="7">
        <f>IF($B35&lt;&gt;"OK","",IF(A35&lt;Eingaben!$B$18,R35*Eingaben!$B$9/100,IF(Eingaben!$B$5="Report",R35*Eingaben!$B$32/100,SUMIFS(Intervalle!$K$2790:$K$2885,Intervalle!$G$2790:$G$2885,"HT")))*(1+Eingaben!$B$7))</f>
        <v>0.021532336</v>
      </c>
      <c r="AC35" s="7">
        <f>IF($B35&lt;&gt;"OK","",-SUM(Y35:AB35))</f>
        <v>0.004273052</v>
      </c>
      <c r="AD35" s="7">
        <f>IF($B35&lt;&gt;"OK","",SUM(S35:AB35))</f>
        <v>0.32652367616438355</v>
      </c>
      <c r="AE35" s="7">
        <f>IF($B35&lt;&gt;"OK","",IF(Eingaben!$B$5="Report",Reportdaten!L35,""))</f>
        <v>0.33</v>
      </c>
      <c r="AF35" s="7">
        <f>IF($B35&lt;&gt;"OK","",IF(Eingaben!$B$5="Report",AD35-AE35,""))</f>
        <v>-0.0034763238356164384</v>
      </c>
    </row>
    <row r="36" spans="1:32">
      <c r="A36" s="14">
        <v>46173</v>
      </c>
      <c r="B36" t="str">
        <f>IF(Eingaben!$B$27&lt;&gt;"OK","NETZREFERENZ FEHLT",IF(AND(A36&lt;Eingaben!$B$18,NOT(ISNUMBER(Eingaben!$B$9))),"NORMALER NETZPREIS FEHLT",IF(Eingaben!$B$5="Report",IF(Reportdaten!Q36&lt;&gt;"complete","REPORT UNVOLLSTAENDIG",IF(AND(SUM(Reportdaten!I36:K36)&gt;0,NOT(ISNUMBER(Eingaben!$B$13))),"HEAT-PREIS FEHLT","OK")),IF(COUNTIF(Intervalle!J2886:J2981,"OK")=96,"OK","INTERVALLE UNVOLLSTAENDIG"))))</f>
        <v>OK</v>
      </c>
      <c r="C36" s="5">
        <f>IF($B36&lt;&gt;"OK","",IF(Eingaben!$B$5="Report",Reportdaten!C36,SUMIFS(Intervalle!$C$2886:$C$2981,Intervalle!$F$2886:$F$2981,"GO",Intervalle!$G$2886:$G$2981,"NT")))</f>
        <v>0.065</v>
      </c>
      <c r="D36" s="5">
        <f>IF($B36&lt;&gt;"OK","",IF(Eingaben!$B$5="Report",Reportdaten!D36,SUMIFS(Intervalle!$C$2886:$C$2981,Intervalle!$F$2886:$F$2981,"GO",Intervalle!$G$2886:$G$2981,"ST")))</f>
        <v>0.0</v>
      </c>
      <c r="E36" s="5">
        <f>IF($B36&lt;&gt;"OK","",IF(Eingaben!$B$5="Report",Reportdaten!E36,SUMIFS(Intervalle!$C$2886:$C$2981,Intervalle!$F$2886:$F$2981,"GO",Intervalle!$G$2886:$G$2981,"HT")))</f>
        <v>0.0</v>
      </c>
      <c r="F36" s="5">
        <f>IF($B36&lt;&gt;"OK","",IF(Eingaben!$B$5="Report",Reportdaten!F36,SUMIFS(Intervalle!$C$2886:$C$2981,Intervalle!$F$2886:$F$2981,"STANDARD",Intervalle!$G$2886:$G$2981,"NT")))</f>
        <v>0.022</v>
      </c>
      <c r="G36" s="5">
        <f>IF($B36&lt;&gt;"OK","",IF(Eingaben!$B$5="Report",Reportdaten!G36,SUMIFS(Intervalle!$C$2886:$C$2981,Intervalle!$F$2886:$F$2981,"STANDARD",Intervalle!$G$2886:$G$2981,"ST")))</f>
        <v>0.12</v>
      </c>
      <c r="H36" s="5">
        <f>IF($B36&lt;&gt;"OK","",IF(Eingaben!$B$5="Report",Reportdaten!H36,SUMIFS(Intervalle!$C$2886:$C$2981,Intervalle!$F$2886:$F$2981,"STANDARD",Intervalle!$G$2886:$G$2981,"HT")))</f>
        <v>0.329</v>
      </c>
      <c r="I36" s="5">
        <f>IF($B36&lt;&gt;"OK","",IF(Eingaben!$B$5="Report",Reportdaten!I36,SUMIFS(Intervalle!$C$2886:$C$2981,Intervalle!$F$2886:$F$2981,"HEAT",Intervalle!$G$2886:$G$2981,"NT")))</f>
        <v>0.0</v>
      </c>
      <c r="J36" s="5">
        <f>IF($B36&lt;&gt;"OK","",IF(Eingaben!$B$5="Report",Reportdaten!J36,SUMIFS(Intervalle!$C$2886:$C$2981,Intervalle!$F$2886:$F$2981,"HEAT",Intervalle!$G$2886:$G$2981,"ST")))</f>
        <v>0.0</v>
      </c>
      <c r="K36" s="5">
        <f>IF($B36&lt;&gt;"OK","",IF(Eingaben!$B$5="Report",Reportdaten!K36,SUMIFS(Intervalle!$C$2886:$C$2981,Intervalle!$F$2886:$F$2981,"HEAT",Intervalle!$G$2886:$G$2981,"HT")))</f>
        <v>0.0</v>
      </c>
      <c r="L36" s="5">
        <f>IF($B36&lt;&gt;"OK","",SUM(C36:K36))</f>
        <v>0.536</v>
      </c>
      <c r="M36" s="5">
        <f>IF($B36&lt;&gt;"OK","",SUM(C36:E36))</f>
        <v>0.065</v>
      </c>
      <c r="N36" s="5">
        <f>IF($B36&lt;&gt;"OK","",SUM(F36:H36))</f>
        <v>0.471</v>
      </c>
      <c r="O36" s="5">
        <f>IF($B36&lt;&gt;"OK","",SUM(I36:K36))</f>
        <v>0.0</v>
      </c>
      <c r="P36" s="5">
        <f>IF($B36&lt;&gt;"OK","",C36+F36+I36)</f>
        <v>0.087</v>
      </c>
      <c r="Q36" s="5">
        <f>IF($B36&lt;&gt;"OK","",D36+G36+J36)</f>
        <v>0.12</v>
      </c>
      <c r="R36" s="5">
        <f>IF($B36&lt;&gt;"OK","",E36+H36+K36)</f>
        <v>0.329</v>
      </c>
      <c r="S36" s="7">
        <f>IF($B36&lt;&gt;"OK","",M36*Eingaben!$B$11/100)</f>
        <v>0.00979251</v>
      </c>
      <c r="T36" s="7">
        <f>IF($B36&lt;&gt;"OK","",N36*Eingaben!$B$12/100)</f>
        <v>0.133172424</v>
      </c>
      <c r="U36" s="7">
        <f>IF($B36&lt;&gt;"OK","",IF(O36=0,0,O36*Eingaben!$B$13/100))</f>
        <v>0.0</v>
      </c>
      <c r="V36" s="7">
        <f>IF($B36&lt;&gt;"OK","",IF(Eingaben!$B$15="Zeitanteilig",Eingaben!$B$14*12/365,Eingaben!$B$14/Eingaben!$B$25))</f>
        <v>0.5835238356164384</v>
      </c>
      <c r="W36" s="7">
        <f>IF($B36&lt;&gt;"OK","",L36*(IF(A36&lt;Eingaben!$B$18,Eingaben!$B$9,Eingaben!$B$10)-Eingaben!$B$8)*(1+Eingaben!$B$7)/100)</f>
        <v>0.0</v>
      </c>
      <c r="X36" s="7">
        <f>IF($B36&lt;&gt;"OK","",IF(A36&gt;=Eingaben!$B$17,-Eingaben!$B$16*(1+Eingaben!$B$7)/Eingaben!$B$26,0))</f>
        <v>-0.3531854794520548</v>
      </c>
      <c r="Y36" s="7">
        <f>IF($B36&lt;&gt;"OK","",-L36*IF(A36&lt;Eingaben!$B$18,Eingaben!$B$9,Eingaben!$B$10)*(1+Eingaben!$B$7)/100)</f>
        <v>-0.04879476</v>
      </c>
      <c r="Z36" s="7">
        <f>IF($B36&lt;&gt;"OK","",IF(A36&lt;Eingaben!$B$18,P36*Eingaben!$B$9/100,IF(Eingaben!$B$5="Report",P36*Eingaben!$B$30/100,SUMIFS(Intervalle!$K$2886:$K$2981,Intervalle!$G$2886:$G$2981,"NT")))*(1+Eingaben!$B$7))</f>
        <v>0.001697892</v>
      </c>
      <c r="AA36" s="7">
        <f>IF($B36&lt;&gt;"OK","",IF(A36&lt;Eingaben!$B$18,Q36*Eingaben!$B$9/100,IF(Eingaben!$B$5="Report",Q36*Eingaben!$B$31/100,SUMIFS(Intervalle!$K$2886:$K$2981,Intervalle!$G$2886:$G$2981,"ST")))*(1+Eingaben!$B$7))</f>
        <v>0.00782544</v>
      </c>
      <c r="AB36" s="7">
        <f>IF($B36&lt;&gt;"OK","",IF(A36&lt;Eingaben!$B$18,R36*Eingaben!$B$9/100,IF(Eingaben!$B$5="Report",R36*Eingaben!$B$32/100,SUMIFS(Intervalle!$K$2886:$K$2981,Intervalle!$G$2886:$G$2981,"HT")))*(1+Eingaben!$B$7))</f>
        <v>0.041186852</v>
      </c>
      <c r="AC36" s="7">
        <f>IF($B36&lt;&gt;"OK","",-SUM(Y36:AB36))</f>
        <v>-0.001915424</v>
      </c>
      <c r="AD36" s="7">
        <f>IF($B36&lt;&gt;"OK","",SUM(S36:AB36))</f>
        <v>0.37521871416438357</v>
      </c>
      <c r="AE36" s="7">
        <f>IF($B36&lt;&gt;"OK","",IF(Eingaben!$B$5="Report",Reportdaten!L36,""))</f>
        <v>0.38</v>
      </c>
      <c r="AF36" s="7">
        <f>IF($B36&lt;&gt;"OK","",IF(Eingaben!$B$5="Report",AD36-AE36,""))</f>
        <v>-0.004781285835616439</v>
      </c>
    </row>
    <row r="39" spans="1:32">
      <c r="A39" s="4" t="s">
        <v>232</v>
      </c>
      <c r="B39" s="3" t="str">
        <f>IF(COUNTIF(B6:B36,"OK")=Eingaben!B25,"OK","UNVOLLSTAENDIG")</f>
        <v>OK</v>
      </c>
      <c r="C39" s="5">
        <f>IF($B$39&lt;&gt;"OK","",SUM(C6:C36))</f>
        <v>3.199</v>
      </c>
      <c r="D39" s="5">
        <f>IF($B$39&lt;&gt;"OK","",SUM(D6:D36))</f>
        <v>0.0</v>
      </c>
      <c r="E39" s="5">
        <f>IF($B$39&lt;&gt;"OK","",SUM(E6:E36))</f>
        <v>0.0</v>
      </c>
      <c r="F39" s="5">
        <f>IF($B$39&lt;&gt;"OK","",SUM(F6:F36))</f>
        <v>1.581</v>
      </c>
      <c r="G39" s="5">
        <f>IF($B$39&lt;&gt;"OK","",SUM(G6:G36))</f>
        <v>4.493</v>
      </c>
      <c r="H39" s="5">
        <f>IF($B$39&lt;&gt;"OK","",SUM(H6:H36))</f>
        <v>3.123</v>
      </c>
      <c r="I39" s="5">
        <f>IF($B$39&lt;&gt;"OK","",SUM(I6:I36))</f>
        <v>0.0</v>
      </c>
      <c r="J39" s="5">
        <f>IF($B$39&lt;&gt;"OK","",SUM(J6:J36))</f>
        <v>0.0</v>
      </c>
      <c r="K39" s="5">
        <f>IF($B$39&lt;&gt;"OK","",SUM(K6:K36))</f>
        <v>0.0</v>
      </c>
      <c r="L39" s="5">
        <f>IF($B$39&lt;&gt;"OK","",SUM(L6:L36))</f>
        <v>12.396</v>
      </c>
      <c r="M39" s="5">
        <f>IF($B$39&lt;&gt;"OK","",SUM(M6:M36))</f>
        <v>3.199</v>
      </c>
      <c r="N39" s="5">
        <f>IF($B$39&lt;&gt;"OK","",SUM(N6:N36))</f>
        <v>9.197</v>
      </c>
      <c r="O39" s="5">
        <f>IF($B$39&lt;&gt;"OK","",SUM(O6:O36))</f>
        <v>0.0</v>
      </c>
      <c r="P39" s="5">
        <f>IF($B$39&lt;&gt;"OK","",SUM(P6:P36))</f>
        <v>4.78</v>
      </c>
      <c r="Q39" s="5">
        <f>IF($B$39&lt;&gt;"OK","",SUM(Q6:Q36))</f>
        <v>4.493</v>
      </c>
      <c r="R39" s="5">
        <f>IF($B$39&lt;&gt;"OK","",SUM(R6:R36))</f>
        <v>3.123</v>
      </c>
      <c r="S39" s="7">
        <f>IF($B$39&lt;&gt;"OK","",SUM(S6:S36))</f>
        <v>0.481942146</v>
      </c>
      <c r="T39" s="7">
        <f>IF($B$39&lt;&gt;"OK","",SUM(T6:T36))</f>
        <v>2.600396568</v>
      </c>
      <c r="U39" s="7">
        <f>IF($B$39&lt;&gt;"OK","",SUM(U6:U36))</f>
        <v>0.0</v>
      </c>
      <c r="V39" s="7">
        <f>IF($B$39&lt;&gt;"OK","",SUM(V6:V36))</f>
        <v>18.08923890410959</v>
      </c>
      <c r="W39" s="7">
        <f>IF($B$39&lt;&gt;"OK","",SUM(W6:W36))</f>
        <v>0.0</v>
      </c>
      <c r="X39" s="7">
        <f>IF($B$39&lt;&gt;"OK","",SUM(X6:X36))</f>
        <v>-10.948749863013699</v>
      </c>
      <c r="Y39" s="7">
        <f>IF($B$39&lt;&gt;"OK","",SUM(Y6:Y36))</f>
        <v>-1.12846986</v>
      </c>
      <c r="Z39" s="7">
        <f>IF($B$39&lt;&gt;"OK","",SUM(Z6:Z36))</f>
        <v>0.09328648</v>
      </c>
      <c r="AA39" s="7">
        <f>IF($B$39&lt;&gt;"OK","",SUM(AA6:AA36))</f>
        <v>0.292997516</v>
      </c>
      <c r="AB39" s="7">
        <f>IF($B$39&lt;&gt;"OK","",SUM(AB6:AB36))</f>
        <v>0.390962124</v>
      </c>
      <c r="AC39" s="7">
        <f>IF($B$39&lt;&gt;"OK","",SUM(AC6:AC36))</f>
        <v>0.35122374</v>
      </c>
      <c r="AD39" s="7">
        <f>IF($B$39&lt;&gt;"OK","",SUM(AD6:AD36))</f>
        <v>9.87160401509589</v>
      </c>
      <c r="AE39" s="7">
        <f>IF($B$39&lt;&gt;"OK","",SUM(AE6:AE36))</f>
        <v>9.9</v>
      </c>
      <c r="AF39" s="7">
        <f>IF($B$39&lt;&gt;"OK","",SUM(AF6:AF36))</f>
        <v>-0.02839598490410959</v>
      </c>
    </row>
  </sheetData>
  <autoFilter ref="A5:AF36"/>
  <mergeCells count="2">
    <mergeCell ref="A1:M1"/>
    <mergeCell ref="A2:M3"/>
  </mergeCells>
  <conditionalFormatting sqref="B6:B36">
    <cfRule type="notContainsText" dxfId="0" priority="1" operator="notContains" text="OK">
      <formula>ISERROR(SEARCH("OK",B6))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U36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5.7109375" customWidth="1"/>
    <col min="2" max="97" width="10.7109375" style="11" customWidth="1"/>
    <col min="98" max="99" width="20.7109375" customWidth="1"/>
  </cols>
  <sheetData>
    <row r="1" spans="1:99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99">
      <c r="A2" s="3" t="s">
        <v>69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9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spans="1:99" ht="38" customHeight="1">
      <c r="A5" s="4" t="s">
        <v>70</v>
      </c>
      <c r="B5" s="4" t="s">
        <v>71</v>
      </c>
      <c r="C5" s="4" t="s">
        <v>72</v>
      </c>
      <c r="D5" s="4" t="s">
        <v>73</v>
      </c>
      <c r="E5" s="4" t="s">
        <v>74</v>
      </c>
      <c r="F5" s="4" t="s">
        <v>75</v>
      </c>
      <c r="G5" s="4" t="s">
        <v>76</v>
      </c>
      <c r="H5" s="4" t="s">
        <v>77</v>
      </c>
      <c r="I5" s="4" t="s">
        <v>78</v>
      </c>
      <c r="J5" s="4" t="s">
        <v>79</v>
      </c>
      <c r="K5" s="4" t="s">
        <v>80</v>
      </c>
      <c r="L5" s="4" t="s">
        <v>81</v>
      </c>
      <c r="M5" s="4" t="s">
        <v>82</v>
      </c>
      <c r="N5" s="4" t="s">
        <v>83</v>
      </c>
      <c r="O5" s="4" t="s">
        <v>84</v>
      </c>
      <c r="P5" s="4" t="s">
        <v>85</v>
      </c>
      <c r="Q5" s="4" t="s">
        <v>86</v>
      </c>
      <c r="R5" s="4" t="s">
        <v>87</v>
      </c>
      <c r="S5" s="4" t="s">
        <v>88</v>
      </c>
      <c r="T5" s="4" t="s">
        <v>89</v>
      </c>
      <c r="U5" s="4" t="s">
        <v>90</v>
      </c>
      <c r="V5" s="4" t="s">
        <v>91</v>
      </c>
      <c r="W5" s="4" t="s">
        <v>92</v>
      </c>
      <c r="X5" s="4" t="s">
        <v>93</v>
      </c>
      <c r="Y5" s="4" t="s">
        <v>94</v>
      </c>
      <c r="Z5" s="4" t="s">
        <v>95</v>
      </c>
      <c r="AA5" s="4" t="s">
        <v>96</v>
      </c>
      <c r="AB5" s="4" t="s">
        <v>97</v>
      </c>
      <c r="AC5" s="4" t="s">
        <v>98</v>
      </c>
      <c r="AD5" s="4" t="s">
        <v>99</v>
      </c>
      <c r="AE5" s="4" t="s">
        <v>100</v>
      </c>
      <c r="AF5" s="4" t="s">
        <v>101</v>
      </c>
      <c r="AG5" s="4" t="s">
        <v>102</v>
      </c>
      <c r="AH5" s="4" t="s">
        <v>103</v>
      </c>
      <c r="AI5" s="4" t="s">
        <v>104</v>
      </c>
      <c r="AJ5" s="4" t="s">
        <v>105</v>
      </c>
      <c r="AK5" s="4" t="s">
        <v>106</v>
      </c>
      <c r="AL5" s="4" t="s">
        <v>107</v>
      </c>
      <c r="AM5" s="4" t="s">
        <v>108</v>
      </c>
      <c r="AN5" s="4" t="s">
        <v>109</v>
      </c>
      <c r="AO5" s="4" t="s">
        <v>110</v>
      </c>
      <c r="AP5" s="4" t="s">
        <v>111</v>
      </c>
      <c r="AQ5" s="4" t="s">
        <v>112</v>
      </c>
      <c r="AR5" s="4" t="s">
        <v>113</v>
      </c>
      <c r="AS5" s="4" t="s">
        <v>114</v>
      </c>
      <c r="AT5" s="4" t="s">
        <v>115</v>
      </c>
      <c r="AU5" s="4" t="s">
        <v>116</v>
      </c>
      <c r="AV5" s="4" t="s">
        <v>117</v>
      </c>
      <c r="AW5" s="4" t="s">
        <v>118</v>
      </c>
      <c r="AX5" s="4" t="s">
        <v>119</v>
      </c>
      <c r="AY5" s="4" t="s">
        <v>120</v>
      </c>
      <c r="AZ5" s="4" t="s">
        <v>121</v>
      </c>
      <c r="BA5" s="4" t="s">
        <v>122</v>
      </c>
      <c r="BB5" s="4" t="s">
        <v>123</v>
      </c>
      <c r="BC5" s="4" t="s">
        <v>124</v>
      </c>
      <c r="BD5" s="4" t="s">
        <v>125</v>
      </c>
      <c r="BE5" s="4" t="s">
        <v>126</v>
      </c>
      <c r="BF5" s="4" t="s">
        <v>127</v>
      </c>
      <c r="BG5" s="4" t="s">
        <v>128</v>
      </c>
      <c r="BH5" s="4" t="s">
        <v>129</v>
      </c>
      <c r="BI5" s="4" t="s">
        <v>130</v>
      </c>
      <c r="BJ5" s="4" t="s">
        <v>131</v>
      </c>
      <c r="BK5" s="4" t="s">
        <v>132</v>
      </c>
      <c r="BL5" s="4" t="s">
        <v>133</v>
      </c>
      <c r="BM5" s="4" t="s">
        <v>134</v>
      </c>
      <c r="BN5" s="4" t="s">
        <v>135</v>
      </c>
      <c r="BO5" s="4" t="s">
        <v>136</v>
      </c>
      <c r="BP5" s="4" t="s">
        <v>137</v>
      </c>
      <c r="BQ5" s="4" t="s">
        <v>138</v>
      </c>
      <c r="BR5" s="4" t="s">
        <v>139</v>
      </c>
      <c r="BS5" s="4" t="s">
        <v>140</v>
      </c>
      <c r="BT5" s="4" t="s">
        <v>141</v>
      </c>
      <c r="BU5" s="4" t="s">
        <v>142</v>
      </c>
      <c r="BV5" s="4" t="s">
        <v>143</v>
      </c>
      <c r="BW5" s="4" t="s">
        <v>144</v>
      </c>
      <c r="BX5" s="4" t="s">
        <v>145</v>
      </c>
      <c r="BY5" s="4" t="s">
        <v>146</v>
      </c>
      <c r="BZ5" s="4" t="s">
        <v>147</v>
      </c>
      <c r="CA5" s="4" t="s">
        <v>148</v>
      </c>
      <c r="CB5" s="4" t="s">
        <v>149</v>
      </c>
      <c r="CC5" s="4" t="s">
        <v>150</v>
      </c>
      <c r="CD5" s="4" t="s">
        <v>151</v>
      </c>
      <c r="CE5" s="4" t="s">
        <v>152</v>
      </c>
      <c r="CF5" s="4" t="s">
        <v>153</v>
      </c>
      <c r="CG5" s="4" t="s">
        <v>154</v>
      </c>
      <c r="CH5" s="4" t="s">
        <v>155</v>
      </c>
      <c r="CI5" s="4" t="s">
        <v>156</v>
      </c>
      <c r="CJ5" s="4" t="s">
        <v>157</v>
      </c>
      <c r="CK5" s="4" t="s">
        <v>158</v>
      </c>
      <c r="CL5" s="4" t="s">
        <v>159</v>
      </c>
      <c r="CM5" s="4" t="s">
        <v>160</v>
      </c>
      <c r="CN5" s="4" t="s">
        <v>161</v>
      </c>
      <c r="CO5" s="4" t="s">
        <v>162</v>
      </c>
      <c r="CP5" s="4" t="s">
        <v>163</v>
      </c>
      <c r="CQ5" s="4" t="s">
        <v>164</v>
      </c>
      <c r="CR5" s="4" t="s">
        <v>165</v>
      </c>
      <c r="CS5" s="4" t="s">
        <v>166</v>
      </c>
      <c r="CT5" s="4" t="s">
        <v>167</v>
      </c>
      <c r="CU5" s="4" t="s">
        <v>168</v>
      </c>
    </row>
    <row r="6" spans="1:99">
      <c r="A6" s="14">
        <v>46143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>
        <f>COUNT(B6:CS6)</f>
        <v>0</v>
      </c>
      <c r="CU6" s="3" t="str">
        <f>IF(CT6=96,"VOLLSTAENDIG","UNVOLLSTAENDIG")</f>
        <v>UNVOLLSTAENDIG</v>
      </c>
    </row>
    <row r="7" spans="1:99">
      <c r="A7" s="14">
        <v>46144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>
        <f>COUNT(B7:CS7)</f>
        <v>0</v>
      </c>
      <c r="CU7" s="3" t="str">
        <f>IF(CT7=96,"VOLLSTAENDIG","UNVOLLSTAENDIG")</f>
        <v>UNVOLLSTAENDIG</v>
      </c>
    </row>
    <row r="8" spans="1:99">
      <c r="A8" s="14">
        <v>46145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>
        <f>COUNT(B8:CS8)</f>
        <v>0</v>
      </c>
      <c r="CU8" s="3" t="str">
        <f>IF(CT8=96,"VOLLSTAENDIG","UNVOLLSTAENDIG")</f>
        <v>UNVOLLSTAENDIG</v>
      </c>
    </row>
    <row r="9" spans="1:99">
      <c r="A9" s="14">
        <v>46146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>
        <f>COUNT(B9:CS9)</f>
        <v>0</v>
      </c>
      <c r="CU9" s="3" t="str">
        <f>IF(CT9=96,"VOLLSTAENDIG","UNVOLLSTAENDIG")</f>
        <v>UNVOLLSTAENDIG</v>
      </c>
    </row>
    <row r="10" spans="1:99">
      <c r="A10" s="14">
        <v>46147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>
        <f>COUNT(B10:CS10)</f>
        <v>0</v>
      </c>
      <c r="CU10" s="3" t="str">
        <f>IF(CT10=96,"VOLLSTAENDIG","UNVOLLSTAENDIG")</f>
        <v>UNVOLLSTAENDIG</v>
      </c>
    </row>
    <row r="11" spans="1:99">
      <c r="A11" s="14">
        <v>46148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>
        <f>COUNT(B11:CS11)</f>
        <v>0</v>
      </c>
      <c r="CU11" s="3" t="str">
        <f>IF(CT11=96,"VOLLSTAENDIG","UNVOLLSTAENDIG")</f>
        <v>UNVOLLSTAENDIG</v>
      </c>
    </row>
    <row r="12" spans="1:99">
      <c r="A12" s="14">
        <v>46149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>
        <f>COUNT(B12:CS12)</f>
        <v>0</v>
      </c>
      <c r="CU12" s="3" t="str">
        <f>IF(CT12=96,"VOLLSTAENDIG","UNVOLLSTAENDIG")</f>
        <v>UNVOLLSTAENDIG</v>
      </c>
    </row>
    <row r="13" spans="1:99">
      <c r="A13" s="14">
        <v>46150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>
        <f>COUNT(B13:CS13)</f>
        <v>0</v>
      </c>
      <c r="CU13" s="3" t="str">
        <f>IF(CT13=96,"VOLLSTAENDIG","UNVOLLSTAENDIG")</f>
        <v>UNVOLLSTAENDIG</v>
      </c>
    </row>
    <row r="14" spans="1:99">
      <c r="A14" s="14">
        <v>46151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>
        <f>COUNT(B14:CS14)</f>
        <v>0</v>
      </c>
      <c r="CU14" s="3" t="str">
        <f>IF(CT14=96,"VOLLSTAENDIG","UNVOLLSTAENDIG")</f>
        <v>UNVOLLSTAENDIG</v>
      </c>
    </row>
    <row r="15" spans="1:99">
      <c r="A15" s="14">
        <v>46152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>
        <f>COUNT(B15:CS15)</f>
        <v>0</v>
      </c>
      <c r="CU15" s="3" t="str">
        <f>IF(CT15=96,"VOLLSTAENDIG","UNVOLLSTAENDIG")</f>
        <v>UNVOLLSTAENDIG</v>
      </c>
    </row>
    <row r="16" spans="1:99">
      <c r="A16" s="14">
        <v>46153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>
        <f>COUNT(B16:CS16)</f>
        <v>0</v>
      </c>
      <c r="CU16" s="3" t="str">
        <f>IF(CT16=96,"VOLLSTAENDIG","UNVOLLSTAENDIG")</f>
        <v>UNVOLLSTAENDIG</v>
      </c>
    </row>
    <row r="17" spans="1:99">
      <c r="A17" s="14">
        <v>46154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>
        <f>COUNT(B17:CS17)</f>
        <v>0</v>
      </c>
      <c r="CU17" s="3" t="str">
        <f>IF(CT17=96,"VOLLSTAENDIG","UNVOLLSTAENDIG")</f>
        <v>UNVOLLSTAENDIG</v>
      </c>
    </row>
    <row r="18" spans="1:99">
      <c r="A18" s="14">
        <v>46155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>
        <f>COUNT(B18:CS18)</f>
        <v>0</v>
      </c>
      <c r="CU18" s="3" t="str">
        <f>IF(CT18=96,"VOLLSTAENDIG","UNVOLLSTAENDIG")</f>
        <v>UNVOLLSTAENDIG</v>
      </c>
    </row>
    <row r="19" spans="1:99">
      <c r="A19" s="14">
        <v>46156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>
        <f>COUNT(B19:CS19)</f>
        <v>0</v>
      </c>
      <c r="CU19" s="3" t="str">
        <f>IF(CT19=96,"VOLLSTAENDIG","UNVOLLSTAENDIG")</f>
        <v>UNVOLLSTAENDIG</v>
      </c>
    </row>
    <row r="20" spans="1:99">
      <c r="A20" s="14">
        <v>46157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>
        <f>COUNT(B20:CS20)</f>
        <v>0</v>
      </c>
      <c r="CU20" s="3" t="str">
        <f>IF(CT20=96,"VOLLSTAENDIG","UNVOLLSTAENDIG")</f>
        <v>UNVOLLSTAENDIG</v>
      </c>
    </row>
    <row r="21" spans="1:99">
      <c r="A21" s="14">
        <v>46158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>
        <f>COUNT(B21:CS21)</f>
        <v>0</v>
      </c>
      <c r="CU21" s="3" t="str">
        <f>IF(CT21=96,"VOLLSTAENDIG","UNVOLLSTAENDIG")</f>
        <v>UNVOLLSTAENDIG</v>
      </c>
    </row>
    <row r="22" spans="1:99">
      <c r="A22" s="14">
        <v>46159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>
        <f>COUNT(B22:CS22)</f>
        <v>0</v>
      </c>
      <c r="CU22" s="3" t="str">
        <f>IF(CT22=96,"VOLLSTAENDIG","UNVOLLSTAENDIG")</f>
        <v>UNVOLLSTAENDIG</v>
      </c>
    </row>
    <row r="23" spans="1:99">
      <c r="A23" s="14">
        <v>46160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>
        <f>COUNT(B23:CS23)</f>
        <v>0</v>
      </c>
      <c r="CU23" s="3" t="str">
        <f>IF(CT23=96,"VOLLSTAENDIG","UNVOLLSTAENDIG")</f>
        <v>UNVOLLSTAENDIG</v>
      </c>
    </row>
    <row r="24" spans="1:99">
      <c r="A24" s="14">
        <v>46161</v>
      </c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>
        <f>COUNT(B24:CS24)</f>
        <v>0</v>
      </c>
      <c r="CU24" s="3" t="str">
        <f>IF(CT24=96,"VOLLSTAENDIG","UNVOLLSTAENDIG")</f>
        <v>UNVOLLSTAENDIG</v>
      </c>
    </row>
    <row r="25" spans="1:99">
      <c r="A25" s="14">
        <v>46162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>
        <f>COUNT(B25:CS25)</f>
        <v>0</v>
      </c>
      <c r="CU25" s="3" t="str">
        <f>IF(CT25=96,"VOLLSTAENDIG","UNVOLLSTAENDIG")</f>
        <v>UNVOLLSTAENDIG</v>
      </c>
    </row>
    <row r="26" spans="1:99">
      <c r="A26" s="14">
        <v>46163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>
        <f>COUNT(B26:CS26)</f>
        <v>0</v>
      </c>
      <c r="CU26" s="3" t="str">
        <f>IF(CT26=96,"VOLLSTAENDIG","UNVOLLSTAENDIG")</f>
        <v>UNVOLLSTAENDIG</v>
      </c>
    </row>
    <row r="27" spans="1:99">
      <c r="A27" s="14">
        <v>46164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>
        <f>COUNT(B27:CS27)</f>
        <v>0</v>
      </c>
      <c r="CU27" s="3" t="str">
        <f>IF(CT27=96,"VOLLSTAENDIG","UNVOLLSTAENDIG")</f>
        <v>UNVOLLSTAENDIG</v>
      </c>
    </row>
    <row r="28" spans="1:99">
      <c r="A28" s="14">
        <v>46165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>
        <f>COUNT(B28:CS28)</f>
        <v>0</v>
      </c>
      <c r="CU28" s="3" t="str">
        <f>IF(CT28=96,"VOLLSTAENDIG","UNVOLLSTAENDIG")</f>
        <v>UNVOLLSTAENDIG</v>
      </c>
    </row>
    <row r="29" spans="1:99">
      <c r="A29" s="14">
        <v>46166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>
        <f>COUNT(B29:CS29)</f>
        <v>0</v>
      </c>
      <c r="CU29" s="3" t="str">
        <f>IF(CT29=96,"VOLLSTAENDIG","UNVOLLSTAENDIG")</f>
        <v>UNVOLLSTAENDIG</v>
      </c>
    </row>
    <row r="30" spans="1:99">
      <c r="A30" s="14">
        <v>46167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>
        <f>COUNT(B30:CS30)</f>
        <v>0</v>
      </c>
      <c r="CU30" s="3" t="str">
        <f>IF(CT30=96,"VOLLSTAENDIG","UNVOLLSTAENDIG")</f>
        <v>UNVOLLSTAENDIG</v>
      </c>
    </row>
    <row r="31" spans="1:99">
      <c r="A31" s="14">
        <v>46168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>
        <f>COUNT(B31:CS31)</f>
        <v>0</v>
      </c>
      <c r="CU31" s="3" t="str">
        <f>IF(CT31=96,"VOLLSTAENDIG","UNVOLLSTAENDIG")</f>
        <v>UNVOLLSTAENDIG</v>
      </c>
    </row>
    <row r="32" spans="1:99">
      <c r="A32" s="14">
        <v>46169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>
        <f>COUNT(B32:CS32)</f>
        <v>0</v>
      </c>
      <c r="CU32" s="3" t="str">
        <f>IF(CT32=96,"VOLLSTAENDIG","UNVOLLSTAENDIG")</f>
        <v>UNVOLLSTAENDIG</v>
      </c>
    </row>
    <row r="33" spans="1:99">
      <c r="A33" s="14">
        <v>46170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>
        <f>COUNT(B33:CS33)</f>
        <v>0</v>
      </c>
      <c r="CU33" s="3" t="str">
        <f>IF(CT33=96,"VOLLSTAENDIG","UNVOLLSTAENDIG")</f>
        <v>UNVOLLSTAENDIG</v>
      </c>
    </row>
    <row r="34" spans="1:99">
      <c r="A34" s="14">
        <v>46171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>
        <f>COUNT(B34:CS34)</f>
        <v>0</v>
      </c>
      <c r="CU34" s="3" t="str">
        <f>IF(CT34=96,"VOLLSTAENDIG","UNVOLLSTAENDIG")</f>
        <v>UNVOLLSTAENDIG</v>
      </c>
    </row>
    <row r="35" spans="1:99">
      <c r="A35" s="14">
        <v>46172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>
        <f>COUNT(B35:CS35)</f>
        <v>0</v>
      </c>
      <c r="CU35" s="3" t="str">
        <f>IF(CT35=96,"VOLLSTAENDIG","UNVOLLSTAENDIG")</f>
        <v>UNVOLLSTAENDIG</v>
      </c>
    </row>
    <row r="36" spans="1:99">
      <c r="A36" s="14">
        <v>46173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>
        <f>COUNT(B36:CS36)</f>
        <v>0</v>
      </c>
      <c r="CU36" s="3" t="str">
        <f>IF(CT36=96,"VOLLSTAENDIG","UNVOLLSTAENDIG")</f>
        <v>UNVOLLSTAENDIG</v>
      </c>
    </row>
  </sheetData>
  <autoFilter ref="A5:CU36"/>
  <mergeCells count="2">
    <mergeCell ref="A1:N1"/>
    <mergeCell ref="A2:N3"/>
  </mergeCells>
  <dataValidations count="1">
    <dataValidation type="decimal" operator="greaterThanOrEqual" allowBlank="1" showInputMessage="1" showErrorMessage="1" error="kWh je Intervall als nichtnegative Zahl." sqref="B6:CS36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98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5.7109375" customWidth="1"/>
    <col min="2" max="2" width="12.7109375" customWidth="1"/>
    <col min="3" max="9" width="20.7109375" customWidth="1"/>
    <col min="10" max="10" width="25.7109375" customWidth="1"/>
    <col min="11" max="11" width="24.7109375" customWidth="1"/>
  </cols>
  <sheetData>
    <row r="1" spans="1:11">
      <c r="A1" s="1" t="s">
        <v>169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170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5" spans="1:11" ht="38" customHeight="1">
      <c r="A5" s="4" t="s">
        <v>70</v>
      </c>
      <c r="B5" s="4" t="s">
        <v>171</v>
      </c>
      <c r="C5" s="4" t="s">
        <v>172</v>
      </c>
      <c r="D5" s="4" t="s">
        <v>173</v>
      </c>
      <c r="E5" s="4" t="s">
        <v>174</v>
      </c>
      <c r="F5" s="4" t="s">
        <v>175</v>
      </c>
      <c r="G5" s="4" t="s">
        <v>59</v>
      </c>
      <c r="H5" s="4" t="s">
        <v>176</v>
      </c>
      <c r="I5" s="4" t="s">
        <v>177</v>
      </c>
      <c r="J5" s="4" t="s">
        <v>178</v>
      </c>
      <c r="K5" s="4" t="s">
        <v>179</v>
      </c>
    </row>
    <row r="6" spans="1:11">
      <c r="A6" s="14">
        <v>46143</v>
      </c>
      <c r="B6" s="15">
        <v>0</v>
      </c>
      <c r="C6" s="5">
        <f>IF('96 Werte'!B6="","",'96 Werte'!B6)</f>
        <v/>
      </c>
      <c r="D6" t="str">
        <f>IF(IF(Eingaben!$B$21&lt;Eingaben!$B$22,AND(B6&gt;=Eingaben!$B$21,B6&lt;Eingaben!$B$22),OR(B6&gt;=Eingaben!$B$21,B6&lt;Eingaben!$B$22)),"GO",IF(AND(ISNUMBER(Eingaben!$B$23),ISNUMBER(Eingaben!$B$24),IF(Eingaben!$B$23&lt;Eingaben!$B$24,AND(B6&gt;=Eingaben!$B$23,B6&lt;Eingaben!$B$24),OR(B6&gt;=Eingaben!$B$23,B6&lt;Eingaben!$B$24))),"HEAT","STANDARD"))</f>
        <v>GO</v>
      </c>
      <c r="E6" s="9"/>
      <c r="F6" t="str">
        <f>IF(E6="",D6,E6)</f>
        <v>GO</v>
      </c>
      <c r="G6" t="str">
        <f>INDEX(Netzzeiten!$B$6:$B$29,HOUR(B6)+1)</f>
        <v>NT</v>
      </c>
      <c r="H6" s="6">
        <f>IF(F6="GO",Eingaben!$B$11,IF(F6="STANDARD",Eingaben!$B$12,IF(AND(F6="HEAT",ISNUMBER(Eingaben!$B$13)),Eingaben!$B$13,"")))</f>
        <v>15.0654</v>
      </c>
      <c r="I6" s="6">
        <f>INDEX(Netzzeiten!$C$6:$C$29,HOUR(B6)+1)</f>
        <v>1.64</v>
      </c>
      <c r="J6" t="str">
        <f>IF(C6="","FEHLT",IF(NOT(ISNUMBER(C6)),"MESSWERT UNGUELTIG",IF(C6&lt;0,"MESSWERT UNGUELTIG",IF(H6="","TARIFPREIS FEHLT","OK"))))</f>
        <v>FEHLT</v>
      </c>
      <c r="K6" s="7">
        <f>IF(J6&lt;&gt;"OK","",C6*I6/100)</f>
        <v/>
      </c>
    </row>
    <row r="7" spans="1:11">
      <c r="A7" s="14">
        <v>46143</v>
      </c>
      <c r="B7" s="15">
        <v>0.01041666666666667</v>
      </c>
      <c r="C7" s="5">
        <f>IF('96 Werte'!C6="","",'96 Werte'!C6)</f>
        <v/>
      </c>
      <c r="D7" t="str">
        <f>IF(IF(Eingaben!$B$21&lt;Eingaben!$B$22,AND(B7&gt;=Eingaben!$B$21,B7&lt;Eingaben!$B$22),OR(B7&gt;=Eingaben!$B$21,B7&lt;Eingaben!$B$22)),"GO",IF(AND(ISNUMBER(Eingaben!$B$23),ISNUMBER(Eingaben!$B$24),IF(Eingaben!$B$23&lt;Eingaben!$B$24,AND(B7&gt;=Eingaben!$B$23,B7&lt;Eingaben!$B$24),OR(B7&gt;=Eingaben!$B$23,B7&lt;Eingaben!$B$24))),"HEAT","STANDARD"))</f>
        <v>GO</v>
      </c>
      <c r="E7" s="9"/>
      <c r="F7" t="str">
        <f>IF(E7="",D7,E7)</f>
        <v>GO</v>
      </c>
      <c r="G7" t="str">
        <f>INDEX(Netzzeiten!$B$6:$B$29,HOUR(B7)+1)</f>
        <v>NT</v>
      </c>
      <c r="H7" s="6">
        <f>IF(F7="GO",Eingaben!$B$11,IF(F7="STANDARD",Eingaben!$B$12,IF(AND(F7="HEAT",ISNUMBER(Eingaben!$B$13)),Eingaben!$B$13,"")))</f>
        <v>15.0654</v>
      </c>
      <c r="I7" s="6">
        <f>INDEX(Netzzeiten!$C$6:$C$29,HOUR(B7)+1)</f>
        <v>1.64</v>
      </c>
      <c r="J7" t="str">
        <f>IF(C7="","FEHLT",IF(NOT(ISNUMBER(C7)),"MESSWERT UNGUELTIG",IF(C7&lt;0,"MESSWERT UNGUELTIG",IF(H7="","TARIFPREIS FEHLT","OK"))))</f>
        <v>FEHLT</v>
      </c>
      <c r="K7" s="7">
        <f>IF(J7&lt;&gt;"OK","",C7*I7/100)</f>
        <v/>
      </c>
    </row>
    <row r="8" spans="1:11">
      <c r="A8" s="14">
        <v>46143</v>
      </c>
      <c r="B8" s="15">
        <v>0.02083333333333333</v>
      </c>
      <c r="C8" s="5">
        <f>IF('96 Werte'!D6="","",'96 Werte'!D6)</f>
        <v/>
      </c>
      <c r="D8" t="str">
        <f>IF(IF(Eingaben!$B$21&lt;Eingaben!$B$22,AND(B8&gt;=Eingaben!$B$21,B8&lt;Eingaben!$B$22),OR(B8&gt;=Eingaben!$B$21,B8&lt;Eingaben!$B$22)),"GO",IF(AND(ISNUMBER(Eingaben!$B$23),ISNUMBER(Eingaben!$B$24),IF(Eingaben!$B$23&lt;Eingaben!$B$24,AND(B8&gt;=Eingaben!$B$23,B8&lt;Eingaben!$B$24),OR(B8&gt;=Eingaben!$B$23,B8&lt;Eingaben!$B$24))),"HEAT","STANDARD"))</f>
        <v>GO</v>
      </c>
      <c r="E8" s="9"/>
      <c r="F8" t="str">
        <f>IF(E8="",D8,E8)</f>
        <v>GO</v>
      </c>
      <c r="G8" t="str">
        <f>INDEX(Netzzeiten!$B$6:$B$29,HOUR(B8)+1)</f>
        <v>NT</v>
      </c>
      <c r="H8" s="6">
        <f>IF(F8="GO",Eingaben!$B$11,IF(F8="STANDARD",Eingaben!$B$12,IF(AND(F8="HEAT",ISNUMBER(Eingaben!$B$13)),Eingaben!$B$13,"")))</f>
        <v>15.0654</v>
      </c>
      <c r="I8" s="6">
        <f>INDEX(Netzzeiten!$C$6:$C$29,HOUR(B8)+1)</f>
        <v>1.64</v>
      </c>
      <c r="J8" t="str">
        <f>IF(C8="","FEHLT",IF(NOT(ISNUMBER(C8)),"MESSWERT UNGUELTIG",IF(C8&lt;0,"MESSWERT UNGUELTIG",IF(H8="","TARIFPREIS FEHLT","OK"))))</f>
        <v>FEHLT</v>
      </c>
      <c r="K8" s="7">
        <f>IF(J8&lt;&gt;"OK","",C8*I8/100)</f>
        <v/>
      </c>
    </row>
    <row r="9" spans="1:11">
      <c r="A9" s="14">
        <v>46143</v>
      </c>
      <c r="B9" s="15">
        <v>0.03125</v>
      </c>
      <c r="C9" s="5">
        <f>IF('96 Werte'!E6="","",'96 Werte'!E6)</f>
        <v/>
      </c>
      <c r="D9" t="str">
        <f>IF(IF(Eingaben!$B$21&lt;Eingaben!$B$22,AND(B9&gt;=Eingaben!$B$21,B9&lt;Eingaben!$B$22),OR(B9&gt;=Eingaben!$B$21,B9&lt;Eingaben!$B$22)),"GO",IF(AND(ISNUMBER(Eingaben!$B$23),ISNUMBER(Eingaben!$B$24),IF(Eingaben!$B$23&lt;Eingaben!$B$24,AND(B9&gt;=Eingaben!$B$23,B9&lt;Eingaben!$B$24),OR(B9&gt;=Eingaben!$B$23,B9&lt;Eingaben!$B$24))),"HEAT","STANDARD"))</f>
        <v>GO</v>
      </c>
      <c r="E9" s="9"/>
      <c r="F9" t="str">
        <f>IF(E9="",D9,E9)</f>
        <v>GO</v>
      </c>
      <c r="G9" t="str">
        <f>INDEX(Netzzeiten!$B$6:$B$29,HOUR(B9)+1)</f>
        <v>NT</v>
      </c>
      <c r="H9" s="6">
        <f>IF(F9="GO",Eingaben!$B$11,IF(F9="STANDARD",Eingaben!$B$12,IF(AND(F9="HEAT",ISNUMBER(Eingaben!$B$13)),Eingaben!$B$13,"")))</f>
        <v>15.0654</v>
      </c>
      <c r="I9" s="6">
        <f>INDEX(Netzzeiten!$C$6:$C$29,HOUR(B9)+1)</f>
        <v>1.64</v>
      </c>
      <c r="J9" t="str">
        <f>IF(C9="","FEHLT",IF(NOT(ISNUMBER(C9)),"MESSWERT UNGUELTIG",IF(C9&lt;0,"MESSWERT UNGUELTIG",IF(H9="","TARIFPREIS FEHLT","OK"))))</f>
        <v>FEHLT</v>
      </c>
      <c r="K9" s="7">
        <f>IF(J9&lt;&gt;"OK","",C9*I9/100)</f>
        <v/>
      </c>
    </row>
    <row r="10" spans="1:11">
      <c r="A10" s="14">
        <v>46143</v>
      </c>
      <c r="B10" s="15">
        <v>0.04166666666666666</v>
      </c>
      <c r="C10" s="5">
        <f>IF('96 Werte'!F6="","",'96 Werte'!F6)</f>
        <v/>
      </c>
      <c r="D10" t="str">
        <f>IF(IF(Eingaben!$B$21&lt;Eingaben!$B$22,AND(B10&gt;=Eingaben!$B$21,B10&lt;Eingaben!$B$22),OR(B10&gt;=Eingaben!$B$21,B10&lt;Eingaben!$B$22)),"GO",IF(AND(ISNUMBER(Eingaben!$B$23),ISNUMBER(Eingaben!$B$24),IF(Eingaben!$B$23&lt;Eingaben!$B$24,AND(B10&gt;=Eingaben!$B$23,B10&lt;Eingaben!$B$24),OR(B10&gt;=Eingaben!$B$23,B10&lt;Eingaben!$B$24))),"HEAT","STANDARD"))</f>
        <v>GO</v>
      </c>
      <c r="E10" s="9"/>
      <c r="F10" t="str">
        <f>IF(E10="",D10,E10)</f>
        <v>GO</v>
      </c>
      <c r="G10" t="str">
        <f>INDEX(Netzzeiten!$B$6:$B$29,HOUR(B10)+1)</f>
        <v>NT</v>
      </c>
      <c r="H10" s="6">
        <f>IF(F10="GO",Eingaben!$B$11,IF(F10="STANDARD",Eingaben!$B$12,IF(AND(F10="HEAT",ISNUMBER(Eingaben!$B$13)),Eingaben!$B$13,"")))</f>
        <v>15.0654</v>
      </c>
      <c r="I10" s="6">
        <f>INDEX(Netzzeiten!$C$6:$C$29,HOUR(B10)+1)</f>
        <v>1.64</v>
      </c>
      <c r="J10" t="str">
        <f>IF(C10="","FEHLT",IF(NOT(ISNUMBER(C10)),"MESSWERT UNGUELTIG",IF(C10&lt;0,"MESSWERT UNGUELTIG",IF(H10="","TARIFPREIS FEHLT","OK"))))</f>
        <v>FEHLT</v>
      </c>
      <c r="K10" s="7">
        <f>IF(J10&lt;&gt;"OK","",C10*I10/100)</f>
        <v/>
      </c>
    </row>
    <row r="11" spans="1:11">
      <c r="A11" s="14">
        <v>46143</v>
      </c>
      <c r="B11" s="15">
        <v>0.05208333333333334</v>
      </c>
      <c r="C11" s="5">
        <f>IF('96 Werte'!G6="","",'96 Werte'!G6)</f>
        <v/>
      </c>
      <c r="D11" t="str">
        <f>IF(IF(Eingaben!$B$21&lt;Eingaben!$B$22,AND(B11&gt;=Eingaben!$B$21,B11&lt;Eingaben!$B$22),OR(B11&gt;=Eingaben!$B$21,B11&lt;Eingaben!$B$22)),"GO",IF(AND(ISNUMBER(Eingaben!$B$23),ISNUMBER(Eingaben!$B$24),IF(Eingaben!$B$23&lt;Eingaben!$B$24,AND(B11&gt;=Eingaben!$B$23,B11&lt;Eingaben!$B$24),OR(B11&gt;=Eingaben!$B$23,B11&lt;Eingaben!$B$24))),"HEAT","STANDARD"))</f>
        <v>GO</v>
      </c>
      <c r="E11" s="9"/>
      <c r="F11" t="str">
        <f>IF(E11="",D11,E11)</f>
        <v>GO</v>
      </c>
      <c r="G11" t="str">
        <f>INDEX(Netzzeiten!$B$6:$B$29,HOUR(B11)+1)</f>
        <v>NT</v>
      </c>
      <c r="H11" s="6">
        <f>IF(F11="GO",Eingaben!$B$11,IF(F11="STANDARD",Eingaben!$B$12,IF(AND(F11="HEAT",ISNUMBER(Eingaben!$B$13)),Eingaben!$B$13,"")))</f>
        <v>15.0654</v>
      </c>
      <c r="I11" s="6">
        <f>INDEX(Netzzeiten!$C$6:$C$29,HOUR(B11)+1)</f>
        <v>1.64</v>
      </c>
      <c r="J11" t="str">
        <f>IF(C11="","FEHLT",IF(NOT(ISNUMBER(C11)),"MESSWERT UNGUELTIG",IF(C11&lt;0,"MESSWERT UNGUELTIG",IF(H11="","TARIFPREIS FEHLT","OK"))))</f>
        <v>FEHLT</v>
      </c>
      <c r="K11" s="7">
        <f>IF(J11&lt;&gt;"OK","",C11*I11/100)</f>
        <v/>
      </c>
    </row>
    <row r="12" spans="1:11">
      <c r="A12" s="14">
        <v>46143</v>
      </c>
      <c r="B12" s="15">
        <v>0.0625</v>
      </c>
      <c r="C12" s="5">
        <f>IF('96 Werte'!H6="","",'96 Werte'!H6)</f>
        <v/>
      </c>
      <c r="D12" t="str">
        <f>IF(IF(Eingaben!$B$21&lt;Eingaben!$B$22,AND(B12&gt;=Eingaben!$B$21,B12&lt;Eingaben!$B$22),OR(B12&gt;=Eingaben!$B$21,B12&lt;Eingaben!$B$22)),"GO",IF(AND(ISNUMBER(Eingaben!$B$23),ISNUMBER(Eingaben!$B$24),IF(Eingaben!$B$23&lt;Eingaben!$B$24,AND(B12&gt;=Eingaben!$B$23,B12&lt;Eingaben!$B$24),OR(B12&gt;=Eingaben!$B$23,B12&lt;Eingaben!$B$24))),"HEAT","STANDARD"))</f>
        <v>GO</v>
      </c>
      <c r="E12" s="9"/>
      <c r="F12" t="str">
        <f>IF(E12="",D12,E12)</f>
        <v>GO</v>
      </c>
      <c r="G12" t="str">
        <f>INDEX(Netzzeiten!$B$6:$B$29,HOUR(B12)+1)</f>
        <v>NT</v>
      </c>
      <c r="H12" s="6">
        <f>IF(F12="GO",Eingaben!$B$11,IF(F12="STANDARD",Eingaben!$B$12,IF(AND(F12="HEAT",ISNUMBER(Eingaben!$B$13)),Eingaben!$B$13,"")))</f>
        <v>15.0654</v>
      </c>
      <c r="I12" s="6">
        <f>INDEX(Netzzeiten!$C$6:$C$29,HOUR(B12)+1)</f>
        <v>1.64</v>
      </c>
      <c r="J12" t="str">
        <f>IF(C12="","FEHLT",IF(NOT(ISNUMBER(C12)),"MESSWERT UNGUELTIG",IF(C12&lt;0,"MESSWERT UNGUELTIG",IF(H12="","TARIFPREIS FEHLT","OK"))))</f>
        <v>FEHLT</v>
      </c>
      <c r="K12" s="7">
        <f>IF(J12&lt;&gt;"OK","",C12*I12/100)</f>
        <v/>
      </c>
    </row>
    <row r="13" spans="1:11">
      <c r="A13" s="14">
        <v>46143</v>
      </c>
      <c r="B13" s="15">
        <v>0.07291666666666667</v>
      </c>
      <c r="C13" s="5">
        <f>IF('96 Werte'!I6="","",'96 Werte'!I6)</f>
        <v/>
      </c>
      <c r="D13" t="str">
        <f>IF(IF(Eingaben!$B$21&lt;Eingaben!$B$22,AND(B13&gt;=Eingaben!$B$21,B13&lt;Eingaben!$B$22),OR(B13&gt;=Eingaben!$B$21,B13&lt;Eingaben!$B$22)),"GO",IF(AND(ISNUMBER(Eingaben!$B$23),ISNUMBER(Eingaben!$B$24),IF(Eingaben!$B$23&lt;Eingaben!$B$24,AND(B13&gt;=Eingaben!$B$23,B13&lt;Eingaben!$B$24),OR(B13&gt;=Eingaben!$B$23,B13&lt;Eingaben!$B$24))),"HEAT","STANDARD"))</f>
        <v>GO</v>
      </c>
      <c r="E13" s="9"/>
      <c r="F13" t="str">
        <f>IF(E13="",D13,E13)</f>
        <v>GO</v>
      </c>
      <c r="G13" t="str">
        <f>INDEX(Netzzeiten!$B$6:$B$29,HOUR(B13)+1)</f>
        <v>NT</v>
      </c>
      <c r="H13" s="6">
        <f>IF(F13="GO",Eingaben!$B$11,IF(F13="STANDARD",Eingaben!$B$12,IF(AND(F13="HEAT",ISNUMBER(Eingaben!$B$13)),Eingaben!$B$13,"")))</f>
        <v>15.0654</v>
      </c>
      <c r="I13" s="6">
        <f>INDEX(Netzzeiten!$C$6:$C$29,HOUR(B13)+1)</f>
        <v>1.64</v>
      </c>
      <c r="J13" t="str">
        <f>IF(C13="","FEHLT",IF(NOT(ISNUMBER(C13)),"MESSWERT UNGUELTIG",IF(C13&lt;0,"MESSWERT UNGUELTIG",IF(H13="","TARIFPREIS FEHLT","OK"))))</f>
        <v>FEHLT</v>
      </c>
      <c r="K13" s="7">
        <f>IF(J13&lt;&gt;"OK","",C13*I13/100)</f>
        <v/>
      </c>
    </row>
    <row r="14" spans="1:11">
      <c r="A14" s="14">
        <v>46143</v>
      </c>
      <c r="B14" s="15">
        <v>0.08333333333333333</v>
      </c>
      <c r="C14" s="5">
        <f>IF('96 Werte'!J6="","",'96 Werte'!J6)</f>
        <v/>
      </c>
      <c r="D14" t="str">
        <f>IF(IF(Eingaben!$B$21&lt;Eingaben!$B$22,AND(B14&gt;=Eingaben!$B$21,B14&lt;Eingaben!$B$22),OR(B14&gt;=Eingaben!$B$21,B14&lt;Eingaben!$B$22)),"GO",IF(AND(ISNUMBER(Eingaben!$B$23),ISNUMBER(Eingaben!$B$24),IF(Eingaben!$B$23&lt;Eingaben!$B$24,AND(B14&gt;=Eingaben!$B$23,B14&lt;Eingaben!$B$24),OR(B14&gt;=Eingaben!$B$23,B14&lt;Eingaben!$B$24))),"HEAT","STANDARD"))</f>
        <v>GO</v>
      </c>
      <c r="E14" s="9"/>
      <c r="F14" t="str">
        <f>IF(E14="",D14,E14)</f>
        <v>GO</v>
      </c>
      <c r="G14" t="str">
        <f>INDEX(Netzzeiten!$B$6:$B$29,HOUR(B14)+1)</f>
        <v>NT</v>
      </c>
      <c r="H14" s="6">
        <f>IF(F14="GO",Eingaben!$B$11,IF(F14="STANDARD",Eingaben!$B$12,IF(AND(F14="HEAT",ISNUMBER(Eingaben!$B$13)),Eingaben!$B$13,"")))</f>
        <v>15.0654</v>
      </c>
      <c r="I14" s="6">
        <f>INDEX(Netzzeiten!$C$6:$C$29,HOUR(B14)+1)</f>
        <v>1.64</v>
      </c>
      <c r="J14" t="str">
        <f>IF(C14="","FEHLT",IF(NOT(ISNUMBER(C14)),"MESSWERT UNGUELTIG",IF(C14&lt;0,"MESSWERT UNGUELTIG",IF(H14="","TARIFPREIS FEHLT","OK"))))</f>
        <v>FEHLT</v>
      </c>
      <c r="K14" s="7">
        <f>IF(J14&lt;&gt;"OK","",C14*I14/100)</f>
        <v/>
      </c>
    </row>
    <row r="15" spans="1:11">
      <c r="A15" s="14">
        <v>46143</v>
      </c>
      <c r="B15" s="15">
        <v>0.09375</v>
      </c>
      <c r="C15" s="5">
        <f>IF('96 Werte'!K6="","",'96 Werte'!K6)</f>
        <v/>
      </c>
      <c r="D15" t="str">
        <f>IF(IF(Eingaben!$B$21&lt;Eingaben!$B$22,AND(B15&gt;=Eingaben!$B$21,B15&lt;Eingaben!$B$22),OR(B15&gt;=Eingaben!$B$21,B15&lt;Eingaben!$B$22)),"GO",IF(AND(ISNUMBER(Eingaben!$B$23),ISNUMBER(Eingaben!$B$24),IF(Eingaben!$B$23&lt;Eingaben!$B$24,AND(B15&gt;=Eingaben!$B$23,B15&lt;Eingaben!$B$24),OR(B15&gt;=Eingaben!$B$23,B15&lt;Eingaben!$B$24))),"HEAT","STANDARD"))</f>
        <v>GO</v>
      </c>
      <c r="E15" s="9"/>
      <c r="F15" t="str">
        <f>IF(E15="",D15,E15)</f>
        <v>GO</v>
      </c>
      <c r="G15" t="str">
        <f>INDEX(Netzzeiten!$B$6:$B$29,HOUR(B15)+1)</f>
        <v>NT</v>
      </c>
      <c r="H15" s="6">
        <f>IF(F15="GO",Eingaben!$B$11,IF(F15="STANDARD",Eingaben!$B$12,IF(AND(F15="HEAT",ISNUMBER(Eingaben!$B$13)),Eingaben!$B$13,"")))</f>
        <v>15.0654</v>
      </c>
      <c r="I15" s="6">
        <f>INDEX(Netzzeiten!$C$6:$C$29,HOUR(B15)+1)</f>
        <v>1.64</v>
      </c>
      <c r="J15" t="str">
        <f>IF(C15="","FEHLT",IF(NOT(ISNUMBER(C15)),"MESSWERT UNGUELTIG",IF(C15&lt;0,"MESSWERT UNGUELTIG",IF(H15="","TARIFPREIS FEHLT","OK"))))</f>
        <v>FEHLT</v>
      </c>
      <c r="K15" s="7">
        <f>IF(J15&lt;&gt;"OK","",C15*I15/100)</f>
        <v/>
      </c>
    </row>
    <row r="16" spans="1:11">
      <c r="A16" s="14">
        <v>46143</v>
      </c>
      <c r="B16" s="15">
        <v>0.1041666666666667</v>
      </c>
      <c r="C16" s="5">
        <f>IF('96 Werte'!L6="","",'96 Werte'!L6)</f>
        <v/>
      </c>
      <c r="D16" t="str">
        <f>IF(IF(Eingaben!$B$21&lt;Eingaben!$B$22,AND(B16&gt;=Eingaben!$B$21,B16&lt;Eingaben!$B$22),OR(B16&gt;=Eingaben!$B$21,B16&lt;Eingaben!$B$22)),"GO",IF(AND(ISNUMBER(Eingaben!$B$23),ISNUMBER(Eingaben!$B$24),IF(Eingaben!$B$23&lt;Eingaben!$B$24,AND(B16&gt;=Eingaben!$B$23,B16&lt;Eingaben!$B$24),OR(B16&gt;=Eingaben!$B$23,B16&lt;Eingaben!$B$24))),"HEAT","STANDARD"))</f>
        <v>GO</v>
      </c>
      <c r="E16" s="9"/>
      <c r="F16" t="str">
        <f>IF(E16="",D16,E16)</f>
        <v>GO</v>
      </c>
      <c r="G16" t="str">
        <f>INDEX(Netzzeiten!$B$6:$B$29,HOUR(B16)+1)</f>
        <v>NT</v>
      </c>
      <c r="H16" s="6">
        <f>IF(F16="GO",Eingaben!$B$11,IF(F16="STANDARD",Eingaben!$B$12,IF(AND(F16="HEAT",ISNUMBER(Eingaben!$B$13)),Eingaben!$B$13,"")))</f>
        <v>15.0654</v>
      </c>
      <c r="I16" s="6">
        <f>INDEX(Netzzeiten!$C$6:$C$29,HOUR(B16)+1)</f>
        <v>1.64</v>
      </c>
      <c r="J16" t="str">
        <f>IF(C16="","FEHLT",IF(NOT(ISNUMBER(C16)),"MESSWERT UNGUELTIG",IF(C16&lt;0,"MESSWERT UNGUELTIG",IF(H16="","TARIFPREIS FEHLT","OK"))))</f>
        <v>FEHLT</v>
      </c>
      <c r="K16" s="7">
        <f>IF(J16&lt;&gt;"OK","",C16*I16/100)</f>
        <v/>
      </c>
    </row>
    <row r="17" spans="1:11">
      <c r="A17" s="14">
        <v>46143</v>
      </c>
      <c r="B17" s="15">
        <v>0.1145833333333333</v>
      </c>
      <c r="C17" s="5">
        <f>IF('96 Werte'!M6="","",'96 Werte'!M6)</f>
        <v/>
      </c>
      <c r="D17" t="str">
        <f>IF(IF(Eingaben!$B$21&lt;Eingaben!$B$22,AND(B17&gt;=Eingaben!$B$21,B17&lt;Eingaben!$B$22),OR(B17&gt;=Eingaben!$B$21,B17&lt;Eingaben!$B$22)),"GO",IF(AND(ISNUMBER(Eingaben!$B$23),ISNUMBER(Eingaben!$B$24),IF(Eingaben!$B$23&lt;Eingaben!$B$24,AND(B17&gt;=Eingaben!$B$23,B17&lt;Eingaben!$B$24),OR(B17&gt;=Eingaben!$B$23,B17&lt;Eingaben!$B$24))),"HEAT","STANDARD"))</f>
        <v>GO</v>
      </c>
      <c r="E17" s="9"/>
      <c r="F17" t="str">
        <f>IF(E17="",D17,E17)</f>
        <v>GO</v>
      </c>
      <c r="G17" t="str">
        <f>INDEX(Netzzeiten!$B$6:$B$29,HOUR(B17)+1)</f>
        <v>NT</v>
      </c>
      <c r="H17" s="6">
        <f>IF(F17="GO",Eingaben!$B$11,IF(F17="STANDARD",Eingaben!$B$12,IF(AND(F17="HEAT",ISNUMBER(Eingaben!$B$13)),Eingaben!$B$13,"")))</f>
        <v>15.0654</v>
      </c>
      <c r="I17" s="6">
        <f>INDEX(Netzzeiten!$C$6:$C$29,HOUR(B17)+1)</f>
        <v>1.64</v>
      </c>
      <c r="J17" t="str">
        <f>IF(C17="","FEHLT",IF(NOT(ISNUMBER(C17)),"MESSWERT UNGUELTIG",IF(C17&lt;0,"MESSWERT UNGUELTIG",IF(H17="","TARIFPREIS FEHLT","OK"))))</f>
        <v>FEHLT</v>
      </c>
      <c r="K17" s="7">
        <f>IF(J17&lt;&gt;"OK","",C17*I17/100)</f>
        <v/>
      </c>
    </row>
    <row r="18" spans="1:11">
      <c r="A18" s="14">
        <v>46143</v>
      </c>
      <c r="B18" s="15">
        <v>0.125</v>
      </c>
      <c r="C18" s="5">
        <f>IF('96 Werte'!N6="","",'96 Werte'!N6)</f>
        <v/>
      </c>
      <c r="D18" t="str">
        <f>IF(IF(Eingaben!$B$21&lt;Eingaben!$B$22,AND(B18&gt;=Eingaben!$B$21,B18&lt;Eingaben!$B$22),OR(B18&gt;=Eingaben!$B$21,B18&lt;Eingaben!$B$22)),"GO",IF(AND(ISNUMBER(Eingaben!$B$23),ISNUMBER(Eingaben!$B$24),IF(Eingaben!$B$23&lt;Eingaben!$B$24,AND(B18&gt;=Eingaben!$B$23,B18&lt;Eingaben!$B$24),OR(B18&gt;=Eingaben!$B$23,B18&lt;Eingaben!$B$24))),"HEAT","STANDARD"))</f>
        <v>GO</v>
      </c>
      <c r="E18" s="9"/>
      <c r="F18" t="str">
        <f>IF(E18="",D18,E18)</f>
        <v>GO</v>
      </c>
      <c r="G18" t="str">
        <f>INDEX(Netzzeiten!$B$6:$B$29,HOUR(B18)+1)</f>
        <v>NT</v>
      </c>
      <c r="H18" s="6">
        <f>IF(F18="GO",Eingaben!$B$11,IF(F18="STANDARD",Eingaben!$B$12,IF(AND(F18="HEAT",ISNUMBER(Eingaben!$B$13)),Eingaben!$B$13,"")))</f>
        <v>15.0654</v>
      </c>
      <c r="I18" s="6">
        <f>INDEX(Netzzeiten!$C$6:$C$29,HOUR(B18)+1)</f>
        <v>1.64</v>
      </c>
      <c r="J18" t="str">
        <f>IF(C18="","FEHLT",IF(NOT(ISNUMBER(C18)),"MESSWERT UNGUELTIG",IF(C18&lt;0,"MESSWERT UNGUELTIG",IF(H18="","TARIFPREIS FEHLT","OK"))))</f>
        <v>FEHLT</v>
      </c>
      <c r="K18" s="7">
        <f>IF(J18&lt;&gt;"OK","",C18*I18/100)</f>
        <v/>
      </c>
    </row>
    <row r="19" spans="1:11">
      <c r="A19" s="14">
        <v>46143</v>
      </c>
      <c r="B19" s="15">
        <v>0.1354166666666667</v>
      </c>
      <c r="C19" s="5">
        <f>IF('96 Werte'!O6="","",'96 Werte'!O6)</f>
        <v/>
      </c>
      <c r="D19" t="str">
        <f>IF(IF(Eingaben!$B$21&lt;Eingaben!$B$22,AND(B19&gt;=Eingaben!$B$21,B19&lt;Eingaben!$B$22),OR(B19&gt;=Eingaben!$B$21,B19&lt;Eingaben!$B$22)),"GO",IF(AND(ISNUMBER(Eingaben!$B$23),ISNUMBER(Eingaben!$B$24),IF(Eingaben!$B$23&lt;Eingaben!$B$24,AND(B19&gt;=Eingaben!$B$23,B19&lt;Eingaben!$B$24),OR(B19&gt;=Eingaben!$B$23,B19&lt;Eingaben!$B$24))),"HEAT","STANDARD"))</f>
        <v>GO</v>
      </c>
      <c r="E19" s="9"/>
      <c r="F19" t="str">
        <f>IF(E19="",D19,E19)</f>
        <v>GO</v>
      </c>
      <c r="G19" t="str">
        <f>INDEX(Netzzeiten!$B$6:$B$29,HOUR(B19)+1)</f>
        <v>NT</v>
      </c>
      <c r="H19" s="6">
        <f>IF(F19="GO",Eingaben!$B$11,IF(F19="STANDARD",Eingaben!$B$12,IF(AND(F19="HEAT",ISNUMBER(Eingaben!$B$13)),Eingaben!$B$13,"")))</f>
        <v>15.0654</v>
      </c>
      <c r="I19" s="6">
        <f>INDEX(Netzzeiten!$C$6:$C$29,HOUR(B19)+1)</f>
        <v>1.64</v>
      </c>
      <c r="J19" t="str">
        <f>IF(C19="","FEHLT",IF(NOT(ISNUMBER(C19)),"MESSWERT UNGUELTIG",IF(C19&lt;0,"MESSWERT UNGUELTIG",IF(H19="","TARIFPREIS FEHLT","OK"))))</f>
        <v>FEHLT</v>
      </c>
      <c r="K19" s="7">
        <f>IF(J19&lt;&gt;"OK","",C19*I19/100)</f>
        <v/>
      </c>
    </row>
    <row r="20" spans="1:11">
      <c r="A20" s="14">
        <v>46143</v>
      </c>
      <c r="B20" s="15">
        <v>0.1458333333333333</v>
      </c>
      <c r="C20" s="5">
        <f>IF('96 Werte'!P6="","",'96 Werte'!P6)</f>
        <v/>
      </c>
      <c r="D20" t="str">
        <f>IF(IF(Eingaben!$B$21&lt;Eingaben!$B$22,AND(B20&gt;=Eingaben!$B$21,B20&lt;Eingaben!$B$22),OR(B20&gt;=Eingaben!$B$21,B20&lt;Eingaben!$B$22)),"GO",IF(AND(ISNUMBER(Eingaben!$B$23),ISNUMBER(Eingaben!$B$24),IF(Eingaben!$B$23&lt;Eingaben!$B$24,AND(B20&gt;=Eingaben!$B$23,B20&lt;Eingaben!$B$24),OR(B20&gt;=Eingaben!$B$23,B20&lt;Eingaben!$B$24))),"HEAT","STANDARD"))</f>
        <v>GO</v>
      </c>
      <c r="E20" s="9"/>
      <c r="F20" t="str">
        <f>IF(E20="",D20,E20)</f>
        <v>GO</v>
      </c>
      <c r="G20" t="str">
        <f>INDEX(Netzzeiten!$B$6:$B$29,HOUR(B20)+1)</f>
        <v>NT</v>
      </c>
      <c r="H20" s="6">
        <f>IF(F20="GO",Eingaben!$B$11,IF(F20="STANDARD",Eingaben!$B$12,IF(AND(F20="HEAT",ISNUMBER(Eingaben!$B$13)),Eingaben!$B$13,"")))</f>
        <v>15.0654</v>
      </c>
      <c r="I20" s="6">
        <f>INDEX(Netzzeiten!$C$6:$C$29,HOUR(B20)+1)</f>
        <v>1.64</v>
      </c>
      <c r="J20" t="str">
        <f>IF(C20="","FEHLT",IF(NOT(ISNUMBER(C20)),"MESSWERT UNGUELTIG",IF(C20&lt;0,"MESSWERT UNGUELTIG",IF(H20="","TARIFPREIS FEHLT","OK"))))</f>
        <v>FEHLT</v>
      </c>
      <c r="K20" s="7">
        <f>IF(J20&lt;&gt;"OK","",C20*I20/100)</f>
        <v/>
      </c>
    </row>
    <row r="21" spans="1:11">
      <c r="A21" s="14">
        <v>46143</v>
      </c>
      <c r="B21" s="15">
        <v>0.15625</v>
      </c>
      <c r="C21" s="5">
        <f>IF('96 Werte'!Q6="","",'96 Werte'!Q6)</f>
        <v/>
      </c>
      <c r="D21" t="str">
        <f>IF(IF(Eingaben!$B$21&lt;Eingaben!$B$22,AND(B21&gt;=Eingaben!$B$21,B21&lt;Eingaben!$B$22),OR(B21&gt;=Eingaben!$B$21,B21&lt;Eingaben!$B$22)),"GO",IF(AND(ISNUMBER(Eingaben!$B$23),ISNUMBER(Eingaben!$B$24),IF(Eingaben!$B$23&lt;Eingaben!$B$24,AND(B21&gt;=Eingaben!$B$23,B21&lt;Eingaben!$B$24),OR(B21&gt;=Eingaben!$B$23,B21&lt;Eingaben!$B$24))),"HEAT","STANDARD"))</f>
        <v>GO</v>
      </c>
      <c r="E21" s="9"/>
      <c r="F21" t="str">
        <f>IF(E21="",D21,E21)</f>
        <v>GO</v>
      </c>
      <c r="G21" t="str">
        <f>INDEX(Netzzeiten!$B$6:$B$29,HOUR(B21)+1)</f>
        <v>NT</v>
      </c>
      <c r="H21" s="6">
        <f>IF(F21="GO",Eingaben!$B$11,IF(F21="STANDARD",Eingaben!$B$12,IF(AND(F21="HEAT",ISNUMBER(Eingaben!$B$13)),Eingaben!$B$13,"")))</f>
        <v>15.0654</v>
      </c>
      <c r="I21" s="6">
        <f>INDEX(Netzzeiten!$C$6:$C$29,HOUR(B21)+1)</f>
        <v>1.64</v>
      </c>
      <c r="J21" t="str">
        <f>IF(C21="","FEHLT",IF(NOT(ISNUMBER(C21)),"MESSWERT UNGUELTIG",IF(C21&lt;0,"MESSWERT UNGUELTIG",IF(H21="","TARIFPREIS FEHLT","OK"))))</f>
        <v>FEHLT</v>
      </c>
      <c r="K21" s="7">
        <f>IF(J21&lt;&gt;"OK","",C21*I21/100)</f>
        <v/>
      </c>
    </row>
    <row r="22" spans="1:11">
      <c r="A22" s="14">
        <v>46143</v>
      </c>
      <c r="B22" s="15">
        <v>0.1666666666666667</v>
      </c>
      <c r="C22" s="5">
        <f>IF('96 Werte'!R6="","",'96 Werte'!R6)</f>
        <v/>
      </c>
      <c r="D22" t="str">
        <f>IF(IF(Eingaben!$B$21&lt;Eingaben!$B$22,AND(B22&gt;=Eingaben!$B$21,B22&lt;Eingaben!$B$22),OR(B22&gt;=Eingaben!$B$21,B22&lt;Eingaben!$B$22)),"GO",IF(AND(ISNUMBER(Eingaben!$B$23),ISNUMBER(Eingaben!$B$24),IF(Eingaben!$B$23&lt;Eingaben!$B$24,AND(B22&gt;=Eingaben!$B$23,B22&lt;Eingaben!$B$24),OR(B22&gt;=Eingaben!$B$23,B22&lt;Eingaben!$B$24))),"HEAT","STANDARD"))</f>
        <v>GO</v>
      </c>
      <c r="E22" s="9"/>
      <c r="F22" t="str">
        <f>IF(E22="",D22,E22)</f>
        <v>GO</v>
      </c>
      <c r="G22" t="str">
        <f>INDEX(Netzzeiten!$B$6:$B$29,HOUR(B22)+1)</f>
        <v>NT</v>
      </c>
      <c r="H22" s="6">
        <f>IF(F22="GO",Eingaben!$B$11,IF(F22="STANDARD",Eingaben!$B$12,IF(AND(F22="HEAT",ISNUMBER(Eingaben!$B$13)),Eingaben!$B$13,"")))</f>
        <v>15.0654</v>
      </c>
      <c r="I22" s="6">
        <f>INDEX(Netzzeiten!$C$6:$C$29,HOUR(B22)+1)</f>
        <v>1.64</v>
      </c>
      <c r="J22" t="str">
        <f>IF(C22="","FEHLT",IF(NOT(ISNUMBER(C22)),"MESSWERT UNGUELTIG",IF(C22&lt;0,"MESSWERT UNGUELTIG",IF(H22="","TARIFPREIS FEHLT","OK"))))</f>
        <v>FEHLT</v>
      </c>
      <c r="K22" s="7">
        <f>IF(J22&lt;&gt;"OK","",C22*I22/100)</f>
        <v/>
      </c>
    </row>
    <row r="23" spans="1:11">
      <c r="A23" s="14">
        <v>46143</v>
      </c>
      <c r="B23" s="15">
        <v>0.1770833333333333</v>
      </c>
      <c r="C23" s="5">
        <f>IF('96 Werte'!S6="","",'96 Werte'!S6)</f>
        <v/>
      </c>
      <c r="D23" t="str">
        <f>IF(IF(Eingaben!$B$21&lt;Eingaben!$B$22,AND(B23&gt;=Eingaben!$B$21,B23&lt;Eingaben!$B$22),OR(B23&gt;=Eingaben!$B$21,B23&lt;Eingaben!$B$22)),"GO",IF(AND(ISNUMBER(Eingaben!$B$23),ISNUMBER(Eingaben!$B$24),IF(Eingaben!$B$23&lt;Eingaben!$B$24,AND(B23&gt;=Eingaben!$B$23,B23&lt;Eingaben!$B$24),OR(B23&gt;=Eingaben!$B$23,B23&lt;Eingaben!$B$24))),"HEAT","STANDARD"))</f>
        <v>GO</v>
      </c>
      <c r="E23" s="9"/>
      <c r="F23" t="str">
        <f>IF(E23="",D23,E23)</f>
        <v>GO</v>
      </c>
      <c r="G23" t="str">
        <f>INDEX(Netzzeiten!$B$6:$B$29,HOUR(B23)+1)</f>
        <v>NT</v>
      </c>
      <c r="H23" s="6">
        <f>IF(F23="GO",Eingaben!$B$11,IF(F23="STANDARD",Eingaben!$B$12,IF(AND(F23="HEAT",ISNUMBER(Eingaben!$B$13)),Eingaben!$B$13,"")))</f>
        <v>15.0654</v>
      </c>
      <c r="I23" s="6">
        <f>INDEX(Netzzeiten!$C$6:$C$29,HOUR(B23)+1)</f>
        <v>1.64</v>
      </c>
      <c r="J23" t="str">
        <f>IF(C23="","FEHLT",IF(NOT(ISNUMBER(C23)),"MESSWERT UNGUELTIG",IF(C23&lt;0,"MESSWERT UNGUELTIG",IF(H23="","TARIFPREIS FEHLT","OK"))))</f>
        <v>FEHLT</v>
      </c>
      <c r="K23" s="7">
        <f>IF(J23&lt;&gt;"OK","",C23*I23/100)</f>
        <v/>
      </c>
    </row>
    <row r="24" spans="1:11">
      <c r="A24" s="14">
        <v>46143</v>
      </c>
      <c r="B24" s="15">
        <v>0.1875</v>
      </c>
      <c r="C24" s="5">
        <f>IF('96 Werte'!T6="","",'96 Werte'!T6)</f>
        <v/>
      </c>
      <c r="D24" t="str">
        <f>IF(IF(Eingaben!$B$21&lt;Eingaben!$B$22,AND(B24&gt;=Eingaben!$B$21,B24&lt;Eingaben!$B$22),OR(B24&gt;=Eingaben!$B$21,B24&lt;Eingaben!$B$22)),"GO",IF(AND(ISNUMBER(Eingaben!$B$23),ISNUMBER(Eingaben!$B$24),IF(Eingaben!$B$23&lt;Eingaben!$B$24,AND(B24&gt;=Eingaben!$B$23,B24&lt;Eingaben!$B$24),OR(B24&gt;=Eingaben!$B$23,B24&lt;Eingaben!$B$24))),"HEAT","STANDARD"))</f>
        <v>GO</v>
      </c>
      <c r="E24" s="9"/>
      <c r="F24" t="str">
        <f>IF(E24="",D24,E24)</f>
        <v>GO</v>
      </c>
      <c r="G24" t="str">
        <f>INDEX(Netzzeiten!$B$6:$B$29,HOUR(B24)+1)</f>
        <v>NT</v>
      </c>
      <c r="H24" s="6">
        <f>IF(F24="GO",Eingaben!$B$11,IF(F24="STANDARD",Eingaben!$B$12,IF(AND(F24="HEAT",ISNUMBER(Eingaben!$B$13)),Eingaben!$B$13,"")))</f>
        <v>15.0654</v>
      </c>
      <c r="I24" s="6">
        <f>INDEX(Netzzeiten!$C$6:$C$29,HOUR(B24)+1)</f>
        <v>1.64</v>
      </c>
      <c r="J24" t="str">
        <f>IF(C24="","FEHLT",IF(NOT(ISNUMBER(C24)),"MESSWERT UNGUELTIG",IF(C24&lt;0,"MESSWERT UNGUELTIG",IF(H24="","TARIFPREIS FEHLT","OK"))))</f>
        <v>FEHLT</v>
      </c>
      <c r="K24" s="7">
        <f>IF(J24&lt;&gt;"OK","",C24*I24/100)</f>
        <v/>
      </c>
    </row>
    <row r="25" spans="1:11">
      <c r="A25" s="14">
        <v>46143</v>
      </c>
      <c r="B25" s="15">
        <v>0.1979166666666667</v>
      </c>
      <c r="C25" s="5">
        <f>IF('96 Werte'!U6="","",'96 Werte'!U6)</f>
        <v/>
      </c>
      <c r="D25" t="str">
        <f>IF(IF(Eingaben!$B$21&lt;Eingaben!$B$22,AND(B25&gt;=Eingaben!$B$21,B25&lt;Eingaben!$B$22),OR(B25&gt;=Eingaben!$B$21,B25&lt;Eingaben!$B$22)),"GO",IF(AND(ISNUMBER(Eingaben!$B$23),ISNUMBER(Eingaben!$B$24),IF(Eingaben!$B$23&lt;Eingaben!$B$24,AND(B25&gt;=Eingaben!$B$23,B25&lt;Eingaben!$B$24),OR(B25&gt;=Eingaben!$B$23,B25&lt;Eingaben!$B$24))),"HEAT","STANDARD"))</f>
        <v>GO</v>
      </c>
      <c r="E25" s="9"/>
      <c r="F25" t="str">
        <f>IF(E25="",D25,E25)</f>
        <v>GO</v>
      </c>
      <c r="G25" t="str">
        <f>INDEX(Netzzeiten!$B$6:$B$29,HOUR(B25)+1)</f>
        <v>NT</v>
      </c>
      <c r="H25" s="6">
        <f>IF(F25="GO",Eingaben!$B$11,IF(F25="STANDARD",Eingaben!$B$12,IF(AND(F25="HEAT",ISNUMBER(Eingaben!$B$13)),Eingaben!$B$13,"")))</f>
        <v>15.0654</v>
      </c>
      <c r="I25" s="6">
        <f>INDEX(Netzzeiten!$C$6:$C$29,HOUR(B25)+1)</f>
        <v>1.64</v>
      </c>
      <c r="J25" t="str">
        <f>IF(C25="","FEHLT",IF(NOT(ISNUMBER(C25)),"MESSWERT UNGUELTIG",IF(C25&lt;0,"MESSWERT UNGUELTIG",IF(H25="","TARIFPREIS FEHLT","OK"))))</f>
        <v>FEHLT</v>
      </c>
      <c r="K25" s="7">
        <f>IF(J25&lt;&gt;"OK","",C25*I25/100)</f>
        <v/>
      </c>
    </row>
    <row r="26" spans="1:11">
      <c r="A26" s="14">
        <v>46143</v>
      </c>
      <c r="B26" s="15">
        <v>0.2083333333333333</v>
      </c>
      <c r="C26" s="5">
        <f>IF('96 Werte'!V6="","",'96 Werte'!V6)</f>
        <v/>
      </c>
      <c r="D26" t="str">
        <f>IF(IF(Eingaben!$B$21&lt;Eingaben!$B$22,AND(B26&gt;=Eingaben!$B$21,B26&lt;Eingaben!$B$22),OR(B26&gt;=Eingaben!$B$21,B26&lt;Eingaben!$B$22)),"GO",IF(AND(ISNUMBER(Eingaben!$B$23),ISNUMBER(Eingaben!$B$24),IF(Eingaben!$B$23&lt;Eingaben!$B$24,AND(B26&gt;=Eingaben!$B$23,B26&lt;Eingaben!$B$24),OR(B26&gt;=Eingaben!$B$23,B26&lt;Eingaben!$B$24))),"HEAT","STANDARD"))</f>
        <v>STANDARD</v>
      </c>
      <c r="E26" s="9"/>
      <c r="F26" t="str">
        <f>IF(E26="",D26,E26)</f>
        <v>STANDARD</v>
      </c>
      <c r="G26" t="str">
        <f>INDEX(Netzzeiten!$B$6:$B$29,HOUR(B26)+1)</f>
        <v>NT</v>
      </c>
      <c r="H26" s="6">
        <f>IF(F26="GO",Eingaben!$B$11,IF(F26="STANDARD",Eingaben!$B$12,IF(AND(F26="HEAT",ISNUMBER(Eingaben!$B$13)),Eingaben!$B$13,"")))</f>
        <v>28.2744</v>
      </c>
      <c r="I26" s="6">
        <f>INDEX(Netzzeiten!$C$6:$C$29,HOUR(B26)+1)</f>
        <v>1.64</v>
      </c>
      <c r="J26" t="str">
        <f>IF(C26="","FEHLT",IF(NOT(ISNUMBER(C26)),"MESSWERT UNGUELTIG",IF(C26&lt;0,"MESSWERT UNGUELTIG",IF(H26="","TARIFPREIS FEHLT","OK"))))</f>
        <v>FEHLT</v>
      </c>
      <c r="K26" s="7">
        <f>IF(J26&lt;&gt;"OK","",C26*I26/100)</f>
        <v/>
      </c>
    </row>
    <row r="27" spans="1:11">
      <c r="A27" s="14">
        <v>46143</v>
      </c>
      <c r="B27" s="15">
        <v>0.21875</v>
      </c>
      <c r="C27" s="5">
        <f>IF('96 Werte'!W6="","",'96 Werte'!W6)</f>
        <v/>
      </c>
      <c r="D27" t="str">
        <f>IF(IF(Eingaben!$B$21&lt;Eingaben!$B$22,AND(B27&gt;=Eingaben!$B$21,B27&lt;Eingaben!$B$22),OR(B27&gt;=Eingaben!$B$21,B27&lt;Eingaben!$B$22)),"GO",IF(AND(ISNUMBER(Eingaben!$B$23),ISNUMBER(Eingaben!$B$24),IF(Eingaben!$B$23&lt;Eingaben!$B$24,AND(B27&gt;=Eingaben!$B$23,B27&lt;Eingaben!$B$24),OR(B27&gt;=Eingaben!$B$23,B27&lt;Eingaben!$B$24))),"HEAT","STANDARD"))</f>
        <v>STANDARD</v>
      </c>
      <c r="E27" s="9"/>
      <c r="F27" t="str">
        <f>IF(E27="",D27,E27)</f>
        <v>STANDARD</v>
      </c>
      <c r="G27" t="str">
        <f>INDEX(Netzzeiten!$B$6:$B$29,HOUR(B27)+1)</f>
        <v>NT</v>
      </c>
      <c r="H27" s="6">
        <f>IF(F27="GO",Eingaben!$B$11,IF(F27="STANDARD",Eingaben!$B$12,IF(AND(F27="HEAT",ISNUMBER(Eingaben!$B$13)),Eingaben!$B$13,"")))</f>
        <v>28.2744</v>
      </c>
      <c r="I27" s="6">
        <f>INDEX(Netzzeiten!$C$6:$C$29,HOUR(B27)+1)</f>
        <v>1.64</v>
      </c>
      <c r="J27" t="str">
        <f>IF(C27="","FEHLT",IF(NOT(ISNUMBER(C27)),"MESSWERT UNGUELTIG",IF(C27&lt;0,"MESSWERT UNGUELTIG",IF(H27="","TARIFPREIS FEHLT","OK"))))</f>
        <v>FEHLT</v>
      </c>
      <c r="K27" s="7">
        <f>IF(J27&lt;&gt;"OK","",C27*I27/100)</f>
        <v/>
      </c>
    </row>
    <row r="28" spans="1:11">
      <c r="A28" s="14">
        <v>46143</v>
      </c>
      <c r="B28" s="15">
        <v>0.2291666666666667</v>
      </c>
      <c r="C28" s="5">
        <f>IF('96 Werte'!X6="","",'96 Werte'!X6)</f>
        <v/>
      </c>
      <c r="D28" t="str">
        <f>IF(IF(Eingaben!$B$21&lt;Eingaben!$B$22,AND(B28&gt;=Eingaben!$B$21,B28&lt;Eingaben!$B$22),OR(B28&gt;=Eingaben!$B$21,B28&lt;Eingaben!$B$22)),"GO",IF(AND(ISNUMBER(Eingaben!$B$23),ISNUMBER(Eingaben!$B$24),IF(Eingaben!$B$23&lt;Eingaben!$B$24,AND(B28&gt;=Eingaben!$B$23,B28&lt;Eingaben!$B$24),OR(B28&gt;=Eingaben!$B$23,B28&lt;Eingaben!$B$24))),"HEAT","STANDARD"))</f>
        <v>STANDARD</v>
      </c>
      <c r="E28" s="9"/>
      <c r="F28" t="str">
        <f>IF(E28="",D28,E28)</f>
        <v>STANDARD</v>
      </c>
      <c r="G28" t="str">
        <f>INDEX(Netzzeiten!$B$6:$B$29,HOUR(B28)+1)</f>
        <v>NT</v>
      </c>
      <c r="H28" s="6">
        <f>IF(F28="GO",Eingaben!$B$11,IF(F28="STANDARD",Eingaben!$B$12,IF(AND(F28="HEAT",ISNUMBER(Eingaben!$B$13)),Eingaben!$B$13,"")))</f>
        <v>28.2744</v>
      </c>
      <c r="I28" s="6">
        <f>INDEX(Netzzeiten!$C$6:$C$29,HOUR(B28)+1)</f>
        <v>1.64</v>
      </c>
      <c r="J28" t="str">
        <f>IF(C28="","FEHLT",IF(NOT(ISNUMBER(C28)),"MESSWERT UNGUELTIG",IF(C28&lt;0,"MESSWERT UNGUELTIG",IF(H28="","TARIFPREIS FEHLT","OK"))))</f>
        <v>FEHLT</v>
      </c>
      <c r="K28" s="7">
        <f>IF(J28&lt;&gt;"OK","",C28*I28/100)</f>
        <v/>
      </c>
    </row>
    <row r="29" spans="1:11">
      <c r="A29" s="14">
        <v>46143</v>
      </c>
      <c r="B29" s="15">
        <v>0.2395833333333333</v>
      </c>
      <c r="C29" s="5">
        <f>IF('96 Werte'!Y6="","",'96 Werte'!Y6)</f>
        <v/>
      </c>
      <c r="D29" t="str">
        <f>IF(IF(Eingaben!$B$21&lt;Eingaben!$B$22,AND(B29&gt;=Eingaben!$B$21,B29&lt;Eingaben!$B$22),OR(B29&gt;=Eingaben!$B$21,B29&lt;Eingaben!$B$22)),"GO",IF(AND(ISNUMBER(Eingaben!$B$23),ISNUMBER(Eingaben!$B$24),IF(Eingaben!$B$23&lt;Eingaben!$B$24,AND(B29&gt;=Eingaben!$B$23,B29&lt;Eingaben!$B$24),OR(B29&gt;=Eingaben!$B$23,B29&lt;Eingaben!$B$24))),"HEAT","STANDARD"))</f>
        <v>STANDARD</v>
      </c>
      <c r="E29" s="9"/>
      <c r="F29" t="str">
        <f>IF(E29="",D29,E29)</f>
        <v>STANDARD</v>
      </c>
      <c r="G29" t="str">
        <f>INDEX(Netzzeiten!$B$6:$B$29,HOUR(B29)+1)</f>
        <v>NT</v>
      </c>
      <c r="H29" s="6">
        <f>IF(F29="GO",Eingaben!$B$11,IF(F29="STANDARD",Eingaben!$B$12,IF(AND(F29="HEAT",ISNUMBER(Eingaben!$B$13)),Eingaben!$B$13,"")))</f>
        <v>28.2744</v>
      </c>
      <c r="I29" s="6">
        <f>INDEX(Netzzeiten!$C$6:$C$29,HOUR(B29)+1)</f>
        <v>1.64</v>
      </c>
      <c r="J29" t="str">
        <f>IF(C29="","FEHLT",IF(NOT(ISNUMBER(C29)),"MESSWERT UNGUELTIG",IF(C29&lt;0,"MESSWERT UNGUELTIG",IF(H29="","TARIFPREIS FEHLT","OK"))))</f>
        <v>FEHLT</v>
      </c>
      <c r="K29" s="7">
        <f>IF(J29&lt;&gt;"OK","",C29*I29/100)</f>
        <v/>
      </c>
    </row>
    <row r="30" spans="1:11">
      <c r="A30" s="14">
        <v>46143</v>
      </c>
      <c r="B30" s="15">
        <v>0.25</v>
      </c>
      <c r="C30" s="5">
        <f>IF('96 Werte'!Z6="","",'96 Werte'!Z6)</f>
        <v/>
      </c>
      <c r="D30" t="str">
        <f>IF(IF(Eingaben!$B$21&lt;Eingaben!$B$22,AND(B30&gt;=Eingaben!$B$21,B30&lt;Eingaben!$B$22),OR(B30&gt;=Eingaben!$B$21,B30&lt;Eingaben!$B$22)),"GO",IF(AND(ISNUMBER(Eingaben!$B$23),ISNUMBER(Eingaben!$B$24),IF(Eingaben!$B$23&lt;Eingaben!$B$24,AND(B30&gt;=Eingaben!$B$23,B30&lt;Eingaben!$B$24),OR(B30&gt;=Eingaben!$B$23,B30&lt;Eingaben!$B$24))),"HEAT","STANDARD"))</f>
        <v>STANDARD</v>
      </c>
      <c r="E30" s="9"/>
      <c r="F30" t="str">
        <f>IF(E30="",D30,E30)</f>
        <v>STANDARD</v>
      </c>
      <c r="G30" t="str">
        <f>INDEX(Netzzeiten!$B$6:$B$29,HOUR(B30)+1)</f>
        <v>ST</v>
      </c>
      <c r="H30" s="6">
        <f>IF(F30="GO",Eingaben!$B$11,IF(F30="STANDARD",Eingaben!$B$12,IF(AND(F30="HEAT",ISNUMBER(Eingaben!$B$13)),Eingaben!$B$13,"")))</f>
        <v>28.2744</v>
      </c>
      <c r="I30" s="6">
        <f>INDEX(Netzzeiten!$C$6:$C$29,HOUR(B30)+1)</f>
        <v>5.48</v>
      </c>
      <c r="J30" t="str">
        <f>IF(C30="","FEHLT",IF(NOT(ISNUMBER(C30)),"MESSWERT UNGUELTIG",IF(C30&lt;0,"MESSWERT UNGUELTIG",IF(H30="","TARIFPREIS FEHLT","OK"))))</f>
        <v>FEHLT</v>
      </c>
      <c r="K30" s="7">
        <f>IF(J30&lt;&gt;"OK","",C30*I30/100)</f>
        <v/>
      </c>
    </row>
    <row r="31" spans="1:11">
      <c r="A31" s="14">
        <v>46143</v>
      </c>
      <c r="B31" s="15">
        <v>0.2604166666666667</v>
      </c>
      <c r="C31" s="5">
        <f>IF('96 Werte'!AA6="","",'96 Werte'!AA6)</f>
        <v/>
      </c>
      <c r="D31" t="str">
        <f>IF(IF(Eingaben!$B$21&lt;Eingaben!$B$22,AND(B31&gt;=Eingaben!$B$21,B31&lt;Eingaben!$B$22),OR(B31&gt;=Eingaben!$B$21,B31&lt;Eingaben!$B$22)),"GO",IF(AND(ISNUMBER(Eingaben!$B$23),ISNUMBER(Eingaben!$B$24),IF(Eingaben!$B$23&lt;Eingaben!$B$24,AND(B31&gt;=Eingaben!$B$23,B31&lt;Eingaben!$B$24),OR(B31&gt;=Eingaben!$B$23,B31&lt;Eingaben!$B$24))),"HEAT","STANDARD"))</f>
        <v>STANDARD</v>
      </c>
      <c r="E31" s="9"/>
      <c r="F31" t="str">
        <f>IF(E31="",D31,E31)</f>
        <v>STANDARD</v>
      </c>
      <c r="G31" t="str">
        <f>INDEX(Netzzeiten!$B$6:$B$29,HOUR(B31)+1)</f>
        <v>ST</v>
      </c>
      <c r="H31" s="6">
        <f>IF(F31="GO",Eingaben!$B$11,IF(F31="STANDARD",Eingaben!$B$12,IF(AND(F31="HEAT",ISNUMBER(Eingaben!$B$13)),Eingaben!$B$13,"")))</f>
        <v>28.2744</v>
      </c>
      <c r="I31" s="6">
        <f>INDEX(Netzzeiten!$C$6:$C$29,HOUR(B31)+1)</f>
        <v>5.48</v>
      </c>
      <c r="J31" t="str">
        <f>IF(C31="","FEHLT",IF(NOT(ISNUMBER(C31)),"MESSWERT UNGUELTIG",IF(C31&lt;0,"MESSWERT UNGUELTIG",IF(H31="","TARIFPREIS FEHLT","OK"))))</f>
        <v>FEHLT</v>
      </c>
      <c r="K31" s="7">
        <f>IF(J31&lt;&gt;"OK","",C31*I31/100)</f>
        <v/>
      </c>
    </row>
    <row r="32" spans="1:11">
      <c r="A32" s="14">
        <v>46143</v>
      </c>
      <c r="B32" s="15">
        <v>0.2708333333333333</v>
      </c>
      <c r="C32" s="5">
        <f>IF('96 Werte'!AB6="","",'96 Werte'!AB6)</f>
        <v/>
      </c>
      <c r="D32" t="str">
        <f>IF(IF(Eingaben!$B$21&lt;Eingaben!$B$22,AND(B32&gt;=Eingaben!$B$21,B32&lt;Eingaben!$B$22),OR(B32&gt;=Eingaben!$B$21,B32&lt;Eingaben!$B$22)),"GO",IF(AND(ISNUMBER(Eingaben!$B$23),ISNUMBER(Eingaben!$B$24),IF(Eingaben!$B$23&lt;Eingaben!$B$24,AND(B32&gt;=Eingaben!$B$23,B32&lt;Eingaben!$B$24),OR(B32&gt;=Eingaben!$B$23,B32&lt;Eingaben!$B$24))),"HEAT","STANDARD"))</f>
        <v>STANDARD</v>
      </c>
      <c r="E32" s="9"/>
      <c r="F32" t="str">
        <f>IF(E32="",D32,E32)</f>
        <v>STANDARD</v>
      </c>
      <c r="G32" t="str">
        <f>INDEX(Netzzeiten!$B$6:$B$29,HOUR(B32)+1)</f>
        <v>ST</v>
      </c>
      <c r="H32" s="6">
        <f>IF(F32="GO",Eingaben!$B$11,IF(F32="STANDARD",Eingaben!$B$12,IF(AND(F32="HEAT",ISNUMBER(Eingaben!$B$13)),Eingaben!$B$13,"")))</f>
        <v>28.2744</v>
      </c>
      <c r="I32" s="6">
        <f>INDEX(Netzzeiten!$C$6:$C$29,HOUR(B32)+1)</f>
        <v>5.48</v>
      </c>
      <c r="J32" t="str">
        <f>IF(C32="","FEHLT",IF(NOT(ISNUMBER(C32)),"MESSWERT UNGUELTIG",IF(C32&lt;0,"MESSWERT UNGUELTIG",IF(H32="","TARIFPREIS FEHLT","OK"))))</f>
        <v>FEHLT</v>
      </c>
      <c r="K32" s="7">
        <f>IF(J32&lt;&gt;"OK","",C32*I32/100)</f>
        <v/>
      </c>
    </row>
    <row r="33" spans="1:11">
      <c r="A33" s="14">
        <v>46143</v>
      </c>
      <c r="B33" s="15">
        <v>0.28125</v>
      </c>
      <c r="C33" s="5">
        <f>IF('96 Werte'!AC6="","",'96 Werte'!AC6)</f>
        <v/>
      </c>
      <c r="D33" t="str">
        <f>IF(IF(Eingaben!$B$21&lt;Eingaben!$B$22,AND(B33&gt;=Eingaben!$B$21,B33&lt;Eingaben!$B$22),OR(B33&gt;=Eingaben!$B$21,B33&lt;Eingaben!$B$22)),"GO",IF(AND(ISNUMBER(Eingaben!$B$23),ISNUMBER(Eingaben!$B$24),IF(Eingaben!$B$23&lt;Eingaben!$B$24,AND(B33&gt;=Eingaben!$B$23,B33&lt;Eingaben!$B$24),OR(B33&gt;=Eingaben!$B$23,B33&lt;Eingaben!$B$24))),"HEAT","STANDARD"))</f>
        <v>STANDARD</v>
      </c>
      <c r="E33" s="9"/>
      <c r="F33" t="str">
        <f>IF(E33="",D33,E33)</f>
        <v>STANDARD</v>
      </c>
      <c r="G33" t="str">
        <f>INDEX(Netzzeiten!$B$6:$B$29,HOUR(B33)+1)</f>
        <v>ST</v>
      </c>
      <c r="H33" s="6">
        <f>IF(F33="GO",Eingaben!$B$11,IF(F33="STANDARD",Eingaben!$B$12,IF(AND(F33="HEAT",ISNUMBER(Eingaben!$B$13)),Eingaben!$B$13,"")))</f>
        <v>28.2744</v>
      </c>
      <c r="I33" s="6">
        <f>INDEX(Netzzeiten!$C$6:$C$29,HOUR(B33)+1)</f>
        <v>5.48</v>
      </c>
      <c r="J33" t="str">
        <f>IF(C33="","FEHLT",IF(NOT(ISNUMBER(C33)),"MESSWERT UNGUELTIG",IF(C33&lt;0,"MESSWERT UNGUELTIG",IF(H33="","TARIFPREIS FEHLT","OK"))))</f>
        <v>FEHLT</v>
      </c>
      <c r="K33" s="7">
        <f>IF(J33&lt;&gt;"OK","",C33*I33/100)</f>
        <v/>
      </c>
    </row>
    <row r="34" spans="1:11">
      <c r="A34" s="14">
        <v>46143</v>
      </c>
      <c r="B34" s="15">
        <v>0.2916666666666667</v>
      </c>
      <c r="C34" s="5">
        <f>IF('96 Werte'!AD6="","",'96 Werte'!AD6)</f>
        <v/>
      </c>
      <c r="D34" t="str">
        <f>IF(IF(Eingaben!$B$21&lt;Eingaben!$B$22,AND(B34&gt;=Eingaben!$B$21,B34&lt;Eingaben!$B$22),OR(B34&gt;=Eingaben!$B$21,B34&lt;Eingaben!$B$22)),"GO",IF(AND(ISNUMBER(Eingaben!$B$23),ISNUMBER(Eingaben!$B$24),IF(Eingaben!$B$23&lt;Eingaben!$B$24,AND(B34&gt;=Eingaben!$B$23,B34&lt;Eingaben!$B$24),OR(B34&gt;=Eingaben!$B$23,B34&lt;Eingaben!$B$24))),"HEAT","STANDARD"))</f>
        <v>STANDARD</v>
      </c>
      <c r="E34" s="9"/>
      <c r="F34" t="str">
        <f>IF(E34="",D34,E34)</f>
        <v>STANDARD</v>
      </c>
      <c r="G34" t="str">
        <f>INDEX(Netzzeiten!$B$6:$B$29,HOUR(B34)+1)</f>
        <v>ST</v>
      </c>
      <c r="H34" s="6">
        <f>IF(F34="GO",Eingaben!$B$11,IF(F34="STANDARD",Eingaben!$B$12,IF(AND(F34="HEAT",ISNUMBER(Eingaben!$B$13)),Eingaben!$B$13,"")))</f>
        <v>28.2744</v>
      </c>
      <c r="I34" s="6">
        <f>INDEX(Netzzeiten!$C$6:$C$29,HOUR(B34)+1)</f>
        <v>5.48</v>
      </c>
      <c r="J34" t="str">
        <f>IF(C34="","FEHLT",IF(NOT(ISNUMBER(C34)),"MESSWERT UNGUELTIG",IF(C34&lt;0,"MESSWERT UNGUELTIG",IF(H34="","TARIFPREIS FEHLT","OK"))))</f>
        <v>FEHLT</v>
      </c>
      <c r="K34" s="7">
        <f>IF(J34&lt;&gt;"OK","",C34*I34/100)</f>
        <v/>
      </c>
    </row>
    <row r="35" spans="1:11">
      <c r="A35" s="14">
        <v>46143</v>
      </c>
      <c r="B35" s="15">
        <v>0.3020833333333333</v>
      </c>
      <c r="C35" s="5">
        <f>IF('96 Werte'!AE6="","",'96 Werte'!AE6)</f>
        <v/>
      </c>
      <c r="D35" t="str">
        <f>IF(IF(Eingaben!$B$21&lt;Eingaben!$B$22,AND(B35&gt;=Eingaben!$B$21,B35&lt;Eingaben!$B$22),OR(B35&gt;=Eingaben!$B$21,B35&lt;Eingaben!$B$22)),"GO",IF(AND(ISNUMBER(Eingaben!$B$23),ISNUMBER(Eingaben!$B$24),IF(Eingaben!$B$23&lt;Eingaben!$B$24,AND(B35&gt;=Eingaben!$B$23,B35&lt;Eingaben!$B$24),OR(B35&gt;=Eingaben!$B$23,B35&lt;Eingaben!$B$24))),"HEAT","STANDARD"))</f>
        <v>STANDARD</v>
      </c>
      <c r="E35" s="9"/>
      <c r="F35" t="str">
        <f>IF(E35="",D35,E35)</f>
        <v>STANDARD</v>
      </c>
      <c r="G35" t="str">
        <f>INDEX(Netzzeiten!$B$6:$B$29,HOUR(B35)+1)</f>
        <v>ST</v>
      </c>
      <c r="H35" s="6">
        <f>IF(F35="GO",Eingaben!$B$11,IF(F35="STANDARD",Eingaben!$B$12,IF(AND(F35="HEAT",ISNUMBER(Eingaben!$B$13)),Eingaben!$B$13,"")))</f>
        <v>28.2744</v>
      </c>
      <c r="I35" s="6">
        <f>INDEX(Netzzeiten!$C$6:$C$29,HOUR(B35)+1)</f>
        <v>5.48</v>
      </c>
      <c r="J35" t="str">
        <f>IF(C35="","FEHLT",IF(NOT(ISNUMBER(C35)),"MESSWERT UNGUELTIG",IF(C35&lt;0,"MESSWERT UNGUELTIG",IF(H35="","TARIFPREIS FEHLT","OK"))))</f>
        <v>FEHLT</v>
      </c>
      <c r="K35" s="7">
        <f>IF(J35&lt;&gt;"OK","",C35*I35/100)</f>
        <v/>
      </c>
    </row>
    <row r="36" spans="1:11">
      <c r="A36" s="14">
        <v>46143</v>
      </c>
      <c r="B36" s="15">
        <v>0.3125</v>
      </c>
      <c r="C36" s="5">
        <f>IF('96 Werte'!AF6="","",'96 Werte'!AF6)</f>
        <v/>
      </c>
      <c r="D36" t="str">
        <f>IF(IF(Eingaben!$B$21&lt;Eingaben!$B$22,AND(B36&gt;=Eingaben!$B$21,B36&lt;Eingaben!$B$22),OR(B36&gt;=Eingaben!$B$21,B36&lt;Eingaben!$B$22)),"GO",IF(AND(ISNUMBER(Eingaben!$B$23),ISNUMBER(Eingaben!$B$24),IF(Eingaben!$B$23&lt;Eingaben!$B$24,AND(B36&gt;=Eingaben!$B$23,B36&lt;Eingaben!$B$24),OR(B36&gt;=Eingaben!$B$23,B36&lt;Eingaben!$B$24))),"HEAT","STANDARD"))</f>
        <v>STANDARD</v>
      </c>
      <c r="E36" s="9"/>
      <c r="F36" t="str">
        <f>IF(E36="",D36,E36)</f>
        <v>STANDARD</v>
      </c>
      <c r="G36" t="str">
        <f>INDEX(Netzzeiten!$B$6:$B$29,HOUR(B36)+1)</f>
        <v>ST</v>
      </c>
      <c r="H36" s="6">
        <f>IF(F36="GO",Eingaben!$B$11,IF(F36="STANDARD",Eingaben!$B$12,IF(AND(F36="HEAT",ISNUMBER(Eingaben!$B$13)),Eingaben!$B$13,"")))</f>
        <v>28.2744</v>
      </c>
      <c r="I36" s="6">
        <f>INDEX(Netzzeiten!$C$6:$C$29,HOUR(B36)+1)</f>
        <v>5.48</v>
      </c>
      <c r="J36" t="str">
        <f>IF(C36="","FEHLT",IF(NOT(ISNUMBER(C36)),"MESSWERT UNGUELTIG",IF(C36&lt;0,"MESSWERT UNGUELTIG",IF(H36="","TARIFPREIS FEHLT","OK"))))</f>
        <v>FEHLT</v>
      </c>
      <c r="K36" s="7">
        <f>IF(J36&lt;&gt;"OK","",C36*I36/100)</f>
        <v/>
      </c>
    </row>
    <row r="37" spans="1:11">
      <c r="A37" s="14">
        <v>46143</v>
      </c>
      <c r="B37" s="15">
        <v>0.3229166666666667</v>
      </c>
      <c r="C37" s="5">
        <f>IF('96 Werte'!AG6="","",'96 Werte'!AG6)</f>
        <v/>
      </c>
      <c r="D37" t="str">
        <f>IF(IF(Eingaben!$B$21&lt;Eingaben!$B$22,AND(B37&gt;=Eingaben!$B$21,B37&lt;Eingaben!$B$22),OR(B37&gt;=Eingaben!$B$21,B37&lt;Eingaben!$B$22)),"GO",IF(AND(ISNUMBER(Eingaben!$B$23),ISNUMBER(Eingaben!$B$24),IF(Eingaben!$B$23&lt;Eingaben!$B$24,AND(B37&gt;=Eingaben!$B$23,B37&lt;Eingaben!$B$24),OR(B37&gt;=Eingaben!$B$23,B37&lt;Eingaben!$B$24))),"HEAT","STANDARD"))</f>
        <v>STANDARD</v>
      </c>
      <c r="E37" s="9"/>
      <c r="F37" t="str">
        <f>IF(E37="",D37,E37)</f>
        <v>STANDARD</v>
      </c>
      <c r="G37" t="str">
        <f>INDEX(Netzzeiten!$B$6:$B$29,HOUR(B37)+1)</f>
        <v>ST</v>
      </c>
      <c r="H37" s="6">
        <f>IF(F37="GO",Eingaben!$B$11,IF(F37="STANDARD",Eingaben!$B$12,IF(AND(F37="HEAT",ISNUMBER(Eingaben!$B$13)),Eingaben!$B$13,"")))</f>
        <v>28.2744</v>
      </c>
      <c r="I37" s="6">
        <f>INDEX(Netzzeiten!$C$6:$C$29,HOUR(B37)+1)</f>
        <v>5.48</v>
      </c>
      <c r="J37" t="str">
        <f>IF(C37="","FEHLT",IF(NOT(ISNUMBER(C37)),"MESSWERT UNGUELTIG",IF(C37&lt;0,"MESSWERT UNGUELTIG",IF(H37="","TARIFPREIS FEHLT","OK"))))</f>
        <v>FEHLT</v>
      </c>
      <c r="K37" s="7">
        <f>IF(J37&lt;&gt;"OK","",C37*I37/100)</f>
        <v/>
      </c>
    </row>
    <row r="38" spans="1:11">
      <c r="A38" s="14">
        <v>46143</v>
      </c>
      <c r="B38" s="15">
        <v>0.3333333333333333</v>
      </c>
      <c r="C38" s="5">
        <f>IF('96 Werte'!AH6="","",'96 Werte'!AH6)</f>
        <v/>
      </c>
      <c r="D38" t="str">
        <f>IF(IF(Eingaben!$B$21&lt;Eingaben!$B$22,AND(B38&gt;=Eingaben!$B$21,B38&lt;Eingaben!$B$22),OR(B38&gt;=Eingaben!$B$21,B38&lt;Eingaben!$B$22)),"GO",IF(AND(ISNUMBER(Eingaben!$B$23),ISNUMBER(Eingaben!$B$24),IF(Eingaben!$B$23&lt;Eingaben!$B$24,AND(B38&gt;=Eingaben!$B$23,B38&lt;Eingaben!$B$24),OR(B38&gt;=Eingaben!$B$23,B38&lt;Eingaben!$B$24))),"HEAT","STANDARD"))</f>
        <v>STANDARD</v>
      </c>
      <c r="E38" s="9"/>
      <c r="F38" t="str">
        <f>IF(E38="",D38,E38)</f>
        <v>STANDARD</v>
      </c>
      <c r="G38" t="str">
        <f>INDEX(Netzzeiten!$B$6:$B$29,HOUR(B38)+1)</f>
        <v>ST</v>
      </c>
      <c r="H38" s="6">
        <f>IF(F38="GO",Eingaben!$B$11,IF(F38="STANDARD",Eingaben!$B$12,IF(AND(F38="HEAT",ISNUMBER(Eingaben!$B$13)),Eingaben!$B$13,"")))</f>
        <v>28.2744</v>
      </c>
      <c r="I38" s="6">
        <f>INDEX(Netzzeiten!$C$6:$C$29,HOUR(B38)+1)</f>
        <v>5.48</v>
      </c>
      <c r="J38" t="str">
        <f>IF(C38="","FEHLT",IF(NOT(ISNUMBER(C38)),"MESSWERT UNGUELTIG",IF(C38&lt;0,"MESSWERT UNGUELTIG",IF(H38="","TARIFPREIS FEHLT","OK"))))</f>
        <v>FEHLT</v>
      </c>
      <c r="K38" s="7">
        <f>IF(J38&lt;&gt;"OK","",C38*I38/100)</f>
        <v/>
      </c>
    </row>
    <row r="39" spans="1:11">
      <c r="A39" s="14">
        <v>46143</v>
      </c>
      <c r="B39" s="15">
        <v>0.34375</v>
      </c>
      <c r="C39" s="5">
        <f>IF('96 Werte'!AI6="","",'96 Werte'!AI6)</f>
        <v/>
      </c>
      <c r="D39" t="str">
        <f>IF(IF(Eingaben!$B$21&lt;Eingaben!$B$22,AND(B39&gt;=Eingaben!$B$21,B39&lt;Eingaben!$B$22),OR(B39&gt;=Eingaben!$B$21,B39&lt;Eingaben!$B$22)),"GO",IF(AND(ISNUMBER(Eingaben!$B$23),ISNUMBER(Eingaben!$B$24),IF(Eingaben!$B$23&lt;Eingaben!$B$24,AND(B39&gt;=Eingaben!$B$23,B39&lt;Eingaben!$B$24),OR(B39&gt;=Eingaben!$B$23,B39&lt;Eingaben!$B$24))),"HEAT","STANDARD"))</f>
        <v>STANDARD</v>
      </c>
      <c r="E39" s="9"/>
      <c r="F39" t="str">
        <f>IF(E39="",D39,E39)</f>
        <v>STANDARD</v>
      </c>
      <c r="G39" t="str">
        <f>INDEX(Netzzeiten!$B$6:$B$29,HOUR(B39)+1)</f>
        <v>ST</v>
      </c>
      <c r="H39" s="6">
        <f>IF(F39="GO",Eingaben!$B$11,IF(F39="STANDARD",Eingaben!$B$12,IF(AND(F39="HEAT",ISNUMBER(Eingaben!$B$13)),Eingaben!$B$13,"")))</f>
        <v>28.2744</v>
      </c>
      <c r="I39" s="6">
        <f>INDEX(Netzzeiten!$C$6:$C$29,HOUR(B39)+1)</f>
        <v>5.48</v>
      </c>
      <c r="J39" t="str">
        <f>IF(C39="","FEHLT",IF(NOT(ISNUMBER(C39)),"MESSWERT UNGUELTIG",IF(C39&lt;0,"MESSWERT UNGUELTIG",IF(H39="","TARIFPREIS FEHLT","OK"))))</f>
        <v>FEHLT</v>
      </c>
      <c r="K39" s="7">
        <f>IF(J39&lt;&gt;"OK","",C39*I39/100)</f>
        <v/>
      </c>
    </row>
    <row r="40" spans="1:11">
      <c r="A40" s="14">
        <v>46143</v>
      </c>
      <c r="B40" s="15">
        <v>0.3541666666666667</v>
      </c>
      <c r="C40" s="5">
        <f>IF('96 Werte'!AJ6="","",'96 Werte'!AJ6)</f>
        <v/>
      </c>
      <c r="D40" t="str">
        <f>IF(IF(Eingaben!$B$21&lt;Eingaben!$B$22,AND(B40&gt;=Eingaben!$B$21,B40&lt;Eingaben!$B$22),OR(B40&gt;=Eingaben!$B$21,B40&lt;Eingaben!$B$22)),"GO",IF(AND(ISNUMBER(Eingaben!$B$23),ISNUMBER(Eingaben!$B$24),IF(Eingaben!$B$23&lt;Eingaben!$B$24,AND(B40&gt;=Eingaben!$B$23,B40&lt;Eingaben!$B$24),OR(B40&gt;=Eingaben!$B$23,B40&lt;Eingaben!$B$24))),"HEAT","STANDARD"))</f>
        <v>STANDARD</v>
      </c>
      <c r="E40" s="9"/>
      <c r="F40" t="str">
        <f>IF(E40="",D40,E40)</f>
        <v>STANDARD</v>
      </c>
      <c r="G40" t="str">
        <f>INDEX(Netzzeiten!$B$6:$B$29,HOUR(B40)+1)</f>
        <v>ST</v>
      </c>
      <c r="H40" s="6">
        <f>IF(F40="GO",Eingaben!$B$11,IF(F40="STANDARD",Eingaben!$B$12,IF(AND(F40="HEAT",ISNUMBER(Eingaben!$B$13)),Eingaben!$B$13,"")))</f>
        <v>28.2744</v>
      </c>
      <c r="I40" s="6">
        <f>INDEX(Netzzeiten!$C$6:$C$29,HOUR(B40)+1)</f>
        <v>5.48</v>
      </c>
      <c r="J40" t="str">
        <f>IF(C40="","FEHLT",IF(NOT(ISNUMBER(C40)),"MESSWERT UNGUELTIG",IF(C40&lt;0,"MESSWERT UNGUELTIG",IF(H40="","TARIFPREIS FEHLT","OK"))))</f>
        <v>FEHLT</v>
      </c>
      <c r="K40" s="7">
        <f>IF(J40&lt;&gt;"OK","",C40*I40/100)</f>
        <v/>
      </c>
    </row>
    <row r="41" spans="1:11">
      <c r="A41" s="14">
        <v>46143</v>
      </c>
      <c r="B41" s="15">
        <v>0.3645833333333333</v>
      </c>
      <c r="C41" s="5">
        <f>IF('96 Werte'!AK6="","",'96 Werte'!AK6)</f>
        <v/>
      </c>
      <c r="D41" t="str">
        <f>IF(IF(Eingaben!$B$21&lt;Eingaben!$B$22,AND(B41&gt;=Eingaben!$B$21,B41&lt;Eingaben!$B$22),OR(B41&gt;=Eingaben!$B$21,B41&lt;Eingaben!$B$22)),"GO",IF(AND(ISNUMBER(Eingaben!$B$23),ISNUMBER(Eingaben!$B$24),IF(Eingaben!$B$23&lt;Eingaben!$B$24,AND(B41&gt;=Eingaben!$B$23,B41&lt;Eingaben!$B$24),OR(B41&gt;=Eingaben!$B$23,B41&lt;Eingaben!$B$24))),"HEAT","STANDARD"))</f>
        <v>STANDARD</v>
      </c>
      <c r="E41" s="9"/>
      <c r="F41" t="str">
        <f>IF(E41="",D41,E41)</f>
        <v>STANDARD</v>
      </c>
      <c r="G41" t="str">
        <f>INDEX(Netzzeiten!$B$6:$B$29,HOUR(B41)+1)</f>
        <v>ST</v>
      </c>
      <c r="H41" s="6">
        <f>IF(F41="GO",Eingaben!$B$11,IF(F41="STANDARD",Eingaben!$B$12,IF(AND(F41="HEAT",ISNUMBER(Eingaben!$B$13)),Eingaben!$B$13,"")))</f>
        <v>28.2744</v>
      </c>
      <c r="I41" s="6">
        <f>INDEX(Netzzeiten!$C$6:$C$29,HOUR(B41)+1)</f>
        <v>5.48</v>
      </c>
      <c r="J41" t="str">
        <f>IF(C41="","FEHLT",IF(NOT(ISNUMBER(C41)),"MESSWERT UNGUELTIG",IF(C41&lt;0,"MESSWERT UNGUELTIG",IF(H41="","TARIFPREIS FEHLT","OK"))))</f>
        <v>FEHLT</v>
      </c>
      <c r="K41" s="7">
        <f>IF(J41&lt;&gt;"OK","",C41*I41/100)</f>
        <v/>
      </c>
    </row>
    <row r="42" spans="1:11">
      <c r="A42" s="14">
        <v>46143</v>
      </c>
      <c r="B42" s="15">
        <v>0.375</v>
      </c>
      <c r="C42" s="5">
        <f>IF('96 Werte'!AL6="","",'96 Werte'!AL6)</f>
        <v/>
      </c>
      <c r="D42" t="str">
        <f>IF(IF(Eingaben!$B$21&lt;Eingaben!$B$22,AND(B42&gt;=Eingaben!$B$21,B42&lt;Eingaben!$B$22),OR(B42&gt;=Eingaben!$B$21,B42&lt;Eingaben!$B$22)),"GO",IF(AND(ISNUMBER(Eingaben!$B$23),ISNUMBER(Eingaben!$B$24),IF(Eingaben!$B$23&lt;Eingaben!$B$24,AND(B42&gt;=Eingaben!$B$23,B42&lt;Eingaben!$B$24),OR(B42&gt;=Eingaben!$B$23,B42&lt;Eingaben!$B$24))),"HEAT","STANDARD"))</f>
        <v>STANDARD</v>
      </c>
      <c r="E42" s="9"/>
      <c r="F42" t="str">
        <f>IF(E42="",D42,E42)</f>
        <v>STANDARD</v>
      </c>
      <c r="G42" t="str">
        <f>INDEX(Netzzeiten!$B$6:$B$29,HOUR(B42)+1)</f>
        <v>ST</v>
      </c>
      <c r="H42" s="6">
        <f>IF(F42="GO",Eingaben!$B$11,IF(F42="STANDARD",Eingaben!$B$12,IF(AND(F42="HEAT",ISNUMBER(Eingaben!$B$13)),Eingaben!$B$13,"")))</f>
        <v>28.2744</v>
      </c>
      <c r="I42" s="6">
        <f>INDEX(Netzzeiten!$C$6:$C$29,HOUR(B42)+1)</f>
        <v>5.48</v>
      </c>
      <c r="J42" t="str">
        <f>IF(C42="","FEHLT",IF(NOT(ISNUMBER(C42)),"MESSWERT UNGUELTIG",IF(C42&lt;0,"MESSWERT UNGUELTIG",IF(H42="","TARIFPREIS FEHLT","OK"))))</f>
        <v>FEHLT</v>
      </c>
      <c r="K42" s="7">
        <f>IF(J42&lt;&gt;"OK","",C42*I42/100)</f>
        <v/>
      </c>
    </row>
    <row r="43" spans="1:11">
      <c r="A43" s="14">
        <v>46143</v>
      </c>
      <c r="B43" s="15">
        <v>0.3854166666666667</v>
      </c>
      <c r="C43" s="5">
        <f>IF('96 Werte'!AM6="","",'96 Werte'!AM6)</f>
        <v/>
      </c>
      <c r="D43" t="str">
        <f>IF(IF(Eingaben!$B$21&lt;Eingaben!$B$22,AND(B43&gt;=Eingaben!$B$21,B43&lt;Eingaben!$B$22),OR(B43&gt;=Eingaben!$B$21,B43&lt;Eingaben!$B$22)),"GO",IF(AND(ISNUMBER(Eingaben!$B$23),ISNUMBER(Eingaben!$B$24),IF(Eingaben!$B$23&lt;Eingaben!$B$24,AND(B43&gt;=Eingaben!$B$23,B43&lt;Eingaben!$B$24),OR(B43&gt;=Eingaben!$B$23,B43&lt;Eingaben!$B$24))),"HEAT","STANDARD"))</f>
        <v>STANDARD</v>
      </c>
      <c r="E43" s="9"/>
      <c r="F43" t="str">
        <f>IF(E43="",D43,E43)</f>
        <v>STANDARD</v>
      </c>
      <c r="G43" t="str">
        <f>INDEX(Netzzeiten!$B$6:$B$29,HOUR(B43)+1)</f>
        <v>ST</v>
      </c>
      <c r="H43" s="6">
        <f>IF(F43="GO",Eingaben!$B$11,IF(F43="STANDARD",Eingaben!$B$12,IF(AND(F43="HEAT",ISNUMBER(Eingaben!$B$13)),Eingaben!$B$13,"")))</f>
        <v>28.2744</v>
      </c>
      <c r="I43" s="6">
        <f>INDEX(Netzzeiten!$C$6:$C$29,HOUR(B43)+1)</f>
        <v>5.48</v>
      </c>
      <c r="J43" t="str">
        <f>IF(C43="","FEHLT",IF(NOT(ISNUMBER(C43)),"MESSWERT UNGUELTIG",IF(C43&lt;0,"MESSWERT UNGUELTIG",IF(H43="","TARIFPREIS FEHLT","OK"))))</f>
        <v>FEHLT</v>
      </c>
      <c r="K43" s="7">
        <f>IF(J43&lt;&gt;"OK","",C43*I43/100)</f>
        <v/>
      </c>
    </row>
    <row r="44" spans="1:11">
      <c r="A44" s="14">
        <v>46143</v>
      </c>
      <c r="B44" s="15">
        <v>0.3958333333333333</v>
      </c>
      <c r="C44" s="5">
        <f>IF('96 Werte'!AN6="","",'96 Werte'!AN6)</f>
        <v/>
      </c>
      <c r="D44" t="str">
        <f>IF(IF(Eingaben!$B$21&lt;Eingaben!$B$22,AND(B44&gt;=Eingaben!$B$21,B44&lt;Eingaben!$B$22),OR(B44&gt;=Eingaben!$B$21,B44&lt;Eingaben!$B$22)),"GO",IF(AND(ISNUMBER(Eingaben!$B$23),ISNUMBER(Eingaben!$B$24),IF(Eingaben!$B$23&lt;Eingaben!$B$24,AND(B44&gt;=Eingaben!$B$23,B44&lt;Eingaben!$B$24),OR(B44&gt;=Eingaben!$B$23,B44&lt;Eingaben!$B$24))),"HEAT","STANDARD"))</f>
        <v>STANDARD</v>
      </c>
      <c r="E44" s="9"/>
      <c r="F44" t="str">
        <f>IF(E44="",D44,E44)</f>
        <v>STANDARD</v>
      </c>
      <c r="G44" t="str">
        <f>INDEX(Netzzeiten!$B$6:$B$29,HOUR(B44)+1)</f>
        <v>ST</v>
      </c>
      <c r="H44" s="6">
        <f>IF(F44="GO",Eingaben!$B$11,IF(F44="STANDARD",Eingaben!$B$12,IF(AND(F44="HEAT",ISNUMBER(Eingaben!$B$13)),Eingaben!$B$13,"")))</f>
        <v>28.2744</v>
      </c>
      <c r="I44" s="6">
        <f>INDEX(Netzzeiten!$C$6:$C$29,HOUR(B44)+1)</f>
        <v>5.48</v>
      </c>
      <c r="J44" t="str">
        <f>IF(C44="","FEHLT",IF(NOT(ISNUMBER(C44)),"MESSWERT UNGUELTIG",IF(C44&lt;0,"MESSWERT UNGUELTIG",IF(H44="","TARIFPREIS FEHLT","OK"))))</f>
        <v>FEHLT</v>
      </c>
      <c r="K44" s="7">
        <f>IF(J44&lt;&gt;"OK","",C44*I44/100)</f>
        <v/>
      </c>
    </row>
    <row r="45" spans="1:11">
      <c r="A45" s="14">
        <v>46143</v>
      </c>
      <c r="B45" s="15">
        <v>0.40625</v>
      </c>
      <c r="C45" s="5">
        <f>IF('96 Werte'!AO6="","",'96 Werte'!AO6)</f>
        <v/>
      </c>
      <c r="D45" t="str">
        <f>IF(IF(Eingaben!$B$21&lt;Eingaben!$B$22,AND(B45&gt;=Eingaben!$B$21,B45&lt;Eingaben!$B$22),OR(B45&gt;=Eingaben!$B$21,B45&lt;Eingaben!$B$22)),"GO",IF(AND(ISNUMBER(Eingaben!$B$23),ISNUMBER(Eingaben!$B$24),IF(Eingaben!$B$23&lt;Eingaben!$B$24,AND(B45&gt;=Eingaben!$B$23,B45&lt;Eingaben!$B$24),OR(B45&gt;=Eingaben!$B$23,B45&lt;Eingaben!$B$24))),"HEAT","STANDARD"))</f>
        <v>STANDARD</v>
      </c>
      <c r="E45" s="9"/>
      <c r="F45" t="str">
        <f>IF(E45="",D45,E45)</f>
        <v>STANDARD</v>
      </c>
      <c r="G45" t="str">
        <f>INDEX(Netzzeiten!$B$6:$B$29,HOUR(B45)+1)</f>
        <v>ST</v>
      </c>
      <c r="H45" s="6">
        <f>IF(F45="GO",Eingaben!$B$11,IF(F45="STANDARD",Eingaben!$B$12,IF(AND(F45="HEAT",ISNUMBER(Eingaben!$B$13)),Eingaben!$B$13,"")))</f>
        <v>28.2744</v>
      </c>
      <c r="I45" s="6">
        <f>INDEX(Netzzeiten!$C$6:$C$29,HOUR(B45)+1)</f>
        <v>5.48</v>
      </c>
      <c r="J45" t="str">
        <f>IF(C45="","FEHLT",IF(NOT(ISNUMBER(C45)),"MESSWERT UNGUELTIG",IF(C45&lt;0,"MESSWERT UNGUELTIG",IF(H45="","TARIFPREIS FEHLT","OK"))))</f>
        <v>FEHLT</v>
      </c>
      <c r="K45" s="7">
        <f>IF(J45&lt;&gt;"OK","",C45*I45/100)</f>
        <v/>
      </c>
    </row>
    <row r="46" spans="1:11">
      <c r="A46" s="14">
        <v>46143</v>
      </c>
      <c r="B46" s="15">
        <v>0.4166666666666667</v>
      </c>
      <c r="C46" s="5">
        <f>IF('96 Werte'!AP6="","",'96 Werte'!AP6)</f>
        <v/>
      </c>
      <c r="D46" t="str">
        <f>IF(IF(Eingaben!$B$21&lt;Eingaben!$B$22,AND(B46&gt;=Eingaben!$B$21,B46&lt;Eingaben!$B$22),OR(B46&gt;=Eingaben!$B$21,B46&lt;Eingaben!$B$22)),"GO",IF(AND(ISNUMBER(Eingaben!$B$23),ISNUMBER(Eingaben!$B$24),IF(Eingaben!$B$23&lt;Eingaben!$B$24,AND(B46&gt;=Eingaben!$B$23,B46&lt;Eingaben!$B$24),OR(B46&gt;=Eingaben!$B$23,B46&lt;Eingaben!$B$24))),"HEAT","STANDARD"))</f>
        <v>STANDARD</v>
      </c>
      <c r="E46" s="9"/>
      <c r="F46" t="str">
        <f>IF(E46="",D46,E46)</f>
        <v>STANDARD</v>
      </c>
      <c r="G46" t="str">
        <f>INDEX(Netzzeiten!$B$6:$B$29,HOUR(B46)+1)</f>
        <v>ST</v>
      </c>
      <c r="H46" s="6">
        <f>IF(F46="GO",Eingaben!$B$11,IF(F46="STANDARD",Eingaben!$B$12,IF(AND(F46="HEAT",ISNUMBER(Eingaben!$B$13)),Eingaben!$B$13,"")))</f>
        <v>28.2744</v>
      </c>
      <c r="I46" s="6">
        <f>INDEX(Netzzeiten!$C$6:$C$29,HOUR(B46)+1)</f>
        <v>5.48</v>
      </c>
      <c r="J46" t="str">
        <f>IF(C46="","FEHLT",IF(NOT(ISNUMBER(C46)),"MESSWERT UNGUELTIG",IF(C46&lt;0,"MESSWERT UNGUELTIG",IF(H46="","TARIFPREIS FEHLT","OK"))))</f>
        <v>FEHLT</v>
      </c>
      <c r="K46" s="7">
        <f>IF(J46&lt;&gt;"OK","",C46*I46/100)</f>
        <v/>
      </c>
    </row>
    <row r="47" spans="1:11">
      <c r="A47" s="14">
        <v>46143</v>
      </c>
      <c r="B47" s="15">
        <v>0.4270833333333333</v>
      </c>
      <c r="C47" s="5">
        <f>IF('96 Werte'!AQ6="","",'96 Werte'!AQ6)</f>
        <v/>
      </c>
      <c r="D47" t="str">
        <f>IF(IF(Eingaben!$B$21&lt;Eingaben!$B$22,AND(B47&gt;=Eingaben!$B$21,B47&lt;Eingaben!$B$22),OR(B47&gt;=Eingaben!$B$21,B47&lt;Eingaben!$B$22)),"GO",IF(AND(ISNUMBER(Eingaben!$B$23),ISNUMBER(Eingaben!$B$24),IF(Eingaben!$B$23&lt;Eingaben!$B$24,AND(B47&gt;=Eingaben!$B$23,B47&lt;Eingaben!$B$24),OR(B47&gt;=Eingaben!$B$23,B47&lt;Eingaben!$B$24))),"HEAT","STANDARD"))</f>
        <v>STANDARD</v>
      </c>
      <c r="E47" s="9"/>
      <c r="F47" t="str">
        <f>IF(E47="",D47,E47)</f>
        <v>STANDARD</v>
      </c>
      <c r="G47" t="str">
        <f>INDEX(Netzzeiten!$B$6:$B$29,HOUR(B47)+1)</f>
        <v>ST</v>
      </c>
      <c r="H47" s="6">
        <f>IF(F47="GO",Eingaben!$B$11,IF(F47="STANDARD",Eingaben!$B$12,IF(AND(F47="HEAT",ISNUMBER(Eingaben!$B$13)),Eingaben!$B$13,"")))</f>
        <v>28.2744</v>
      </c>
      <c r="I47" s="6">
        <f>INDEX(Netzzeiten!$C$6:$C$29,HOUR(B47)+1)</f>
        <v>5.48</v>
      </c>
      <c r="J47" t="str">
        <f>IF(C47="","FEHLT",IF(NOT(ISNUMBER(C47)),"MESSWERT UNGUELTIG",IF(C47&lt;0,"MESSWERT UNGUELTIG",IF(H47="","TARIFPREIS FEHLT","OK"))))</f>
        <v>FEHLT</v>
      </c>
      <c r="K47" s="7">
        <f>IF(J47&lt;&gt;"OK","",C47*I47/100)</f>
        <v/>
      </c>
    </row>
    <row r="48" spans="1:11">
      <c r="A48" s="14">
        <v>46143</v>
      </c>
      <c r="B48" s="15">
        <v>0.4375</v>
      </c>
      <c r="C48" s="5">
        <f>IF('96 Werte'!AR6="","",'96 Werte'!AR6)</f>
        <v/>
      </c>
      <c r="D48" t="str">
        <f>IF(IF(Eingaben!$B$21&lt;Eingaben!$B$22,AND(B48&gt;=Eingaben!$B$21,B48&lt;Eingaben!$B$22),OR(B48&gt;=Eingaben!$B$21,B48&lt;Eingaben!$B$22)),"GO",IF(AND(ISNUMBER(Eingaben!$B$23),ISNUMBER(Eingaben!$B$24),IF(Eingaben!$B$23&lt;Eingaben!$B$24,AND(B48&gt;=Eingaben!$B$23,B48&lt;Eingaben!$B$24),OR(B48&gt;=Eingaben!$B$23,B48&lt;Eingaben!$B$24))),"HEAT","STANDARD"))</f>
        <v>STANDARD</v>
      </c>
      <c r="E48" s="9"/>
      <c r="F48" t="str">
        <f>IF(E48="",D48,E48)</f>
        <v>STANDARD</v>
      </c>
      <c r="G48" t="str">
        <f>INDEX(Netzzeiten!$B$6:$B$29,HOUR(B48)+1)</f>
        <v>ST</v>
      </c>
      <c r="H48" s="6">
        <f>IF(F48="GO",Eingaben!$B$11,IF(F48="STANDARD",Eingaben!$B$12,IF(AND(F48="HEAT",ISNUMBER(Eingaben!$B$13)),Eingaben!$B$13,"")))</f>
        <v>28.2744</v>
      </c>
      <c r="I48" s="6">
        <f>INDEX(Netzzeiten!$C$6:$C$29,HOUR(B48)+1)</f>
        <v>5.48</v>
      </c>
      <c r="J48" t="str">
        <f>IF(C48="","FEHLT",IF(NOT(ISNUMBER(C48)),"MESSWERT UNGUELTIG",IF(C48&lt;0,"MESSWERT UNGUELTIG",IF(H48="","TARIFPREIS FEHLT","OK"))))</f>
        <v>FEHLT</v>
      </c>
      <c r="K48" s="7">
        <f>IF(J48&lt;&gt;"OK","",C48*I48/100)</f>
        <v/>
      </c>
    </row>
    <row r="49" spans="1:11">
      <c r="A49" s="14">
        <v>46143</v>
      </c>
      <c r="B49" s="15">
        <v>0.4479166666666667</v>
      </c>
      <c r="C49" s="5">
        <f>IF('96 Werte'!AS6="","",'96 Werte'!AS6)</f>
        <v/>
      </c>
      <c r="D49" t="str">
        <f>IF(IF(Eingaben!$B$21&lt;Eingaben!$B$22,AND(B49&gt;=Eingaben!$B$21,B49&lt;Eingaben!$B$22),OR(B49&gt;=Eingaben!$B$21,B49&lt;Eingaben!$B$22)),"GO",IF(AND(ISNUMBER(Eingaben!$B$23),ISNUMBER(Eingaben!$B$24),IF(Eingaben!$B$23&lt;Eingaben!$B$24,AND(B49&gt;=Eingaben!$B$23,B49&lt;Eingaben!$B$24),OR(B49&gt;=Eingaben!$B$23,B49&lt;Eingaben!$B$24))),"HEAT","STANDARD"))</f>
        <v>STANDARD</v>
      </c>
      <c r="E49" s="9"/>
      <c r="F49" t="str">
        <f>IF(E49="",D49,E49)</f>
        <v>STANDARD</v>
      </c>
      <c r="G49" t="str">
        <f>INDEX(Netzzeiten!$B$6:$B$29,HOUR(B49)+1)</f>
        <v>ST</v>
      </c>
      <c r="H49" s="6">
        <f>IF(F49="GO",Eingaben!$B$11,IF(F49="STANDARD",Eingaben!$B$12,IF(AND(F49="HEAT",ISNUMBER(Eingaben!$B$13)),Eingaben!$B$13,"")))</f>
        <v>28.2744</v>
      </c>
      <c r="I49" s="6">
        <f>INDEX(Netzzeiten!$C$6:$C$29,HOUR(B49)+1)</f>
        <v>5.48</v>
      </c>
      <c r="J49" t="str">
        <f>IF(C49="","FEHLT",IF(NOT(ISNUMBER(C49)),"MESSWERT UNGUELTIG",IF(C49&lt;0,"MESSWERT UNGUELTIG",IF(H49="","TARIFPREIS FEHLT","OK"))))</f>
        <v>FEHLT</v>
      </c>
      <c r="K49" s="7">
        <f>IF(J49&lt;&gt;"OK","",C49*I49/100)</f>
        <v/>
      </c>
    </row>
    <row r="50" spans="1:11">
      <c r="A50" s="14">
        <v>46143</v>
      </c>
      <c r="B50" s="15">
        <v>0.4583333333333333</v>
      </c>
      <c r="C50" s="5">
        <f>IF('96 Werte'!AT6="","",'96 Werte'!AT6)</f>
        <v/>
      </c>
      <c r="D50" t="str">
        <f>IF(IF(Eingaben!$B$21&lt;Eingaben!$B$22,AND(B50&gt;=Eingaben!$B$21,B50&lt;Eingaben!$B$22),OR(B50&gt;=Eingaben!$B$21,B50&lt;Eingaben!$B$22)),"GO",IF(AND(ISNUMBER(Eingaben!$B$23),ISNUMBER(Eingaben!$B$24),IF(Eingaben!$B$23&lt;Eingaben!$B$24,AND(B50&gt;=Eingaben!$B$23,B50&lt;Eingaben!$B$24),OR(B50&gt;=Eingaben!$B$23,B50&lt;Eingaben!$B$24))),"HEAT","STANDARD"))</f>
        <v>STANDARD</v>
      </c>
      <c r="E50" s="9"/>
      <c r="F50" t="str">
        <f>IF(E50="",D50,E50)</f>
        <v>STANDARD</v>
      </c>
      <c r="G50" t="str">
        <f>INDEX(Netzzeiten!$B$6:$B$29,HOUR(B50)+1)</f>
        <v>NT</v>
      </c>
      <c r="H50" s="6">
        <f>IF(F50="GO",Eingaben!$B$11,IF(F50="STANDARD",Eingaben!$B$12,IF(AND(F50="HEAT",ISNUMBER(Eingaben!$B$13)),Eingaben!$B$13,"")))</f>
        <v>28.2744</v>
      </c>
      <c r="I50" s="6">
        <f>INDEX(Netzzeiten!$C$6:$C$29,HOUR(B50)+1)</f>
        <v>1.64</v>
      </c>
      <c r="J50" t="str">
        <f>IF(C50="","FEHLT",IF(NOT(ISNUMBER(C50)),"MESSWERT UNGUELTIG",IF(C50&lt;0,"MESSWERT UNGUELTIG",IF(H50="","TARIFPREIS FEHLT","OK"))))</f>
        <v>FEHLT</v>
      </c>
      <c r="K50" s="7">
        <f>IF(J50&lt;&gt;"OK","",C50*I50/100)</f>
        <v/>
      </c>
    </row>
    <row r="51" spans="1:11">
      <c r="A51" s="14">
        <v>46143</v>
      </c>
      <c r="B51" s="15">
        <v>0.46875</v>
      </c>
      <c r="C51" s="5">
        <f>IF('96 Werte'!AU6="","",'96 Werte'!AU6)</f>
        <v/>
      </c>
      <c r="D51" t="str">
        <f>IF(IF(Eingaben!$B$21&lt;Eingaben!$B$22,AND(B51&gt;=Eingaben!$B$21,B51&lt;Eingaben!$B$22),OR(B51&gt;=Eingaben!$B$21,B51&lt;Eingaben!$B$22)),"GO",IF(AND(ISNUMBER(Eingaben!$B$23),ISNUMBER(Eingaben!$B$24),IF(Eingaben!$B$23&lt;Eingaben!$B$24,AND(B51&gt;=Eingaben!$B$23,B51&lt;Eingaben!$B$24),OR(B51&gt;=Eingaben!$B$23,B51&lt;Eingaben!$B$24))),"HEAT","STANDARD"))</f>
        <v>STANDARD</v>
      </c>
      <c r="E51" s="9"/>
      <c r="F51" t="str">
        <f>IF(E51="",D51,E51)</f>
        <v>STANDARD</v>
      </c>
      <c r="G51" t="str">
        <f>INDEX(Netzzeiten!$B$6:$B$29,HOUR(B51)+1)</f>
        <v>NT</v>
      </c>
      <c r="H51" s="6">
        <f>IF(F51="GO",Eingaben!$B$11,IF(F51="STANDARD",Eingaben!$B$12,IF(AND(F51="HEAT",ISNUMBER(Eingaben!$B$13)),Eingaben!$B$13,"")))</f>
        <v>28.2744</v>
      </c>
      <c r="I51" s="6">
        <f>INDEX(Netzzeiten!$C$6:$C$29,HOUR(B51)+1)</f>
        <v>1.64</v>
      </c>
      <c r="J51" t="str">
        <f>IF(C51="","FEHLT",IF(NOT(ISNUMBER(C51)),"MESSWERT UNGUELTIG",IF(C51&lt;0,"MESSWERT UNGUELTIG",IF(H51="","TARIFPREIS FEHLT","OK"))))</f>
        <v>FEHLT</v>
      </c>
      <c r="K51" s="7">
        <f>IF(J51&lt;&gt;"OK","",C51*I51/100)</f>
        <v/>
      </c>
    </row>
    <row r="52" spans="1:11">
      <c r="A52" s="14">
        <v>46143</v>
      </c>
      <c r="B52" s="15">
        <v>0.4791666666666667</v>
      </c>
      <c r="C52" s="5">
        <f>IF('96 Werte'!AV6="","",'96 Werte'!AV6)</f>
        <v/>
      </c>
      <c r="D52" t="str">
        <f>IF(IF(Eingaben!$B$21&lt;Eingaben!$B$22,AND(B52&gt;=Eingaben!$B$21,B52&lt;Eingaben!$B$22),OR(B52&gt;=Eingaben!$B$21,B52&lt;Eingaben!$B$22)),"GO",IF(AND(ISNUMBER(Eingaben!$B$23),ISNUMBER(Eingaben!$B$24),IF(Eingaben!$B$23&lt;Eingaben!$B$24,AND(B52&gt;=Eingaben!$B$23,B52&lt;Eingaben!$B$24),OR(B52&gt;=Eingaben!$B$23,B52&lt;Eingaben!$B$24))),"HEAT","STANDARD"))</f>
        <v>STANDARD</v>
      </c>
      <c r="E52" s="9"/>
      <c r="F52" t="str">
        <f>IF(E52="",D52,E52)</f>
        <v>STANDARD</v>
      </c>
      <c r="G52" t="str">
        <f>INDEX(Netzzeiten!$B$6:$B$29,HOUR(B52)+1)</f>
        <v>NT</v>
      </c>
      <c r="H52" s="6">
        <f>IF(F52="GO",Eingaben!$B$11,IF(F52="STANDARD",Eingaben!$B$12,IF(AND(F52="HEAT",ISNUMBER(Eingaben!$B$13)),Eingaben!$B$13,"")))</f>
        <v>28.2744</v>
      </c>
      <c r="I52" s="6">
        <f>INDEX(Netzzeiten!$C$6:$C$29,HOUR(B52)+1)</f>
        <v>1.64</v>
      </c>
      <c r="J52" t="str">
        <f>IF(C52="","FEHLT",IF(NOT(ISNUMBER(C52)),"MESSWERT UNGUELTIG",IF(C52&lt;0,"MESSWERT UNGUELTIG",IF(H52="","TARIFPREIS FEHLT","OK"))))</f>
        <v>FEHLT</v>
      </c>
      <c r="K52" s="7">
        <f>IF(J52&lt;&gt;"OK","",C52*I52/100)</f>
        <v/>
      </c>
    </row>
    <row r="53" spans="1:11">
      <c r="A53" s="14">
        <v>46143</v>
      </c>
      <c r="B53" s="15">
        <v>0.4895833333333333</v>
      </c>
      <c r="C53" s="5">
        <f>IF('96 Werte'!AW6="","",'96 Werte'!AW6)</f>
        <v/>
      </c>
      <c r="D53" t="str">
        <f>IF(IF(Eingaben!$B$21&lt;Eingaben!$B$22,AND(B53&gt;=Eingaben!$B$21,B53&lt;Eingaben!$B$22),OR(B53&gt;=Eingaben!$B$21,B53&lt;Eingaben!$B$22)),"GO",IF(AND(ISNUMBER(Eingaben!$B$23),ISNUMBER(Eingaben!$B$24),IF(Eingaben!$B$23&lt;Eingaben!$B$24,AND(B53&gt;=Eingaben!$B$23,B53&lt;Eingaben!$B$24),OR(B53&gt;=Eingaben!$B$23,B53&lt;Eingaben!$B$24))),"HEAT","STANDARD"))</f>
        <v>STANDARD</v>
      </c>
      <c r="E53" s="9"/>
      <c r="F53" t="str">
        <f>IF(E53="",D53,E53)</f>
        <v>STANDARD</v>
      </c>
      <c r="G53" t="str">
        <f>INDEX(Netzzeiten!$B$6:$B$29,HOUR(B53)+1)</f>
        <v>NT</v>
      </c>
      <c r="H53" s="6">
        <f>IF(F53="GO",Eingaben!$B$11,IF(F53="STANDARD",Eingaben!$B$12,IF(AND(F53="HEAT",ISNUMBER(Eingaben!$B$13)),Eingaben!$B$13,"")))</f>
        <v>28.2744</v>
      </c>
      <c r="I53" s="6">
        <f>INDEX(Netzzeiten!$C$6:$C$29,HOUR(B53)+1)</f>
        <v>1.64</v>
      </c>
      <c r="J53" t="str">
        <f>IF(C53="","FEHLT",IF(NOT(ISNUMBER(C53)),"MESSWERT UNGUELTIG",IF(C53&lt;0,"MESSWERT UNGUELTIG",IF(H53="","TARIFPREIS FEHLT","OK"))))</f>
        <v>FEHLT</v>
      </c>
      <c r="K53" s="7">
        <f>IF(J53&lt;&gt;"OK","",C53*I53/100)</f>
        <v/>
      </c>
    </row>
    <row r="54" spans="1:11">
      <c r="A54" s="14">
        <v>46143</v>
      </c>
      <c r="B54" s="15">
        <v>0.5</v>
      </c>
      <c r="C54" s="5">
        <f>IF('96 Werte'!AX6="","",'96 Werte'!AX6)</f>
        <v/>
      </c>
      <c r="D54" t="str">
        <f>IF(IF(Eingaben!$B$21&lt;Eingaben!$B$22,AND(B54&gt;=Eingaben!$B$21,B54&lt;Eingaben!$B$22),OR(B54&gt;=Eingaben!$B$21,B54&lt;Eingaben!$B$22)),"GO",IF(AND(ISNUMBER(Eingaben!$B$23),ISNUMBER(Eingaben!$B$24),IF(Eingaben!$B$23&lt;Eingaben!$B$24,AND(B54&gt;=Eingaben!$B$23,B54&lt;Eingaben!$B$24),OR(B54&gt;=Eingaben!$B$23,B54&lt;Eingaben!$B$24))),"HEAT","STANDARD"))</f>
        <v>STANDARD</v>
      </c>
      <c r="E54" s="9"/>
      <c r="F54" t="str">
        <f>IF(E54="",D54,E54)</f>
        <v>STANDARD</v>
      </c>
      <c r="G54" t="str">
        <f>INDEX(Netzzeiten!$B$6:$B$29,HOUR(B54)+1)</f>
        <v>NT</v>
      </c>
      <c r="H54" s="6">
        <f>IF(F54="GO",Eingaben!$B$11,IF(F54="STANDARD",Eingaben!$B$12,IF(AND(F54="HEAT",ISNUMBER(Eingaben!$B$13)),Eingaben!$B$13,"")))</f>
        <v>28.2744</v>
      </c>
      <c r="I54" s="6">
        <f>INDEX(Netzzeiten!$C$6:$C$29,HOUR(B54)+1)</f>
        <v>1.64</v>
      </c>
      <c r="J54" t="str">
        <f>IF(C54="","FEHLT",IF(NOT(ISNUMBER(C54)),"MESSWERT UNGUELTIG",IF(C54&lt;0,"MESSWERT UNGUELTIG",IF(H54="","TARIFPREIS FEHLT","OK"))))</f>
        <v>FEHLT</v>
      </c>
      <c r="K54" s="7">
        <f>IF(J54&lt;&gt;"OK","",C54*I54/100)</f>
        <v/>
      </c>
    </row>
    <row r="55" spans="1:11">
      <c r="A55" s="14">
        <v>46143</v>
      </c>
      <c r="B55" s="15">
        <v>0.5104166666666666</v>
      </c>
      <c r="C55" s="5">
        <f>IF('96 Werte'!AY6="","",'96 Werte'!AY6)</f>
        <v/>
      </c>
      <c r="D55" t="str">
        <f>IF(IF(Eingaben!$B$21&lt;Eingaben!$B$22,AND(B55&gt;=Eingaben!$B$21,B55&lt;Eingaben!$B$22),OR(B55&gt;=Eingaben!$B$21,B55&lt;Eingaben!$B$22)),"GO",IF(AND(ISNUMBER(Eingaben!$B$23),ISNUMBER(Eingaben!$B$24),IF(Eingaben!$B$23&lt;Eingaben!$B$24,AND(B55&gt;=Eingaben!$B$23,B55&lt;Eingaben!$B$24),OR(B55&gt;=Eingaben!$B$23,B55&lt;Eingaben!$B$24))),"HEAT","STANDARD"))</f>
        <v>STANDARD</v>
      </c>
      <c r="E55" s="9"/>
      <c r="F55" t="str">
        <f>IF(E55="",D55,E55)</f>
        <v>STANDARD</v>
      </c>
      <c r="G55" t="str">
        <f>INDEX(Netzzeiten!$B$6:$B$29,HOUR(B55)+1)</f>
        <v>NT</v>
      </c>
      <c r="H55" s="6">
        <f>IF(F55="GO",Eingaben!$B$11,IF(F55="STANDARD",Eingaben!$B$12,IF(AND(F55="HEAT",ISNUMBER(Eingaben!$B$13)),Eingaben!$B$13,"")))</f>
        <v>28.2744</v>
      </c>
      <c r="I55" s="6">
        <f>INDEX(Netzzeiten!$C$6:$C$29,HOUR(B55)+1)</f>
        <v>1.64</v>
      </c>
      <c r="J55" t="str">
        <f>IF(C55="","FEHLT",IF(NOT(ISNUMBER(C55)),"MESSWERT UNGUELTIG",IF(C55&lt;0,"MESSWERT UNGUELTIG",IF(H55="","TARIFPREIS FEHLT","OK"))))</f>
        <v>FEHLT</v>
      </c>
      <c r="K55" s="7">
        <f>IF(J55&lt;&gt;"OK","",C55*I55/100)</f>
        <v/>
      </c>
    </row>
    <row r="56" spans="1:11">
      <c r="A56" s="14">
        <v>46143</v>
      </c>
      <c r="B56" s="15">
        <v>0.5208333333333334</v>
      </c>
      <c r="C56" s="5">
        <f>IF('96 Werte'!AZ6="","",'96 Werte'!AZ6)</f>
        <v/>
      </c>
      <c r="D56" t="str">
        <f>IF(IF(Eingaben!$B$21&lt;Eingaben!$B$22,AND(B56&gt;=Eingaben!$B$21,B56&lt;Eingaben!$B$22),OR(B56&gt;=Eingaben!$B$21,B56&lt;Eingaben!$B$22)),"GO",IF(AND(ISNUMBER(Eingaben!$B$23),ISNUMBER(Eingaben!$B$24),IF(Eingaben!$B$23&lt;Eingaben!$B$24,AND(B56&gt;=Eingaben!$B$23,B56&lt;Eingaben!$B$24),OR(B56&gt;=Eingaben!$B$23,B56&lt;Eingaben!$B$24))),"HEAT","STANDARD"))</f>
        <v>STANDARD</v>
      </c>
      <c r="E56" s="9"/>
      <c r="F56" t="str">
        <f>IF(E56="",D56,E56)</f>
        <v>STANDARD</v>
      </c>
      <c r="G56" t="str">
        <f>INDEX(Netzzeiten!$B$6:$B$29,HOUR(B56)+1)</f>
        <v>NT</v>
      </c>
      <c r="H56" s="6">
        <f>IF(F56="GO",Eingaben!$B$11,IF(F56="STANDARD",Eingaben!$B$12,IF(AND(F56="HEAT",ISNUMBER(Eingaben!$B$13)),Eingaben!$B$13,"")))</f>
        <v>28.2744</v>
      </c>
      <c r="I56" s="6">
        <f>INDEX(Netzzeiten!$C$6:$C$29,HOUR(B56)+1)</f>
        <v>1.64</v>
      </c>
      <c r="J56" t="str">
        <f>IF(C56="","FEHLT",IF(NOT(ISNUMBER(C56)),"MESSWERT UNGUELTIG",IF(C56&lt;0,"MESSWERT UNGUELTIG",IF(H56="","TARIFPREIS FEHLT","OK"))))</f>
        <v>FEHLT</v>
      </c>
      <c r="K56" s="7">
        <f>IF(J56&lt;&gt;"OK","",C56*I56/100)</f>
        <v/>
      </c>
    </row>
    <row r="57" spans="1:11">
      <c r="A57" s="14">
        <v>46143</v>
      </c>
      <c r="B57" s="15">
        <v>0.53125</v>
      </c>
      <c r="C57" s="5">
        <f>IF('96 Werte'!BA6="","",'96 Werte'!BA6)</f>
        <v/>
      </c>
      <c r="D57" t="str">
        <f>IF(IF(Eingaben!$B$21&lt;Eingaben!$B$22,AND(B57&gt;=Eingaben!$B$21,B57&lt;Eingaben!$B$22),OR(B57&gt;=Eingaben!$B$21,B57&lt;Eingaben!$B$22)),"GO",IF(AND(ISNUMBER(Eingaben!$B$23),ISNUMBER(Eingaben!$B$24),IF(Eingaben!$B$23&lt;Eingaben!$B$24,AND(B57&gt;=Eingaben!$B$23,B57&lt;Eingaben!$B$24),OR(B57&gt;=Eingaben!$B$23,B57&lt;Eingaben!$B$24))),"HEAT","STANDARD"))</f>
        <v>STANDARD</v>
      </c>
      <c r="E57" s="9"/>
      <c r="F57" t="str">
        <f>IF(E57="",D57,E57)</f>
        <v>STANDARD</v>
      </c>
      <c r="G57" t="str">
        <f>INDEX(Netzzeiten!$B$6:$B$29,HOUR(B57)+1)</f>
        <v>NT</v>
      </c>
      <c r="H57" s="6">
        <f>IF(F57="GO",Eingaben!$B$11,IF(F57="STANDARD",Eingaben!$B$12,IF(AND(F57="HEAT",ISNUMBER(Eingaben!$B$13)),Eingaben!$B$13,"")))</f>
        <v>28.2744</v>
      </c>
      <c r="I57" s="6">
        <f>INDEX(Netzzeiten!$C$6:$C$29,HOUR(B57)+1)</f>
        <v>1.64</v>
      </c>
      <c r="J57" t="str">
        <f>IF(C57="","FEHLT",IF(NOT(ISNUMBER(C57)),"MESSWERT UNGUELTIG",IF(C57&lt;0,"MESSWERT UNGUELTIG",IF(H57="","TARIFPREIS FEHLT","OK"))))</f>
        <v>FEHLT</v>
      </c>
      <c r="K57" s="7">
        <f>IF(J57&lt;&gt;"OK","",C57*I57/100)</f>
        <v/>
      </c>
    </row>
    <row r="58" spans="1:11">
      <c r="A58" s="14">
        <v>46143</v>
      </c>
      <c r="B58" s="15">
        <v>0.5416666666666666</v>
      </c>
      <c r="C58" s="5">
        <f>IF('96 Werte'!BB6="","",'96 Werte'!BB6)</f>
        <v/>
      </c>
      <c r="D58" t="str">
        <f>IF(IF(Eingaben!$B$21&lt;Eingaben!$B$22,AND(B58&gt;=Eingaben!$B$21,B58&lt;Eingaben!$B$22),OR(B58&gt;=Eingaben!$B$21,B58&lt;Eingaben!$B$22)),"GO",IF(AND(ISNUMBER(Eingaben!$B$23),ISNUMBER(Eingaben!$B$24),IF(Eingaben!$B$23&lt;Eingaben!$B$24,AND(B58&gt;=Eingaben!$B$23,B58&lt;Eingaben!$B$24),OR(B58&gt;=Eingaben!$B$23,B58&lt;Eingaben!$B$24))),"HEAT","STANDARD"))</f>
        <v>STANDARD</v>
      </c>
      <c r="E58" s="9"/>
      <c r="F58" t="str">
        <f>IF(E58="",D58,E58)</f>
        <v>STANDARD</v>
      </c>
      <c r="G58" t="str">
        <f>INDEX(Netzzeiten!$B$6:$B$29,HOUR(B58)+1)</f>
        <v>NT</v>
      </c>
      <c r="H58" s="6">
        <f>IF(F58="GO",Eingaben!$B$11,IF(F58="STANDARD",Eingaben!$B$12,IF(AND(F58="HEAT",ISNUMBER(Eingaben!$B$13)),Eingaben!$B$13,"")))</f>
        <v>28.2744</v>
      </c>
      <c r="I58" s="6">
        <f>INDEX(Netzzeiten!$C$6:$C$29,HOUR(B58)+1)</f>
        <v>1.64</v>
      </c>
      <c r="J58" t="str">
        <f>IF(C58="","FEHLT",IF(NOT(ISNUMBER(C58)),"MESSWERT UNGUELTIG",IF(C58&lt;0,"MESSWERT UNGUELTIG",IF(H58="","TARIFPREIS FEHLT","OK"))))</f>
        <v>FEHLT</v>
      </c>
      <c r="K58" s="7">
        <f>IF(J58&lt;&gt;"OK","",C58*I58/100)</f>
        <v/>
      </c>
    </row>
    <row r="59" spans="1:11">
      <c r="A59" s="14">
        <v>46143</v>
      </c>
      <c r="B59" s="15">
        <v>0.5520833333333334</v>
      </c>
      <c r="C59" s="5">
        <f>IF('96 Werte'!BC6="","",'96 Werte'!BC6)</f>
        <v/>
      </c>
      <c r="D59" t="str">
        <f>IF(IF(Eingaben!$B$21&lt;Eingaben!$B$22,AND(B59&gt;=Eingaben!$B$21,B59&lt;Eingaben!$B$22),OR(B59&gt;=Eingaben!$B$21,B59&lt;Eingaben!$B$22)),"GO",IF(AND(ISNUMBER(Eingaben!$B$23),ISNUMBER(Eingaben!$B$24),IF(Eingaben!$B$23&lt;Eingaben!$B$24,AND(B59&gt;=Eingaben!$B$23,B59&lt;Eingaben!$B$24),OR(B59&gt;=Eingaben!$B$23,B59&lt;Eingaben!$B$24))),"HEAT","STANDARD"))</f>
        <v>STANDARD</v>
      </c>
      <c r="E59" s="9"/>
      <c r="F59" t="str">
        <f>IF(E59="",D59,E59)</f>
        <v>STANDARD</v>
      </c>
      <c r="G59" t="str">
        <f>INDEX(Netzzeiten!$B$6:$B$29,HOUR(B59)+1)</f>
        <v>NT</v>
      </c>
      <c r="H59" s="6">
        <f>IF(F59="GO",Eingaben!$B$11,IF(F59="STANDARD",Eingaben!$B$12,IF(AND(F59="HEAT",ISNUMBER(Eingaben!$B$13)),Eingaben!$B$13,"")))</f>
        <v>28.2744</v>
      </c>
      <c r="I59" s="6">
        <f>INDEX(Netzzeiten!$C$6:$C$29,HOUR(B59)+1)</f>
        <v>1.64</v>
      </c>
      <c r="J59" t="str">
        <f>IF(C59="","FEHLT",IF(NOT(ISNUMBER(C59)),"MESSWERT UNGUELTIG",IF(C59&lt;0,"MESSWERT UNGUELTIG",IF(H59="","TARIFPREIS FEHLT","OK"))))</f>
        <v>FEHLT</v>
      </c>
      <c r="K59" s="7">
        <f>IF(J59&lt;&gt;"OK","",C59*I59/100)</f>
        <v/>
      </c>
    </row>
    <row r="60" spans="1:11">
      <c r="A60" s="14">
        <v>46143</v>
      </c>
      <c r="B60" s="15">
        <v>0.5625</v>
      </c>
      <c r="C60" s="5">
        <f>IF('96 Werte'!BD6="","",'96 Werte'!BD6)</f>
        <v/>
      </c>
      <c r="D60" t="str">
        <f>IF(IF(Eingaben!$B$21&lt;Eingaben!$B$22,AND(B60&gt;=Eingaben!$B$21,B60&lt;Eingaben!$B$22),OR(B60&gt;=Eingaben!$B$21,B60&lt;Eingaben!$B$22)),"GO",IF(AND(ISNUMBER(Eingaben!$B$23),ISNUMBER(Eingaben!$B$24),IF(Eingaben!$B$23&lt;Eingaben!$B$24,AND(B60&gt;=Eingaben!$B$23,B60&lt;Eingaben!$B$24),OR(B60&gt;=Eingaben!$B$23,B60&lt;Eingaben!$B$24))),"HEAT","STANDARD"))</f>
        <v>STANDARD</v>
      </c>
      <c r="E60" s="9"/>
      <c r="F60" t="str">
        <f>IF(E60="",D60,E60)</f>
        <v>STANDARD</v>
      </c>
      <c r="G60" t="str">
        <f>INDEX(Netzzeiten!$B$6:$B$29,HOUR(B60)+1)</f>
        <v>NT</v>
      </c>
      <c r="H60" s="6">
        <f>IF(F60="GO",Eingaben!$B$11,IF(F60="STANDARD",Eingaben!$B$12,IF(AND(F60="HEAT",ISNUMBER(Eingaben!$B$13)),Eingaben!$B$13,"")))</f>
        <v>28.2744</v>
      </c>
      <c r="I60" s="6">
        <f>INDEX(Netzzeiten!$C$6:$C$29,HOUR(B60)+1)</f>
        <v>1.64</v>
      </c>
      <c r="J60" t="str">
        <f>IF(C60="","FEHLT",IF(NOT(ISNUMBER(C60)),"MESSWERT UNGUELTIG",IF(C60&lt;0,"MESSWERT UNGUELTIG",IF(H60="","TARIFPREIS FEHLT","OK"))))</f>
        <v>FEHLT</v>
      </c>
      <c r="K60" s="7">
        <f>IF(J60&lt;&gt;"OK","",C60*I60/100)</f>
        <v/>
      </c>
    </row>
    <row r="61" spans="1:11">
      <c r="A61" s="14">
        <v>46143</v>
      </c>
      <c r="B61" s="15">
        <v>0.5729166666666666</v>
      </c>
      <c r="C61" s="5">
        <f>IF('96 Werte'!BE6="","",'96 Werte'!BE6)</f>
        <v/>
      </c>
      <c r="D61" t="str">
        <f>IF(IF(Eingaben!$B$21&lt;Eingaben!$B$22,AND(B61&gt;=Eingaben!$B$21,B61&lt;Eingaben!$B$22),OR(B61&gt;=Eingaben!$B$21,B61&lt;Eingaben!$B$22)),"GO",IF(AND(ISNUMBER(Eingaben!$B$23),ISNUMBER(Eingaben!$B$24),IF(Eingaben!$B$23&lt;Eingaben!$B$24,AND(B61&gt;=Eingaben!$B$23,B61&lt;Eingaben!$B$24),OR(B61&gt;=Eingaben!$B$23,B61&lt;Eingaben!$B$24))),"HEAT","STANDARD"))</f>
        <v>STANDARD</v>
      </c>
      <c r="E61" s="9"/>
      <c r="F61" t="str">
        <f>IF(E61="",D61,E61)</f>
        <v>STANDARD</v>
      </c>
      <c r="G61" t="str">
        <f>INDEX(Netzzeiten!$B$6:$B$29,HOUR(B61)+1)</f>
        <v>NT</v>
      </c>
      <c r="H61" s="6">
        <f>IF(F61="GO",Eingaben!$B$11,IF(F61="STANDARD",Eingaben!$B$12,IF(AND(F61="HEAT",ISNUMBER(Eingaben!$B$13)),Eingaben!$B$13,"")))</f>
        <v>28.2744</v>
      </c>
      <c r="I61" s="6">
        <f>INDEX(Netzzeiten!$C$6:$C$29,HOUR(B61)+1)</f>
        <v>1.64</v>
      </c>
      <c r="J61" t="str">
        <f>IF(C61="","FEHLT",IF(NOT(ISNUMBER(C61)),"MESSWERT UNGUELTIG",IF(C61&lt;0,"MESSWERT UNGUELTIG",IF(H61="","TARIFPREIS FEHLT","OK"))))</f>
        <v>FEHLT</v>
      </c>
      <c r="K61" s="7">
        <f>IF(J61&lt;&gt;"OK","",C61*I61/100)</f>
        <v/>
      </c>
    </row>
    <row r="62" spans="1:11">
      <c r="A62" s="14">
        <v>46143</v>
      </c>
      <c r="B62" s="15">
        <v>0.5833333333333334</v>
      </c>
      <c r="C62" s="5">
        <f>IF('96 Werte'!BF6="","",'96 Werte'!BF6)</f>
        <v/>
      </c>
      <c r="D62" t="str">
        <f>IF(IF(Eingaben!$B$21&lt;Eingaben!$B$22,AND(B62&gt;=Eingaben!$B$21,B62&lt;Eingaben!$B$22),OR(B62&gt;=Eingaben!$B$21,B62&lt;Eingaben!$B$22)),"GO",IF(AND(ISNUMBER(Eingaben!$B$23),ISNUMBER(Eingaben!$B$24),IF(Eingaben!$B$23&lt;Eingaben!$B$24,AND(B62&gt;=Eingaben!$B$23,B62&lt;Eingaben!$B$24),OR(B62&gt;=Eingaben!$B$23,B62&lt;Eingaben!$B$24))),"HEAT","STANDARD"))</f>
        <v>STANDARD</v>
      </c>
      <c r="E62" s="9"/>
      <c r="F62" t="str">
        <f>IF(E62="",D62,E62)</f>
        <v>STANDARD</v>
      </c>
      <c r="G62" t="str">
        <f>INDEX(Netzzeiten!$B$6:$B$29,HOUR(B62)+1)</f>
        <v>NT</v>
      </c>
      <c r="H62" s="6">
        <f>IF(F62="GO",Eingaben!$B$11,IF(F62="STANDARD",Eingaben!$B$12,IF(AND(F62="HEAT",ISNUMBER(Eingaben!$B$13)),Eingaben!$B$13,"")))</f>
        <v>28.2744</v>
      </c>
      <c r="I62" s="6">
        <f>INDEX(Netzzeiten!$C$6:$C$29,HOUR(B62)+1)</f>
        <v>1.64</v>
      </c>
      <c r="J62" t="str">
        <f>IF(C62="","FEHLT",IF(NOT(ISNUMBER(C62)),"MESSWERT UNGUELTIG",IF(C62&lt;0,"MESSWERT UNGUELTIG",IF(H62="","TARIFPREIS FEHLT","OK"))))</f>
        <v>FEHLT</v>
      </c>
      <c r="K62" s="7">
        <f>IF(J62&lt;&gt;"OK","",C62*I62/100)</f>
        <v/>
      </c>
    </row>
    <row r="63" spans="1:11">
      <c r="A63" s="14">
        <v>46143</v>
      </c>
      <c r="B63" s="15">
        <v>0.59375</v>
      </c>
      <c r="C63" s="5">
        <f>IF('96 Werte'!BG6="","",'96 Werte'!BG6)</f>
        <v/>
      </c>
      <c r="D63" t="str">
        <f>IF(IF(Eingaben!$B$21&lt;Eingaben!$B$22,AND(B63&gt;=Eingaben!$B$21,B63&lt;Eingaben!$B$22),OR(B63&gt;=Eingaben!$B$21,B63&lt;Eingaben!$B$22)),"GO",IF(AND(ISNUMBER(Eingaben!$B$23),ISNUMBER(Eingaben!$B$24),IF(Eingaben!$B$23&lt;Eingaben!$B$24,AND(B63&gt;=Eingaben!$B$23,B63&lt;Eingaben!$B$24),OR(B63&gt;=Eingaben!$B$23,B63&lt;Eingaben!$B$24))),"HEAT","STANDARD"))</f>
        <v>STANDARD</v>
      </c>
      <c r="E63" s="9"/>
      <c r="F63" t="str">
        <f>IF(E63="",D63,E63)</f>
        <v>STANDARD</v>
      </c>
      <c r="G63" t="str">
        <f>INDEX(Netzzeiten!$B$6:$B$29,HOUR(B63)+1)</f>
        <v>NT</v>
      </c>
      <c r="H63" s="6">
        <f>IF(F63="GO",Eingaben!$B$11,IF(F63="STANDARD",Eingaben!$B$12,IF(AND(F63="HEAT",ISNUMBER(Eingaben!$B$13)),Eingaben!$B$13,"")))</f>
        <v>28.2744</v>
      </c>
      <c r="I63" s="6">
        <f>INDEX(Netzzeiten!$C$6:$C$29,HOUR(B63)+1)</f>
        <v>1.64</v>
      </c>
      <c r="J63" t="str">
        <f>IF(C63="","FEHLT",IF(NOT(ISNUMBER(C63)),"MESSWERT UNGUELTIG",IF(C63&lt;0,"MESSWERT UNGUELTIG",IF(H63="","TARIFPREIS FEHLT","OK"))))</f>
        <v>FEHLT</v>
      </c>
      <c r="K63" s="7">
        <f>IF(J63&lt;&gt;"OK","",C63*I63/100)</f>
        <v/>
      </c>
    </row>
    <row r="64" spans="1:11">
      <c r="A64" s="14">
        <v>46143</v>
      </c>
      <c r="B64" s="15">
        <v>0.6041666666666666</v>
      </c>
      <c r="C64" s="5">
        <f>IF('96 Werte'!BH6="","",'96 Werte'!BH6)</f>
        <v/>
      </c>
      <c r="D64" t="str">
        <f>IF(IF(Eingaben!$B$21&lt;Eingaben!$B$22,AND(B64&gt;=Eingaben!$B$21,B64&lt;Eingaben!$B$22),OR(B64&gt;=Eingaben!$B$21,B64&lt;Eingaben!$B$22)),"GO",IF(AND(ISNUMBER(Eingaben!$B$23),ISNUMBER(Eingaben!$B$24),IF(Eingaben!$B$23&lt;Eingaben!$B$24,AND(B64&gt;=Eingaben!$B$23,B64&lt;Eingaben!$B$24),OR(B64&gt;=Eingaben!$B$23,B64&lt;Eingaben!$B$24))),"HEAT","STANDARD"))</f>
        <v>STANDARD</v>
      </c>
      <c r="E64" s="9"/>
      <c r="F64" t="str">
        <f>IF(E64="",D64,E64)</f>
        <v>STANDARD</v>
      </c>
      <c r="G64" t="str">
        <f>INDEX(Netzzeiten!$B$6:$B$29,HOUR(B64)+1)</f>
        <v>NT</v>
      </c>
      <c r="H64" s="6">
        <f>IF(F64="GO",Eingaben!$B$11,IF(F64="STANDARD",Eingaben!$B$12,IF(AND(F64="HEAT",ISNUMBER(Eingaben!$B$13)),Eingaben!$B$13,"")))</f>
        <v>28.2744</v>
      </c>
      <c r="I64" s="6">
        <f>INDEX(Netzzeiten!$C$6:$C$29,HOUR(B64)+1)</f>
        <v>1.64</v>
      </c>
      <c r="J64" t="str">
        <f>IF(C64="","FEHLT",IF(NOT(ISNUMBER(C64)),"MESSWERT UNGUELTIG",IF(C64&lt;0,"MESSWERT UNGUELTIG",IF(H64="","TARIFPREIS FEHLT","OK"))))</f>
        <v>FEHLT</v>
      </c>
      <c r="K64" s="7">
        <f>IF(J64&lt;&gt;"OK","",C64*I64/100)</f>
        <v/>
      </c>
    </row>
    <row r="65" spans="1:11">
      <c r="A65" s="14">
        <v>46143</v>
      </c>
      <c r="B65" s="15">
        <v>0.6145833333333334</v>
      </c>
      <c r="C65" s="5">
        <f>IF('96 Werte'!BI6="","",'96 Werte'!BI6)</f>
        <v/>
      </c>
      <c r="D65" t="str">
        <f>IF(IF(Eingaben!$B$21&lt;Eingaben!$B$22,AND(B65&gt;=Eingaben!$B$21,B65&lt;Eingaben!$B$22),OR(B65&gt;=Eingaben!$B$21,B65&lt;Eingaben!$B$22)),"GO",IF(AND(ISNUMBER(Eingaben!$B$23),ISNUMBER(Eingaben!$B$24),IF(Eingaben!$B$23&lt;Eingaben!$B$24,AND(B65&gt;=Eingaben!$B$23,B65&lt;Eingaben!$B$24),OR(B65&gt;=Eingaben!$B$23,B65&lt;Eingaben!$B$24))),"HEAT","STANDARD"))</f>
        <v>STANDARD</v>
      </c>
      <c r="E65" s="9"/>
      <c r="F65" t="str">
        <f>IF(E65="",D65,E65)</f>
        <v>STANDARD</v>
      </c>
      <c r="G65" t="str">
        <f>INDEX(Netzzeiten!$B$6:$B$29,HOUR(B65)+1)</f>
        <v>NT</v>
      </c>
      <c r="H65" s="6">
        <f>IF(F65="GO",Eingaben!$B$11,IF(F65="STANDARD",Eingaben!$B$12,IF(AND(F65="HEAT",ISNUMBER(Eingaben!$B$13)),Eingaben!$B$13,"")))</f>
        <v>28.2744</v>
      </c>
      <c r="I65" s="6">
        <f>INDEX(Netzzeiten!$C$6:$C$29,HOUR(B65)+1)</f>
        <v>1.64</v>
      </c>
      <c r="J65" t="str">
        <f>IF(C65="","FEHLT",IF(NOT(ISNUMBER(C65)),"MESSWERT UNGUELTIG",IF(C65&lt;0,"MESSWERT UNGUELTIG",IF(H65="","TARIFPREIS FEHLT","OK"))))</f>
        <v>FEHLT</v>
      </c>
      <c r="K65" s="7">
        <f>IF(J65&lt;&gt;"OK","",C65*I65/100)</f>
        <v/>
      </c>
    </row>
    <row r="66" spans="1:11">
      <c r="A66" s="14">
        <v>46143</v>
      </c>
      <c r="B66" s="15">
        <v>0.625</v>
      </c>
      <c r="C66" s="5">
        <f>IF('96 Werte'!BJ6="","",'96 Werte'!BJ6)</f>
        <v/>
      </c>
      <c r="D66" t="str">
        <f>IF(IF(Eingaben!$B$21&lt;Eingaben!$B$22,AND(B66&gt;=Eingaben!$B$21,B66&lt;Eingaben!$B$22),OR(B66&gt;=Eingaben!$B$21,B66&lt;Eingaben!$B$22)),"GO",IF(AND(ISNUMBER(Eingaben!$B$23),ISNUMBER(Eingaben!$B$24),IF(Eingaben!$B$23&lt;Eingaben!$B$24,AND(B66&gt;=Eingaben!$B$23,B66&lt;Eingaben!$B$24),OR(B66&gt;=Eingaben!$B$23,B66&lt;Eingaben!$B$24))),"HEAT","STANDARD"))</f>
        <v>STANDARD</v>
      </c>
      <c r="E66" s="9"/>
      <c r="F66" t="str">
        <f>IF(E66="",D66,E66)</f>
        <v>STANDARD</v>
      </c>
      <c r="G66" t="str">
        <f>INDEX(Netzzeiten!$B$6:$B$29,HOUR(B66)+1)</f>
        <v>ST</v>
      </c>
      <c r="H66" s="6">
        <f>IF(F66="GO",Eingaben!$B$11,IF(F66="STANDARD",Eingaben!$B$12,IF(AND(F66="HEAT",ISNUMBER(Eingaben!$B$13)),Eingaben!$B$13,"")))</f>
        <v>28.2744</v>
      </c>
      <c r="I66" s="6">
        <f>INDEX(Netzzeiten!$C$6:$C$29,HOUR(B66)+1)</f>
        <v>5.48</v>
      </c>
      <c r="J66" t="str">
        <f>IF(C66="","FEHLT",IF(NOT(ISNUMBER(C66)),"MESSWERT UNGUELTIG",IF(C66&lt;0,"MESSWERT UNGUELTIG",IF(H66="","TARIFPREIS FEHLT","OK"))))</f>
        <v>FEHLT</v>
      </c>
      <c r="K66" s="7">
        <f>IF(J66&lt;&gt;"OK","",C66*I66/100)</f>
        <v/>
      </c>
    </row>
    <row r="67" spans="1:11">
      <c r="A67" s="14">
        <v>46143</v>
      </c>
      <c r="B67" s="15">
        <v>0.6354166666666666</v>
      </c>
      <c r="C67" s="5">
        <f>IF('96 Werte'!BK6="","",'96 Werte'!BK6)</f>
        <v/>
      </c>
      <c r="D67" t="str">
        <f>IF(IF(Eingaben!$B$21&lt;Eingaben!$B$22,AND(B67&gt;=Eingaben!$B$21,B67&lt;Eingaben!$B$22),OR(B67&gt;=Eingaben!$B$21,B67&lt;Eingaben!$B$22)),"GO",IF(AND(ISNUMBER(Eingaben!$B$23),ISNUMBER(Eingaben!$B$24),IF(Eingaben!$B$23&lt;Eingaben!$B$24,AND(B67&gt;=Eingaben!$B$23,B67&lt;Eingaben!$B$24),OR(B67&gt;=Eingaben!$B$23,B67&lt;Eingaben!$B$24))),"HEAT","STANDARD"))</f>
        <v>STANDARD</v>
      </c>
      <c r="E67" s="9"/>
      <c r="F67" t="str">
        <f>IF(E67="",D67,E67)</f>
        <v>STANDARD</v>
      </c>
      <c r="G67" t="str">
        <f>INDEX(Netzzeiten!$B$6:$B$29,HOUR(B67)+1)</f>
        <v>ST</v>
      </c>
      <c r="H67" s="6">
        <f>IF(F67="GO",Eingaben!$B$11,IF(F67="STANDARD",Eingaben!$B$12,IF(AND(F67="HEAT",ISNUMBER(Eingaben!$B$13)),Eingaben!$B$13,"")))</f>
        <v>28.2744</v>
      </c>
      <c r="I67" s="6">
        <f>INDEX(Netzzeiten!$C$6:$C$29,HOUR(B67)+1)</f>
        <v>5.48</v>
      </c>
      <c r="J67" t="str">
        <f>IF(C67="","FEHLT",IF(NOT(ISNUMBER(C67)),"MESSWERT UNGUELTIG",IF(C67&lt;0,"MESSWERT UNGUELTIG",IF(H67="","TARIFPREIS FEHLT","OK"))))</f>
        <v>FEHLT</v>
      </c>
      <c r="K67" s="7">
        <f>IF(J67&lt;&gt;"OK","",C67*I67/100)</f>
        <v/>
      </c>
    </row>
    <row r="68" spans="1:11">
      <c r="A68" s="14">
        <v>46143</v>
      </c>
      <c r="B68" s="15">
        <v>0.6458333333333334</v>
      </c>
      <c r="C68" s="5">
        <f>IF('96 Werte'!BL6="","",'96 Werte'!BL6)</f>
        <v/>
      </c>
      <c r="D68" t="str">
        <f>IF(IF(Eingaben!$B$21&lt;Eingaben!$B$22,AND(B68&gt;=Eingaben!$B$21,B68&lt;Eingaben!$B$22),OR(B68&gt;=Eingaben!$B$21,B68&lt;Eingaben!$B$22)),"GO",IF(AND(ISNUMBER(Eingaben!$B$23),ISNUMBER(Eingaben!$B$24),IF(Eingaben!$B$23&lt;Eingaben!$B$24,AND(B68&gt;=Eingaben!$B$23,B68&lt;Eingaben!$B$24),OR(B68&gt;=Eingaben!$B$23,B68&lt;Eingaben!$B$24))),"HEAT","STANDARD"))</f>
        <v>STANDARD</v>
      </c>
      <c r="E68" s="9"/>
      <c r="F68" t="str">
        <f>IF(E68="",D68,E68)</f>
        <v>STANDARD</v>
      </c>
      <c r="G68" t="str">
        <f>INDEX(Netzzeiten!$B$6:$B$29,HOUR(B68)+1)</f>
        <v>ST</v>
      </c>
      <c r="H68" s="6">
        <f>IF(F68="GO",Eingaben!$B$11,IF(F68="STANDARD",Eingaben!$B$12,IF(AND(F68="HEAT",ISNUMBER(Eingaben!$B$13)),Eingaben!$B$13,"")))</f>
        <v>28.2744</v>
      </c>
      <c r="I68" s="6">
        <f>INDEX(Netzzeiten!$C$6:$C$29,HOUR(B68)+1)</f>
        <v>5.48</v>
      </c>
      <c r="J68" t="str">
        <f>IF(C68="","FEHLT",IF(NOT(ISNUMBER(C68)),"MESSWERT UNGUELTIG",IF(C68&lt;0,"MESSWERT UNGUELTIG",IF(H68="","TARIFPREIS FEHLT","OK"))))</f>
        <v>FEHLT</v>
      </c>
      <c r="K68" s="7">
        <f>IF(J68&lt;&gt;"OK","",C68*I68/100)</f>
        <v/>
      </c>
    </row>
    <row r="69" spans="1:11">
      <c r="A69" s="14">
        <v>46143</v>
      </c>
      <c r="B69" s="15">
        <v>0.65625</v>
      </c>
      <c r="C69" s="5">
        <f>IF('96 Werte'!BM6="","",'96 Werte'!BM6)</f>
        <v/>
      </c>
      <c r="D69" t="str">
        <f>IF(IF(Eingaben!$B$21&lt;Eingaben!$B$22,AND(B69&gt;=Eingaben!$B$21,B69&lt;Eingaben!$B$22),OR(B69&gt;=Eingaben!$B$21,B69&lt;Eingaben!$B$22)),"GO",IF(AND(ISNUMBER(Eingaben!$B$23),ISNUMBER(Eingaben!$B$24),IF(Eingaben!$B$23&lt;Eingaben!$B$24,AND(B69&gt;=Eingaben!$B$23,B69&lt;Eingaben!$B$24),OR(B69&gt;=Eingaben!$B$23,B69&lt;Eingaben!$B$24))),"HEAT","STANDARD"))</f>
        <v>STANDARD</v>
      </c>
      <c r="E69" s="9"/>
      <c r="F69" t="str">
        <f>IF(E69="",D69,E69)</f>
        <v>STANDARD</v>
      </c>
      <c r="G69" t="str">
        <f>INDEX(Netzzeiten!$B$6:$B$29,HOUR(B69)+1)</f>
        <v>ST</v>
      </c>
      <c r="H69" s="6">
        <f>IF(F69="GO",Eingaben!$B$11,IF(F69="STANDARD",Eingaben!$B$12,IF(AND(F69="HEAT",ISNUMBER(Eingaben!$B$13)),Eingaben!$B$13,"")))</f>
        <v>28.2744</v>
      </c>
      <c r="I69" s="6">
        <f>INDEX(Netzzeiten!$C$6:$C$29,HOUR(B69)+1)</f>
        <v>5.48</v>
      </c>
      <c r="J69" t="str">
        <f>IF(C69="","FEHLT",IF(NOT(ISNUMBER(C69)),"MESSWERT UNGUELTIG",IF(C69&lt;0,"MESSWERT UNGUELTIG",IF(H69="","TARIFPREIS FEHLT","OK"))))</f>
        <v>FEHLT</v>
      </c>
      <c r="K69" s="7">
        <f>IF(J69&lt;&gt;"OK","",C69*I69/100)</f>
        <v/>
      </c>
    </row>
    <row r="70" spans="1:11">
      <c r="A70" s="14">
        <v>46143</v>
      </c>
      <c r="B70" s="15">
        <v>0.6666666666666666</v>
      </c>
      <c r="C70" s="5">
        <f>IF('96 Werte'!BN6="","",'96 Werte'!BN6)</f>
        <v/>
      </c>
      <c r="D70" t="str">
        <f>IF(IF(Eingaben!$B$21&lt;Eingaben!$B$22,AND(B70&gt;=Eingaben!$B$21,B70&lt;Eingaben!$B$22),OR(B70&gt;=Eingaben!$B$21,B70&lt;Eingaben!$B$22)),"GO",IF(AND(ISNUMBER(Eingaben!$B$23),ISNUMBER(Eingaben!$B$24),IF(Eingaben!$B$23&lt;Eingaben!$B$24,AND(B70&gt;=Eingaben!$B$23,B70&lt;Eingaben!$B$24),OR(B70&gt;=Eingaben!$B$23,B70&lt;Eingaben!$B$24))),"HEAT","STANDARD"))</f>
        <v>STANDARD</v>
      </c>
      <c r="E70" s="9"/>
      <c r="F70" t="str">
        <f>IF(E70="",D70,E70)</f>
        <v>STANDARD</v>
      </c>
      <c r="G70" t="str">
        <f>INDEX(Netzzeiten!$B$6:$B$29,HOUR(B70)+1)</f>
        <v>ST</v>
      </c>
      <c r="H70" s="6">
        <f>IF(F70="GO",Eingaben!$B$11,IF(F70="STANDARD",Eingaben!$B$12,IF(AND(F70="HEAT",ISNUMBER(Eingaben!$B$13)),Eingaben!$B$13,"")))</f>
        <v>28.2744</v>
      </c>
      <c r="I70" s="6">
        <f>INDEX(Netzzeiten!$C$6:$C$29,HOUR(B70)+1)</f>
        <v>5.48</v>
      </c>
      <c r="J70" t="str">
        <f>IF(C70="","FEHLT",IF(NOT(ISNUMBER(C70)),"MESSWERT UNGUELTIG",IF(C70&lt;0,"MESSWERT UNGUELTIG",IF(H70="","TARIFPREIS FEHLT","OK"))))</f>
        <v>FEHLT</v>
      </c>
      <c r="K70" s="7">
        <f>IF(J70&lt;&gt;"OK","",C70*I70/100)</f>
        <v/>
      </c>
    </row>
    <row r="71" spans="1:11">
      <c r="A71" s="14">
        <v>46143</v>
      </c>
      <c r="B71" s="15">
        <v>0.6770833333333334</v>
      </c>
      <c r="C71" s="5">
        <f>IF('96 Werte'!BO6="","",'96 Werte'!BO6)</f>
        <v/>
      </c>
      <c r="D71" t="str">
        <f>IF(IF(Eingaben!$B$21&lt;Eingaben!$B$22,AND(B71&gt;=Eingaben!$B$21,B71&lt;Eingaben!$B$22),OR(B71&gt;=Eingaben!$B$21,B71&lt;Eingaben!$B$22)),"GO",IF(AND(ISNUMBER(Eingaben!$B$23),ISNUMBER(Eingaben!$B$24),IF(Eingaben!$B$23&lt;Eingaben!$B$24,AND(B71&gt;=Eingaben!$B$23,B71&lt;Eingaben!$B$24),OR(B71&gt;=Eingaben!$B$23,B71&lt;Eingaben!$B$24))),"HEAT","STANDARD"))</f>
        <v>STANDARD</v>
      </c>
      <c r="E71" s="9"/>
      <c r="F71" t="str">
        <f>IF(E71="",D71,E71)</f>
        <v>STANDARD</v>
      </c>
      <c r="G71" t="str">
        <f>INDEX(Netzzeiten!$B$6:$B$29,HOUR(B71)+1)</f>
        <v>ST</v>
      </c>
      <c r="H71" s="6">
        <f>IF(F71="GO",Eingaben!$B$11,IF(F71="STANDARD",Eingaben!$B$12,IF(AND(F71="HEAT",ISNUMBER(Eingaben!$B$13)),Eingaben!$B$13,"")))</f>
        <v>28.2744</v>
      </c>
      <c r="I71" s="6">
        <f>INDEX(Netzzeiten!$C$6:$C$29,HOUR(B71)+1)</f>
        <v>5.48</v>
      </c>
      <c r="J71" t="str">
        <f>IF(C71="","FEHLT",IF(NOT(ISNUMBER(C71)),"MESSWERT UNGUELTIG",IF(C71&lt;0,"MESSWERT UNGUELTIG",IF(H71="","TARIFPREIS FEHLT","OK"))))</f>
        <v>FEHLT</v>
      </c>
      <c r="K71" s="7">
        <f>IF(J71&lt;&gt;"OK","",C71*I71/100)</f>
        <v/>
      </c>
    </row>
    <row r="72" spans="1:11">
      <c r="A72" s="14">
        <v>46143</v>
      </c>
      <c r="B72" s="15">
        <v>0.6875</v>
      </c>
      <c r="C72" s="5">
        <f>IF('96 Werte'!BP6="","",'96 Werte'!BP6)</f>
        <v/>
      </c>
      <c r="D72" t="str">
        <f>IF(IF(Eingaben!$B$21&lt;Eingaben!$B$22,AND(B72&gt;=Eingaben!$B$21,B72&lt;Eingaben!$B$22),OR(B72&gt;=Eingaben!$B$21,B72&lt;Eingaben!$B$22)),"GO",IF(AND(ISNUMBER(Eingaben!$B$23),ISNUMBER(Eingaben!$B$24),IF(Eingaben!$B$23&lt;Eingaben!$B$24,AND(B72&gt;=Eingaben!$B$23,B72&lt;Eingaben!$B$24),OR(B72&gt;=Eingaben!$B$23,B72&lt;Eingaben!$B$24))),"HEAT","STANDARD"))</f>
        <v>STANDARD</v>
      </c>
      <c r="E72" s="9"/>
      <c r="F72" t="str">
        <f>IF(E72="",D72,E72)</f>
        <v>STANDARD</v>
      </c>
      <c r="G72" t="str">
        <f>INDEX(Netzzeiten!$B$6:$B$29,HOUR(B72)+1)</f>
        <v>ST</v>
      </c>
      <c r="H72" s="6">
        <f>IF(F72="GO",Eingaben!$B$11,IF(F72="STANDARD",Eingaben!$B$12,IF(AND(F72="HEAT",ISNUMBER(Eingaben!$B$13)),Eingaben!$B$13,"")))</f>
        <v>28.2744</v>
      </c>
      <c r="I72" s="6">
        <f>INDEX(Netzzeiten!$C$6:$C$29,HOUR(B72)+1)</f>
        <v>5.48</v>
      </c>
      <c r="J72" t="str">
        <f>IF(C72="","FEHLT",IF(NOT(ISNUMBER(C72)),"MESSWERT UNGUELTIG",IF(C72&lt;0,"MESSWERT UNGUELTIG",IF(H72="","TARIFPREIS FEHLT","OK"))))</f>
        <v>FEHLT</v>
      </c>
      <c r="K72" s="7">
        <f>IF(J72&lt;&gt;"OK","",C72*I72/100)</f>
        <v/>
      </c>
    </row>
    <row r="73" spans="1:11">
      <c r="A73" s="14">
        <v>46143</v>
      </c>
      <c r="B73" s="15">
        <v>0.6979166666666666</v>
      </c>
      <c r="C73" s="5">
        <f>IF('96 Werte'!BQ6="","",'96 Werte'!BQ6)</f>
        <v/>
      </c>
      <c r="D73" t="str">
        <f>IF(IF(Eingaben!$B$21&lt;Eingaben!$B$22,AND(B73&gt;=Eingaben!$B$21,B73&lt;Eingaben!$B$22),OR(B73&gt;=Eingaben!$B$21,B73&lt;Eingaben!$B$22)),"GO",IF(AND(ISNUMBER(Eingaben!$B$23),ISNUMBER(Eingaben!$B$24),IF(Eingaben!$B$23&lt;Eingaben!$B$24,AND(B73&gt;=Eingaben!$B$23,B73&lt;Eingaben!$B$24),OR(B73&gt;=Eingaben!$B$23,B73&lt;Eingaben!$B$24))),"HEAT","STANDARD"))</f>
        <v>STANDARD</v>
      </c>
      <c r="E73" s="9"/>
      <c r="F73" t="str">
        <f>IF(E73="",D73,E73)</f>
        <v>STANDARD</v>
      </c>
      <c r="G73" t="str">
        <f>INDEX(Netzzeiten!$B$6:$B$29,HOUR(B73)+1)</f>
        <v>ST</v>
      </c>
      <c r="H73" s="6">
        <f>IF(F73="GO",Eingaben!$B$11,IF(F73="STANDARD",Eingaben!$B$12,IF(AND(F73="HEAT",ISNUMBER(Eingaben!$B$13)),Eingaben!$B$13,"")))</f>
        <v>28.2744</v>
      </c>
      <c r="I73" s="6">
        <f>INDEX(Netzzeiten!$C$6:$C$29,HOUR(B73)+1)</f>
        <v>5.48</v>
      </c>
      <c r="J73" t="str">
        <f>IF(C73="","FEHLT",IF(NOT(ISNUMBER(C73)),"MESSWERT UNGUELTIG",IF(C73&lt;0,"MESSWERT UNGUELTIG",IF(H73="","TARIFPREIS FEHLT","OK"))))</f>
        <v>FEHLT</v>
      </c>
      <c r="K73" s="7">
        <f>IF(J73&lt;&gt;"OK","",C73*I73/100)</f>
        <v/>
      </c>
    </row>
    <row r="74" spans="1:11">
      <c r="A74" s="14">
        <v>46143</v>
      </c>
      <c r="B74" s="15">
        <v>0.7083333333333334</v>
      </c>
      <c r="C74" s="5">
        <f>IF('96 Werte'!BR6="","",'96 Werte'!BR6)</f>
        <v/>
      </c>
      <c r="D74" t="str">
        <f>IF(IF(Eingaben!$B$21&lt;Eingaben!$B$22,AND(B74&gt;=Eingaben!$B$21,B74&lt;Eingaben!$B$22),OR(B74&gt;=Eingaben!$B$21,B74&lt;Eingaben!$B$22)),"GO",IF(AND(ISNUMBER(Eingaben!$B$23),ISNUMBER(Eingaben!$B$24),IF(Eingaben!$B$23&lt;Eingaben!$B$24,AND(B74&gt;=Eingaben!$B$23,B74&lt;Eingaben!$B$24),OR(B74&gt;=Eingaben!$B$23,B74&lt;Eingaben!$B$24))),"HEAT","STANDARD"))</f>
        <v>STANDARD</v>
      </c>
      <c r="E74" s="9"/>
      <c r="F74" t="str">
        <f>IF(E74="",D74,E74)</f>
        <v>STANDARD</v>
      </c>
      <c r="G74" t="str">
        <f>INDEX(Netzzeiten!$B$6:$B$29,HOUR(B74)+1)</f>
        <v>HT</v>
      </c>
      <c r="H74" s="6">
        <f>IF(F74="GO",Eingaben!$B$11,IF(F74="STANDARD",Eingaben!$B$12,IF(AND(F74="HEAT",ISNUMBER(Eingaben!$B$13)),Eingaben!$B$13,"")))</f>
        <v>28.2744</v>
      </c>
      <c r="I74" s="6">
        <f>INDEX(Netzzeiten!$C$6:$C$29,HOUR(B74)+1)</f>
        <v>10.52</v>
      </c>
      <c r="J74" t="str">
        <f>IF(C74="","FEHLT",IF(NOT(ISNUMBER(C74)),"MESSWERT UNGUELTIG",IF(C74&lt;0,"MESSWERT UNGUELTIG",IF(H74="","TARIFPREIS FEHLT","OK"))))</f>
        <v>FEHLT</v>
      </c>
      <c r="K74" s="7">
        <f>IF(J74&lt;&gt;"OK","",C74*I74/100)</f>
        <v/>
      </c>
    </row>
    <row r="75" spans="1:11">
      <c r="A75" s="14">
        <v>46143</v>
      </c>
      <c r="B75" s="15">
        <v>0.71875</v>
      </c>
      <c r="C75" s="5">
        <f>IF('96 Werte'!BS6="","",'96 Werte'!BS6)</f>
        <v/>
      </c>
      <c r="D75" t="str">
        <f>IF(IF(Eingaben!$B$21&lt;Eingaben!$B$22,AND(B75&gt;=Eingaben!$B$21,B75&lt;Eingaben!$B$22),OR(B75&gt;=Eingaben!$B$21,B75&lt;Eingaben!$B$22)),"GO",IF(AND(ISNUMBER(Eingaben!$B$23),ISNUMBER(Eingaben!$B$24),IF(Eingaben!$B$23&lt;Eingaben!$B$24,AND(B75&gt;=Eingaben!$B$23,B75&lt;Eingaben!$B$24),OR(B75&gt;=Eingaben!$B$23,B75&lt;Eingaben!$B$24))),"HEAT","STANDARD"))</f>
        <v>STANDARD</v>
      </c>
      <c r="E75" s="9"/>
      <c r="F75" t="str">
        <f>IF(E75="",D75,E75)</f>
        <v>STANDARD</v>
      </c>
      <c r="G75" t="str">
        <f>INDEX(Netzzeiten!$B$6:$B$29,HOUR(B75)+1)</f>
        <v>HT</v>
      </c>
      <c r="H75" s="6">
        <f>IF(F75="GO",Eingaben!$B$11,IF(F75="STANDARD",Eingaben!$B$12,IF(AND(F75="HEAT",ISNUMBER(Eingaben!$B$13)),Eingaben!$B$13,"")))</f>
        <v>28.2744</v>
      </c>
      <c r="I75" s="6">
        <f>INDEX(Netzzeiten!$C$6:$C$29,HOUR(B75)+1)</f>
        <v>10.52</v>
      </c>
      <c r="J75" t="str">
        <f>IF(C75="","FEHLT",IF(NOT(ISNUMBER(C75)),"MESSWERT UNGUELTIG",IF(C75&lt;0,"MESSWERT UNGUELTIG",IF(H75="","TARIFPREIS FEHLT","OK"))))</f>
        <v>FEHLT</v>
      </c>
      <c r="K75" s="7">
        <f>IF(J75&lt;&gt;"OK","",C75*I75/100)</f>
        <v/>
      </c>
    </row>
    <row r="76" spans="1:11">
      <c r="A76" s="14">
        <v>46143</v>
      </c>
      <c r="B76" s="15">
        <v>0.7291666666666666</v>
      </c>
      <c r="C76" s="5">
        <f>IF('96 Werte'!BT6="","",'96 Werte'!BT6)</f>
        <v/>
      </c>
      <c r="D76" t="str">
        <f>IF(IF(Eingaben!$B$21&lt;Eingaben!$B$22,AND(B76&gt;=Eingaben!$B$21,B76&lt;Eingaben!$B$22),OR(B76&gt;=Eingaben!$B$21,B76&lt;Eingaben!$B$22)),"GO",IF(AND(ISNUMBER(Eingaben!$B$23),ISNUMBER(Eingaben!$B$24),IF(Eingaben!$B$23&lt;Eingaben!$B$24,AND(B76&gt;=Eingaben!$B$23,B76&lt;Eingaben!$B$24),OR(B76&gt;=Eingaben!$B$23,B76&lt;Eingaben!$B$24))),"HEAT","STANDARD"))</f>
        <v>STANDARD</v>
      </c>
      <c r="E76" s="9"/>
      <c r="F76" t="str">
        <f>IF(E76="",D76,E76)</f>
        <v>STANDARD</v>
      </c>
      <c r="G76" t="str">
        <f>INDEX(Netzzeiten!$B$6:$B$29,HOUR(B76)+1)</f>
        <v>HT</v>
      </c>
      <c r="H76" s="6">
        <f>IF(F76="GO",Eingaben!$B$11,IF(F76="STANDARD",Eingaben!$B$12,IF(AND(F76="HEAT",ISNUMBER(Eingaben!$B$13)),Eingaben!$B$13,"")))</f>
        <v>28.2744</v>
      </c>
      <c r="I76" s="6">
        <f>INDEX(Netzzeiten!$C$6:$C$29,HOUR(B76)+1)</f>
        <v>10.52</v>
      </c>
      <c r="J76" t="str">
        <f>IF(C76="","FEHLT",IF(NOT(ISNUMBER(C76)),"MESSWERT UNGUELTIG",IF(C76&lt;0,"MESSWERT UNGUELTIG",IF(H76="","TARIFPREIS FEHLT","OK"))))</f>
        <v>FEHLT</v>
      </c>
      <c r="K76" s="7">
        <f>IF(J76&lt;&gt;"OK","",C76*I76/100)</f>
        <v/>
      </c>
    </row>
    <row r="77" spans="1:11">
      <c r="A77" s="14">
        <v>46143</v>
      </c>
      <c r="B77" s="15">
        <v>0.7395833333333334</v>
      </c>
      <c r="C77" s="5">
        <f>IF('96 Werte'!BU6="","",'96 Werte'!BU6)</f>
        <v/>
      </c>
      <c r="D77" t="str">
        <f>IF(IF(Eingaben!$B$21&lt;Eingaben!$B$22,AND(B77&gt;=Eingaben!$B$21,B77&lt;Eingaben!$B$22),OR(B77&gt;=Eingaben!$B$21,B77&lt;Eingaben!$B$22)),"GO",IF(AND(ISNUMBER(Eingaben!$B$23),ISNUMBER(Eingaben!$B$24),IF(Eingaben!$B$23&lt;Eingaben!$B$24,AND(B77&gt;=Eingaben!$B$23,B77&lt;Eingaben!$B$24),OR(B77&gt;=Eingaben!$B$23,B77&lt;Eingaben!$B$24))),"HEAT","STANDARD"))</f>
        <v>STANDARD</v>
      </c>
      <c r="E77" s="9"/>
      <c r="F77" t="str">
        <f>IF(E77="",D77,E77)</f>
        <v>STANDARD</v>
      </c>
      <c r="G77" t="str">
        <f>INDEX(Netzzeiten!$B$6:$B$29,HOUR(B77)+1)</f>
        <v>HT</v>
      </c>
      <c r="H77" s="6">
        <f>IF(F77="GO",Eingaben!$B$11,IF(F77="STANDARD",Eingaben!$B$12,IF(AND(F77="HEAT",ISNUMBER(Eingaben!$B$13)),Eingaben!$B$13,"")))</f>
        <v>28.2744</v>
      </c>
      <c r="I77" s="6">
        <f>INDEX(Netzzeiten!$C$6:$C$29,HOUR(B77)+1)</f>
        <v>10.52</v>
      </c>
      <c r="J77" t="str">
        <f>IF(C77="","FEHLT",IF(NOT(ISNUMBER(C77)),"MESSWERT UNGUELTIG",IF(C77&lt;0,"MESSWERT UNGUELTIG",IF(H77="","TARIFPREIS FEHLT","OK"))))</f>
        <v>FEHLT</v>
      </c>
      <c r="K77" s="7">
        <f>IF(J77&lt;&gt;"OK","",C77*I77/100)</f>
        <v/>
      </c>
    </row>
    <row r="78" spans="1:11">
      <c r="A78" s="14">
        <v>46143</v>
      </c>
      <c r="B78" s="15">
        <v>0.75</v>
      </c>
      <c r="C78" s="5">
        <f>IF('96 Werte'!BV6="","",'96 Werte'!BV6)</f>
        <v/>
      </c>
      <c r="D78" t="str">
        <f>IF(IF(Eingaben!$B$21&lt;Eingaben!$B$22,AND(B78&gt;=Eingaben!$B$21,B78&lt;Eingaben!$B$22),OR(B78&gt;=Eingaben!$B$21,B78&lt;Eingaben!$B$22)),"GO",IF(AND(ISNUMBER(Eingaben!$B$23),ISNUMBER(Eingaben!$B$24),IF(Eingaben!$B$23&lt;Eingaben!$B$24,AND(B78&gt;=Eingaben!$B$23,B78&lt;Eingaben!$B$24),OR(B78&gt;=Eingaben!$B$23,B78&lt;Eingaben!$B$24))),"HEAT","STANDARD"))</f>
        <v>STANDARD</v>
      </c>
      <c r="E78" s="9"/>
      <c r="F78" t="str">
        <f>IF(E78="",D78,E78)</f>
        <v>STANDARD</v>
      </c>
      <c r="G78" t="str">
        <f>INDEX(Netzzeiten!$B$6:$B$29,HOUR(B78)+1)</f>
        <v>HT</v>
      </c>
      <c r="H78" s="6">
        <f>IF(F78="GO",Eingaben!$B$11,IF(F78="STANDARD",Eingaben!$B$12,IF(AND(F78="HEAT",ISNUMBER(Eingaben!$B$13)),Eingaben!$B$13,"")))</f>
        <v>28.2744</v>
      </c>
      <c r="I78" s="6">
        <f>INDEX(Netzzeiten!$C$6:$C$29,HOUR(B78)+1)</f>
        <v>10.52</v>
      </c>
      <c r="J78" t="str">
        <f>IF(C78="","FEHLT",IF(NOT(ISNUMBER(C78)),"MESSWERT UNGUELTIG",IF(C78&lt;0,"MESSWERT UNGUELTIG",IF(H78="","TARIFPREIS FEHLT","OK"))))</f>
        <v>FEHLT</v>
      </c>
      <c r="K78" s="7">
        <f>IF(J78&lt;&gt;"OK","",C78*I78/100)</f>
        <v/>
      </c>
    </row>
    <row r="79" spans="1:11">
      <c r="A79" s="14">
        <v>46143</v>
      </c>
      <c r="B79" s="15">
        <v>0.7604166666666666</v>
      </c>
      <c r="C79" s="5">
        <f>IF('96 Werte'!BW6="","",'96 Werte'!BW6)</f>
        <v/>
      </c>
      <c r="D79" t="str">
        <f>IF(IF(Eingaben!$B$21&lt;Eingaben!$B$22,AND(B79&gt;=Eingaben!$B$21,B79&lt;Eingaben!$B$22),OR(B79&gt;=Eingaben!$B$21,B79&lt;Eingaben!$B$22)),"GO",IF(AND(ISNUMBER(Eingaben!$B$23),ISNUMBER(Eingaben!$B$24),IF(Eingaben!$B$23&lt;Eingaben!$B$24,AND(B79&gt;=Eingaben!$B$23,B79&lt;Eingaben!$B$24),OR(B79&gt;=Eingaben!$B$23,B79&lt;Eingaben!$B$24))),"HEAT","STANDARD"))</f>
        <v>STANDARD</v>
      </c>
      <c r="E79" s="9"/>
      <c r="F79" t="str">
        <f>IF(E79="",D79,E79)</f>
        <v>STANDARD</v>
      </c>
      <c r="G79" t="str">
        <f>INDEX(Netzzeiten!$B$6:$B$29,HOUR(B79)+1)</f>
        <v>HT</v>
      </c>
      <c r="H79" s="6">
        <f>IF(F79="GO",Eingaben!$B$11,IF(F79="STANDARD",Eingaben!$B$12,IF(AND(F79="HEAT",ISNUMBER(Eingaben!$B$13)),Eingaben!$B$13,"")))</f>
        <v>28.2744</v>
      </c>
      <c r="I79" s="6">
        <f>INDEX(Netzzeiten!$C$6:$C$29,HOUR(B79)+1)</f>
        <v>10.52</v>
      </c>
      <c r="J79" t="str">
        <f>IF(C79="","FEHLT",IF(NOT(ISNUMBER(C79)),"MESSWERT UNGUELTIG",IF(C79&lt;0,"MESSWERT UNGUELTIG",IF(H79="","TARIFPREIS FEHLT","OK"))))</f>
        <v>FEHLT</v>
      </c>
      <c r="K79" s="7">
        <f>IF(J79&lt;&gt;"OK","",C79*I79/100)</f>
        <v/>
      </c>
    </row>
    <row r="80" spans="1:11">
      <c r="A80" s="14">
        <v>46143</v>
      </c>
      <c r="B80" s="15">
        <v>0.7708333333333334</v>
      </c>
      <c r="C80" s="5">
        <f>IF('96 Werte'!BX6="","",'96 Werte'!BX6)</f>
        <v/>
      </c>
      <c r="D80" t="str">
        <f>IF(IF(Eingaben!$B$21&lt;Eingaben!$B$22,AND(B80&gt;=Eingaben!$B$21,B80&lt;Eingaben!$B$22),OR(B80&gt;=Eingaben!$B$21,B80&lt;Eingaben!$B$22)),"GO",IF(AND(ISNUMBER(Eingaben!$B$23),ISNUMBER(Eingaben!$B$24),IF(Eingaben!$B$23&lt;Eingaben!$B$24,AND(B80&gt;=Eingaben!$B$23,B80&lt;Eingaben!$B$24),OR(B80&gt;=Eingaben!$B$23,B80&lt;Eingaben!$B$24))),"HEAT","STANDARD"))</f>
        <v>STANDARD</v>
      </c>
      <c r="E80" s="9"/>
      <c r="F80" t="str">
        <f>IF(E80="",D80,E80)</f>
        <v>STANDARD</v>
      </c>
      <c r="G80" t="str">
        <f>INDEX(Netzzeiten!$B$6:$B$29,HOUR(B80)+1)</f>
        <v>HT</v>
      </c>
      <c r="H80" s="6">
        <f>IF(F80="GO",Eingaben!$B$11,IF(F80="STANDARD",Eingaben!$B$12,IF(AND(F80="HEAT",ISNUMBER(Eingaben!$B$13)),Eingaben!$B$13,"")))</f>
        <v>28.2744</v>
      </c>
      <c r="I80" s="6">
        <f>INDEX(Netzzeiten!$C$6:$C$29,HOUR(B80)+1)</f>
        <v>10.52</v>
      </c>
      <c r="J80" t="str">
        <f>IF(C80="","FEHLT",IF(NOT(ISNUMBER(C80)),"MESSWERT UNGUELTIG",IF(C80&lt;0,"MESSWERT UNGUELTIG",IF(H80="","TARIFPREIS FEHLT","OK"))))</f>
        <v>FEHLT</v>
      </c>
      <c r="K80" s="7">
        <f>IF(J80&lt;&gt;"OK","",C80*I80/100)</f>
        <v/>
      </c>
    </row>
    <row r="81" spans="1:11">
      <c r="A81" s="14">
        <v>46143</v>
      </c>
      <c r="B81" s="15">
        <v>0.78125</v>
      </c>
      <c r="C81" s="5">
        <f>IF('96 Werte'!BY6="","",'96 Werte'!BY6)</f>
        <v/>
      </c>
      <c r="D81" t="str">
        <f>IF(IF(Eingaben!$B$21&lt;Eingaben!$B$22,AND(B81&gt;=Eingaben!$B$21,B81&lt;Eingaben!$B$22),OR(B81&gt;=Eingaben!$B$21,B81&lt;Eingaben!$B$22)),"GO",IF(AND(ISNUMBER(Eingaben!$B$23),ISNUMBER(Eingaben!$B$24),IF(Eingaben!$B$23&lt;Eingaben!$B$24,AND(B81&gt;=Eingaben!$B$23,B81&lt;Eingaben!$B$24),OR(B81&gt;=Eingaben!$B$23,B81&lt;Eingaben!$B$24))),"HEAT","STANDARD"))</f>
        <v>STANDARD</v>
      </c>
      <c r="E81" s="9"/>
      <c r="F81" t="str">
        <f>IF(E81="",D81,E81)</f>
        <v>STANDARD</v>
      </c>
      <c r="G81" t="str">
        <f>INDEX(Netzzeiten!$B$6:$B$29,HOUR(B81)+1)</f>
        <v>HT</v>
      </c>
      <c r="H81" s="6">
        <f>IF(F81="GO",Eingaben!$B$11,IF(F81="STANDARD",Eingaben!$B$12,IF(AND(F81="HEAT",ISNUMBER(Eingaben!$B$13)),Eingaben!$B$13,"")))</f>
        <v>28.2744</v>
      </c>
      <c r="I81" s="6">
        <f>INDEX(Netzzeiten!$C$6:$C$29,HOUR(B81)+1)</f>
        <v>10.52</v>
      </c>
      <c r="J81" t="str">
        <f>IF(C81="","FEHLT",IF(NOT(ISNUMBER(C81)),"MESSWERT UNGUELTIG",IF(C81&lt;0,"MESSWERT UNGUELTIG",IF(H81="","TARIFPREIS FEHLT","OK"))))</f>
        <v>FEHLT</v>
      </c>
      <c r="K81" s="7">
        <f>IF(J81&lt;&gt;"OK","",C81*I81/100)</f>
        <v/>
      </c>
    </row>
    <row r="82" spans="1:11">
      <c r="A82" s="14">
        <v>46143</v>
      </c>
      <c r="B82" s="15">
        <v>0.7916666666666666</v>
      </c>
      <c r="C82" s="5">
        <f>IF('96 Werte'!BZ6="","",'96 Werte'!BZ6)</f>
        <v/>
      </c>
      <c r="D82" t="str">
        <f>IF(IF(Eingaben!$B$21&lt;Eingaben!$B$22,AND(B82&gt;=Eingaben!$B$21,B82&lt;Eingaben!$B$22),OR(B82&gt;=Eingaben!$B$21,B82&lt;Eingaben!$B$22)),"GO",IF(AND(ISNUMBER(Eingaben!$B$23),ISNUMBER(Eingaben!$B$24),IF(Eingaben!$B$23&lt;Eingaben!$B$24,AND(B82&gt;=Eingaben!$B$23,B82&lt;Eingaben!$B$24),OR(B82&gt;=Eingaben!$B$23,B82&lt;Eingaben!$B$24))),"HEAT","STANDARD"))</f>
        <v>STANDARD</v>
      </c>
      <c r="E82" s="9"/>
      <c r="F82" t="str">
        <f>IF(E82="",D82,E82)</f>
        <v>STANDARD</v>
      </c>
      <c r="G82" t="str">
        <f>INDEX(Netzzeiten!$B$6:$B$29,HOUR(B82)+1)</f>
        <v>HT</v>
      </c>
      <c r="H82" s="6">
        <f>IF(F82="GO",Eingaben!$B$11,IF(F82="STANDARD",Eingaben!$B$12,IF(AND(F82="HEAT",ISNUMBER(Eingaben!$B$13)),Eingaben!$B$13,"")))</f>
        <v>28.2744</v>
      </c>
      <c r="I82" s="6">
        <f>INDEX(Netzzeiten!$C$6:$C$29,HOUR(B82)+1)</f>
        <v>10.52</v>
      </c>
      <c r="J82" t="str">
        <f>IF(C82="","FEHLT",IF(NOT(ISNUMBER(C82)),"MESSWERT UNGUELTIG",IF(C82&lt;0,"MESSWERT UNGUELTIG",IF(H82="","TARIFPREIS FEHLT","OK"))))</f>
        <v>FEHLT</v>
      </c>
      <c r="K82" s="7">
        <f>IF(J82&lt;&gt;"OK","",C82*I82/100)</f>
        <v/>
      </c>
    </row>
    <row r="83" spans="1:11">
      <c r="A83" s="14">
        <v>46143</v>
      </c>
      <c r="B83" s="15">
        <v>0.8020833333333334</v>
      </c>
      <c r="C83" s="5">
        <f>IF('96 Werte'!CA6="","",'96 Werte'!CA6)</f>
        <v/>
      </c>
      <c r="D83" t="str">
        <f>IF(IF(Eingaben!$B$21&lt;Eingaben!$B$22,AND(B83&gt;=Eingaben!$B$21,B83&lt;Eingaben!$B$22),OR(B83&gt;=Eingaben!$B$21,B83&lt;Eingaben!$B$22)),"GO",IF(AND(ISNUMBER(Eingaben!$B$23),ISNUMBER(Eingaben!$B$24),IF(Eingaben!$B$23&lt;Eingaben!$B$24,AND(B83&gt;=Eingaben!$B$23,B83&lt;Eingaben!$B$24),OR(B83&gt;=Eingaben!$B$23,B83&lt;Eingaben!$B$24))),"HEAT","STANDARD"))</f>
        <v>STANDARD</v>
      </c>
      <c r="E83" s="9"/>
      <c r="F83" t="str">
        <f>IF(E83="",D83,E83)</f>
        <v>STANDARD</v>
      </c>
      <c r="G83" t="str">
        <f>INDEX(Netzzeiten!$B$6:$B$29,HOUR(B83)+1)</f>
        <v>HT</v>
      </c>
      <c r="H83" s="6">
        <f>IF(F83="GO",Eingaben!$B$11,IF(F83="STANDARD",Eingaben!$B$12,IF(AND(F83="HEAT",ISNUMBER(Eingaben!$B$13)),Eingaben!$B$13,"")))</f>
        <v>28.2744</v>
      </c>
      <c r="I83" s="6">
        <f>INDEX(Netzzeiten!$C$6:$C$29,HOUR(B83)+1)</f>
        <v>10.52</v>
      </c>
      <c r="J83" t="str">
        <f>IF(C83="","FEHLT",IF(NOT(ISNUMBER(C83)),"MESSWERT UNGUELTIG",IF(C83&lt;0,"MESSWERT UNGUELTIG",IF(H83="","TARIFPREIS FEHLT","OK"))))</f>
        <v>FEHLT</v>
      </c>
      <c r="K83" s="7">
        <f>IF(J83&lt;&gt;"OK","",C83*I83/100)</f>
        <v/>
      </c>
    </row>
    <row r="84" spans="1:11">
      <c r="A84" s="14">
        <v>46143</v>
      </c>
      <c r="B84" s="15">
        <v>0.8125</v>
      </c>
      <c r="C84" s="5">
        <f>IF('96 Werte'!CB6="","",'96 Werte'!CB6)</f>
        <v/>
      </c>
      <c r="D84" t="str">
        <f>IF(IF(Eingaben!$B$21&lt;Eingaben!$B$22,AND(B84&gt;=Eingaben!$B$21,B84&lt;Eingaben!$B$22),OR(B84&gt;=Eingaben!$B$21,B84&lt;Eingaben!$B$22)),"GO",IF(AND(ISNUMBER(Eingaben!$B$23),ISNUMBER(Eingaben!$B$24),IF(Eingaben!$B$23&lt;Eingaben!$B$24,AND(B84&gt;=Eingaben!$B$23,B84&lt;Eingaben!$B$24),OR(B84&gt;=Eingaben!$B$23,B84&lt;Eingaben!$B$24))),"HEAT","STANDARD"))</f>
        <v>STANDARD</v>
      </c>
      <c r="E84" s="9"/>
      <c r="F84" t="str">
        <f>IF(E84="",D84,E84)</f>
        <v>STANDARD</v>
      </c>
      <c r="G84" t="str">
        <f>INDEX(Netzzeiten!$B$6:$B$29,HOUR(B84)+1)</f>
        <v>HT</v>
      </c>
      <c r="H84" s="6">
        <f>IF(F84="GO",Eingaben!$B$11,IF(F84="STANDARD",Eingaben!$B$12,IF(AND(F84="HEAT",ISNUMBER(Eingaben!$B$13)),Eingaben!$B$13,"")))</f>
        <v>28.2744</v>
      </c>
      <c r="I84" s="6">
        <f>INDEX(Netzzeiten!$C$6:$C$29,HOUR(B84)+1)</f>
        <v>10.52</v>
      </c>
      <c r="J84" t="str">
        <f>IF(C84="","FEHLT",IF(NOT(ISNUMBER(C84)),"MESSWERT UNGUELTIG",IF(C84&lt;0,"MESSWERT UNGUELTIG",IF(H84="","TARIFPREIS FEHLT","OK"))))</f>
        <v>FEHLT</v>
      </c>
      <c r="K84" s="7">
        <f>IF(J84&lt;&gt;"OK","",C84*I84/100)</f>
        <v/>
      </c>
    </row>
    <row r="85" spans="1:11">
      <c r="A85" s="14">
        <v>46143</v>
      </c>
      <c r="B85" s="15">
        <v>0.8229166666666666</v>
      </c>
      <c r="C85" s="5">
        <f>IF('96 Werte'!CC6="","",'96 Werte'!CC6)</f>
        <v/>
      </c>
      <c r="D85" t="str">
        <f>IF(IF(Eingaben!$B$21&lt;Eingaben!$B$22,AND(B85&gt;=Eingaben!$B$21,B85&lt;Eingaben!$B$22),OR(B85&gt;=Eingaben!$B$21,B85&lt;Eingaben!$B$22)),"GO",IF(AND(ISNUMBER(Eingaben!$B$23),ISNUMBER(Eingaben!$B$24),IF(Eingaben!$B$23&lt;Eingaben!$B$24,AND(B85&gt;=Eingaben!$B$23,B85&lt;Eingaben!$B$24),OR(B85&gt;=Eingaben!$B$23,B85&lt;Eingaben!$B$24))),"HEAT","STANDARD"))</f>
        <v>STANDARD</v>
      </c>
      <c r="E85" s="9"/>
      <c r="F85" t="str">
        <f>IF(E85="",D85,E85)</f>
        <v>STANDARD</v>
      </c>
      <c r="G85" t="str">
        <f>INDEX(Netzzeiten!$B$6:$B$29,HOUR(B85)+1)</f>
        <v>HT</v>
      </c>
      <c r="H85" s="6">
        <f>IF(F85="GO",Eingaben!$B$11,IF(F85="STANDARD",Eingaben!$B$12,IF(AND(F85="HEAT",ISNUMBER(Eingaben!$B$13)),Eingaben!$B$13,"")))</f>
        <v>28.2744</v>
      </c>
      <c r="I85" s="6">
        <f>INDEX(Netzzeiten!$C$6:$C$29,HOUR(B85)+1)</f>
        <v>10.52</v>
      </c>
      <c r="J85" t="str">
        <f>IF(C85="","FEHLT",IF(NOT(ISNUMBER(C85)),"MESSWERT UNGUELTIG",IF(C85&lt;0,"MESSWERT UNGUELTIG",IF(H85="","TARIFPREIS FEHLT","OK"))))</f>
        <v>FEHLT</v>
      </c>
      <c r="K85" s="7">
        <f>IF(J85&lt;&gt;"OK","",C85*I85/100)</f>
        <v/>
      </c>
    </row>
    <row r="86" spans="1:11">
      <c r="A86" s="14">
        <v>46143</v>
      </c>
      <c r="B86" s="15">
        <v>0.8333333333333334</v>
      </c>
      <c r="C86" s="5">
        <f>IF('96 Werte'!CD6="","",'96 Werte'!CD6)</f>
        <v/>
      </c>
      <c r="D86" t="str">
        <f>IF(IF(Eingaben!$B$21&lt;Eingaben!$B$22,AND(B86&gt;=Eingaben!$B$21,B86&lt;Eingaben!$B$22),OR(B86&gt;=Eingaben!$B$21,B86&lt;Eingaben!$B$22)),"GO",IF(AND(ISNUMBER(Eingaben!$B$23),ISNUMBER(Eingaben!$B$24),IF(Eingaben!$B$23&lt;Eingaben!$B$24,AND(B86&gt;=Eingaben!$B$23,B86&lt;Eingaben!$B$24),OR(B86&gt;=Eingaben!$B$23,B86&lt;Eingaben!$B$24))),"HEAT","STANDARD"))</f>
        <v>STANDARD</v>
      </c>
      <c r="E86" s="9"/>
      <c r="F86" t="str">
        <f>IF(E86="",D86,E86)</f>
        <v>STANDARD</v>
      </c>
      <c r="G86" t="str">
        <f>INDEX(Netzzeiten!$B$6:$B$29,HOUR(B86)+1)</f>
        <v>HT</v>
      </c>
      <c r="H86" s="6">
        <f>IF(F86="GO",Eingaben!$B$11,IF(F86="STANDARD",Eingaben!$B$12,IF(AND(F86="HEAT",ISNUMBER(Eingaben!$B$13)),Eingaben!$B$13,"")))</f>
        <v>28.2744</v>
      </c>
      <c r="I86" s="6">
        <f>INDEX(Netzzeiten!$C$6:$C$29,HOUR(B86)+1)</f>
        <v>10.52</v>
      </c>
      <c r="J86" t="str">
        <f>IF(C86="","FEHLT",IF(NOT(ISNUMBER(C86)),"MESSWERT UNGUELTIG",IF(C86&lt;0,"MESSWERT UNGUELTIG",IF(H86="","TARIFPREIS FEHLT","OK"))))</f>
        <v>FEHLT</v>
      </c>
      <c r="K86" s="7">
        <f>IF(J86&lt;&gt;"OK","",C86*I86/100)</f>
        <v/>
      </c>
    </row>
    <row r="87" spans="1:11">
      <c r="A87" s="14">
        <v>46143</v>
      </c>
      <c r="B87" s="15">
        <v>0.84375</v>
      </c>
      <c r="C87" s="5">
        <f>IF('96 Werte'!CE6="","",'96 Werte'!CE6)</f>
        <v/>
      </c>
      <c r="D87" t="str">
        <f>IF(IF(Eingaben!$B$21&lt;Eingaben!$B$22,AND(B87&gt;=Eingaben!$B$21,B87&lt;Eingaben!$B$22),OR(B87&gt;=Eingaben!$B$21,B87&lt;Eingaben!$B$22)),"GO",IF(AND(ISNUMBER(Eingaben!$B$23),ISNUMBER(Eingaben!$B$24),IF(Eingaben!$B$23&lt;Eingaben!$B$24,AND(B87&gt;=Eingaben!$B$23,B87&lt;Eingaben!$B$24),OR(B87&gt;=Eingaben!$B$23,B87&lt;Eingaben!$B$24))),"HEAT","STANDARD"))</f>
        <v>STANDARD</v>
      </c>
      <c r="E87" s="9"/>
      <c r="F87" t="str">
        <f>IF(E87="",D87,E87)</f>
        <v>STANDARD</v>
      </c>
      <c r="G87" t="str">
        <f>INDEX(Netzzeiten!$B$6:$B$29,HOUR(B87)+1)</f>
        <v>HT</v>
      </c>
      <c r="H87" s="6">
        <f>IF(F87="GO",Eingaben!$B$11,IF(F87="STANDARD",Eingaben!$B$12,IF(AND(F87="HEAT",ISNUMBER(Eingaben!$B$13)),Eingaben!$B$13,"")))</f>
        <v>28.2744</v>
      </c>
      <c r="I87" s="6">
        <f>INDEX(Netzzeiten!$C$6:$C$29,HOUR(B87)+1)</f>
        <v>10.52</v>
      </c>
      <c r="J87" t="str">
        <f>IF(C87="","FEHLT",IF(NOT(ISNUMBER(C87)),"MESSWERT UNGUELTIG",IF(C87&lt;0,"MESSWERT UNGUELTIG",IF(H87="","TARIFPREIS FEHLT","OK"))))</f>
        <v>FEHLT</v>
      </c>
      <c r="K87" s="7">
        <f>IF(J87&lt;&gt;"OK","",C87*I87/100)</f>
        <v/>
      </c>
    </row>
    <row r="88" spans="1:11">
      <c r="A88" s="14">
        <v>46143</v>
      </c>
      <c r="B88" s="15">
        <v>0.8541666666666666</v>
      </c>
      <c r="C88" s="5">
        <f>IF('96 Werte'!CF6="","",'96 Werte'!CF6)</f>
        <v/>
      </c>
      <c r="D88" t="str">
        <f>IF(IF(Eingaben!$B$21&lt;Eingaben!$B$22,AND(B88&gt;=Eingaben!$B$21,B88&lt;Eingaben!$B$22),OR(B88&gt;=Eingaben!$B$21,B88&lt;Eingaben!$B$22)),"GO",IF(AND(ISNUMBER(Eingaben!$B$23),ISNUMBER(Eingaben!$B$24),IF(Eingaben!$B$23&lt;Eingaben!$B$24,AND(B88&gt;=Eingaben!$B$23,B88&lt;Eingaben!$B$24),OR(B88&gt;=Eingaben!$B$23,B88&lt;Eingaben!$B$24))),"HEAT","STANDARD"))</f>
        <v>STANDARD</v>
      </c>
      <c r="E88" s="9"/>
      <c r="F88" t="str">
        <f>IF(E88="",D88,E88)</f>
        <v>STANDARD</v>
      </c>
      <c r="G88" t="str">
        <f>INDEX(Netzzeiten!$B$6:$B$29,HOUR(B88)+1)</f>
        <v>HT</v>
      </c>
      <c r="H88" s="6">
        <f>IF(F88="GO",Eingaben!$B$11,IF(F88="STANDARD",Eingaben!$B$12,IF(AND(F88="HEAT",ISNUMBER(Eingaben!$B$13)),Eingaben!$B$13,"")))</f>
        <v>28.2744</v>
      </c>
      <c r="I88" s="6">
        <f>INDEX(Netzzeiten!$C$6:$C$29,HOUR(B88)+1)</f>
        <v>10.52</v>
      </c>
      <c r="J88" t="str">
        <f>IF(C88="","FEHLT",IF(NOT(ISNUMBER(C88)),"MESSWERT UNGUELTIG",IF(C88&lt;0,"MESSWERT UNGUELTIG",IF(H88="","TARIFPREIS FEHLT","OK"))))</f>
        <v>FEHLT</v>
      </c>
      <c r="K88" s="7">
        <f>IF(J88&lt;&gt;"OK","",C88*I88/100)</f>
        <v/>
      </c>
    </row>
    <row r="89" spans="1:11">
      <c r="A89" s="14">
        <v>46143</v>
      </c>
      <c r="B89" s="15">
        <v>0.8645833333333334</v>
      </c>
      <c r="C89" s="5">
        <f>IF('96 Werte'!CG6="","",'96 Werte'!CG6)</f>
        <v/>
      </c>
      <c r="D89" t="str">
        <f>IF(IF(Eingaben!$B$21&lt;Eingaben!$B$22,AND(B89&gt;=Eingaben!$B$21,B89&lt;Eingaben!$B$22),OR(B89&gt;=Eingaben!$B$21,B89&lt;Eingaben!$B$22)),"GO",IF(AND(ISNUMBER(Eingaben!$B$23),ISNUMBER(Eingaben!$B$24),IF(Eingaben!$B$23&lt;Eingaben!$B$24,AND(B89&gt;=Eingaben!$B$23,B89&lt;Eingaben!$B$24),OR(B89&gt;=Eingaben!$B$23,B89&lt;Eingaben!$B$24))),"HEAT","STANDARD"))</f>
        <v>STANDARD</v>
      </c>
      <c r="E89" s="9"/>
      <c r="F89" t="str">
        <f>IF(E89="",D89,E89)</f>
        <v>STANDARD</v>
      </c>
      <c r="G89" t="str">
        <f>INDEX(Netzzeiten!$B$6:$B$29,HOUR(B89)+1)</f>
        <v>HT</v>
      </c>
      <c r="H89" s="6">
        <f>IF(F89="GO",Eingaben!$B$11,IF(F89="STANDARD",Eingaben!$B$12,IF(AND(F89="HEAT",ISNUMBER(Eingaben!$B$13)),Eingaben!$B$13,"")))</f>
        <v>28.2744</v>
      </c>
      <c r="I89" s="6">
        <f>INDEX(Netzzeiten!$C$6:$C$29,HOUR(B89)+1)</f>
        <v>10.52</v>
      </c>
      <c r="J89" t="str">
        <f>IF(C89="","FEHLT",IF(NOT(ISNUMBER(C89)),"MESSWERT UNGUELTIG",IF(C89&lt;0,"MESSWERT UNGUELTIG",IF(H89="","TARIFPREIS FEHLT","OK"))))</f>
        <v>FEHLT</v>
      </c>
      <c r="K89" s="7">
        <f>IF(J89&lt;&gt;"OK","",C89*I89/100)</f>
        <v/>
      </c>
    </row>
    <row r="90" spans="1:11">
      <c r="A90" s="14">
        <v>46143</v>
      </c>
      <c r="B90" s="15">
        <v>0.875</v>
      </c>
      <c r="C90" s="5">
        <f>IF('96 Werte'!CH6="","",'96 Werte'!CH6)</f>
        <v/>
      </c>
      <c r="D90" t="str">
        <f>IF(IF(Eingaben!$B$21&lt;Eingaben!$B$22,AND(B90&gt;=Eingaben!$B$21,B90&lt;Eingaben!$B$22),OR(B90&gt;=Eingaben!$B$21,B90&lt;Eingaben!$B$22)),"GO",IF(AND(ISNUMBER(Eingaben!$B$23),ISNUMBER(Eingaben!$B$24),IF(Eingaben!$B$23&lt;Eingaben!$B$24,AND(B90&gt;=Eingaben!$B$23,B90&lt;Eingaben!$B$24),OR(B90&gt;=Eingaben!$B$23,B90&lt;Eingaben!$B$24))),"HEAT","STANDARD"))</f>
        <v>STANDARD</v>
      </c>
      <c r="E90" s="9"/>
      <c r="F90" t="str">
        <f>IF(E90="",D90,E90)</f>
        <v>STANDARD</v>
      </c>
      <c r="G90" t="str">
        <f>INDEX(Netzzeiten!$B$6:$B$29,HOUR(B90)+1)</f>
        <v>HT</v>
      </c>
      <c r="H90" s="6">
        <f>IF(F90="GO",Eingaben!$B$11,IF(F90="STANDARD",Eingaben!$B$12,IF(AND(F90="HEAT",ISNUMBER(Eingaben!$B$13)),Eingaben!$B$13,"")))</f>
        <v>28.2744</v>
      </c>
      <c r="I90" s="6">
        <f>INDEX(Netzzeiten!$C$6:$C$29,HOUR(B90)+1)</f>
        <v>10.52</v>
      </c>
      <c r="J90" t="str">
        <f>IF(C90="","FEHLT",IF(NOT(ISNUMBER(C90)),"MESSWERT UNGUELTIG",IF(C90&lt;0,"MESSWERT UNGUELTIG",IF(H90="","TARIFPREIS FEHLT","OK"))))</f>
        <v>FEHLT</v>
      </c>
      <c r="K90" s="7">
        <f>IF(J90&lt;&gt;"OK","",C90*I90/100)</f>
        <v/>
      </c>
    </row>
    <row r="91" spans="1:11">
      <c r="A91" s="14">
        <v>46143</v>
      </c>
      <c r="B91" s="15">
        <v>0.8854166666666666</v>
      </c>
      <c r="C91" s="5">
        <f>IF('96 Werte'!CI6="","",'96 Werte'!CI6)</f>
        <v/>
      </c>
      <c r="D91" t="str">
        <f>IF(IF(Eingaben!$B$21&lt;Eingaben!$B$22,AND(B91&gt;=Eingaben!$B$21,B91&lt;Eingaben!$B$22),OR(B91&gt;=Eingaben!$B$21,B91&lt;Eingaben!$B$22)),"GO",IF(AND(ISNUMBER(Eingaben!$B$23),ISNUMBER(Eingaben!$B$24),IF(Eingaben!$B$23&lt;Eingaben!$B$24,AND(B91&gt;=Eingaben!$B$23,B91&lt;Eingaben!$B$24),OR(B91&gt;=Eingaben!$B$23,B91&lt;Eingaben!$B$24))),"HEAT","STANDARD"))</f>
        <v>STANDARD</v>
      </c>
      <c r="E91" s="9"/>
      <c r="F91" t="str">
        <f>IF(E91="",D91,E91)</f>
        <v>STANDARD</v>
      </c>
      <c r="G91" t="str">
        <f>INDEX(Netzzeiten!$B$6:$B$29,HOUR(B91)+1)</f>
        <v>HT</v>
      </c>
      <c r="H91" s="6">
        <f>IF(F91="GO",Eingaben!$B$11,IF(F91="STANDARD",Eingaben!$B$12,IF(AND(F91="HEAT",ISNUMBER(Eingaben!$B$13)),Eingaben!$B$13,"")))</f>
        <v>28.2744</v>
      </c>
      <c r="I91" s="6">
        <f>INDEX(Netzzeiten!$C$6:$C$29,HOUR(B91)+1)</f>
        <v>10.52</v>
      </c>
      <c r="J91" t="str">
        <f>IF(C91="","FEHLT",IF(NOT(ISNUMBER(C91)),"MESSWERT UNGUELTIG",IF(C91&lt;0,"MESSWERT UNGUELTIG",IF(H91="","TARIFPREIS FEHLT","OK"))))</f>
        <v>FEHLT</v>
      </c>
      <c r="K91" s="7">
        <f>IF(J91&lt;&gt;"OK","",C91*I91/100)</f>
        <v/>
      </c>
    </row>
    <row r="92" spans="1:11">
      <c r="A92" s="14">
        <v>46143</v>
      </c>
      <c r="B92" s="15">
        <v>0.8958333333333334</v>
      </c>
      <c r="C92" s="5">
        <f>IF('96 Werte'!CJ6="","",'96 Werte'!CJ6)</f>
        <v/>
      </c>
      <c r="D92" t="str">
        <f>IF(IF(Eingaben!$B$21&lt;Eingaben!$B$22,AND(B92&gt;=Eingaben!$B$21,B92&lt;Eingaben!$B$22),OR(B92&gt;=Eingaben!$B$21,B92&lt;Eingaben!$B$22)),"GO",IF(AND(ISNUMBER(Eingaben!$B$23),ISNUMBER(Eingaben!$B$24),IF(Eingaben!$B$23&lt;Eingaben!$B$24,AND(B92&gt;=Eingaben!$B$23,B92&lt;Eingaben!$B$24),OR(B92&gt;=Eingaben!$B$23,B92&lt;Eingaben!$B$24))),"HEAT","STANDARD"))</f>
        <v>STANDARD</v>
      </c>
      <c r="E92" s="9"/>
      <c r="F92" t="str">
        <f>IF(E92="",D92,E92)</f>
        <v>STANDARD</v>
      </c>
      <c r="G92" t="str">
        <f>INDEX(Netzzeiten!$B$6:$B$29,HOUR(B92)+1)</f>
        <v>HT</v>
      </c>
      <c r="H92" s="6">
        <f>IF(F92="GO",Eingaben!$B$11,IF(F92="STANDARD",Eingaben!$B$12,IF(AND(F92="HEAT",ISNUMBER(Eingaben!$B$13)),Eingaben!$B$13,"")))</f>
        <v>28.2744</v>
      </c>
      <c r="I92" s="6">
        <f>INDEX(Netzzeiten!$C$6:$C$29,HOUR(B92)+1)</f>
        <v>10.52</v>
      </c>
      <c r="J92" t="str">
        <f>IF(C92="","FEHLT",IF(NOT(ISNUMBER(C92)),"MESSWERT UNGUELTIG",IF(C92&lt;0,"MESSWERT UNGUELTIG",IF(H92="","TARIFPREIS FEHLT","OK"))))</f>
        <v>FEHLT</v>
      </c>
      <c r="K92" s="7">
        <f>IF(J92&lt;&gt;"OK","",C92*I92/100)</f>
        <v/>
      </c>
    </row>
    <row r="93" spans="1:11">
      <c r="A93" s="14">
        <v>46143</v>
      </c>
      <c r="B93" s="15">
        <v>0.90625</v>
      </c>
      <c r="C93" s="5">
        <f>IF('96 Werte'!CK6="","",'96 Werte'!CK6)</f>
        <v/>
      </c>
      <c r="D93" t="str">
        <f>IF(IF(Eingaben!$B$21&lt;Eingaben!$B$22,AND(B93&gt;=Eingaben!$B$21,B93&lt;Eingaben!$B$22),OR(B93&gt;=Eingaben!$B$21,B93&lt;Eingaben!$B$22)),"GO",IF(AND(ISNUMBER(Eingaben!$B$23),ISNUMBER(Eingaben!$B$24),IF(Eingaben!$B$23&lt;Eingaben!$B$24,AND(B93&gt;=Eingaben!$B$23,B93&lt;Eingaben!$B$24),OR(B93&gt;=Eingaben!$B$23,B93&lt;Eingaben!$B$24))),"HEAT","STANDARD"))</f>
        <v>STANDARD</v>
      </c>
      <c r="E93" s="9"/>
      <c r="F93" t="str">
        <f>IF(E93="",D93,E93)</f>
        <v>STANDARD</v>
      </c>
      <c r="G93" t="str">
        <f>INDEX(Netzzeiten!$B$6:$B$29,HOUR(B93)+1)</f>
        <v>HT</v>
      </c>
      <c r="H93" s="6">
        <f>IF(F93="GO",Eingaben!$B$11,IF(F93="STANDARD",Eingaben!$B$12,IF(AND(F93="HEAT",ISNUMBER(Eingaben!$B$13)),Eingaben!$B$13,"")))</f>
        <v>28.2744</v>
      </c>
      <c r="I93" s="6">
        <f>INDEX(Netzzeiten!$C$6:$C$29,HOUR(B93)+1)</f>
        <v>10.52</v>
      </c>
      <c r="J93" t="str">
        <f>IF(C93="","FEHLT",IF(NOT(ISNUMBER(C93)),"MESSWERT UNGUELTIG",IF(C93&lt;0,"MESSWERT UNGUELTIG",IF(H93="","TARIFPREIS FEHLT","OK"))))</f>
        <v>FEHLT</v>
      </c>
      <c r="K93" s="7">
        <f>IF(J93&lt;&gt;"OK","",C93*I93/100)</f>
        <v/>
      </c>
    </row>
    <row r="94" spans="1:11">
      <c r="A94" s="14">
        <v>46143</v>
      </c>
      <c r="B94" s="15">
        <v>0.9166666666666666</v>
      </c>
      <c r="C94" s="5">
        <f>IF('96 Werte'!CL6="","",'96 Werte'!CL6)</f>
        <v/>
      </c>
      <c r="D94" t="str">
        <f>IF(IF(Eingaben!$B$21&lt;Eingaben!$B$22,AND(B94&gt;=Eingaben!$B$21,B94&lt;Eingaben!$B$22),OR(B94&gt;=Eingaben!$B$21,B94&lt;Eingaben!$B$22)),"GO",IF(AND(ISNUMBER(Eingaben!$B$23),ISNUMBER(Eingaben!$B$24),IF(Eingaben!$B$23&lt;Eingaben!$B$24,AND(B94&gt;=Eingaben!$B$23,B94&lt;Eingaben!$B$24),OR(B94&gt;=Eingaben!$B$23,B94&lt;Eingaben!$B$24))),"HEAT","STANDARD"))</f>
        <v>STANDARD</v>
      </c>
      <c r="E94" s="9"/>
      <c r="F94" t="str">
        <f>IF(E94="",D94,E94)</f>
        <v>STANDARD</v>
      </c>
      <c r="G94" t="str">
        <f>INDEX(Netzzeiten!$B$6:$B$29,HOUR(B94)+1)</f>
        <v>ST</v>
      </c>
      <c r="H94" s="6">
        <f>IF(F94="GO",Eingaben!$B$11,IF(F94="STANDARD",Eingaben!$B$12,IF(AND(F94="HEAT",ISNUMBER(Eingaben!$B$13)),Eingaben!$B$13,"")))</f>
        <v>28.2744</v>
      </c>
      <c r="I94" s="6">
        <f>INDEX(Netzzeiten!$C$6:$C$29,HOUR(B94)+1)</f>
        <v>5.48</v>
      </c>
      <c r="J94" t="str">
        <f>IF(C94="","FEHLT",IF(NOT(ISNUMBER(C94)),"MESSWERT UNGUELTIG",IF(C94&lt;0,"MESSWERT UNGUELTIG",IF(H94="","TARIFPREIS FEHLT","OK"))))</f>
        <v>FEHLT</v>
      </c>
      <c r="K94" s="7">
        <f>IF(J94&lt;&gt;"OK","",C94*I94/100)</f>
        <v/>
      </c>
    </row>
    <row r="95" spans="1:11">
      <c r="A95" s="14">
        <v>46143</v>
      </c>
      <c r="B95" s="15">
        <v>0.9270833333333334</v>
      </c>
      <c r="C95" s="5">
        <f>IF('96 Werte'!CM6="","",'96 Werte'!CM6)</f>
        <v/>
      </c>
      <c r="D95" t="str">
        <f>IF(IF(Eingaben!$B$21&lt;Eingaben!$B$22,AND(B95&gt;=Eingaben!$B$21,B95&lt;Eingaben!$B$22),OR(B95&gt;=Eingaben!$B$21,B95&lt;Eingaben!$B$22)),"GO",IF(AND(ISNUMBER(Eingaben!$B$23),ISNUMBER(Eingaben!$B$24),IF(Eingaben!$B$23&lt;Eingaben!$B$24,AND(B95&gt;=Eingaben!$B$23,B95&lt;Eingaben!$B$24),OR(B95&gt;=Eingaben!$B$23,B95&lt;Eingaben!$B$24))),"HEAT","STANDARD"))</f>
        <v>STANDARD</v>
      </c>
      <c r="E95" s="9"/>
      <c r="F95" t="str">
        <f>IF(E95="",D95,E95)</f>
        <v>STANDARD</v>
      </c>
      <c r="G95" t="str">
        <f>INDEX(Netzzeiten!$B$6:$B$29,HOUR(B95)+1)</f>
        <v>ST</v>
      </c>
      <c r="H95" s="6">
        <f>IF(F95="GO",Eingaben!$B$11,IF(F95="STANDARD",Eingaben!$B$12,IF(AND(F95="HEAT",ISNUMBER(Eingaben!$B$13)),Eingaben!$B$13,"")))</f>
        <v>28.2744</v>
      </c>
      <c r="I95" s="6">
        <f>INDEX(Netzzeiten!$C$6:$C$29,HOUR(B95)+1)</f>
        <v>5.48</v>
      </c>
      <c r="J95" t="str">
        <f>IF(C95="","FEHLT",IF(NOT(ISNUMBER(C95)),"MESSWERT UNGUELTIG",IF(C95&lt;0,"MESSWERT UNGUELTIG",IF(H95="","TARIFPREIS FEHLT","OK"))))</f>
        <v>FEHLT</v>
      </c>
      <c r="K95" s="7">
        <f>IF(J95&lt;&gt;"OK","",C95*I95/100)</f>
        <v/>
      </c>
    </row>
    <row r="96" spans="1:11">
      <c r="A96" s="14">
        <v>46143</v>
      </c>
      <c r="B96" s="15">
        <v>0.9375</v>
      </c>
      <c r="C96" s="5">
        <f>IF('96 Werte'!CN6="","",'96 Werte'!CN6)</f>
        <v/>
      </c>
      <c r="D96" t="str">
        <f>IF(IF(Eingaben!$B$21&lt;Eingaben!$B$22,AND(B96&gt;=Eingaben!$B$21,B96&lt;Eingaben!$B$22),OR(B96&gt;=Eingaben!$B$21,B96&lt;Eingaben!$B$22)),"GO",IF(AND(ISNUMBER(Eingaben!$B$23),ISNUMBER(Eingaben!$B$24),IF(Eingaben!$B$23&lt;Eingaben!$B$24,AND(B96&gt;=Eingaben!$B$23,B96&lt;Eingaben!$B$24),OR(B96&gt;=Eingaben!$B$23,B96&lt;Eingaben!$B$24))),"HEAT","STANDARD"))</f>
        <v>STANDARD</v>
      </c>
      <c r="E96" s="9"/>
      <c r="F96" t="str">
        <f>IF(E96="",D96,E96)</f>
        <v>STANDARD</v>
      </c>
      <c r="G96" t="str">
        <f>INDEX(Netzzeiten!$B$6:$B$29,HOUR(B96)+1)</f>
        <v>ST</v>
      </c>
      <c r="H96" s="6">
        <f>IF(F96="GO",Eingaben!$B$11,IF(F96="STANDARD",Eingaben!$B$12,IF(AND(F96="HEAT",ISNUMBER(Eingaben!$B$13)),Eingaben!$B$13,"")))</f>
        <v>28.2744</v>
      </c>
      <c r="I96" s="6">
        <f>INDEX(Netzzeiten!$C$6:$C$29,HOUR(B96)+1)</f>
        <v>5.48</v>
      </c>
      <c r="J96" t="str">
        <f>IF(C96="","FEHLT",IF(NOT(ISNUMBER(C96)),"MESSWERT UNGUELTIG",IF(C96&lt;0,"MESSWERT UNGUELTIG",IF(H96="","TARIFPREIS FEHLT","OK"))))</f>
        <v>FEHLT</v>
      </c>
      <c r="K96" s="7">
        <f>IF(J96&lt;&gt;"OK","",C96*I96/100)</f>
        <v/>
      </c>
    </row>
    <row r="97" spans="1:11">
      <c r="A97" s="14">
        <v>46143</v>
      </c>
      <c r="B97" s="15">
        <v>0.9479166666666666</v>
      </c>
      <c r="C97" s="5">
        <f>IF('96 Werte'!CO6="","",'96 Werte'!CO6)</f>
        <v/>
      </c>
      <c r="D97" t="str">
        <f>IF(IF(Eingaben!$B$21&lt;Eingaben!$B$22,AND(B97&gt;=Eingaben!$B$21,B97&lt;Eingaben!$B$22),OR(B97&gt;=Eingaben!$B$21,B97&lt;Eingaben!$B$22)),"GO",IF(AND(ISNUMBER(Eingaben!$B$23),ISNUMBER(Eingaben!$B$24),IF(Eingaben!$B$23&lt;Eingaben!$B$24,AND(B97&gt;=Eingaben!$B$23,B97&lt;Eingaben!$B$24),OR(B97&gt;=Eingaben!$B$23,B97&lt;Eingaben!$B$24))),"HEAT","STANDARD"))</f>
        <v>STANDARD</v>
      </c>
      <c r="E97" s="9"/>
      <c r="F97" t="str">
        <f>IF(E97="",D97,E97)</f>
        <v>STANDARD</v>
      </c>
      <c r="G97" t="str">
        <f>INDEX(Netzzeiten!$B$6:$B$29,HOUR(B97)+1)</f>
        <v>ST</v>
      </c>
      <c r="H97" s="6">
        <f>IF(F97="GO",Eingaben!$B$11,IF(F97="STANDARD",Eingaben!$B$12,IF(AND(F97="HEAT",ISNUMBER(Eingaben!$B$13)),Eingaben!$B$13,"")))</f>
        <v>28.2744</v>
      </c>
      <c r="I97" s="6">
        <f>INDEX(Netzzeiten!$C$6:$C$29,HOUR(B97)+1)</f>
        <v>5.48</v>
      </c>
      <c r="J97" t="str">
        <f>IF(C97="","FEHLT",IF(NOT(ISNUMBER(C97)),"MESSWERT UNGUELTIG",IF(C97&lt;0,"MESSWERT UNGUELTIG",IF(H97="","TARIFPREIS FEHLT","OK"))))</f>
        <v>FEHLT</v>
      </c>
      <c r="K97" s="7">
        <f>IF(J97&lt;&gt;"OK","",C97*I97/100)</f>
        <v/>
      </c>
    </row>
    <row r="98" spans="1:11">
      <c r="A98" s="14">
        <v>46143</v>
      </c>
      <c r="B98" s="15">
        <v>0.9583333333333334</v>
      </c>
      <c r="C98" s="5">
        <f>IF('96 Werte'!CP6="","",'96 Werte'!CP6)</f>
        <v/>
      </c>
      <c r="D98" t="str">
        <f>IF(IF(Eingaben!$B$21&lt;Eingaben!$B$22,AND(B98&gt;=Eingaben!$B$21,B98&lt;Eingaben!$B$22),OR(B98&gt;=Eingaben!$B$21,B98&lt;Eingaben!$B$22)),"GO",IF(AND(ISNUMBER(Eingaben!$B$23),ISNUMBER(Eingaben!$B$24),IF(Eingaben!$B$23&lt;Eingaben!$B$24,AND(B98&gt;=Eingaben!$B$23,B98&lt;Eingaben!$B$24),OR(B98&gt;=Eingaben!$B$23,B98&lt;Eingaben!$B$24))),"HEAT","STANDARD"))</f>
        <v>STANDARD</v>
      </c>
      <c r="E98" s="9"/>
      <c r="F98" t="str">
        <f>IF(E98="",D98,E98)</f>
        <v>STANDARD</v>
      </c>
      <c r="G98" t="str">
        <f>INDEX(Netzzeiten!$B$6:$B$29,HOUR(B98)+1)</f>
        <v>NT</v>
      </c>
      <c r="H98" s="6">
        <f>IF(F98="GO",Eingaben!$B$11,IF(F98="STANDARD",Eingaben!$B$12,IF(AND(F98="HEAT",ISNUMBER(Eingaben!$B$13)),Eingaben!$B$13,"")))</f>
        <v>28.2744</v>
      </c>
      <c r="I98" s="6">
        <f>INDEX(Netzzeiten!$C$6:$C$29,HOUR(B98)+1)</f>
        <v>1.64</v>
      </c>
      <c r="J98" t="str">
        <f>IF(C98="","FEHLT",IF(NOT(ISNUMBER(C98)),"MESSWERT UNGUELTIG",IF(C98&lt;0,"MESSWERT UNGUELTIG",IF(H98="","TARIFPREIS FEHLT","OK"))))</f>
        <v>FEHLT</v>
      </c>
      <c r="K98" s="7">
        <f>IF(J98&lt;&gt;"OK","",C98*I98/100)</f>
        <v/>
      </c>
    </row>
    <row r="99" spans="1:11">
      <c r="A99" s="14">
        <v>46143</v>
      </c>
      <c r="B99" s="15">
        <v>0.96875</v>
      </c>
      <c r="C99" s="5">
        <f>IF('96 Werte'!CQ6="","",'96 Werte'!CQ6)</f>
        <v/>
      </c>
      <c r="D99" t="str">
        <f>IF(IF(Eingaben!$B$21&lt;Eingaben!$B$22,AND(B99&gt;=Eingaben!$B$21,B99&lt;Eingaben!$B$22),OR(B99&gt;=Eingaben!$B$21,B99&lt;Eingaben!$B$22)),"GO",IF(AND(ISNUMBER(Eingaben!$B$23),ISNUMBER(Eingaben!$B$24),IF(Eingaben!$B$23&lt;Eingaben!$B$24,AND(B99&gt;=Eingaben!$B$23,B99&lt;Eingaben!$B$24),OR(B99&gt;=Eingaben!$B$23,B99&lt;Eingaben!$B$24))),"HEAT","STANDARD"))</f>
        <v>STANDARD</v>
      </c>
      <c r="E99" s="9"/>
      <c r="F99" t="str">
        <f>IF(E99="",D99,E99)</f>
        <v>STANDARD</v>
      </c>
      <c r="G99" t="str">
        <f>INDEX(Netzzeiten!$B$6:$B$29,HOUR(B99)+1)</f>
        <v>NT</v>
      </c>
      <c r="H99" s="6">
        <f>IF(F99="GO",Eingaben!$B$11,IF(F99="STANDARD",Eingaben!$B$12,IF(AND(F99="HEAT",ISNUMBER(Eingaben!$B$13)),Eingaben!$B$13,"")))</f>
        <v>28.2744</v>
      </c>
      <c r="I99" s="6">
        <f>INDEX(Netzzeiten!$C$6:$C$29,HOUR(B99)+1)</f>
        <v>1.64</v>
      </c>
      <c r="J99" t="str">
        <f>IF(C99="","FEHLT",IF(NOT(ISNUMBER(C99)),"MESSWERT UNGUELTIG",IF(C99&lt;0,"MESSWERT UNGUELTIG",IF(H99="","TARIFPREIS FEHLT","OK"))))</f>
        <v>FEHLT</v>
      </c>
      <c r="K99" s="7">
        <f>IF(J99&lt;&gt;"OK","",C99*I99/100)</f>
        <v/>
      </c>
    </row>
    <row r="100" spans="1:11">
      <c r="A100" s="14">
        <v>46143</v>
      </c>
      <c r="B100" s="15">
        <v>0.9791666666666666</v>
      </c>
      <c r="C100" s="5">
        <f>IF('96 Werte'!CR6="","",'96 Werte'!CR6)</f>
        <v/>
      </c>
      <c r="D100" t="str">
        <f>IF(IF(Eingaben!$B$21&lt;Eingaben!$B$22,AND(B100&gt;=Eingaben!$B$21,B100&lt;Eingaben!$B$22),OR(B100&gt;=Eingaben!$B$21,B100&lt;Eingaben!$B$22)),"GO",IF(AND(ISNUMBER(Eingaben!$B$23),ISNUMBER(Eingaben!$B$24),IF(Eingaben!$B$23&lt;Eingaben!$B$24,AND(B100&gt;=Eingaben!$B$23,B100&lt;Eingaben!$B$24),OR(B100&gt;=Eingaben!$B$23,B100&lt;Eingaben!$B$24))),"HEAT","STANDARD"))</f>
        <v>STANDARD</v>
      </c>
      <c r="E100" s="9"/>
      <c r="F100" t="str">
        <f>IF(E100="",D100,E100)</f>
        <v>STANDARD</v>
      </c>
      <c r="G100" t="str">
        <f>INDEX(Netzzeiten!$B$6:$B$29,HOUR(B100)+1)</f>
        <v>NT</v>
      </c>
      <c r="H100" s="6">
        <f>IF(F100="GO",Eingaben!$B$11,IF(F100="STANDARD",Eingaben!$B$12,IF(AND(F100="HEAT",ISNUMBER(Eingaben!$B$13)),Eingaben!$B$13,"")))</f>
        <v>28.2744</v>
      </c>
      <c r="I100" s="6">
        <f>INDEX(Netzzeiten!$C$6:$C$29,HOUR(B100)+1)</f>
        <v>1.64</v>
      </c>
      <c r="J100" t="str">
        <f>IF(C100="","FEHLT",IF(NOT(ISNUMBER(C100)),"MESSWERT UNGUELTIG",IF(C100&lt;0,"MESSWERT UNGUELTIG",IF(H100="","TARIFPREIS FEHLT","OK"))))</f>
        <v>FEHLT</v>
      </c>
      <c r="K100" s="7">
        <f>IF(J100&lt;&gt;"OK","",C100*I100/100)</f>
        <v/>
      </c>
    </row>
    <row r="101" spans="1:11">
      <c r="A101" s="14">
        <v>46143</v>
      </c>
      <c r="B101" s="15">
        <v>0.9895833333333334</v>
      </c>
      <c r="C101" s="5">
        <f>IF('96 Werte'!CS6="","",'96 Werte'!CS6)</f>
        <v/>
      </c>
      <c r="D101" t="str">
        <f>IF(IF(Eingaben!$B$21&lt;Eingaben!$B$22,AND(B101&gt;=Eingaben!$B$21,B101&lt;Eingaben!$B$22),OR(B101&gt;=Eingaben!$B$21,B101&lt;Eingaben!$B$22)),"GO",IF(AND(ISNUMBER(Eingaben!$B$23),ISNUMBER(Eingaben!$B$24),IF(Eingaben!$B$23&lt;Eingaben!$B$24,AND(B101&gt;=Eingaben!$B$23,B101&lt;Eingaben!$B$24),OR(B101&gt;=Eingaben!$B$23,B101&lt;Eingaben!$B$24))),"HEAT","STANDARD"))</f>
        <v>STANDARD</v>
      </c>
      <c r="E101" s="9"/>
      <c r="F101" t="str">
        <f>IF(E101="",D101,E101)</f>
        <v>STANDARD</v>
      </c>
      <c r="G101" t="str">
        <f>INDEX(Netzzeiten!$B$6:$B$29,HOUR(B101)+1)</f>
        <v>NT</v>
      </c>
      <c r="H101" s="6">
        <f>IF(F101="GO",Eingaben!$B$11,IF(F101="STANDARD",Eingaben!$B$12,IF(AND(F101="HEAT",ISNUMBER(Eingaben!$B$13)),Eingaben!$B$13,"")))</f>
        <v>28.2744</v>
      </c>
      <c r="I101" s="6">
        <f>INDEX(Netzzeiten!$C$6:$C$29,HOUR(B101)+1)</f>
        <v>1.64</v>
      </c>
      <c r="J101" t="str">
        <f>IF(C101="","FEHLT",IF(NOT(ISNUMBER(C101)),"MESSWERT UNGUELTIG",IF(C101&lt;0,"MESSWERT UNGUELTIG",IF(H101="","TARIFPREIS FEHLT","OK"))))</f>
        <v>FEHLT</v>
      </c>
      <c r="K101" s="7">
        <f>IF(J101&lt;&gt;"OK","",C101*I101/100)</f>
        <v/>
      </c>
    </row>
    <row r="102" spans="1:11">
      <c r="A102" s="14">
        <v>46144</v>
      </c>
      <c r="B102" s="15">
        <v>0</v>
      </c>
      <c r="C102" s="5">
        <f>IF('96 Werte'!B7="","",'96 Werte'!B7)</f>
        <v/>
      </c>
      <c r="D102" t="str">
        <f>IF(IF(Eingaben!$B$21&lt;Eingaben!$B$22,AND(B102&gt;=Eingaben!$B$21,B102&lt;Eingaben!$B$22),OR(B102&gt;=Eingaben!$B$21,B102&lt;Eingaben!$B$22)),"GO",IF(AND(ISNUMBER(Eingaben!$B$23),ISNUMBER(Eingaben!$B$24),IF(Eingaben!$B$23&lt;Eingaben!$B$24,AND(B102&gt;=Eingaben!$B$23,B102&lt;Eingaben!$B$24),OR(B102&gt;=Eingaben!$B$23,B102&lt;Eingaben!$B$24))),"HEAT","STANDARD"))</f>
        <v>GO</v>
      </c>
      <c r="E102" s="9"/>
      <c r="F102" t="str">
        <f>IF(E102="",D102,E102)</f>
        <v>GO</v>
      </c>
      <c r="G102" t="str">
        <f>INDEX(Netzzeiten!$B$6:$B$29,HOUR(B102)+1)</f>
        <v>NT</v>
      </c>
      <c r="H102" s="6">
        <f>IF(F102="GO",Eingaben!$B$11,IF(F102="STANDARD",Eingaben!$B$12,IF(AND(F102="HEAT",ISNUMBER(Eingaben!$B$13)),Eingaben!$B$13,"")))</f>
        <v>15.0654</v>
      </c>
      <c r="I102" s="6">
        <f>INDEX(Netzzeiten!$C$6:$C$29,HOUR(B102)+1)</f>
        <v>1.64</v>
      </c>
      <c r="J102" t="str">
        <f>IF(C102="","FEHLT",IF(NOT(ISNUMBER(C102)),"MESSWERT UNGUELTIG",IF(C102&lt;0,"MESSWERT UNGUELTIG",IF(H102="","TARIFPREIS FEHLT","OK"))))</f>
        <v>FEHLT</v>
      </c>
      <c r="K102" s="7">
        <f>IF(J102&lt;&gt;"OK","",C102*I102/100)</f>
        <v/>
      </c>
    </row>
    <row r="103" spans="1:11">
      <c r="A103" s="14">
        <v>46144</v>
      </c>
      <c r="B103" s="15">
        <v>0.01041666666666667</v>
      </c>
      <c r="C103" s="5">
        <f>IF('96 Werte'!C7="","",'96 Werte'!C7)</f>
        <v/>
      </c>
      <c r="D103" t="str">
        <f>IF(IF(Eingaben!$B$21&lt;Eingaben!$B$22,AND(B103&gt;=Eingaben!$B$21,B103&lt;Eingaben!$B$22),OR(B103&gt;=Eingaben!$B$21,B103&lt;Eingaben!$B$22)),"GO",IF(AND(ISNUMBER(Eingaben!$B$23),ISNUMBER(Eingaben!$B$24),IF(Eingaben!$B$23&lt;Eingaben!$B$24,AND(B103&gt;=Eingaben!$B$23,B103&lt;Eingaben!$B$24),OR(B103&gt;=Eingaben!$B$23,B103&lt;Eingaben!$B$24))),"HEAT","STANDARD"))</f>
        <v>GO</v>
      </c>
      <c r="E103" s="9"/>
      <c r="F103" t="str">
        <f>IF(E103="",D103,E103)</f>
        <v>GO</v>
      </c>
      <c r="G103" t="str">
        <f>INDEX(Netzzeiten!$B$6:$B$29,HOUR(B103)+1)</f>
        <v>NT</v>
      </c>
      <c r="H103" s="6">
        <f>IF(F103="GO",Eingaben!$B$11,IF(F103="STANDARD",Eingaben!$B$12,IF(AND(F103="HEAT",ISNUMBER(Eingaben!$B$13)),Eingaben!$B$13,"")))</f>
        <v>15.0654</v>
      </c>
      <c r="I103" s="6">
        <f>INDEX(Netzzeiten!$C$6:$C$29,HOUR(B103)+1)</f>
        <v>1.64</v>
      </c>
      <c r="J103" t="str">
        <f>IF(C103="","FEHLT",IF(NOT(ISNUMBER(C103)),"MESSWERT UNGUELTIG",IF(C103&lt;0,"MESSWERT UNGUELTIG",IF(H103="","TARIFPREIS FEHLT","OK"))))</f>
        <v>FEHLT</v>
      </c>
      <c r="K103" s="7">
        <f>IF(J103&lt;&gt;"OK","",C103*I103/100)</f>
        <v/>
      </c>
    </row>
    <row r="104" spans="1:11">
      <c r="A104" s="14">
        <v>46144</v>
      </c>
      <c r="B104" s="15">
        <v>0.02083333333333333</v>
      </c>
      <c r="C104" s="5">
        <f>IF('96 Werte'!D7="","",'96 Werte'!D7)</f>
        <v/>
      </c>
      <c r="D104" t="str">
        <f>IF(IF(Eingaben!$B$21&lt;Eingaben!$B$22,AND(B104&gt;=Eingaben!$B$21,B104&lt;Eingaben!$B$22),OR(B104&gt;=Eingaben!$B$21,B104&lt;Eingaben!$B$22)),"GO",IF(AND(ISNUMBER(Eingaben!$B$23),ISNUMBER(Eingaben!$B$24),IF(Eingaben!$B$23&lt;Eingaben!$B$24,AND(B104&gt;=Eingaben!$B$23,B104&lt;Eingaben!$B$24),OR(B104&gt;=Eingaben!$B$23,B104&lt;Eingaben!$B$24))),"HEAT","STANDARD"))</f>
        <v>GO</v>
      </c>
      <c r="E104" s="9"/>
      <c r="F104" t="str">
        <f>IF(E104="",D104,E104)</f>
        <v>GO</v>
      </c>
      <c r="G104" t="str">
        <f>INDEX(Netzzeiten!$B$6:$B$29,HOUR(B104)+1)</f>
        <v>NT</v>
      </c>
      <c r="H104" s="6">
        <f>IF(F104="GO",Eingaben!$B$11,IF(F104="STANDARD",Eingaben!$B$12,IF(AND(F104="HEAT",ISNUMBER(Eingaben!$B$13)),Eingaben!$B$13,"")))</f>
        <v>15.0654</v>
      </c>
      <c r="I104" s="6">
        <f>INDEX(Netzzeiten!$C$6:$C$29,HOUR(B104)+1)</f>
        <v>1.64</v>
      </c>
      <c r="J104" t="str">
        <f>IF(C104="","FEHLT",IF(NOT(ISNUMBER(C104)),"MESSWERT UNGUELTIG",IF(C104&lt;0,"MESSWERT UNGUELTIG",IF(H104="","TARIFPREIS FEHLT","OK"))))</f>
        <v>FEHLT</v>
      </c>
      <c r="K104" s="7">
        <f>IF(J104&lt;&gt;"OK","",C104*I104/100)</f>
        <v/>
      </c>
    </row>
    <row r="105" spans="1:11">
      <c r="A105" s="14">
        <v>46144</v>
      </c>
      <c r="B105" s="15">
        <v>0.03125</v>
      </c>
      <c r="C105" s="5">
        <f>IF('96 Werte'!E7="","",'96 Werte'!E7)</f>
        <v/>
      </c>
      <c r="D105" t="str">
        <f>IF(IF(Eingaben!$B$21&lt;Eingaben!$B$22,AND(B105&gt;=Eingaben!$B$21,B105&lt;Eingaben!$B$22),OR(B105&gt;=Eingaben!$B$21,B105&lt;Eingaben!$B$22)),"GO",IF(AND(ISNUMBER(Eingaben!$B$23),ISNUMBER(Eingaben!$B$24),IF(Eingaben!$B$23&lt;Eingaben!$B$24,AND(B105&gt;=Eingaben!$B$23,B105&lt;Eingaben!$B$24),OR(B105&gt;=Eingaben!$B$23,B105&lt;Eingaben!$B$24))),"HEAT","STANDARD"))</f>
        <v>GO</v>
      </c>
      <c r="E105" s="9"/>
      <c r="F105" t="str">
        <f>IF(E105="",D105,E105)</f>
        <v>GO</v>
      </c>
      <c r="G105" t="str">
        <f>INDEX(Netzzeiten!$B$6:$B$29,HOUR(B105)+1)</f>
        <v>NT</v>
      </c>
      <c r="H105" s="6">
        <f>IF(F105="GO",Eingaben!$B$11,IF(F105="STANDARD",Eingaben!$B$12,IF(AND(F105="HEAT",ISNUMBER(Eingaben!$B$13)),Eingaben!$B$13,"")))</f>
        <v>15.0654</v>
      </c>
      <c r="I105" s="6">
        <f>INDEX(Netzzeiten!$C$6:$C$29,HOUR(B105)+1)</f>
        <v>1.64</v>
      </c>
      <c r="J105" t="str">
        <f>IF(C105="","FEHLT",IF(NOT(ISNUMBER(C105)),"MESSWERT UNGUELTIG",IF(C105&lt;0,"MESSWERT UNGUELTIG",IF(H105="","TARIFPREIS FEHLT","OK"))))</f>
        <v>FEHLT</v>
      </c>
      <c r="K105" s="7">
        <f>IF(J105&lt;&gt;"OK","",C105*I105/100)</f>
        <v/>
      </c>
    </row>
    <row r="106" spans="1:11">
      <c r="A106" s="14">
        <v>46144</v>
      </c>
      <c r="B106" s="15">
        <v>0.04166666666666666</v>
      </c>
      <c r="C106" s="5">
        <f>IF('96 Werte'!F7="","",'96 Werte'!F7)</f>
        <v/>
      </c>
      <c r="D106" t="str">
        <f>IF(IF(Eingaben!$B$21&lt;Eingaben!$B$22,AND(B106&gt;=Eingaben!$B$21,B106&lt;Eingaben!$B$22),OR(B106&gt;=Eingaben!$B$21,B106&lt;Eingaben!$B$22)),"GO",IF(AND(ISNUMBER(Eingaben!$B$23),ISNUMBER(Eingaben!$B$24),IF(Eingaben!$B$23&lt;Eingaben!$B$24,AND(B106&gt;=Eingaben!$B$23,B106&lt;Eingaben!$B$24),OR(B106&gt;=Eingaben!$B$23,B106&lt;Eingaben!$B$24))),"HEAT","STANDARD"))</f>
        <v>GO</v>
      </c>
      <c r="E106" s="9"/>
      <c r="F106" t="str">
        <f>IF(E106="",D106,E106)</f>
        <v>GO</v>
      </c>
      <c r="G106" t="str">
        <f>INDEX(Netzzeiten!$B$6:$B$29,HOUR(B106)+1)</f>
        <v>NT</v>
      </c>
      <c r="H106" s="6">
        <f>IF(F106="GO",Eingaben!$B$11,IF(F106="STANDARD",Eingaben!$B$12,IF(AND(F106="HEAT",ISNUMBER(Eingaben!$B$13)),Eingaben!$B$13,"")))</f>
        <v>15.0654</v>
      </c>
      <c r="I106" s="6">
        <f>INDEX(Netzzeiten!$C$6:$C$29,HOUR(B106)+1)</f>
        <v>1.64</v>
      </c>
      <c r="J106" t="str">
        <f>IF(C106="","FEHLT",IF(NOT(ISNUMBER(C106)),"MESSWERT UNGUELTIG",IF(C106&lt;0,"MESSWERT UNGUELTIG",IF(H106="","TARIFPREIS FEHLT","OK"))))</f>
        <v>FEHLT</v>
      </c>
      <c r="K106" s="7">
        <f>IF(J106&lt;&gt;"OK","",C106*I106/100)</f>
        <v/>
      </c>
    </row>
    <row r="107" spans="1:11">
      <c r="A107" s="14">
        <v>46144</v>
      </c>
      <c r="B107" s="15">
        <v>0.05208333333333334</v>
      </c>
      <c r="C107" s="5">
        <f>IF('96 Werte'!G7="","",'96 Werte'!G7)</f>
        <v/>
      </c>
      <c r="D107" t="str">
        <f>IF(IF(Eingaben!$B$21&lt;Eingaben!$B$22,AND(B107&gt;=Eingaben!$B$21,B107&lt;Eingaben!$B$22),OR(B107&gt;=Eingaben!$B$21,B107&lt;Eingaben!$B$22)),"GO",IF(AND(ISNUMBER(Eingaben!$B$23),ISNUMBER(Eingaben!$B$24),IF(Eingaben!$B$23&lt;Eingaben!$B$24,AND(B107&gt;=Eingaben!$B$23,B107&lt;Eingaben!$B$24),OR(B107&gt;=Eingaben!$B$23,B107&lt;Eingaben!$B$24))),"HEAT","STANDARD"))</f>
        <v>GO</v>
      </c>
      <c r="E107" s="9"/>
      <c r="F107" t="str">
        <f>IF(E107="",D107,E107)</f>
        <v>GO</v>
      </c>
      <c r="G107" t="str">
        <f>INDEX(Netzzeiten!$B$6:$B$29,HOUR(B107)+1)</f>
        <v>NT</v>
      </c>
      <c r="H107" s="6">
        <f>IF(F107="GO",Eingaben!$B$11,IF(F107="STANDARD",Eingaben!$B$12,IF(AND(F107="HEAT",ISNUMBER(Eingaben!$B$13)),Eingaben!$B$13,"")))</f>
        <v>15.0654</v>
      </c>
      <c r="I107" s="6">
        <f>INDEX(Netzzeiten!$C$6:$C$29,HOUR(B107)+1)</f>
        <v>1.64</v>
      </c>
      <c r="J107" t="str">
        <f>IF(C107="","FEHLT",IF(NOT(ISNUMBER(C107)),"MESSWERT UNGUELTIG",IF(C107&lt;0,"MESSWERT UNGUELTIG",IF(H107="","TARIFPREIS FEHLT","OK"))))</f>
        <v>FEHLT</v>
      </c>
      <c r="K107" s="7">
        <f>IF(J107&lt;&gt;"OK","",C107*I107/100)</f>
        <v/>
      </c>
    </row>
    <row r="108" spans="1:11">
      <c r="A108" s="14">
        <v>46144</v>
      </c>
      <c r="B108" s="15">
        <v>0.0625</v>
      </c>
      <c r="C108" s="5">
        <f>IF('96 Werte'!H7="","",'96 Werte'!H7)</f>
        <v/>
      </c>
      <c r="D108" t="str">
        <f>IF(IF(Eingaben!$B$21&lt;Eingaben!$B$22,AND(B108&gt;=Eingaben!$B$21,B108&lt;Eingaben!$B$22),OR(B108&gt;=Eingaben!$B$21,B108&lt;Eingaben!$B$22)),"GO",IF(AND(ISNUMBER(Eingaben!$B$23),ISNUMBER(Eingaben!$B$24),IF(Eingaben!$B$23&lt;Eingaben!$B$24,AND(B108&gt;=Eingaben!$B$23,B108&lt;Eingaben!$B$24),OR(B108&gt;=Eingaben!$B$23,B108&lt;Eingaben!$B$24))),"HEAT","STANDARD"))</f>
        <v>GO</v>
      </c>
      <c r="E108" s="9"/>
      <c r="F108" t="str">
        <f>IF(E108="",D108,E108)</f>
        <v>GO</v>
      </c>
      <c r="G108" t="str">
        <f>INDEX(Netzzeiten!$B$6:$B$29,HOUR(B108)+1)</f>
        <v>NT</v>
      </c>
      <c r="H108" s="6">
        <f>IF(F108="GO",Eingaben!$B$11,IF(F108="STANDARD",Eingaben!$B$12,IF(AND(F108="HEAT",ISNUMBER(Eingaben!$B$13)),Eingaben!$B$13,"")))</f>
        <v>15.0654</v>
      </c>
      <c r="I108" s="6">
        <f>INDEX(Netzzeiten!$C$6:$C$29,HOUR(B108)+1)</f>
        <v>1.64</v>
      </c>
      <c r="J108" t="str">
        <f>IF(C108="","FEHLT",IF(NOT(ISNUMBER(C108)),"MESSWERT UNGUELTIG",IF(C108&lt;0,"MESSWERT UNGUELTIG",IF(H108="","TARIFPREIS FEHLT","OK"))))</f>
        <v>FEHLT</v>
      </c>
      <c r="K108" s="7">
        <f>IF(J108&lt;&gt;"OK","",C108*I108/100)</f>
        <v/>
      </c>
    </row>
    <row r="109" spans="1:11">
      <c r="A109" s="14">
        <v>46144</v>
      </c>
      <c r="B109" s="15">
        <v>0.07291666666666667</v>
      </c>
      <c r="C109" s="5">
        <f>IF('96 Werte'!I7="","",'96 Werte'!I7)</f>
        <v/>
      </c>
      <c r="D109" t="str">
        <f>IF(IF(Eingaben!$B$21&lt;Eingaben!$B$22,AND(B109&gt;=Eingaben!$B$21,B109&lt;Eingaben!$B$22),OR(B109&gt;=Eingaben!$B$21,B109&lt;Eingaben!$B$22)),"GO",IF(AND(ISNUMBER(Eingaben!$B$23),ISNUMBER(Eingaben!$B$24),IF(Eingaben!$B$23&lt;Eingaben!$B$24,AND(B109&gt;=Eingaben!$B$23,B109&lt;Eingaben!$B$24),OR(B109&gt;=Eingaben!$B$23,B109&lt;Eingaben!$B$24))),"HEAT","STANDARD"))</f>
        <v>GO</v>
      </c>
      <c r="E109" s="9"/>
      <c r="F109" t="str">
        <f>IF(E109="",D109,E109)</f>
        <v>GO</v>
      </c>
      <c r="G109" t="str">
        <f>INDEX(Netzzeiten!$B$6:$B$29,HOUR(B109)+1)</f>
        <v>NT</v>
      </c>
      <c r="H109" s="6">
        <f>IF(F109="GO",Eingaben!$B$11,IF(F109="STANDARD",Eingaben!$B$12,IF(AND(F109="HEAT",ISNUMBER(Eingaben!$B$13)),Eingaben!$B$13,"")))</f>
        <v>15.0654</v>
      </c>
      <c r="I109" s="6">
        <f>INDEX(Netzzeiten!$C$6:$C$29,HOUR(B109)+1)</f>
        <v>1.64</v>
      </c>
      <c r="J109" t="str">
        <f>IF(C109="","FEHLT",IF(NOT(ISNUMBER(C109)),"MESSWERT UNGUELTIG",IF(C109&lt;0,"MESSWERT UNGUELTIG",IF(H109="","TARIFPREIS FEHLT","OK"))))</f>
        <v>FEHLT</v>
      </c>
      <c r="K109" s="7">
        <f>IF(J109&lt;&gt;"OK","",C109*I109/100)</f>
        <v/>
      </c>
    </row>
    <row r="110" spans="1:11">
      <c r="A110" s="14">
        <v>46144</v>
      </c>
      <c r="B110" s="15">
        <v>0.08333333333333333</v>
      </c>
      <c r="C110" s="5">
        <f>IF('96 Werte'!J7="","",'96 Werte'!J7)</f>
        <v/>
      </c>
      <c r="D110" t="str">
        <f>IF(IF(Eingaben!$B$21&lt;Eingaben!$B$22,AND(B110&gt;=Eingaben!$B$21,B110&lt;Eingaben!$B$22),OR(B110&gt;=Eingaben!$B$21,B110&lt;Eingaben!$B$22)),"GO",IF(AND(ISNUMBER(Eingaben!$B$23),ISNUMBER(Eingaben!$B$24),IF(Eingaben!$B$23&lt;Eingaben!$B$24,AND(B110&gt;=Eingaben!$B$23,B110&lt;Eingaben!$B$24),OR(B110&gt;=Eingaben!$B$23,B110&lt;Eingaben!$B$24))),"HEAT","STANDARD"))</f>
        <v>GO</v>
      </c>
      <c r="E110" s="9"/>
      <c r="F110" t="str">
        <f>IF(E110="",D110,E110)</f>
        <v>GO</v>
      </c>
      <c r="G110" t="str">
        <f>INDEX(Netzzeiten!$B$6:$B$29,HOUR(B110)+1)</f>
        <v>NT</v>
      </c>
      <c r="H110" s="6">
        <f>IF(F110="GO",Eingaben!$B$11,IF(F110="STANDARD",Eingaben!$B$12,IF(AND(F110="HEAT",ISNUMBER(Eingaben!$B$13)),Eingaben!$B$13,"")))</f>
        <v>15.0654</v>
      </c>
      <c r="I110" s="6">
        <f>INDEX(Netzzeiten!$C$6:$C$29,HOUR(B110)+1)</f>
        <v>1.64</v>
      </c>
      <c r="J110" t="str">
        <f>IF(C110="","FEHLT",IF(NOT(ISNUMBER(C110)),"MESSWERT UNGUELTIG",IF(C110&lt;0,"MESSWERT UNGUELTIG",IF(H110="","TARIFPREIS FEHLT","OK"))))</f>
        <v>FEHLT</v>
      </c>
      <c r="K110" s="7">
        <f>IF(J110&lt;&gt;"OK","",C110*I110/100)</f>
        <v/>
      </c>
    </row>
    <row r="111" spans="1:11">
      <c r="A111" s="14">
        <v>46144</v>
      </c>
      <c r="B111" s="15">
        <v>0.09375</v>
      </c>
      <c r="C111" s="5">
        <f>IF('96 Werte'!K7="","",'96 Werte'!K7)</f>
        <v/>
      </c>
      <c r="D111" t="str">
        <f>IF(IF(Eingaben!$B$21&lt;Eingaben!$B$22,AND(B111&gt;=Eingaben!$B$21,B111&lt;Eingaben!$B$22),OR(B111&gt;=Eingaben!$B$21,B111&lt;Eingaben!$B$22)),"GO",IF(AND(ISNUMBER(Eingaben!$B$23),ISNUMBER(Eingaben!$B$24),IF(Eingaben!$B$23&lt;Eingaben!$B$24,AND(B111&gt;=Eingaben!$B$23,B111&lt;Eingaben!$B$24),OR(B111&gt;=Eingaben!$B$23,B111&lt;Eingaben!$B$24))),"HEAT","STANDARD"))</f>
        <v>GO</v>
      </c>
      <c r="E111" s="9"/>
      <c r="F111" t="str">
        <f>IF(E111="",D111,E111)</f>
        <v>GO</v>
      </c>
      <c r="G111" t="str">
        <f>INDEX(Netzzeiten!$B$6:$B$29,HOUR(B111)+1)</f>
        <v>NT</v>
      </c>
      <c r="H111" s="6">
        <f>IF(F111="GO",Eingaben!$B$11,IF(F111="STANDARD",Eingaben!$B$12,IF(AND(F111="HEAT",ISNUMBER(Eingaben!$B$13)),Eingaben!$B$13,"")))</f>
        <v>15.0654</v>
      </c>
      <c r="I111" s="6">
        <f>INDEX(Netzzeiten!$C$6:$C$29,HOUR(B111)+1)</f>
        <v>1.64</v>
      </c>
      <c r="J111" t="str">
        <f>IF(C111="","FEHLT",IF(NOT(ISNUMBER(C111)),"MESSWERT UNGUELTIG",IF(C111&lt;0,"MESSWERT UNGUELTIG",IF(H111="","TARIFPREIS FEHLT","OK"))))</f>
        <v>FEHLT</v>
      </c>
      <c r="K111" s="7">
        <f>IF(J111&lt;&gt;"OK","",C111*I111/100)</f>
        <v/>
      </c>
    </row>
    <row r="112" spans="1:11">
      <c r="A112" s="14">
        <v>46144</v>
      </c>
      <c r="B112" s="15">
        <v>0.1041666666666667</v>
      </c>
      <c r="C112" s="5">
        <f>IF('96 Werte'!L7="","",'96 Werte'!L7)</f>
        <v/>
      </c>
      <c r="D112" t="str">
        <f>IF(IF(Eingaben!$B$21&lt;Eingaben!$B$22,AND(B112&gt;=Eingaben!$B$21,B112&lt;Eingaben!$B$22),OR(B112&gt;=Eingaben!$B$21,B112&lt;Eingaben!$B$22)),"GO",IF(AND(ISNUMBER(Eingaben!$B$23),ISNUMBER(Eingaben!$B$24),IF(Eingaben!$B$23&lt;Eingaben!$B$24,AND(B112&gt;=Eingaben!$B$23,B112&lt;Eingaben!$B$24),OR(B112&gt;=Eingaben!$B$23,B112&lt;Eingaben!$B$24))),"HEAT","STANDARD"))</f>
        <v>GO</v>
      </c>
      <c r="E112" s="9"/>
      <c r="F112" t="str">
        <f>IF(E112="",D112,E112)</f>
        <v>GO</v>
      </c>
      <c r="G112" t="str">
        <f>INDEX(Netzzeiten!$B$6:$B$29,HOUR(B112)+1)</f>
        <v>NT</v>
      </c>
      <c r="H112" s="6">
        <f>IF(F112="GO",Eingaben!$B$11,IF(F112="STANDARD",Eingaben!$B$12,IF(AND(F112="HEAT",ISNUMBER(Eingaben!$B$13)),Eingaben!$B$13,"")))</f>
        <v>15.0654</v>
      </c>
      <c r="I112" s="6">
        <f>INDEX(Netzzeiten!$C$6:$C$29,HOUR(B112)+1)</f>
        <v>1.64</v>
      </c>
      <c r="J112" t="str">
        <f>IF(C112="","FEHLT",IF(NOT(ISNUMBER(C112)),"MESSWERT UNGUELTIG",IF(C112&lt;0,"MESSWERT UNGUELTIG",IF(H112="","TARIFPREIS FEHLT","OK"))))</f>
        <v>FEHLT</v>
      </c>
      <c r="K112" s="7">
        <f>IF(J112&lt;&gt;"OK","",C112*I112/100)</f>
        <v/>
      </c>
    </row>
    <row r="113" spans="1:11">
      <c r="A113" s="14">
        <v>46144</v>
      </c>
      <c r="B113" s="15">
        <v>0.1145833333333333</v>
      </c>
      <c r="C113" s="5">
        <f>IF('96 Werte'!M7="","",'96 Werte'!M7)</f>
        <v/>
      </c>
      <c r="D113" t="str">
        <f>IF(IF(Eingaben!$B$21&lt;Eingaben!$B$22,AND(B113&gt;=Eingaben!$B$21,B113&lt;Eingaben!$B$22),OR(B113&gt;=Eingaben!$B$21,B113&lt;Eingaben!$B$22)),"GO",IF(AND(ISNUMBER(Eingaben!$B$23),ISNUMBER(Eingaben!$B$24),IF(Eingaben!$B$23&lt;Eingaben!$B$24,AND(B113&gt;=Eingaben!$B$23,B113&lt;Eingaben!$B$24),OR(B113&gt;=Eingaben!$B$23,B113&lt;Eingaben!$B$24))),"HEAT","STANDARD"))</f>
        <v>GO</v>
      </c>
      <c r="E113" s="9"/>
      <c r="F113" t="str">
        <f>IF(E113="",D113,E113)</f>
        <v>GO</v>
      </c>
      <c r="G113" t="str">
        <f>INDEX(Netzzeiten!$B$6:$B$29,HOUR(B113)+1)</f>
        <v>NT</v>
      </c>
      <c r="H113" s="6">
        <f>IF(F113="GO",Eingaben!$B$11,IF(F113="STANDARD",Eingaben!$B$12,IF(AND(F113="HEAT",ISNUMBER(Eingaben!$B$13)),Eingaben!$B$13,"")))</f>
        <v>15.0654</v>
      </c>
      <c r="I113" s="6">
        <f>INDEX(Netzzeiten!$C$6:$C$29,HOUR(B113)+1)</f>
        <v>1.64</v>
      </c>
      <c r="J113" t="str">
        <f>IF(C113="","FEHLT",IF(NOT(ISNUMBER(C113)),"MESSWERT UNGUELTIG",IF(C113&lt;0,"MESSWERT UNGUELTIG",IF(H113="","TARIFPREIS FEHLT","OK"))))</f>
        <v>FEHLT</v>
      </c>
      <c r="K113" s="7">
        <f>IF(J113&lt;&gt;"OK","",C113*I113/100)</f>
        <v/>
      </c>
    </row>
    <row r="114" spans="1:11">
      <c r="A114" s="14">
        <v>46144</v>
      </c>
      <c r="B114" s="15">
        <v>0.125</v>
      </c>
      <c r="C114" s="5">
        <f>IF('96 Werte'!N7="","",'96 Werte'!N7)</f>
        <v/>
      </c>
      <c r="D114" t="str">
        <f>IF(IF(Eingaben!$B$21&lt;Eingaben!$B$22,AND(B114&gt;=Eingaben!$B$21,B114&lt;Eingaben!$B$22),OR(B114&gt;=Eingaben!$B$21,B114&lt;Eingaben!$B$22)),"GO",IF(AND(ISNUMBER(Eingaben!$B$23),ISNUMBER(Eingaben!$B$24),IF(Eingaben!$B$23&lt;Eingaben!$B$24,AND(B114&gt;=Eingaben!$B$23,B114&lt;Eingaben!$B$24),OR(B114&gt;=Eingaben!$B$23,B114&lt;Eingaben!$B$24))),"HEAT","STANDARD"))</f>
        <v>GO</v>
      </c>
      <c r="E114" s="9"/>
      <c r="F114" t="str">
        <f>IF(E114="",D114,E114)</f>
        <v>GO</v>
      </c>
      <c r="G114" t="str">
        <f>INDEX(Netzzeiten!$B$6:$B$29,HOUR(B114)+1)</f>
        <v>NT</v>
      </c>
      <c r="H114" s="6">
        <f>IF(F114="GO",Eingaben!$B$11,IF(F114="STANDARD",Eingaben!$B$12,IF(AND(F114="HEAT",ISNUMBER(Eingaben!$B$13)),Eingaben!$B$13,"")))</f>
        <v>15.0654</v>
      </c>
      <c r="I114" s="6">
        <f>INDEX(Netzzeiten!$C$6:$C$29,HOUR(B114)+1)</f>
        <v>1.64</v>
      </c>
      <c r="J114" t="str">
        <f>IF(C114="","FEHLT",IF(NOT(ISNUMBER(C114)),"MESSWERT UNGUELTIG",IF(C114&lt;0,"MESSWERT UNGUELTIG",IF(H114="","TARIFPREIS FEHLT","OK"))))</f>
        <v>FEHLT</v>
      </c>
      <c r="K114" s="7">
        <f>IF(J114&lt;&gt;"OK","",C114*I114/100)</f>
        <v/>
      </c>
    </row>
    <row r="115" spans="1:11">
      <c r="A115" s="14">
        <v>46144</v>
      </c>
      <c r="B115" s="15">
        <v>0.1354166666666667</v>
      </c>
      <c r="C115" s="5">
        <f>IF('96 Werte'!O7="","",'96 Werte'!O7)</f>
        <v/>
      </c>
      <c r="D115" t="str">
        <f>IF(IF(Eingaben!$B$21&lt;Eingaben!$B$22,AND(B115&gt;=Eingaben!$B$21,B115&lt;Eingaben!$B$22),OR(B115&gt;=Eingaben!$B$21,B115&lt;Eingaben!$B$22)),"GO",IF(AND(ISNUMBER(Eingaben!$B$23),ISNUMBER(Eingaben!$B$24),IF(Eingaben!$B$23&lt;Eingaben!$B$24,AND(B115&gt;=Eingaben!$B$23,B115&lt;Eingaben!$B$24),OR(B115&gt;=Eingaben!$B$23,B115&lt;Eingaben!$B$24))),"HEAT","STANDARD"))</f>
        <v>GO</v>
      </c>
      <c r="E115" s="9"/>
      <c r="F115" t="str">
        <f>IF(E115="",D115,E115)</f>
        <v>GO</v>
      </c>
      <c r="G115" t="str">
        <f>INDEX(Netzzeiten!$B$6:$B$29,HOUR(B115)+1)</f>
        <v>NT</v>
      </c>
      <c r="H115" s="6">
        <f>IF(F115="GO",Eingaben!$B$11,IF(F115="STANDARD",Eingaben!$B$12,IF(AND(F115="HEAT",ISNUMBER(Eingaben!$B$13)),Eingaben!$B$13,"")))</f>
        <v>15.0654</v>
      </c>
      <c r="I115" s="6">
        <f>INDEX(Netzzeiten!$C$6:$C$29,HOUR(B115)+1)</f>
        <v>1.64</v>
      </c>
      <c r="J115" t="str">
        <f>IF(C115="","FEHLT",IF(NOT(ISNUMBER(C115)),"MESSWERT UNGUELTIG",IF(C115&lt;0,"MESSWERT UNGUELTIG",IF(H115="","TARIFPREIS FEHLT","OK"))))</f>
        <v>FEHLT</v>
      </c>
      <c r="K115" s="7">
        <f>IF(J115&lt;&gt;"OK","",C115*I115/100)</f>
        <v/>
      </c>
    </row>
    <row r="116" spans="1:11">
      <c r="A116" s="14">
        <v>46144</v>
      </c>
      <c r="B116" s="15">
        <v>0.1458333333333333</v>
      </c>
      <c r="C116" s="5">
        <f>IF('96 Werte'!P7="","",'96 Werte'!P7)</f>
        <v/>
      </c>
      <c r="D116" t="str">
        <f>IF(IF(Eingaben!$B$21&lt;Eingaben!$B$22,AND(B116&gt;=Eingaben!$B$21,B116&lt;Eingaben!$B$22),OR(B116&gt;=Eingaben!$B$21,B116&lt;Eingaben!$B$22)),"GO",IF(AND(ISNUMBER(Eingaben!$B$23),ISNUMBER(Eingaben!$B$24),IF(Eingaben!$B$23&lt;Eingaben!$B$24,AND(B116&gt;=Eingaben!$B$23,B116&lt;Eingaben!$B$24),OR(B116&gt;=Eingaben!$B$23,B116&lt;Eingaben!$B$24))),"HEAT","STANDARD"))</f>
        <v>GO</v>
      </c>
      <c r="E116" s="9"/>
      <c r="F116" t="str">
        <f>IF(E116="",D116,E116)</f>
        <v>GO</v>
      </c>
      <c r="G116" t="str">
        <f>INDEX(Netzzeiten!$B$6:$B$29,HOUR(B116)+1)</f>
        <v>NT</v>
      </c>
      <c r="H116" s="6">
        <f>IF(F116="GO",Eingaben!$B$11,IF(F116="STANDARD",Eingaben!$B$12,IF(AND(F116="HEAT",ISNUMBER(Eingaben!$B$13)),Eingaben!$B$13,"")))</f>
        <v>15.0654</v>
      </c>
      <c r="I116" s="6">
        <f>INDEX(Netzzeiten!$C$6:$C$29,HOUR(B116)+1)</f>
        <v>1.64</v>
      </c>
      <c r="J116" t="str">
        <f>IF(C116="","FEHLT",IF(NOT(ISNUMBER(C116)),"MESSWERT UNGUELTIG",IF(C116&lt;0,"MESSWERT UNGUELTIG",IF(H116="","TARIFPREIS FEHLT","OK"))))</f>
        <v>FEHLT</v>
      </c>
      <c r="K116" s="7">
        <f>IF(J116&lt;&gt;"OK","",C116*I116/100)</f>
        <v/>
      </c>
    </row>
    <row r="117" spans="1:11">
      <c r="A117" s="14">
        <v>46144</v>
      </c>
      <c r="B117" s="15">
        <v>0.15625</v>
      </c>
      <c r="C117" s="5">
        <f>IF('96 Werte'!Q7="","",'96 Werte'!Q7)</f>
        <v/>
      </c>
      <c r="D117" t="str">
        <f>IF(IF(Eingaben!$B$21&lt;Eingaben!$B$22,AND(B117&gt;=Eingaben!$B$21,B117&lt;Eingaben!$B$22),OR(B117&gt;=Eingaben!$B$21,B117&lt;Eingaben!$B$22)),"GO",IF(AND(ISNUMBER(Eingaben!$B$23),ISNUMBER(Eingaben!$B$24),IF(Eingaben!$B$23&lt;Eingaben!$B$24,AND(B117&gt;=Eingaben!$B$23,B117&lt;Eingaben!$B$24),OR(B117&gt;=Eingaben!$B$23,B117&lt;Eingaben!$B$24))),"HEAT","STANDARD"))</f>
        <v>GO</v>
      </c>
      <c r="E117" s="9"/>
      <c r="F117" t="str">
        <f>IF(E117="",D117,E117)</f>
        <v>GO</v>
      </c>
      <c r="G117" t="str">
        <f>INDEX(Netzzeiten!$B$6:$B$29,HOUR(B117)+1)</f>
        <v>NT</v>
      </c>
      <c r="H117" s="6">
        <f>IF(F117="GO",Eingaben!$B$11,IF(F117="STANDARD",Eingaben!$B$12,IF(AND(F117="HEAT",ISNUMBER(Eingaben!$B$13)),Eingaben!$B$13,"")))</f>
        <v>15.0654</v>
      </c>
      <c r="I117" s="6">
        <f>INDEX(Netzzeiten!$C$6:$C$29,HOUR(B117)+1)</f>
        <v>1.64</v>
      </c>
      <c r="J117" t="str">
        <f>IF(C117="","FEHLT",IF(NOT(ISNUMBER(C117)),"MESSWERT UNGUELTIG",IF(C117&lt;0,"MESSWERT UNGUELTIG",IF(H117="","TARIFPREIS FEHLT","OK"))))</f>
        <v>FEHLT</v>
      </c>
      <c r="K117" s="7">
        <f>IF(J117&lt;&gt;"OK","",C117*I117/100)</f>
        <v/>
      </c>
    </row>
    <row r="118" spans="1:11">
      <c r="A118" s="14">
        <v>46144</v>
      </c>
      <c r="B118" s="15">
        <v>0.1666666666666667</v>
      </c>
      <c r="C118" s="5">
        <f>IF('96 Werte'!R7="","",'96 Werte'!R7)</f>
        <v/>
      </c>
      <c r="D118" t="str">
        <f>IF(IF(Eingaben!$B$21&lt;Eingaben!$B$22,AND(B118&gt;=Eingaben!$B$21,B118&lt;Eingaben!$B$22),OR(B118&gt;=Eingaben!$B$21,B118&lt;Eingaben!$B$22)),"GO",IF(AND(ISNUMBER(Eingaben!$B$23),ISNUMBER(Eingaben!$B$24),IF(Eingaben!$B$23&lt;Eingaben!$B$24,AND(B118&gt;=Eingaben!$B$23,B118&lt;Eingaben!$B$24),OR(B118&gt;=Eingaben!$B$23,B118&lt;Eingaben!$B$24))),"HEAT","STANDARD"))</f>
        <v>GO</v>
      </c>
      <c r="E118" s="9"/>
      <c r="F118" t="str">
        <f>IF(E118="",D118,E118)</f>
        <v>GO</v>
      </c>
      <c r="G118" t="str">
        <f>INDEX(Netzzeiten!$B$6:$B$29,HOUR(B118)+1)</f>
        <v>NT</v>
      </c>
      <c r="H118" s="6">
        <f>IF(F118="GO",Eingaben!$B$11,IF(F118="STANDARD",Eingaben!$B$12,IF(AND(F118="HEAT",ISNUMBER(Eingaben!$B$13)),Eingaben!$B$13,"")))</f>
        <v>15.0654</v>
      </c>
      <c r="I118" s="6">
        <f>INDEX(Netzzeiten!$C$6:$C$29,HOUR(B118)+1)</f>
        <v>1.64</v>
      </c>
      <c r="J118" t="str">
        <f>IF(C118="","FEHLT",IF(NOT(ISNUMBER(C118)),"MESSWERT UNGUELTIG",IF(C118&lt;0,"MESSWERT UNGUELTIG",IF(H118="","TARIFPREIS FEHLT","OK"))))</f>
        <v>FEHLT</v>
      </c>
      <c r="K118" s="7">
        <f>IF(J118&lt;&gt;"OK","",C118*I118/100)</f>
        <v/>
      </c>
    </row>
    <row r="119" spans="1:11">
      <c r="A119" s="14">
        <v>46144</v>
      </c>
      <c r="B119" s="15">
        <v>0.1770833333333333</v>
      </c>
      <c r="C119" s="5">
        <f>IF('96 Werte'!S7="","",'96 Werte'!S7)</f>
        <v/>
      </c>
      <c r="D119" t="str">
        <f>IF(IF(Eingaben!$B$21&lt;Eingaben!$B$22,AND(B119&gt;=Eingaben!$B$21,B119&lt;Eingaben!$B$22),OR(B119&gt;=Eingaben!$B$21,B119&lt;Eingaben!$B$22)),"GO",IF(AND(ISNUMBER(Eingaben!$B$23),ISNUMBER(Eingaben!$B$24),IF(Eingaben!$B$23&lt;Eingaben!$B$24,AND(B119&gt;=Eingaben!$B$23,B119&lt;Eingaben!$B$24),OR(B119&gt;=Eingaben!$B$23,B119&lt;Eingaben!$B$24))),"HEAT","STANDARD"))</f>
        <v>GO</v>
      </c>
      <c r="E119" s="9"/>
      <c r="F119" t="str">
        <f>IF(E119="",D119,E119)</f>
        <v>GO</v>
      </c>
      <c r="G119" t="str">
        <f>INDEX(Netzzeiten!$B$6:$B$29,HOUR(B119)+1)</f>
        <v>NT</v>
      </c>
      <c r="H119" s="6">
        <f>IF(F119="GO",Eingaben!$B$11,IF(F119="STANDARD",Eingaben!$B$12,IF(AND(F119="HEAT",ISNUMBER(Eingaben!$B$13)),Eingaben!$B$13,"")))</f>
        <v>15.0654</v>
      </c>
      <c r="I119" s="6">
        <f>INDEX(Netzzeiten!$C$6:$C$29,HOUR(B119)+1)</f>
        <v>1.64</v>
      </c>
      <c r="J119" t="str">
        <f>IF(C119="","FEHLT",IF(NOT(ISNUMBER(C119)),"MESSWERT UNGUELTIG",IF(C119&lt;0,"MESSWERT UNGUELTIG",IF(H119="","TARIFPREIS FEHLT","OK"))))</f>
        <v>FEHLT</v>
      </c>
      <c r="K119" s="7">
        <f>IF(J119&lt;&gt;"OK","",C119*I119/100)</f>
        <v/>
      </c>
    </row>
    <row r="120" spans="1:11">
      <c r="A120" s="14">
        <v>46144</v>
      </c>
      <c r="B120" s="15">
        <v>0.1875</v>
      </c>
      <c r="C120" s="5">
        <f>IF('96 Werte'!T7="","",'96 Werte'!T7)</f>
        <v/>
      </c>
      <c r="D120" t="str">
        <f>IF(IF(Eingaben!$B$21&lt;Eingaben!$B$22,AND(B120&gt;=Eingaben!$B$21,B120&lt;Eingaben!$B$22),OR(B120&gt;=Eingaben!$B$21,B120&lt;Eingaben!$B$22)),"GO",IF(AND(ISNUMBER(Eingaben!$B$23),ISNUMBER(Eingaben!$B$24),IF(Eingaben!$B$23&lt;Eingaben!$B$24,AND(B120&gt;=Eingaben!$B$23,B120&lt;Eingaben!$B$24),OR(B120&gt;=Eingaben!$B$23,B120&lt;Eingaben!$B$24))),"HEAT","STANDARD"))</f>
        <v>GO</v>
      </c>
      <c r="E120" s="9"/>
      <c r="F120" t="str">
        <f>IF(E120="",D120,E120)</f>
        <v>GO</v>
      </c>
      <c r="G120" t="str">
        <f>INDEX(Netzzeiten!$B$6:$B$29,HOUR(B120)+1)</f>
        <v>NT</v>
      </c>
      <c r="H120" s="6">
        <f>IF(F120="GO",Eingaben!$B$11,IF(F120="STANDARD",Eingaben!$B$12,IF(AND(F120="HEAT",ISNUMBER(Eingaben!$B$13)),Eingaben!$B$13,"")))</f>
        <v>15.0654</v>
      </c>
      <c r="I120" s="6">
        <f>INDEX(Netzzeiten!$C$6:$C$29,HOUR(B120)+1)</f>
        <v>1.64</v>
      </c>
      <c r="J120" t="str">
        <f>IF(C120="","FEHLT",IF(NOT(ISNUMBER(C120)),"MESSWERT UNGUELTIG",IF(C120&lt;0,"MESSWERT UNGUELTIG",IF(H120="","TARIFPREIS FEHLT","OK"))))</f>
        <v>FEHLT</v>
      </c>
      <c r="K120" s="7">
        <f>IF(J120&lt;&gt;"OK","",C120*I120/100)</f>
        <v/>
      </c>
    </row>
    <row r="121" spans="1:11">
      <c r="A121" s="14">
        <v>46144</v>
      </c>
      <c r="B121" s="15">
        <v>0.1979166666666667</v>
      </c>
      <c r="C121" s="5">
        <f>IF('96 Werte'!U7="","",'96 Werte'!U7)</f>
        <v/>
      </c>
      <c r="D121" t="str">
        <f>IF(IF(Eingaben!$B$21&lt;Eingaben!$B$22,AND(B121&gt;=Eingaben!$B$21,B121&lt;Eingaben!$B$22),OR(B121&gt;=Eingaben!$B$21,B121&lt;Eingaben!$B$22)),"GO",IF(AND(ISNUMBER(Eingaben!$B$23),ISNUMBER(Eingaben!$B$24),IF(Eingaben!$B$23&lt;Eingaben!$B$24,AND(B121&gt;=Eingaben!$B$23,B121&lt;Eingaben!$B$24),OR(B121&gt;=Eingaben!$B$23,B121&lt;Eingaben!$B$24))),"HEAT","STANDARD"))</f>
        <v>GO</v>
      </c>
      <c r="E121" s="9"/>
      <c r="F121" t="str">
        <f>IF(E121="",D121,E121)</f>
        <v>GO</v>
      </c>
      <c r="G121" t="str">
        <f>INDEX(Netzzeiten!$B$6:$B$29,HOUR(B121)+1)</f>
        <v>NT</v>
      </c>
      <c r="H121" s="6">
        <f>IF(F121="GO",Eingaben!$B$11,IF(F121="STANDARD",Eingaben!$B$12,IF(AND(F121="HEAT",ISNUMBER(Eingaben!$B$13)),Eingaben!$B$13,"")))</f>
        <v>15.0654</v>
      </c>
      <c r="I121" s="6">
        <f>INDEX(Netzzeiten!$C$6:$C$29,HOUR(B121)+1)</f>
        <v>1.64</v>
      </c>
      <c r="J121" t="str">
        <f>IF(C121="","FEHLT",IF(NOT(ISNUMBER(C121)),"MESSWERT UNGUELTIG",IF(C121&lt;0,"MESSWERT UNGUELTIG",IF(H121="","TARIFPREIS FEHLT","OK"))))</f>
        <v>FEHLT</v>
      </c>
      <c r="K121" s="7">
        <f>IF(J121&lt;&gt;"OK","",C121*I121/100)</f>
        <v/>
      </c>
    </row>
    <row r="122" spans="1:11">
      <c r="A122" s="14">
        <v>46144</v>
      </c>
      <c r="B122" s="15">
        <v>0.2083333333333333</v>
      </c>
      <c r="C122" s="5">
        <f>IF('96 Werte'!V7="","",'96 Werte'!V7)</f>
        <v/>
      </c>
      <c r="D122" t="str">
        <f>IF(IF(Eingaben!$B$21&lt;Eingaben!$B$22,AND(B122&gt;=Eingaben!$B$21,B122&lt;Eingaben!$B$22),OR(B122&gt;=Eingaben!$B$21,B122&lt;Eingaben!$B$22)),"GO",IF(AND(ISNUMBER(Eingaben!$B$23),ISNUMBER(Eingaben!$B$24),IF(Eingaben!$B$23&lt;Eingaben!$B$24,AND(B122&gt;=Eingaben!$B$23,B122&lt;Eingaben!$B$24),OR(B122&gt;=Eingaben!$B$23,B122&lt;Eingaben!$B$24))),"HEAT","STANDARD"))</f>
        <v>STANDARD</v>
      </c>
      <c r="E122" s="9"/>
      <c r="F122" t="str">
        <f>IF(E122="",D122,E122)</f>
        <v>STANDARD</v>
      </c>
      <c r="G122" t="str">
        <f>INDEX(Netzzeiten!$B$6:$B$29,HOUR(B122)+1)</f>
        <v>NT</v>
      </c>
      <c r="H122" s="6">
        <f>IF(F122="GO",Eingaben!$B$11,IF(F122="STANDARD",Eingaben!$B$12,IF(AND(F122="HEAT",ISNUMBER(Eingaben!$B$13)),Eingaben!$B$13,"")))</f>
        <v>28.2744</v>
      </c>
      <c r="I122" s="6">
        <f>INDEX(Netzzeiten!$C$6:$C$29,HOUR(B122)+1)</f>
        <v>1.64</v>
      </c>
      <c r="J122" t="str">
        <f>IF(C122="","FEHLT",IF(NOT(ISNUMBER(C122)),"MESSWERT UNGUELTIG",IF(C122&lt;0,"MESSWERT UNGUELTIG",IF(H122="","TARIFPREIS FEHLT","OK"))))</f>
        <v>FEHLT</v>
      </c>
      <c r="K122" s="7">
        <f>IF(J122&lt;&gt;"OK","",C122*I122/100)</f>
        <v/>
      </c>
    </row>
    <row r="123" spans="1:11">
      <c r="A123" s="14">
        <v>46144</v>
      </c>
      <c r="B123" s="15">
        <v>0.21875</v>
      </c>
      <c r="C123" s="5">
        <f>IF('96 Werte'!W7="","",'96 Werte'!W7)</f>
        <v/>
      </c>
      <c r="D123" t="str">
        <f>IF(IF(Eingaben!$B$21&lt;Eingaben!$B$22,AND(B123&gt;=Eingaben!$B$21,B123&lt;Eingaben!$B$22),OR(B123&gt;=Eingaben!$B$21,B123&lt;Eingaben!$B$22)),"GO",IF(AND(ISNUMBER(Eingaben!$B$23),ISNUMBER(Eingaben!$B$24),IF(Eingaben!$B$23&lt;Eingaben!$B$24,AND(B123&gt;=Eingaben!$B$23,B123&lt;Eingaben!$B$24),OR(B123&gt;=Eingaben!$B$23,B123&lt;Eingaben!$B$24))),"HEAT","STANDARD"))</f>
        <v>STANDARD</v>
      </c>
      <c r="E123" s="9"/>
      <c r="F123" t="str">
        <f>IF(E123="",D123,E123)</f>
        <v>STANDARD</v>
      </c>
      <c r="G123" t="str">
        <f>INDEX(Netzzeiten!$B$6:$B$29,HOUR(B123)+1)</f>
        <v>NT</v>
      </c>
      <c r="H123" s="6">
        <f>IF(F123="GO",Eingaben!$B$11,IF(F123="STANDARD",Eingaben!$B$12,IF(AND(F123="HEAT",ISNUMBER(Eingaben!$B$13)),Eingaben!$B$13,"")))</f>
        <v>28.2744</v>
      </c>
      <c r="I123" s="6">
        <f>INDEX(Netzzeiten!$C$6:$C$29,HOUR(B123)+1)</f>
        <v>1.64</v>
      </c>
      <c r="J123" t="str">
        <f>IF(C123="","FEHLT",IF(NOT(ISNUMBER(C123)),"MESSWERT UNGUELTIG",IF(C123&lt;0,"MESSWERT UNGUELTIG",IF(H123="","TARIFPREIS FEHLT","OK"))))</f>
        <v>FEHLT</v>
      </c>
      <c r="K123" s="7">
        <f>IF(J123&lt;&gt;"OK","",C123*I123/100)</f>
        <v/>
      </c>
    </row>
    <row r="124" spans="1:11">
      <c r="A124" s="14">
        <v>46144</v>
      </c>
      <c r="B124" s="15">
        <v>0.2291666666666667</v>
      </c>
      <c r="C124" s="5">
        <f>IF('96 Werte'!X7="","",'96 Werte'!X7)</f>
        <v/>
      </c>
      <c r="D124" t="str">
        <f>IF(IF(Eingaben!$B$21&lt;Eingaben!$B$22,AND(B124&gt;=Eingaben!$B$21,B124&lt;Eingaben!$B$22),OR(B124&gt;=Eingaben!$B$21,B124&lt;Eingaben!$B$22)),"GO",IF(AND(ISNUMBER(Eingaben!$B$23),ISNUMBER(Eingaben!$B$24),IF(Eingaben!$B$23&lt;Eingaben!$B$24,AND(B124&gt;=Eingaben!$B$23,B124&lt;Eingaben!$B$24),OR(B124&gt;=Eingaben!$B$23,B124&lt;Eingaben!$B$24))),"HEAT","STANDARD"))</f>
        <v>STANDARD</v>
      </c>
      <c r="E124" s="9"/>
      <c r="F124" t="str">
        <f>IF(E124="",D124,E124)</f>
        <v>STANDARD</v>
      </c>
      <c r="G124" t="str">
        <f>INDEX(Netzzeiten!$B$6:$B$29,HOUR(B124)+1)</f>
        <v>NT</v>
      </c>
      <c r="H124" s="6">
        <f>IF(F124="GO",Eingaben!$B$11,IF(F124="STANDARD",Eingaben!$B$12,IF(AND(F124="HEAT",ISNUMBER(Eingaben!$B$13)),Eingaben!$B$13,"")))</f>
        <v>28.2744</v>
      </c>
      <c r="I124" s="6">
        <f>INDEX(Netzzeiten!$C$6:$C$29,HOUR(B124)+1)</f>
        <v>1.64</v>
      </c>
      <c r="J124" t="str">
        <f>IF(C124="","FEHLT",IF(NOT(ISNUMBER(C124)),"MESSWERT UNGUELTIG",IF(C124&lt;0,"MESSWERT UNGUELTIG",IF(H124="","TARIFPREIS FEHLT","OK"))))</f>
        <v>FEHLT</v>
      </c>
      <c r="K124" s="7">
        <f>IF(J124&lt;&gt;"OK","",C124*I124/100)</f>
        <v/>
      </c>
    </row>
    <row r="125" spans="1:11">
      <c r="A125" s="14">
        <v>46144</v>
      </c>
      <c r="B125" s="15">
        <v>0.2395833333333333</v>
      </c>
      <c r="C125" s="5">
        <f>IF('96 Werte'!Y7="","",'96 Werte'!Y7)</f>
        <v/>
      </c>
      <c r="D125" t="str">
        <f>IF(IF(Eingaben!$B$21&lt;Eingaben!$B$22,AND(B125&gt;=Eingaben!$B$21,B125&lt;Eingaben!$B$22),OR(B125&gt;=Eingaben!$B$21,B125&lt;Eingaben!$B$22)),"GO",IF(AND(ISNUMBER(Eingaben!$B$23),ISNUMBER(Eingaben!$B$24),IF(Eingaben!$B$23&lt;Eingaben!$B$24,AND(B125&gt;=Eingaben!$B$23,B125&lt;Eingaben!$B$24),OR(B125&gt;=Eingaben!$B$23,B125&lt;Eingaben!$B$24))),"HEAT","STANDARD"))</f>
        <v>STANDARD</v>
      </c>
      <c r="E125" s="9"/>
      <c r="F125" t="str">
        <f>IF(E125="",D125,E125)</f>
        <v>STANDARD</v>
      </c>
      <c r="G125" t="str">
        <f>INDEX(Netzzeiten!$B$6:$B$29,HOUR(B125)+1)</f>
        <v>NT</v>
      </c>
      <c r="H125" s="6">
        <f>IF(F125="GO",Eingaben!$B$11,IF(F125="STANDARD",Eingaben!$B$12,IF(AND(F125="HEAT",ISNUMBER(Eingaben!$B$13)),Eingaben!$B$13,"")))</f>
        <v>28.2744</v>
      </c>
      <c r="I125" s="6">
        <f>INDEX(Netzzeiten!$C$6:$C$29,HOUR(B125)+1)</f>
        <v>1.64</v>
      </c>
      <c r="J125" t="str">
        <f>IF(C125="","FEHLT",IF(NOT(ISNUMBER(C125)),"MESSWERT UNGUELTIG",IF(C125&lt;0,"MESSWERT UNGUELTIG",IF(H125="","TARIFPREIS FEHLT","OK"))))</f>
        <v>FEHLT</v>
      </c>
      <c r="K125" s="7">
        <f>IF(J125&lt;&gt;"OK","",C125*I125/100)</f>
        <v/>
      </c>
    </row>
    <row r="126" spans="1:11">
      <c r="A126" s="14">
        <v>46144</v>
      </c>
      <c r="B126" s="15">
        <v>0.25</v>
      </c>
      <c r="C126" s="5">
        <f>IF('96 Werte'!Z7="","",'96 Werte'!Z7)</f>
        <v/>
      </c>
      <c r="D126" t="str">
        <f>IF(IF(Eingaben!$B$21&lt;Eingaben!$B$22,AND(B126&gt;=Eingaben!$B$21,B126&lt;Eingaben!$B$22),OR(B126&gt;=Eingaben!$B$21,B126&lt;Eingaben!$B$22)),"GO",IF(AND(ISNUMBER(Eingaben!$B$23),ISNUMBER(Eingaben!$B$24),IF(Eingaben!$B$23&lt;Eingaben!$B$24,AND(B126&gt;=Eingaben!$B$23,B126&lt;Eingaben!$B$24),OR(B126&gt;=Eingaben!$B$23,B126&lt;Eingaben!$B$24))),"HEAT","STANDARD"))</f>
        <v>STANDARD</v>
      </c>
      <c r="E126" s="9"/>
      <c r="F126" t="str">
        <f>IF(E126="",D126,E126)</f>
        <v>STANDARD</v>
      </c>
      <c r="G126" t="str">
        <f>INDEX(Netzzeiten!$B$6:$B$29,HOUR(B126)+1)</f>
        <v>ST</v>
      </c>
      <c r="H126" s="6">
        <f>IF(F126="GO",Eingaben!$B$11,IF(F126="STANDARD",Eingaben!$B$12,IF(AND(F126="HEAT",ISNUMBER(Eingaben!$B$13)),Eingaben!$B$13,"")))</f>
        <v>28.2744</v>
      </c>
      <c r="I126" s="6">
        <f>INDEX(Netzzeiten!$C$6:$C$29,HOUR(B126)+1)</f>
        <v>5.48</v>
      </c>
      <c r="J126" t="str">
        <f>IF(C126="","FEHLT",IF(NOT(ISNUMBER(C126)),"MESSWERT UNGUELTIG",IF(C126&lt;0,"MESSWERT UNGUELTIG",IF(H126="","TARIFPREIS FEHLT","OK"))))</f>
        <v>FEHLT</v>
      </c>
      <c r="K126" s="7">
        <f>IF(J126&lt;&gt;"OK","",C126*I126/100)</f>
        <v/>
      </c>
    </row>
    <row r="127" spans="1:11">
      <c r="A127" s="14">
        <v>46144</v>
      </c>
      <c r="B127" s="15">
        <v>0.2604166666666667</v>
      </c>
      <c r="C127" s="5">
        <f>IF('96 Werte'!AA7="","",'96 Werte'!AA7)</f>
        <v/>
      </c>
      <c r="D127" t="str">
        <f>IF(IF(Eingaben!$B$21&lt;Eingaben!$B$22,AND(B127&gt;=Eingaben!$B$21,B127&lt;Eingaben!$B$22),OR(B127&gt;=Eingaben!$B$21,B127&lt;Eingaben!$B$22)),"GO",IF(AND(ISNUMBER(Eingaben!$B$23),ISNUMBER(Eingaben!$B$24),IF(Eingaben!$B$23&lt;Eingaben!$B$24,AND(B127&gt;=Eingaben!$B$23,B127&lt;Eingaben!$B$24),OR(B127&gt;=Eingaben!$B$23,B127&lt;Eingaben!$B$24))),"HEAT","STANDARD"))</f>
        <v>STANDARD</v>
      </c>
      <c r="E127" s="9"/>
      <c r="F127" t="str">
        <f>IF(E127="",D127,E127)</f>
        <v>STANDARD</v>
      </c>
      <c r="G127" t="str">
        <f>INDEX(Netzzeiten!$B$6:$B$29,HOUR(B127)+1)</f>
        <v>ST</v>
      </c>
      <c r="H127" s="6">
        <f>IF(F127="GO",Eingaben!$B$11,IF(F127="STANDARD",Eingaben!$B$12,IF(AND(F127="HEAT",ISNUMBER(Eingaben!$B$13)),Eingaben!$B$13,"")))</f>
        <v>28.2744</v>
      </c>
      <c r="I127" s="6">
        <f>INDEX(Netzzeiten!$C$6:$C$29,HOUR(B127)+1)</f>
        <v>5.48</v>
      </c>
      <c r="J127" t="str">
        <f>IF(C127="","FEHLT",IF(NOT(ISNUMBER(C127)),"MESSWERT UNGUELTIG",IF(C127&lt;0,"MESSWERT UNGUELTIG",IF(H127="","TARIFPREIS FEHLT","OK"))))</f>
        <v>FEHLT</v>
      </c>
      <c r="K127" s="7">
        <f>IF(J127&lt;&gt;"OK","",C127*I127/100)</f>
        <v/>
      </c>
    </row>
    <row r="128" spans="1:11">
      <c r="A128" s="14">
        <v>46144</v>
      </c>
      <c r="B128" s="15">
        <v>0.2708333333333333</v>
      </c>
      <c r="C128" s="5">
        <f>IF('96 Werte'!AB7="","",'96 Werte'!AB7)</f>
        <v/>
      </c>
      <c r="D128" t="str">
        <f>IF(IF(Eingaben!$B$21&lt;Eingaben!$B$22,AND(B128&gt;=Eingaben!$B$21,B128&lt;Eingaben!$B$22),OR(B128&gt;=Eingaben!$B$21,B128&lt;Eingaben!$B$22)),"GO",IF(AND(ISNUMBER(Eingaben!$B$23),ISNUMBER(Eingaben!$B$24),IF(Eingaben!$B$23&lt;Eingaben!$B$24,AND(B128&gt;=Eingaben!$B$23,B128&lt;Eingaben!$B$24),OR(B128&gt;=Eingaben!$B$23,B128&lt;Eingaben!$B$24))),"HEAT","STANDARD"))</f>
        <v>STANDARD</v>
      </c>
      <c r="E128" s="9"/>
      <c r="F128" t="str">
        <f>IF(E128="",D128,E128)</f>
        <v>STANDARD</v>
      </c>
      <c r="G128" t="str">
        <f>INDEX(Netzzeiten!$B$6:$B$29,HOUR(B128)+1)</f>
        <v>ST</v>
      </c>
      <c r="H128" s="6">
        <f>IF(F128="GO",Eingaben!$B$11,IF(F128="STANDARD",Eingaben!$B$12,IF(AND(F128="HEAT",ISNUMBER(Eingaben!$B$13)),Eingaben!$B$13,"")))</f>
        <v>28.2744</v>
      </c>
      <c r="I128" s="6">
        <f>INDEX(Netzzeiten!$C$6:$C$29,HOUR(B128)+1)</f>
        <v>5.48</v>
      </c>
      <c r="J128" t="str">
        <f>IF(C128="","FEHLT",IF(NOT(ISNUMBER(C128)),"MESSWERT UNGUELTIG",IF(C128&lt;0,"MESSWERT UNGUELTIG",IF(H128="","TARIFPREIS FEHLT","OK"))))</f>
        <v>FEHLT</v>
      </c>
      <c r="K128" s="7">
        <f>IF(J128&lt;&gt;"OK","",C128*I128/100)</f>
        <v/>
      </c>
    </row>
    <row r="129" spans="1:11">
      <c r="A129" s="14">
        <v>46144</v>
      </c>
      <c r="B129" s="15">
        <v>0.28125</v>
      </c>
      <c r="C129" s="5">
        <f>IF('96 Werte'!AC7="","",'96 Werte'!AC7)</f>
        <v/>
      </c>
      <c r="D129" t="str">
        <f>IF(IF(Eingaben!$B$21&lt;Eingaben!$B$22,AND(B129&gt;=Eingaben!$B$21,B129&lt;Eingaben!$B$22),OR(B129&gt;=Eingaben!$B$21,B129&lt;Eingaben!$B$22)),"GO",IF(AND(ISNUMBER(Eingaben!$B$23),ISNUMBER(Eingaben!$B$24),IF(Eingaben!$B$23&lt;Eingaben!$B$24,AND(B129&gt;=Eingaben!$B$23,B129&lt;Eingaben!$B$24),OR(B129&gt;=Eingaben!$B$23,B129&lt;Eingaben!$B$24))),"HEAT","STANDARD"))</f>
        <v>STANDARD</v>
      </c>
      <c r="E129" s="9"/>
      <c r="F129" t="str">
        <f>IF(E129="",D129,E129)</f>
        <v>STANDARD</v>
      </c>
      <c r="G129" t="str">
        <f>INDEX(Netzzeiten!$B$6:$B$29,HOUR(B129)+1)</f>
        <v>ST</v>
      </c>
      <c r="H129" s="6">
        <f>IF(F129="GO",Eingaben!$B$11,IF(F129="STANDARD",Eingaben!$B$12,IF(AND(F129="HEAT",ISNUMBER(Eingaben!$B$13)),Eingaben!$B$13,"")))</f>
        <v>28.2744</v>
      </c>
      <c r="I129" s="6">
        <f>INDEX(Netzzeiten!$C$6:$C$29,HOUR(B129)+1)</f>
        <v>5.48</v>
      </c>
      <c r="J129" t="str">
        <f>IF(C129="","FEHLT",IF(NOT(ISNUMBER(C129)),"MESSWERT UNGUELTIG",IF(C129&lt;0,"MESSWERT UNGUELTIG",IF(H129="","TARIFPREIS FEHLT","OK"))))</f>
        <v>FEHLT</v>
      </c>
      <c r="K129" s="7">
        <f>IF(J129&lt;&gt;"OK","",C129*I129/100)</f>
        <v/>
      </c>
    </row>
    <row r="130" spans="1:11">
      <c r="A130" s="14">
        <v>46144</v>
      </c>
      <c r="B130" s="15">
        <v>0.2916666666666667</v>
      </c>
      <c r="C130" s="5">
        <f>IF('96 Werte'!AD7="","",'96 Werte'!AD7)</f>
        <v/>
      </c>
      <c r="D130" t="str">
        <f>IF(IF(Eingaben!$B$21&lt;Eingaben!$B$22,AND(B130&gt;=Eingaben!$B$21,B130&lt;Eingaben!$B$22),OR(B130&gt;=Eingaben!$B$21,B130&lt;Eingaben!$B$22)),"GO",IF(AND(ISNUMBER(Eingaben!$B$23),ISNUMBER(Eingaben!$B$24),IF(Eingaben!$B$23&lt;Eingaben!$B$24,AND(B130&gt;=Eingaben!$B$23,B130&lt;Eingaben!$B$24),OR(B130&gt;=Eingaben!$B$23,B130&lt;Eingaben!$B$24))),"HEAT","STANDARD"))</f>
        <v>STANDARD</v>
      </c>
      <c r="E130" s="9"/>
      <c r="F130" t="str">
        <f>IF(E130="",D130,E130)</f>
        <v>STANDARD</v>
      </c>
      <c r="G130" t="str">
        <f>INDEX(Netzzeiten!$B$6:$B$29,HOUR(B130)+1)</f>
        <v>ST</v>
      </c>
      <c r="H130" s="6">
        <f>IF(F130="GO",Eingaben!$B$11,IF(F130="STANDARD",Eingaben!$B$12,IF(AND(F130="HEAT",ISNUMBER(Eingaben!$B$13)),Eingaben!$B$13,"")))</f>
        <v>28.2744</v>
      </c>
      <c r="I130" s="6">
        <f>INDEX(Netzzeiten!$C$6:$C$29,HOUR(B130)+1)</f>
        <v>5.48</v>
      </c>
      <c r="J130" t="str">
        <f>IF(C130="","FEHLT",IF(NOT(ISNUMBER(C130)),"MESSWERT UNGUELTIG",IF(C130&lt;0,"MESSWERT UNGUELTIG",IF(H130="","TARIFPREIS FEHLT","OK"))))</f>
        <v>FEHLT</v>
      </c>
      <c r="K130" s="7">
        <f>IF(J130&lt;&gt;"OK","",C130*I130/100)</f>
        <v/>
      </c>
    </row>
    <row r="131" spans="1:11">
      <c r="A131" s="14">
        <v>46144</v>
      </c>
      <c r="B131" s="15">
        <v>0.3020833333333333</v>
      </c>
      <c r="C131" s="5">
        <f>IF('96 Werte'!AE7="","",'96 Werte'!AE7)</f>
        <v/>
      </c>
      <c r="D131" t="str">
        <f>IF(IF(Eingaben!$B$21&lt;Eingaben!$B$22,AND(B131&gt;=Eingaben!$B$21,B131&lt;Eingaben!$B$22),OR(B131&gt;=Eingaben!$B$21,B131&lt;Eingaben!$B$22)),"GO",IF(AND(ISNUMBER(Eingaben!$B$23),ISNUMBER(Eingaben!$B$24),IF(Eingaben!$B$23&lt;Eingaben!$B$24,AND(B131&gt;=Eingaben!$B$23,B131&lt;Eingaben!$B$24),OR(B131&gt;=Eingaben!$B$23,B131&lt;Eingaben!$B$24))),"HEAT","STANDARD"))</f>
        <v>STANDARD</v>
      </c>
      <c r="E131" s="9"/>
      <c r="F131" t="str">
        <f>IF(E131="",D131,E131)</f>
        <v>STANDARD</v>
      </c>
      <c r="G131" t="str">
        <f>INDEX(Netzzeiten!$B$6:$B$29,HOUR(B131)+1)</f>
        <v>ST</v>
      </c>
      <c r="H131" s="6">
        <f>IF(F131="GO",Eingaben!$B$11,IF(F131="STANDARD",Eingaben!$B$12,IF(AND(F131="HEAT",ISNUMBER(Eingaben!$B$13)),Eingaben!$B$13,"")))</f>
        <v>28.2744</v>
      </c>
      <c r="I131" s="6">
        <f>INDEX(Netzzeiten!$C$6:$C$29,HOUR(B131)+1)</f>
        <v>5.48</v>
      </c>
      <c r="J131" t="str">
        <f>IF(C131="","FEHLT",IF(NOT(ISNUMBER(C131)),"MESSWERT UNGUELTIG",IF(C131&lt;0,"MESSWERT UNGUELTIG",IF(H131="","TARIFPREIS FEHLT","OK"))))</f>
        <v>FEHLT</v>
      </c>
      <c r="K131" s="7">
        <f>IF(J131&lt;&gt;"OK","",C131*I131/100)</f>
        <v/>
      </c>
    </row>
    <row r="132" spans="1:11">
      <c r="A132" s="14">
        <v>46144</v>
      </c>
      <c r="B132" s="15">
        <v>0.3125</v>
      </c>
      <c r="C132" s="5">
        <f>IF('96 Werte'!AF7="","",'96 Werte'!AF7)</f>
        <v/>
      </c>
      <c r="D132" t="str">
        <f>IF(IF(Eingaben!$B$21&lt;Eingaben!$B$22,AND(B132&gt;=Eingaben!$B$21,B132&lt;Eingaben!$B$22),OR(B132&gt;=Eingaben!$B$21,B132&lt;Eingaben!$B$22)),"GO",IF(AND(ISNUMBER(Eingaben!$B$23),ISNUMBER(Eingaben!$B$24),IF(Eingaben!$B$23&lt;Eingaben!$B$24,AND(B132&gt;=Eingaben!$B$23,B132&lt;Eingaben!$B$24),OR(B132&gt;=Eingaben!$B$23,B132&lt;Eingaben!$B$24))),"HEAT","STANDARD"))</f>
        <v>STANDARD</v>
      </c>
      <c r="E132" s="9"/>
      <c r="F132" t="str">
        <f>IF(E132="",D132,E132)</f>
        <v>STANDARD</v>
      </c>
      <c r="G132" t="str">
        <f>INDEX(Netzzeiten!$B$6:$B$29,HOUR(B132)+1)</f>
        <v>ST</v>
      </c>
      <c r="H132" s="6">
        <f>IF(F132="GO",Eingaben!$B$11,IF(F132="STANDARD",Eingaben!$B$12,IF(AND(F132="HEAT",ISNUMBER(Eingaben!$B$13)),Eingaben!$B$13,"")))</f>
        <v>28.2744</v>
      </c>
      <c r="I132" s="6">
        <f>INDEX(Netzzeiten!$C$6:$C$29,HOUR(B132)+1)</f>
        <v>5.48</v>
      </c>
      <c r="J132" t="str">
        <f>IF(C132="","FEHLT",IF(NOT(ISNUMBER(C132)),"MESSWERT UNGUELTIG",IF(C132&lt;0,"MESSWERT UNGUELTIG",IF(H132="","TARIFPREIS FEHLT","OK"))))</f>
        <v>FEHLT</v>
      </c>
      <c r="K132" s="7">
        <f>IF(J132&lt;&gt;"OK","",C132*I132/100)</f>
        <v/>
      </c>
    </row>
    <row r="133" spans="1:11">
      <c r="A133" s="14">
        <v>46144</v>
      </c>
      <c r="B133" s="15">
        <v>0.3229166666666667</v>
      </c>
      <c r="C133" s="5">
        <f>IF('96 Werte'!AG7="","",'96 Werte'!AG7)</f>
        <v/>
      </c>
      <c r="D133" t="str">
        <f>IF(IF(Eingaben!$B$21&lt;Eingaben!$B$22,AND(B133&gt;=Eingaben!$B$21,B133&lt;Eingaben!$B$22),OR(B133&gt;=Eingaben!$B$21,B133&lt;Eingaben!$B$22)),"GO",IF(AND(ISNUMBER(Eingaben!$B$23),ISNUMBER(Eingaben!$B$24),IF(Eingaben!$B$23&lt;Eingaben!$B$24,AND(B133&gt;=Eingaben!$B$23,B133&lt;Eingaben!$B$24),OR(B133&gt;=Eingaben!$B$23,B133&lt;Eingaben!$B$24))),"HEAT","STANDARD"))</f>
        <v>STANDARD</v>
      </c>
      <c r="E133" s="9"/>
      <c r="F133" t="str">
        <f>IF(E133="",D133,E133)</f>
        <v>STANDARD</v>
      </c>
      <c r="G133" t="str">
        <f>INDEX(Netzzeiten!$B$6:$B$29,HOUR(B133)+1)</f>
        <v>ST</v>
      </c>
      <c r="H133" s="6">
        <f>IF(F133="GO",Eingaben!$B$11,IF(F133="STANDARD",Eingaben!$B$12,IF(AND(F133="HEAT",ISNUMBER(Eingaben!$B$13)),Eingaben!$B$13,"")))</f>
        <v>28.2744</v>
      </c>
      <c r="I133" s="6">
        <f>INDEX(Netzzeiten!$C$6:$C$29,HOUR(B133)+1)</f>
        <v>5.48</v>
      </c>
      <c r="J133" t="str">
        <f>IF(C133="","FEHLT",IF(NOT(ISNUMBER(C133)),"MESSWERT UNGUELTIG",IF(C133&lt;0,"MESSWERT UNGUELTIG",IF(H133="","TARIFPREIS FEHLT","OK"))))</f>
        <v>FEHLT</v>
      </c>
      <c r="K133" s="7">
        <f>IF(J133&lt;&gt;"OK","",C133*I133/100)</f>
        <v/>
      </c>
    </row>
    <row r="134" spans="1:11">
      <c r="A134" s="14">
        <v>46144</v>
      </c>
      <c r="B134" s="15">
        <v>0.3333333333333333</v>
      </c>
      <c r="C134" s="5">
        <f>IF('96 Werte'!AH7="","",'96 Werte'!AH7)</f>
        <v/>
      </c>
      <c r="D134" t="str">
        <f>IF(IF(Eingaben!$B$21&lt;Eingaben!$B$22,AND(B134&gt;=Eingaben!$B$21,B134&lt;Eingaben!$B$22),OR(B134&gt;=Eingaben!$B$21,B134&lt;Eingaben!$B$22)),"GO",IF(AND(ISNUMBER(Eingaben!$B$23),ISNUMBER(Eingaben!$B$24),IF(Eingaben!$B$23&lt;Eingaben!$B$24,AND(B134&gt;=Eingaben!$B$23,B134&lt;Eingaben!$B$24),OR(B134&gt;=Eingaben!$B$23,B134&lt;Eingaben!$B$24))),"HEAT","STANDARD"))</f>
        <v>STANDARD</v>
      </c>
      <c r="E134" s="9"/>
      <c r="F134" t="str">
        <f>IF(E134="",D134,E134)</f>
        <v>STANDARD</v>
      </c>
      <c r="G134" t="str">
        <f>INDEX(Netzzeiten!$B$6:$B$29,HOUR(B134)+1)</f>
        <v>ST</v>
      </c>
      <c r="H134" s="6">
        <f>IF(F134="GO",Eingaben!$B$11,IF(F134="STANDARD",Eingaben!$B$12,IF(AND(F134="HEAT",ISNUMBER(Eingaben!$B$13)),Eingaben!$B$13,"")))</f>
        <v>28.2744</v>
      </c>
      <c r="I134" s="6">
        <f>INDEX(Netzzeiten!$C$6:$C$29,HOUR(B134)+1)</f>
        <v>5.48</v>
      </c>
      <c r="J134" t="str">
        <f>IF(C134="","FEHLT",IF(NOT(ISNUMBER(C134)),"MESSWERT UNGUELTIG",IF(C134&lt;0,"MESSWERT UNGUELTIG",IF(H134="","TARIFPREIS FEHLT","OK"))))</f>
        <v>FEHLT</v>
      </c>
      <c r="K134" s="7">
        <f>IF(J134&lt;&gt;"OK","",C134*I134/100)</f>
        <v/>
      </c>
    </row>
    <row r="135" spans="1:11">
      <c r="A135" s="14">
        <v>46144</v>
      </c>
      <c r="B135" s="15">
        <v>0.34375</v>
      </c>
      <c r="C135" s="5">
        <f>IF('96 Werte'!AI7="","",'96 Werte'!AI7)</f>
        <v/>
      </c>
      <c r="D135" t="str">
        <f>IF(IF(Eingaben!$B$21&lt;Eingaben!$B$22,AND(B135&gt;=Eingaben!$B$21,B135&lt;Eingaben!$B$22),OR(B135&gt;=Eingaben!$B$21,B135&lt;Eingaben!$B$22)),"GO",IF(AND(ISNUMBER(Eingaben!$B$23),ISNUMBER(Eingaben!$B$24),IF(Eingaben!$B$23&lt;Eingaben!$B$24,AND(B135&gt;=Eingaben!$B$23,B135&lt;Eingaben!$B$24),OR(B135&gt;=Eingaben!$B$23,B135&lt;Eingaben!$B$24))),"HEAT","STANDARD"))</f>
        <v>STANDARD</v>
      </c>
      <c r="E135" s="9"/>
      <c r="F135" t="str">
        <f>IF(E135="",D135,E135)</f>
        <v>STANDARD</v>
      </c>
      <c r="G135" t="str">
        <f>INDEX(Netzzeiten!$B$6:$B$29,HOUR(B135)+1)</f>
        <v>ST</v>
      </c>
      <c r="H135" s="6">
        <f>IF(F135="GO",Eingaben!$B$11,IF(F135="STANDARD",Eingaben!$B$12,IF(AND(F135="HEAT",ISNUMBER(Eingaben!$B$13)),Eingaben!$B$13,"")))</f>
        <v>28.2744</v>
      </c>
      <c r="I135" s="6">
        <f>INDEX(Netzzeiten!$C$6:$C$29,HOUR(B135)+1)</f>
        <v>5.48</v>
      </c>
      <c r="J135" t="str">
        <f>IF(C135="","FEHLT",IF(NOT(ISNUMBER(C135)),"MESSWERT UNGUELTIG",IF(C135&lt;0,"MESSWERT UNGUELTIG",IF(H135="","TARIFPREIS FEHLT","OK"))))</f>
        <v>FEHLT</v>
      </c>
      <c r="K135" s="7">
        <f>IF(J135&lt;&gt;"OK","",C135*I135/100)</f>
        <v/>
      </c>
    </row>
    <row r="136" spans="1:11">
      <c r="A136" s="14">
        <v>46144</v>
      </c>
      <c r="B136" s="15">
        <v>0.3541666666666667</v>
      </c>
      <c r="C136" s="5">
        <f>IF('96 Werte'!AJ7="","",'96 Werte'!AJ7)</f>
        <v/>
      </c>
      <c r="D136" t="str">
        <f>IF(IF(Eingaben!$B$21&lt;Eingaben!$B$22,AND(B136&gt;=Eingaben!$B$21,B136&lt;Eingaben!$B$22),OR(B136&gt;=Eingaben!$B$21,B136&lt;Eingaben!$B$22)),"GO",IF(AND(ISNUMBER(Eingaben!$B$23),ISNUMBER(Eingaben!$B$24),IF(Eingaben!$B$23&lt;Eingaben!$B$24,AND(B136&gt;=Eingaben!$B$23,B136&lt;Eingaben!$B$24),OR(B136&gt;=Eingaben!$B$23,B136&lt;Eingaben!$B$24))),"HEAT","STANDARD"))</f>
        <v>STANDARD</v>
      </c>
      <c r="E136" s="9"/>
      <c r="F136" t="str">
        <f>IF(E136="",D136,E136)</f>
        <v>STANDARD</v>
      </c>
      <c r="G136" t="str">
        <f>INDEX(Netzzeiten!$B$6:$B$29,HOUR(B136)+1)</f>
        <v>ST</v>
      </c>
      <c r="H136" s="6">
        <f>IF(F136="GO",Eingaben!$B$11,IF(F136="STANDARD",Eingaben!$B$12,IF(AND(F136="HEAT",ISNUMBER(Eingaben!$B$13)),Eingaben!$B$13,"")))</f>
        <v>28.2744</v>
      </c>
      <c r="I136" s="6">
        <f>INDEX(Netzzeiten!$C$6:$C$29,HOUR(B136)+1)</f>
        <v>5.48</v>
      </c>
      <c r="J136" t="str">
        <f>IF(C136="","FEHLT",IF(NOT(ISNUMBER(C136)),"MESSWERT UNGUELTIG",IF(C136&lt;0,"MESSWERT UNGUELTIG",IF(H136="","TARIFPREIS FEHLT","OK"))))</f>
        <v>FEHLT</v>
      </c>
      <c r="K136" s="7">
        <f>IF(J136&lt;&gt;"OK","",C136*I136/100)</f>
        <v/>
      </c>
    </row>
    <row r="137" spans="1:11">
      <c r="A137" s="14">
        <v>46144</v>
      </c>
      <c r="B137" s="15">
        <v>0.3645833333333333</v>
      </c>
      <c r="C137" s="5">
        <f>IF('96 Werte'!AK7="","",'96 Werte'!AK7)</f>
        <v/>
      </c>
      <c r="D137" t="str">
        <f>IF(IF(Eingaben!$B$21&lt;Eingaben!$B$22,AND(B137&gt;=Eingaben!$B$21,B137&lt;Eingaben!$B$22),OR(B137&gt;=Eingaben!$B$21,B137&lt;Eingaben!$B$22)),"GO",IF(AND(ISNUMBER(Eingaben!$B$23),ISNUMBER(Eingaben!$B$24),IF(Eingaben!$B$23&lt;Eingaben!$B$24,AND(B137&gt;=Eingaben!$B$23,B137&lt;Eingaben!$B$24),OR(B137&gt;=Eingaben!$B$23,B137&lt;Eingaben!$B$24))),"HEAT","STANDARD"))</f>
        <v>STANDARD</v>
      </c>
      <c r="E137" s="9"/>
      <c r="F137" t="str">
        <f>IF(E137="",D137,E137)</f>
        <v>STANDARD</v>
      </c>
      <c r="G137" t="str">
        <f>INDEX(Netzzeiten!$B$6:$B$29,HOUR(B137)+1)</f>
        <v>ST</v>
      </c>
      <c r="H137" s="6">
        <f>IF(F137="GO",Eingaben!$B$11,IF(F137="STANDARD",Eingaben!$B$12,IF(AND(F137="HEAT",ISNUMBER(Eingaben!$B$13)),Eingaben!$B$13,"")))</f>
        <v>28.2744</v>
      </c>
      <c r="I137" s="6">
        <f>INDEX(Netzzeiten!$C$6:$C$29,HOUR(B137)+1)</f>
        <v>5.48</v>
      </c>
      <c r="J137" t="str">
        <f>IF(C137="","FEHLT",IF(NOT(ISNUMBER(C137)),"MESSWERT UNGUELTIG",IF(C137&lt;0,"MESSWERT UNGUELTIG",IF(H137="","TARIFPREIS FEHLT","OK"))))</f>
        <v>FEHLT</v>
      </c>
      <c r="K137" s="7">
        <f>IF(J137&lt;&gt;"OK","",C137*I137/100)</f>
        <v/>
      </c>
    </row>
    <row r="138" spans="1:11">
      <c r="A138" s="14">
        <v>46144</v>
      </c>
      <c r="B138" s="15">
        <v>0.375</v>
      </c>
      <c r="C138" s="5">
        <f>IF('96 Werte'!AL7="","",'96 Werte'!AL7)</f>
        <v/>
      </c>
      <c r="D138" t="str">
        <f>IF(IF(Eingaben!$B$21&lt;Eingaben!$B$22,AND(B138&gt;=Eingaben!$B$21,B138&lt;Eingaben!$B$22),OR(B138&gt;=Eingaben!$B$21,B138&lt;Eingaben!$B$22)),"GO",IF(AND(ISNUMBER(Eingaben!$B$23),ISNUMBER(Eingaben!$B$24),IF(Eingaben!$B$23&lt;Eingaben!$B$24,AND(B138&gt;=Eingaben!$B$23,B138&lt;Eingaben!$B$24),OR(B138&gt;=Eingaben!$B$23,B138&lt;Eingaben!$B$24))),"HEAT","STANDARD"))</f>
        <v>STANDARD</v>
      </c>
      <c r="E138" s="9"/>
      <c r="F138" t="str">
        <f>IF(E138="",D138,E138)</f>
        <v>STANDARD</v>
      </c>
      <c r="G138" t="str">
        <f>INDEX(Netzzeiten!$B$6:$B$29,HOUR(B138)+1)</f>
        <v>ST</v>
      </c>
      <c r="H138" s="6">
        <f>IF(F138="GO",Eingaben!$B$11,IF(F138="STANDARD",Eingaben!$B$12,IF(AND(F138="HEAT",ISNUMBER(Eingaben!$B$13)),Eingaben!$B$13,"")))</f>
        <v>28.2744</v>
      </c>
      <c r="I138" s="6">
        <f>INDEX(Netzzeiten!$C$6:$C$29,HOUR(B138)+1)</f>
        <v>5.48</v>
      </c>
      <c r="J138" t="str">
        <f>IF(C138="","FEHLT",IF(NOT(ISNUMBER(C138)),"MESSWERT UNGUELTIG",IF(C138&lt;0,"MESSWERT UNGUELTIG",IF(H138="","TARIFPREIS FEHLT","OK"))))</f>
        <v>FEHLT</v>
      </c>
      <c r="K138" s="7">
        <f>IF(J138&lt;&gt;"OK","",C138*I138/100)</f>
        <v/>
      </c>
    </row>
    <row r="139" spans="1:11">
      <c r="A139" s="14">
        <v>46144</v>
      </c>
      <c r="B139" s="15">
        <v>0.3854166666666667</v>
      </c>
      <c r="C139" s="5">
        <f>IF('96 Werte'!AM7="","",'96 Werte'!AM7)</f>
        <v/>
      </c>
      <c r="D139" t="str">
        <f>IF(IF(Eingaben!$B$21&lt;Eingaben!$B$22,AND(B139&gt;=Eingaben!$B$21,B139&lt;Eingaben!$B$22),OR(B139&gt;=Eingaben!$B$21,B139&lt;Eingaben!$B$22)),"GO",IF(AND(ISNUMBER(Eingaben!$B$23),ISNUMBER(Eingaben!$B$24),IF(Eingaben!$B$23&lt;Eingaben!$B$24,AND(B139&gt;=Eingaben!$B$23,B139&lt;Eingaben!$B$24),OR(B139&gt;=Eingaben!$B$23,B139&lt;Eingaben!$B$24))),"HEAT","STANDARD"))</f>
        <v>STANDARD</v>
      </c>
      <c r="E139" s="9"/>
      <c r="F139" t="str">
        <f>IF(E139="",D139,E139)</f>
        <v>STANDARD</v>
      </c>
      <c r="G139" t="str">
        <f>INDEX(Netzzeiten!$B$6:$B$29,HOUR(B139)+1)</f>
        <v>ST</v>
      </c>
      <c r="H139" s="6">
        <f>IF(F139="GO",Eingaben!$B$11,IF(F139="STANDARD",Eingaben!$B$12,IF(AND(F139="HEAT",ISNUMBER(Eingaben!$B$13)),Eingaben!$B$13,"")))</f>
        <v>28.2744</v>
      </c>
      <c r="I139" s="6">
        <f>INDEX(Netzzeiten!$C$6:$C$29,HOUR(B139)+1)</f>
        <v>5.48</v>
      </c>
      <c r="J139" t="str">
        <f>IF(C139="","FEHLT",IF(NOT(ISNUMBER(C139)),"MESSWERT UNGUELTIG",IF(C139&lt;0,"MESSWERT UNGUELTIG",IF(H139="","TARIFPREIS FEHLT","OK"))))</f>
        <v>FEHLT</v>
      </c>
      <c r="K139" s="7">
        <f>IF(J139&lt;&gt;"OK","",C139*I139/100)</f>
        <v/>
      </c>
    </row>
    <row r="140" spans="1:11">
      <c r="A140" s="14">
        <v>46144</v>
      </c>
      <c r="B140" s="15">
        <v>0.3958333333333333</v>
      </c>
      <c r="C140" s="5">
        <f>IF('96 Werte'!AN7="","",'96 Werte'!AN7)</f>
        <v/>
      </c>
      <c r="D140" t="str">
        <f>IF(IF(Eingaben!$B$21&lt;Eingaben!$B$22,AND(B140&gt;=Eingaben!$B$21,B140&lt;Eingaben!$B$22),OR(B140&gt;=Eingaben!$B$21,B140&lt;Eingaben!$B$22)),"GO",IF(AND(ISNUMBER(Eingaben!$B$23),ISNUMBER(Eingaben!$B$24),IF(Eingaben!$B$23&lt;Eingaben!$B$24,AND(B140&gt;=Eingaben!$B$23,B140&lt;Eingaben!$B$24),OR(B140&gt;=Eingaben!$B$23,B140&lt;Eingaben!$B$24))),"HEAT","STANDARD"))</f>
        <v>STANDARD</v>
      </c>
      <c r="E140" s="9"/>
      <c r="F140" t="str">
        <f>IF(E140="",D140,E140)</f>
        <v>STANDARD</v>
      </c>
      <c r="G140" t="str">
        <f>INDEX(Netzzeiten!$B$6:$B$29,HOUR(B140)+1)</f>
        <v>ST</v>
      </c>
      <c r="H140" s="6">
        <f>IF(F140="GO",Eingaben!$B$11,IF(F140="STANDARD",Eingaben!$B$12,IF(AND(F140="HEAT",ISNUMBER(Eingaben!$B$13)),Eingaben!$B$13,"")))</f>
        <v>28.2744</v>
      </c>
      <c r="I140" s="6">
        <f>INDEX(Netzzeiten!$C$6:$C$29,HOUR(B140)+1)</f>
        <v>5.48</v>
      </c>
      <c r="J140" t="str">
        <f>IF(C140="","FEHLT",IF(NOT(ISNUMBER(C140)),"MESSWERT UNGUELTIG",IF(C140&lt;0,"MESSWERT UNGUELTIG",IF(H140="","TARIFPREIS FEHLT","OK"))))</f>
        <v>FEHLT</v>
      </c>
      <c r="K140" s="7">
        <f>IF(J140&lt;&gt;"OK","",C140*I140/100)</f>
        <v/>
      </c>
    </row>
    <row r="141" spans="1:11">
      <c r="A141" s="14">
        <v>46144</v>
      </c>
      <c r="B141" s="15">
        <v>0.40625</v>
      </c>
      <c r="C141" s="5">
        <f>IF('96 Werte'!AO7="","",'96 Werte'!AO7)</f>
        <v/>
      </c>
      <c r="D141" t="str">
        <f>IF(IF(Eingaben!$B$21&lt;Eingaben!$B$22,AND(B141&gt;=Eingaben!$B$21,B141&lt;Eingaben!$B$22),OR(B141&gt;=Eingaben!$B$21,B141&lt;Eingaben!$B$22)),"GO",IF(AND(ISNUMBER(Eingaben!$B$23),ISNUMBER(Eingaben!$B$24),IF(Eingaben!$B$23&lt;Eingaben!$B$24,AND(B141&gt;=Eingaben!$B$23,B141&lt;Eingaben!$B$24),OR(B141&gt;=Eingaben!$B$23,B141&lt;Eingaben!$B$24))),"HEAT","STANDARD"))</f>
        <v>STANDARD</v>
      </c>
      <c r="E141" s="9"/>
      <c r="F141" t="str">
        <f>IF(E141="",D141,E141)</f>
        <v>STANDARD</v>
      </c>
      <c r="G141" t="str">
        <f>INDEX(Netzzeiten!$B$6:$B$29,HOUR(B141)+1)</f>
        <v>ST</v>
      </c>
      <c r="H141" s="6">
        <f>IF(F141="GO",Eingaben!$B$11,IF(F141="STANDARD",Eingaben!$B$12,IF(AND(F141="HEAT",ISNUMBER(Eingaben!$B$13)),Eingaben!$B$13,"")))</f>
        <v>28.2744</v>
      </c>
      <c r="I141" s="6">
        <f>INDEX(Netzzeiten!$C$6:$C$29,HOUR(B141)+1)</f>
        <v>5.48</v>
      </c>
      <c r="J141" t="str">
        <f>IF(C141="","FEHLT",IF(NOT(ISNUMBER(C141)),"MESSWERT UNGUELTIG",IF(C141&lt;0,"MESSWERT UNGUELTIG",IF(H141="","TARIFPREIS FEHLT","OK"))))</f>
        <v>FEHLT</v>
      </c>
      <c r="K141" s="7">
        <f>IF(J141&lt;&gt;"OK","",C141*I141/100)</f>
        <v/>
      </c>
    </row>
    <row r="142" spans="1:11">
      <c r="A142" s="14">
        <v>46144</v>
      </c>
      <c r="B142" s="15">
        <v>0.4166666666666667</v>
      </c>
      <c r="C142" s="5">
        <f>IF('96 Werte'!AP7="","",'96 Werte'!AP7)</f>
        <v/>
      </c>
      <c r="D142" t="str">
        <f>IF(IF(Eingaben!$B$21&lt;Eingaben!$B$22,AND(B142&gt;=Eingaben!$B$21,B142&lt;Eingaben!$B$22),OR(B142&gt;=Eingaben!$B$21,B142&lt;Eingaben!$B$22)),"GO",IF(AND(ISNUMBER(Eingaben!$B$23),ISNUMBER(Eingaben!$B$24),IF(Eingaben!$B$23&lt;Eingaben!$B$24,AND(B142&gt;=Eingaben!$B$23,B142&lt;Eingaben!$B$24),OR(B142&gt;=Eingaben!$B$23,B142&lt;Eingaben!$B$24))),"HEAT","STANDARD"))</f>
        <v>STANDARD</v>
      </c>
      <c r="E142" s="9"/>
      <c r="F142" t="str">
        <f>IF(E142="",D142,E142)</f>
        <v>STANDARD</v>
      </c>
      <c r="G142" t="str">
        <f>INDEX(Netzzeiten!$B$6:$B$29,HOUR(B142)+1)</f>
        <v>ST</v>
      </c>
      <c r="H142" s="6">
        <f>IF(F142="GO",Eingaben!$B$11,IF(F142="STANDARD",Eingaben!$B$12,IF(AND(F142="HEAT",ISNUMBER(Eingaben!$B$13)),Eingaben!$B$13,"")))</f>
        <v>28.2744</v>
      </c>
      <c r="I142" s="6">
        <f>INDEX(Netzzeiten!$C$6:$C$29,HOUR(B142)+1)</f>
        <v>5.48</v>
      </c>
      <c r="J142" t="str">
        <f>IF(C142="","FEHLT",IF(NOT(ISNUMBER(C142)),"MESSWERT UNGUELTIG",IF(C142&lt;0,"MESSWERT UNGUELTIG",IF(H142="","TARIFPREIS FEHLT","OK"))))</f>
        <v>FEHLT</v>
      </c>
      <c r="K142" s="7">
        <f>IF(J142&lt;&gt;"OK","",C142*I142/100)</f>
        <v/>
      </c>
    </row>
    <row r="143" spans="1:11">
      <c r="A143" s="14">
        <v>46144</v>
      </c>
      <c r="B143" s="15">
        <v>0.4270833333333333</v>
      </c>
      <c r="C143" s="5">
        <f>IF('96 Werte'!AQ7="","",'96 Werte'!AQ7)</f>
        <v/>
      </c>
      <c r="D143" t="str">
        <f>IF(IF(Eingaben!$B$21&lt;Eingaben!$B$22,AND(B143&gt;=Eingaben!$B$21,B143&lt;Eingaben!$B$22),OR(B143&gt;=Eingaben!$B$21,B143&lt;Eingaben!$B$22)),"GO",IF(AND(ISNUMBER(Eingaben!$B$23),ISNUMBER(Eingaben!$B$24),IF(Eingaben!$B$23&lt;Eingaben!$B$24,AND(B143&gt;=Eingaben!$B$23,B143&lt;Eingaben!$B$24),OR(B143&gt;=Eingaben!$B$23,B143&lt;Eingaben!$B$24))),"HEAT","STANDARD"))</f>
        <v>STANDARD</v>
      </c>
      <c r="E143" s="9"/>
      <c r="F143" t="str">
        <f>IF(E143="",D143,E143)</f>
        <v>STANDARD</v>
      </c>
      <c r="G143" t="str">
        <f>INDEX(Netzzeiten!$B$6:$B$29,HOUR(B143)+1)</f>
        <v>ST</v>
      </c>
      <c r="H143" s="6">
        <f>IF(F143="GO",Eingaben!$B$11,IF(F143="STANDARD",Eingaben!$B$12,IF(AND(F143="HEAT",ISNUMBER(Eingaben!$B$13)),Eingaben!$B$13,"")))</f>
        <v>28.2744</v>
      </c>
      <c r="I143" s="6">
        <f>INDEX(Netzzeiten!$C$6:$C$29,HOUR(B143)+1)</f>
        <v>5.48</v>
      </c>
      <c r="J143" t="str">
        <f>IF(C143="","FEHLT",IF(NOT(ISNUMBER(C143)),"MESSWERT UNGUELTIG",IF(C143&lt;0,"MESSWERT UNGUELTIG",IF(H143="","TARIFPREIS FEHLT","OK"))))</f>
        <v>FEHLT</v>
      </c>
      <c r="K143" s="7">
        <f>IF(J143&lt;&gt;"OK","",C143*I143/100)</f>
        <v/>
      </c>
    </row>
    <row r="144" spans="1:11">
      <c r="A144" s="14">
        <v>46144</v>
      </c>
      <c r="B144" s="15">
        <v>0.4375</v>
      </c>
      <c r="C144" s="5">
        <f>IF('96 Werte'!AR7="","",'96 Werte'!AR7)</f>
        <v/>
      </c>
      <c r="D144" t="str">
        <f>IF(IF(Eingaben!$B$21&lt;Eingaben!$B$22,AND(B144&gt;=Eingaben!$B$21,B144&lt;Eingaben!$B$22),OR(B144&gt;=Eingaben!$B$21,B144&lt;Eingaben!$B$22)),"GO",IF(AND(ISNUMBER(Eingaben!$B$23),ISNUMBER(Eingaben!$B$24),IF(Eingaben!$B$23&lt;Eingaben!$B$24,AND(B144&gt;=Eingaben!$B$23,B144&lt;Eingaben!$B$24),OR(B144&gt;=Eingaben!$B$23,B144&lt;Eingaben!$B$24))),"HEAT","STANDARD"))</f>
        <v>STANDARD</v>
      </c>
      <c r="E144" s="9"/>
      <c r="F144" t="str">
        <f>IF(E144="",D144,E144)</f>
        <v>STANDARD</v>
      </c>
      <c r="G144" t="str">
        <f>INDEX(Netzzeiten!$B$6:$B$29,HOUR(B144)+1)</f>
        <v>ST</v>
      </c>
      <c r="H144" s="6">
        <f>IF(F144="GO",Eingaben!$B$11,IF(F144="STANDARD",Eingaben!$B$12,IF(AND(F144="HEAT",ISNUMBER(Eingaben!$B$13)),Eingaben!$B$13,"")))</f>
        <v>28.2744</v>
      </c>
      <c r="I144" s="6">
        <f>INDEX(Netzzeiten!$C$6:$C$29,HOUR(B144)+1)</f>
        <v>5.48</v>
      </c>
      <c r="J144" t="str">
        <f>IF(C144="","FEHLT",IF(NOT(ISNUMBER(C144)),"MESSWERT UNGUELTIG",IF(C144&lt;0,"MESSWERT UNGUELTIG",IF(H144="","TARIFPREIS FEHLT","OK"))))</f>
        <v>FEHLT</v>
      </c>
      <c r="K144" s="7">
        <f>IF(J144&lt;&gt;"OK","",C144*I144/100)</f>
        <v/>
      </c>
    </row>
    <row r="145" spans="1:11">
      <c r="A145" s="14">
        <v>46144</v>
      </c>
      <c r="B145" s="15">
        <v>0.4479166666666667</v>
      </c>
      <c r="C145" s="5">
        <f>IF('96 Werte'!AS7="","",'96 Werte'!AS7)</f>
        <v/>
      </c>
      <c r="D145" t="str">
        <f>IF(IF(Eingaben!$B$21&lt;Eingaben!$B$22,AND(B145&gt;=Eingaben!$B$21,B145&lt;Eingaben!$B$22),OR(B145&gt;=Eingaben!$B$21,B145&lt;Eingaben!$B$22)),"GO",IF(AND(ISNUMBER(Eingaben!$B$23),ISNUMBER(Eingaben!$B$24),IF(Eingaben!$B$23&lt;Eingaben!$B$24,AND(B145&gt;=Eingaben!$B$23,B145&lt;Eingaben!$B$24),OR(B145&gt;=Eingaben!$B$23,B145&lt;Eingaben!$B$24))),"HEAT","STANDARD"))</f>
        <v>STANDARD</v>
      </c>
      <c r="E145" s="9"/>
      <c r="F145" t="str">
        <f>IF(E145="",D145,E145)</f>
        <v>STANDARD</v>
      </c>
      <c r="G145" t="str">
        <f>INDEX(Netzzeiten!$B$6:$B$29,HOUR(B145)+1)</f>
        <v>ST</v>
      </c>
      <c r="H145" s="6">
        <f>IF(F145="GO",Eingaben!$B$11,IF(F145="STANDARD",Eingaben!$B$12,IF(AND(F145="HEAT",ISNUMBER(Eingaben!$B$13)),Eingaben!$B$13,"")))</f>
        <v>28.2744</v>
      </c>
      <c r="I145" s="6">
        <f>INDEX(Netzzeiten!$C$6:$C$29,HOUR(B145)+1)</f>
        <v>5.48</v>
      </c>
      <c r="J145" t="str">
        <f>IF(C145="","FEHLT",IF(NOT(ISNUMBER(C145)),"MESSWERT UNGUELTIG",IF(C145&lt;0,"MESSWERT UNGUELTIG",IF(H145="","TARIFPREIS FEHLT","OK"))))</f>
        <v>FEHLT</v>
      </c>
      <c r="K145" s="7">
        <f>IF(J145&lt;&gt;"OK","",C145*I145/100)</f>
        <v/>
      </c>
    </row>
    <row r="146" spans="1:11">
      <c r="A146" s="14">
        <v>46144</v>
      </c>
      <c r="B146" s="15">
        <v>0.4583333333333333</v>
      </c>
      <c r="C146" s="5">
        <f>IF('96 Werte'!AT7="","",'96 Werte'!AT7)</f>
        <v/>
      </c>
      <c r="D146" t="str">
        <f>IF(IF(Eingaben!$B$21&lt;Eingaben!$B$22,AND(B146&gt;=Eingaben!$B$21,B146&lt;Eingaben!$B$22),OR(B146&gt;=Eingaben!$B$21,B146&lt;Eingaben!$B$22)),"GO",IF(AND(ISNUMBER(Eingaben!$B$23),ISNUMBER(Eingaben!$B$24),IF(Eingaben!$B$23&lt;Eingaben!$B$24,AND(B146&gt;=Eingaben!$B$23,B146&lt;Eingaben!$B$24),OR(B146&gt;=Eingaben!$B$23,B146&lt;Eingaben!$B$24))),"HEAT","STANDARD"))</f>
        <v>STANDARD</v>
      </c>
      <c r="E146" s="9"/>
      <c r="F146" t="str">
        <f>IF(E146="",D146,E146)</f>
        <v>STANDARD</v>
      </c>
      <c r="G146" t="str">
        <f>INDEX(Netzzeiten!$B$6:$B$29,HOUR(B146)+1)</f>
        <v>NT</v>
      </c>
      <c r="H146" s="6">
        <f>IF(F146="GO",Eingaben!$B$11,IF(F146="STANDARD",Eingaben!$B$12,IF(AND(F146="HEAT",ISNUMBER(Eingaben!$B$13)),Eingaben!$B$13,"")))</f>
        <v>28.2744</v>
      </c>
      <c r="I146" s="6">
        <f>INDEX(Netzzeiten!$C$6:$C$29,HOUR(B146)+1)</f>
        <v>1.64</v>
      </c>
      <c r="J146" t="str">
        <f>IF(C146="","FEHLT",IF(NOT(ISNUMBER(C146)),"MESSWERT UNGUELTIG",IF(C146&lt;0,"MESSWERT UNGUELTIG",IF(H146="","TARIFPREIS FEHLT","OK"))))</f>
        <v>FEHLT</v>
      </c>
      <c r="K146" s="7">
        <f>IF(J146&lt;&gt;"OK","",C146*I146/100)</f>
        <v/>
      </c>
    </row>
    <row r="147" spans="1:11">
      <c r="A147" s="14">
        <v>46144</v>
      </c>
      <c r="B147" s="15">
        <v>0.46875</v>
      </c>
      <c r="C147" s="5">
        <f>IF('96 Werte'!AU7="","",'96 Werte'!AU7)</f>
        <v/>
      </c>
      <c r="D147" t="str">
        <f>IF(IF(Eingaben!$B$21&lt;Eingaben!$B$22,AND(B147&gt;=Eingaben!$B$21,B147&lt;Eingaben!$B$22),OR(B147&gt;=Eingaben!$B$21,B147&lt;Eingaben!$B$22)),"GO",IF(AND(ISNUMBER(Eingaben!$B$23),ISNUMBER(Eingaben!$B$24),IF(Eingaben!$B$23&lt;Eingaben!$B$24,AND(B147&gt;=Eingaben!$B$23,B147&lt;Eingaben!$B$24),OR(B147&gt;=Eingaben!$B$23,B147&lt;Eingaben!$B$24))),"HEAT","STANDARD"))</f>
        <v>STANDARD</v>
      </c>
      <c r="E147" s="9"/>
      <c r="F147" t="str">
        <f>IF(E147="",D147,E147)</f>
        <v>STANDARD</v>
      </c>
      <c r="G147" t="str">
        <f>INDEX(Netzzeiten!$B$6:$B$29,HOUR(B147)+1)</f>
        <v>NT</v>
      </c>
      <c r="H147" s="6">
        <f>IF(F147="GO",Eingaben!$B$11,IF(F147="STANDARD",Eingaben!$B$12,IF(AND(F147="HEAT",ISNUMBER(Eingaben!$B$13)),Eingaben!$B$13,"")))</f>
        <v>28.2744</v>
      </c>
      <c r="I147" s="6">
        <f>INDEX(Netzzeiten!$C$6:$C$29,HOUR(B147)+1)</f>
        <v>1.64</v>
      </c>
      <c r="J147" t="str">
        <f>IF(C147="","FEHLT",IF(NOT(ISNUMBER(C147)),"MESSWERT UNGUELTIG",IF(C147&lt;0,"MESSWERT UNGUELTIG",IF(H147="","TARIFPREIS FEHLT","OK"))))</f>
        <v>FEHLT</v>
      </c>
      <c r="K147" s="7">
        <f>IF(J147&lt;&gt;"OK","",C147*I147/100)</f>
        <v/>
      </c>
    </row>
    <row r="148" spans="1:11">
      <c r="A148" s="14">
        <v>46144</v>
      </c>
      <c r="B148" s="15">
        <v>0.4791666666666667</v>
      </c>
      <c r="C148" s="5">
        <f>IF('96 Werte'!AV7="","",'96 Werte'!AV7)</f>
        <v/>
      </c>
      <c r="D148" t="str">
        <f>IF(IF(Eingaben!$B$21&lt;Eingaben!$B$22,AND(B148&gt;=Eingaben!$B$21,B148&lt;Eingaben!$B$22),OR(B148&gt;=Eingaben!$B$21,B148&lt;Eingaben!$B$22)),"GO",IF(AND(ISNUMBER(Eingaben!$B$23),ISNUMBER(Eingaben!$B$24),IF(Eingaben!$B$23&lt;Eingaben!$B$24,AND(B148&gt;=Eingaben!$B$23,B148&lt;Eingaben!$B$24),OR(B148&gt;=Eingaben!$B$23,B148&lt;Eingaben!$B$24))),"HEAT","STANDARD"))</f>
        <v>STANDARD</v>
      </c>
      <c r="E148" s="9"/>
      <c r="F148" t="str">
        <f>IF(E148="",D148,E148)</f>
        <v>STANDARD</v>
      </c>
      <c r="G148" t="str">
        <f>INDEX(Netzzeiten!$B$6:$B$29,HOUR(B148)+1)</f>
        <v>NT</v>
      </c>
      <c r="H148" s="6">
        <f>IF(F148="GO",Eingaben!$B$11,IF(F148="STANDARD",Eingaben!$B$12,IF(AND(F148="HEAT",ISNUMBER(Eingaben!$B$13)),Eingaben!$B$13,"")))</f>
        <v>28.2744</v>
      </c>
      <c r="I148" s="6">
        <f>INDEX(Netzzeiten!$C$6:$C$29,HOUR(B148)+1)</f>
        <v>1.64</v>
      </c>
      <c r="J148" t="str">
        <f>IF(C148="","FEHLT",IF(NOT(ISNUMBER(C148)),"MESSWERT UNGUELTIG",IF(C148&lt;0,"MESSWERT UNGUELTIG",IF(H148="","TARIFPREIS FEHLT","OK"))))</f>
        <v>FEHLT</v>
      </c>
      <c r="K148" s="7">
        <f>IF(J148&lt;&gt;"OK","",C148*I148/100)</f>
        <v/>
      </c>
    </row>
    <row r="149" spans="1:11">
      <c r="A149" s="14">
        <v>46144</v>
      </c>
      <c r="B149" s="15">
        <v>0.4895833333333333</v>
      </c>
      <c r="C149" s="5">
        <f>IF('96 Werte'!AW7="","",'96 Werte'!AW7)</f>
        <v/>
      </c>
      <c r="D149" t="str">
        <f>IF(IF(Eingaben!$B$21&lt;Eingaben!$B$22,AND(B149&gt;=Eingaben!$B$21,B149&lt;Eingaben!$B$22),OR(B149&gt;=Eingaben!$B$21,B149&lt;Eingaben!$B$22)),"GO",IF(AND(ISNUMBER(Eingaben!$B$23),ISNUMBER(Eingaben!$B$24),IF(Eingaben!$B$23&lt;Eingaben!$B$24,AND(B149&gt;=Eingaben!$B$23,B149&lt;Eingaben!$B$24),OR(B149&gt;=Eingaben!$B$23,B149&lt;Eingaben!$B$24))),"HEAT","STANDARD"))</f>
        <v>STANDARD</v>
      </c>
      <c r="E149" s="9"/>
      <c r="F149" t="str">
        <f>IF(E149="",D149,E149)</f>
        <v>STANDARD</v>
      </c>
      <c r="G149" t="str">
        <f>INDEX(Netzzeiten!$B$6:$B$29,HOUR(B149)+1)</f>
        <v>NT</v>
      </c>
      <c r="H149" s="6">
        <f>IF(F149="GO",Eingaben!$B$11,IF(F149="STANDARD",Eingaben!$B$12,IF(AND(F149="HEAT",ISNUMBER(Eingaben!$B$13)),Eingaben!$B$13,"")))</f>
        <v>28.2744</v>
      </c>
      <c r="I149" s="6">
        <f>INDEX(Netzzeiten!$C$6:$C$29,HOUR(B149)+1)</f>
        <v>1.64</v>
      </c>
      <c r="J149" t="str">
        <f>IF(C149="","FEHLT",IF(NOT(ISNUMBER(C149)),"MESSWERT UNGUELTIG",IF(C149&lt;0,"MESSWERT UNGUELTIG",IF(H149="","TARIFPREIS FEHLT","OK"))))</f>
        <v>FEHLT</v>
      </c>
      <c r="K149" s="7">
        <f>IF(J149&lt;&gt;"OK","",C149*I149/100)</f>
        <v/>
      </c>
    </row>
    <row r="150" spans="1:11">
      <c r="A150" s="14">
        <v>46144</v>
      </c>
      <c r="B150" s="15">
        <v>0.5</v>
      </c>
      <c r="C150" s="5">
        <f>IF('96 Werte'!AX7="","",'96 Werte'!AX7)</f>
        <v/>
      </c>
      <c r="D150" t="str">
        <f>IF(IF(Eingaben!$B$21&lt;Eingaben!$B$22,AND(B150&gt;=Eingaben!$B$21,B150&lt;Eingaben!$B$22),OR(B150&gt;=Eingaben!$B$21,B150&lt;Eingaben!$B$22)),"GO",IF(AND(ISNUMBER(Eingaben!$B$23),ISNUMBER(Eingaben!$B$24),IF(Eingaben!$B$23&lt;Eingaben!$B$24,AND(B150&gt;=Eingaben!$B$23,B150&lt;Eingaben!$B$24),OR(B150&gt;=Eingaben!$B$23,B150&lt;Eingaben!$B$24))),"HEAT","STANDARD"))</f>
        <v>STANDARD</v>
      </c>
      <c r="E150" s="9"/>
      <c r="F150" t="str">
        <f>IF(E150="",D150,E150)</f>
        <v>STANDARD</v>
      </c>
      <c r="G150" t="str">
        <f>INDEX(Netzzeiten!$B$6:$B$29,HOUR(B150)+1)</f>
        <v>NT</v>
      </c>
      <c r="H150" s="6">
        <f>IF(F150="GO",Eingaben!$B$11,IF(F150="STANDARD",Eingaben!$B$12,IF(AND(F150="HEAT",ISNUMBER(Eingaben!$B$13)),Eingaben!$B$13,"")))</f>
        <v>28.2744</v>
      </c>
      <c r="I150" s="6">
        <f>INDEX(Netzzeiten!$C$6:$C$29,HOUR(B150)+1)</f>
        <v>1.64</v>
      </c>
      <c r="J150" t="str">
        <f>IF(C150="","FEHLT",IF(NOT(ISNUMBER(C150)),"MESSWERT UNGUELTIG",IF(C150&lt;0,"MESSWERT UNGUELTIG",IF(H150="","TARIFPREIS FEHLT","OK"))))</f>
        <v>FEHLT</v>
      </c>
      <c r="K150" s="7">
        <f>IF(J150&lt;&gt;"OK","",C150*I150/100)</f>
        <v/>
      </c>
    </row>
    <row r="151" spans="1:11">
      <c r="A151" s="14">
        <v>46144</v>
      </c>
      <c r="B151" s="15">
        <v>0.5104166666666666</v>
      </c>
      <c r="C151" s="5">
        <f>IF('96 Werte'!AY7="","",'96 Werte'!AY7)</f>
        <v/>
      </c>
      <c r="D151" t="str">
        <f>IF(IF(Eingaben!$B$21&lt;Eingaben!$B$22,AND(B151&gt;=Eingaben!$B$21,B151&lt;Eingaben!$B$22),OR(B151&gt;=Eingaben!$B$21,B151&lt;Eingaben!$B$22)),"GO",IF(AND(ISNUMBER(Eingaben!$B$23),ISNUMBER(Eingaben!$B$24),IF(Eingaben!$B$23&lt;Eingaben!$B$24,AND(B151&gt;=Eingaben!$B$23,B151&lt;Eingaben!$B$24),OR(B151&gt;=Eingaben!$B$23,B151&lt;Eingaben!$B$24))),"HEAT","STANDARD"))</f>
        <v>STANDARD</v>
      </c>
      <c r="E151" s="9"/>
      <c r="F151" t="str">
        <f>IF(E151="",D151,E151)</f>
        <v>STANDARD</v>
      </c>
      <c r="G151" t="str">
        <f>INDEX(Netzzeiten!$B$6:$B$29,HOUR(B151)+1)</f>
        <v>NT</v>
      </c>
      <c r="H151" s="6">
        <f>IF(F151="GO",Eingaben!$B$11,IF(F151="STANDARD",Eingaben!$B$12,IF(AND(F151="HEAT",ISNUMBER(Eingaben!$B$13)),Eingaben!$B$13,"")))</f>
        <v>28.2744</v>
      </c>
      <c r="I151" s="6">
        <f>INDEX(Netzzeiten!$C$6:$C$29,HOUR(B151)+1)</f>
        <v>1.64</v>
      </c>
      <c r="J151" t="str">
        <f>IF(C151="","FEHLT",IF(NOT(ISNUMBER(C151)),"MESSWERT UNGUELTIG",IF(C151&lt;0,"MESSWERT UNGUELTIG",IF(H151="","TARIFPREIS FEHLT","OK"))))</f>
        <v>FEHLT</v>
      </c>
      <c r="K151" s="7">
        <f>IF(J151&lt;&gt;"OK","",C151*I151/100)</f>
        <v/>
      </c>
    </row>
    <row r="152" spans="1:11">
      <c r="A152" s="14">
        <v>46144</v>
      </c>
      <c r="B152" s="15">
        <v>0.5208333333333334</v>
      </c>
      <c r="C152" s="5">
        <f>IF('96 Werte'!AZ7="","",'96 Werte'!AZ7)</f>
        <v/>
      </c>
      <c r="D152" t="str">
        <f>IF(IF(Eingaben!$B$21&lt;Eingaben!$B$22,AND(B152&gt;=Eingaben!$B$21,B152&lt;Eingaben!$B$22),OR(B152&gt;=Eingaben!$B$21,B152&lt;Eingaben!$B$22)),"GO",IF(AND(ISNUMBER(Eingaben!$B$23),ISNUMBER(Eingaben!$B$24),IF(Eingaben!$B$23&lt;Eingaben!$B$24,AND(B152&gt;=Eingaben!$B$23,B152&lt;Eingaben!$B$24),OR(B152&gt;=Eingaben!$B$23,B152&lt;Eingaben!$B$24))),"HEAT","STANDARD"))</f>
        <v>STANDARD</v>
      </c>
      <c r="E152" s="9"/>
      <c r="F152" t="str">
        <f>IF(E152="",D152,E152)</f>
        <v>STANDARD</v>
      </c>
      <c r="G152" t="str">
        <f>INDEX(Netzzeiten!$B$6:$B$29,HOUR(B152)+1)</f>
        <v>NT</v>
      </c>
      <c r="H152" s="6">
        <f>IF(F152="GO",Eingaben!$B$11,IF(F152="STANDARD",Eingaben!$B$12,IF(AND(F152="HEAT",ISNUMBER(Eingaben!$B$13)),Eingaben!$B$13,"")))</f>
        <v>28.2744</v>
      </c>
      <c r="I152" s="6">
        <f>INDEX(Netzzeiten!$C$6:$C$29,HOUR(B152)+1)</f>
        <v>1.64</v>
      </c>
      <c r="J152" t="str">
        <f>IF(C152="","FEHLT",IF(NOT(ISNUMBER(C152)),"MESSWERT UNGUELTIG",IF(C152&lt;0,"MESSWERT UNGUELTIG",IF(H152="","TARIFPREIS FEHLT","OK"))))</f>
        <v>FEHLT</v>
      </c>
      <c r="K152" s="7">
        <f>IF(J152&lt;&gt;"OK","",C152*I152/100)</f>
        <v/>
      </c>
    </row>
    <row r="153" spans="1:11">
      <c r="A153" s="14">
        <v>46144</v>
      </c>
      <c r="B153" s="15">
        <v>0.53125</v>
      </c>
      <c r="C153" s="5">
        <f>IF('96 Werte'!BA7="","",'96 Werte'!BA7)</f>
        <v/>
      </c>
      <c r="D153" t="str">
        <f>IF(IF(Eingaben!$B$21&lt;Eingaben!$B$22,AND(B153&gt;=Eingaben!$B$21,B153&lt;Eingaben!$B$22),OR(B153&gt;=Eingaben!$B$21,B153&lt;Eingaben!$B$22)),"GO",IF(AND(ISNUMBER(Eingaben!$B$23),ISNUMBER(Eingaben!$B$24),IF(Eingaben!$B$23&lt;Eingaben!$B$24,AND(B153&gt;=Eingaben!$B$23,B153&lt;Eingaben!$B$24),OR(B153&gt;=Eingaben!$B$23,B153&lt;Eingaben!$B$24))),"HEAT","STANDARD"))</f>
        <v>STANDARD</v>
      </c>
      <c r="E153" s="9"/>
      <c r="F153" t="str">
        <f>IF(E153="",D153,E153)</f>
        <v>STANDARD</v>
      </c>
      <c r="G153" t="str">
        <f>INDEX(Netzzeiten!$B$6:$B$29,HOUR(B153)+1)</f>
        <v>NT</v>
      </c>
      <c r="H153" s="6">
        <f>IF(F153="GO",Eingaben!$B$11,IF(F153="STANDARD",Eingaben!$B$12,IF(AND(F153="HEAT",ISNUMBER(Eingaben!$B$13)),Eingaben!$B$13,"")))</f>
        <v>28.2744</v>
      </c>
      <c r="I153" s="6">
        <f>INDEX(Netzzeiten!$C$6:$C$29,HOUR(B153)+1)</f>
        <v>1.64</v>
      </c>
      <c r="J153" t="str">
        <f>IF(C153="","FEHLT",IF(NOT(ISNUMBER(C153)),"MESSWERT UNGUELTIG",IF(C153&lt;0,"MESSWERT UNGUELTIG",IF(H153="","TARIFPREIS FEHLT","OK"))))</f>
        <v>FEHLT</v>
      </c>
      <c r="K153" s="7">
        <f>IF(J153&lt;&gt;"OK","",C153*I153/100)</f>
        <v/>
      </c>
    </row>
    <row r="154" spans="1:11">
      <c r="A154" s="14">
        <v>46144</v>
      </c>
      <c r="B154" s="15">
        <v>0.5416666666666666</v>
      </c>
      <c r="C154" s="5">
        <f>IF('96 Werte'!BB7="","",'96 Werte'!BB7)</f>
        <v/>
      </c>
      <c r="D154" t="str">
        <f>IF(IF(Eingaben!$B$21&lt;Eingaben!$B$22,AND(B154&gt;=Eingaben!$B$21,B154&lt;Eingaben!$B$22),OR(B154&gt;=Eingaben!$B$21,B154&lt;Eingaben!$B$22)),"GO",IF(AND(ISNUMBER(Eingaben!$B$23),ISNUMBER(Eingaben!$B$24),IF(Eingaben!$B$23&lt;Eingaben!$B$24,AND(B154&gt;=Eingaben!$B$23,B154&lt;Eingaben!$B$24),OR(B154&gt;=Eingaben!$B$23,B154&lt;Eingaben!$B$24))),"HEAT","STANDARD"))</f>
        <v>STANDARD</v>
      </c>
      <c r="E154" s="9"/>
      <c r="F154" t="str">
        <f>IF(E154="",D154,E154)</f>
        <v>STANDARD</v>
      </c>
      <c r="G154" t="str">
        <f>INDEX(Netzzeiten!$B$6:$B$29,HOUR(B154)+1)</f>
        <v>NT</v>
      </c>
      <c r="H154" s="6">
        <f>IF(F154="GO",Eingaben!$B$11,IF(F154="STANDARD",Eingaben!$B$12,IF(AND(F154="HEAT",ISNUMBER(Eingaben!$B$13)),Eingaben!$B$13,"")))</f>
        <v>28.2744</v>
      </c>
      <c r="I154" s="6">
        <f>INDEX(Netzzeiten!$C$6:$C$29,HOUR(B154)+1)</f>
        <v>1.64</v>
      </c>
      <c r="J154" t="str">
        <f>IF(C154="","FEHLT",IF(NOT(ISNUMBER(C154)),"MESSWERT UNGUELTIG",IF(C154&lt;0,"MESSWERT UNGUELTIG",IF(H154="","TARIFPREIS FEHLT","OK"))))</f>
        <v>FEHLT</v>
      </c>
      <c r="K154" s="7">
        <f>IF(J154&lt;&gt;"OK","",C154*I154/100)</f>
        <v/>
      </c>
    </row>
    <row r="155" spans="1:11">
      <c r="A155" s="14">
        <v>46144</v>
      </c>
      <c r="B155" s="15">
        <v>0.5520833333333334</v>
      </c>
      <c r="C155" s="5">
        <f>IF('96 Werte'!BC7="","",'96 Werte'!BC7)</f>
        <v/>
      </c>
      <c r="D155" t="str">
        <f>IF(IF(Eingaben!$B$21&lt;Eingaben!$B$22,AND(B155&gt;=Eingaben!$B$21,B155&lt;Eingaben!$B$22),OR(B155&gt;=Eingaben!$B$21,B155&lt;Eingaben!$B$22)),"GO",IF(AND(ISNUMBER(Eingaben!$B$23),ISNUMBER(Eingaben!$B$24),IF(Eingaben!$B$23&lt;Eingaben!$B$24,AND(B155&gt;=Eingaben!$B$23,B155&lt;Eingaben!$B$24),OR(B155&gt;=Eingaben!$B$23,B155&lt;Eingaben!$B$24))),"HEAT","STANDARD"))</f>
        <v>STANDARD</v>
      </c>
      <c r="E155" s="9"/>
      <c r="F155" t="str">
        <f>IF(E155="",D155,E155)</f>
        <v>STANDARD</v>
      </c>
      <c r="G155" t="str">
        <f>INDEX(Netzzeiten!$B$6:$B$29,HOUR(B155)+1)</f>
        <v>NT</v>
      </c>
      <c r="H155" s="6">
        <f>IF(F155="GO",Eingaben!$B$11,IF(F155="STANDARD",Eingaben!$B$12,IF(AND(F155="HEAT",ISNUMBER(Eingaben!$B$13)),Eingaben!$B$13,"")))</f>
        <v>28.2744</v>
      </c>
      <c r="I155" s="6">
        <f>INDEX(Netzzeiten!$C$6:$C$29,HOUR(B155)+1)</f>
        <v>1.64</v>
      </c>
      <c r="J155" t="str">
        <f>IF(C155="","FEHLT",IF(NOT(ISNUMBER(C155)),"MESSWERT UNGUELTIG",IF(C155&lt;0,"MESSWERT UNGUELTIG",IF(H155="","TARIFPREIS FEHLT","OK"))))</f>
        <v>FEHLT</v>
      </c>
      <c r="K155" s="7">
        <f>IF(J155&lt;&gt;"OK","",C155*I155/100)</f>
        <v/>
      </c>
    </row>
    <row r="156" spans="1:11">
      <c r="A156" s="14">
        <v>46144</v>
      </c>
      <c r="B156" s="15">
        <v>0.5625</v>
      </c>
      <c r="C156" s="5">
        <f>IF('96 Werte'!BD7="","",'96 Werte'!BD7)</f>
        <v/>
      </c>
      <c r="D156" t="str">
        <f>IF(IF(Eingaben!$B$21&lt;Eingaben!$B$22,AND(B156&gt;=Eingaben!$B$21,B156&lt;Eingaben!$B$22),OR(B156&gt;=Eingaben!$B$21,B156&lt;Eingaben!$B$22)),"GO",IF(AND(ISNUMBER(Eingaben!$B$23),ISNUMBER(Eingaben!$B$24),IF(Eingaben!$B$23&lt;Eingaben!$B$24,AND(B156&gt;=Eingaben!$B$23,B156&lt;Eingaben!$B$24),OR(B156&gt;=Eingaben!$B$23,B156&lt;Eingaben!$B$24))),"HEAT","STANDARD"))</f>
        <v>STANDARD</v>
      </c>
      <c r="E156" s="9"/>
      <c r="F156" t="str">
        <f>IF(E156="",D156,E156)</f>
        <v>STANDARD</v>
      </c>
      <c r="G156" t="str">
        <f>INDEX(Netzzeiten!$B$6:$B$29,HOUR(B156)+1)</f>
        <v>NT</v>
      </c>
      <c r="H156" s="6">
        <f>IF(F156="GO",Eingaben!$B$11,IF(F156="STANDARD",Eingaben!$B$12,IF(AND(F156="HEAT",ISNUMBER(Eingaben!$B$13)),Eingaben!$B$13,"")))</f>
        <v>28.2744</v>
      </c>
      <c r="I156" s="6">
        <f>INDEX(Netzzeiten!$C$6:$C$29,HOUR(B156)+1)</f>
        <v>1.64</v>
      </c>
      <c r="J156" t="str">
        <f>IF(C156="","FEHLT",IF(NOT(ISNUMBER(C156)),"MESSWERT UNGUELTIG",IF(C156&lt;0,"MESSWERT UNGUELTIG",IF(H156="","TARIFPREIS FEHLT","OK"))))</f>
        <v>FEHLT</v>
      </c>
      <c r="K156" s="7">
        <f>IF(J156&lt;&gt;"OK","",C156*I156/100)</f>
        <v/>
      </c>
    </row>
    <row r="157" spans="1:11">
      <c r="A157" s="14">
        <v>46144</v>
      </c>
      <c r="B157" s="15">
        <v>0.5729166666666666</v>
      </c>
      <c r="C157" s="5">
        <f>IF('96 Werte'!BE7="","",'96 Werte'!BE7)</f>
        <v/>
      </c>
      <c r="D157" t="str">
        <f>IF(IF(Eingaben!$B$21&lt;Eingaben!$B$22,AND(B157&gt;=Eingaben!$B$21,B157&lt;Eingaben!$B$22),OR(B157&gt;=Eingaben!$B$21,B157&lt;Eingaben!$B$22)),"GO",IF(AND(ISNUMBER(Eingaben!$B$23),ISNUMBER(Eingaben!$B$24),IF(Eingaben!$B$23&lt;Eingaben!$B$24,AND(B157&gt;=Eingaben!$B$23,B157&lt;Eingaben!$B$24),OR(B157&gt;=Eingaben!$B$23,B157&lt;Eingaben!$B$24))),"HEAT","STANDARD"))</f>
        <v>STANDARD</v>
      </c>
      <c r="E157" s="9"/>
      <c r="F157" t="str">
        <f>IF(E157="",D157,E157)</f>
        <v>STANDARD</v>
      </c>
      <c r="G157" t="str">
        <f>INDEX(Netzzeiten!$B$6:$B$29,HOUR(B157)+1)</f>
        <v>NT</v>
      </c>
      <c r="H157" s="6">
        <f>IF(F157="GO",Eingaben!$B$11,IF(F157="STANDARD",Eingaben!$B$12,IF(AND(F157="HEAT",ISNUMBER(Eingaben!$B$13)),Eingaben!$B$13,"")))</f>
        <v>28.2744</v>
      </c>
      <c r="I157" s="6">
        <f>INDEX(Netzzeiten!$C$6:$C$29,HOUR(B157)+1)</f>
        <v>1.64</v>
      </c>
      <c r="J157" t="str">
        <f>IF(C157="","FEHLT",IF(NOT(ISNUMBER(C157)),"MESSWERT UNGUELTIG",IF(C157&lt;0,"MESSWERT UNGUELTIG",IF(H157="","TARIFPREIS FEHLT","OK"))))</f>
        <v>FEHLT</v>
      </c>
      <c r="K157" s="7">
        <f>IF(J157&lt;&gt;"OK","",C157*I157/100)</f>
        <v/>
      </c>
    </row>
    <row r="158" spans="1:11">
      <c r="A158" s="14">
        <v>46144</v>
      </c>
      <c r="B158" s="15">
        <v>0.5833333333333334</v>
      </c>
      <c r="C158" s="5">
        <f>IF('96 Werte'!BF7="","",'96 Werte'!BF7)</f>
        <v/>
      </c>
      <c r="D158" t="str">
        <f>IF(IF(Eingaben!$B$21&lt;Eingaben!$B$22,AND(B158&gt;=Eingaben!$B$21,B158&lt;Eingaben!$B$22),OR(B158&gt;=Eingaben!$B$21,B158&lt;Eingaben!$B$22)),"GO",IF(AND(ISNUMBER(Eingaben!$B$23),ISNUMBER(Eingaben!$B$24),IF(Eingaben!$B$23&lt;Eingaben!$B$24,AND(B158&gt;=Eingaben!$B$23,B158&lt;Eingaben!$B$24),OR(B158&gt;=Eingaben!$B$23,B158&lt;Eingaben!$B$24))),"HEAT","STANDARD"))</f>
        <v>STANDARD</v>
      </c>
      <c r="E158" s="9"/>
      <c r="F158" t="str">
        <f>IF(E158="",D158,E158)</f>
        <v>STANDARD</v>
      </c>
      <c r="G158" t="str">
        <f>INDEX(Netzzeiten!$B$6:$B$29,HOUR(B158)+1)</f>
        <v>NT</v>
      </c>
      <c r="H158" s="6">
        <f>IF(F158="GO",Eingaben!$B$11,IF(F158="STANDARD",Eingaben!$B$12,IF(AND(F158="HEAT",ISNUMBER(Eingaben!$B$13)),Eingaben!$B$13,"")))</f>
        <v>28.2744</v>
      </c>
      <c r="I158" s="6">
        <f>INDEX(Netzzeiten!$C$6:$C$29,HOUR(B158)+1)</f>
        <v>1.64</v>
      </c>
      <c r="J158" t="str">
        <f>IF(C158="","FEHLT",IF(NOT(ISNUMBER(C158)),"MESSWERT UNGUELTIG",IF(C158&lt;0,"MESSWERT UNGUELTIG",IF(H158="","TARIFPREIS FEHLT","OK"))))</f>
        <v>FEHLT</v>
      </c>
      <c r="K158" s="7">
        <f>IF(J158&lt;&gt;"OK","",C158*I158/100)</f>
        <v/>
      </c>
    </row>
    <row r="159" spans="1:11">
      <c r="A159" s="14">
        <v>46144</v>
      </c>
      <c r="B159" s="15">
        <v>0.59375</v>
      </c>
      <c r="C159" s="5">
        <f>IF('96 Werte'!BG7="","",'96 Werte'!BG7)</f>
        <v/>
      </c>
      <c r="D159" t="str">
        <f>IF(IF(Eingaben!$B$21&lt;Eingaben!$B$22,AND(B159&gt;=Eingaben!$B$21,B159&lt;Eingaben!$B$22),OR(B159&gt;=Eingaben!$B$21,B159&lt;Eingaben!$B$22)),"GO",IF(AND(ISNUMBER(Eingaben!$B$23),ISNUMBER(Eingaben!$B$24),IF(Eingaben!$B$23&lt;Eingaben!$B$24,AND(B159&gt;=Eingaben!$B$23,B159&lt;Eingaben!$B$24),OR(B159&gt;=Eingaben!$B$23,B159&lt;Eingaben!$B$24))),"HEAT","STANDARD"))</f>
        <v>STANDARD</v>
      </c>
      <c r="E159" s="9"/>
      <c r="F159" t="str">
        <f>IF(E159="",D159,E159)</f>
        <v>STANDARD</v>
      </c>
      <c r="G159" t="str">
        <f>INDEX(Netzzeiten!$B$6:$B$29,HOUR(B159)+1)</f>
        <v>NT</v>
      </c>
      <c r="H159" s="6">
        <f>IF(F159="GO",Eingaben!$B$11,IF(F159="STANDARD",Eingaben!$B$12,IF(AND(F159="HEAT",ISNUMBER(Eingaben!$B$13)),Eingaben!$B$13,"")))</f>
        <v>28.2744</v>
      </c>
      <c r="I159" s="6">
        <f>INDEX(Netzzeiten!$C$6:$C$29,HOUR(B159)+1)</f>
        <v>1.64</v>
      </c>
      <c r="J159" t="str">
        <f>IF(C159="","FEHLT",IF(NOT(ISNUMBER(C159)),"MESSWERT UNGUELTIG",IF(C159&lt;0,"MESSWERT UNGUELTIG",IF(H159="","TARIFPREIS FEHLT","OK"))))</f>
        <v>FEHLT</v>
      </c>
      <c r="K159" s="7">
        <f>IF(J159&lt;&gt;"OK","",C159*I159/100)</f>
        <v/>
      </c>
    </row>
    <row r="160" spans="1:11">
      <c r="A160" s="14">
        <v>46144</v>
      </c>
      <c r="B160" s="15">
        <v>0.6041666666666666</v>
      </c>
      <c r="C160" s="5">
        <f>IF('96 Werte'!BH7="","",'96 Werte'!BH7)</f>
        <v/>
      </c>
      <c r="D160" t="str">
        <f>IF(IF(Eingaben!$B$21&lt;Eingaben!$B$22,AND(B160&gt;=Eingaben!$B$21,B160&lt;Eingaben!$B$22),OR(B160&gt;=Eingaben!$B$21,B160&lt;Eingaben!$B$22)),"GO",IF(AND(ISNUMBER(Eingaben!$B$23),ISNUMBER(Eingaben!$B$24),IF(Eingaben!$B$23&lt;Eingaben!$B$24,AND(B160&gt;=Eingaben!$B$23,B160&lt;Eingaben!$B$24),OR(B160&gt;=Eingaben!$B$23,B160&lt;Eingaben!$B$24))),"HEAT","STANDARD"))</f>
        <v>STANDARD</v>
      </c>
      <c r="E160" s="9"/>
      <c r="F160" t="str">
        <f>IF(E160="",D160,E160)</f>
        <v>STANDARD</v>
      </c>
      <c r="G160" t="str">
        <f>INDEX(Netzzeiten!$B$6:$B$29,HOUR(B160)+1)</f>
        <v>NT</v>
      </c>
      <c r="H160" s="6">
        <f>IF(F160="GO",Eingaben!$B$11,IF(F160="STANDARD",Eingaben!$B$12,IF(AND(F160="HEAT",ISNUMBER(Eingaben!$B$13)),Eingaben!$B$13,"")))</f>
        <v>28.2744</v>
      </c>
      <c r="I160" s="6">
        <f>INDEX(Netzzeiten!$C$6:$C$29,HOUR(B160)+1)</f>
        <v>1.64</v>
      </c>
      <c r="J160" t="str">
        <f>IF(C160="","FEHLT",IF(NOT(ISNUMBER(C160)),"MESSWERT UNGUELTIG",IF(C160&lt;0,"MESSWERT UNGUELTIG",IF(H160="","TARIFPREIS FEHLT","OK"))))</f>
        <v>FEHLT</v>
      </c>
      <c r="K160" s="7">
        <f>IF(J160&lt;&gt;"OK","",C160*I160/100)</f>
        <v/>
      </c>
    </row>
    <row r="161" spans="1:11">
      <c r="A161" s="14">
        <v>46144</v>
      </c>
      <c r="B161" s="15">
        <v>0.6145833333333334</v>
      </c>
      <c r="C161" s="5">
        <f>IF('96 Werte'!BI7="","",'96 Werte'!BI7)</f>
        <v/>
      </c>
      <c r="D161" t="str">
        <f>IF(IF(Eingaben!$B$21&lt;Eingaben!$B$22,AND(B161&gt;=Eingaben!$B$21,B161&lt;Eingaben!$B$22),OR(B161&gt;=Eingaben!$B$21,B161&lt;Eingaben!$B$22)),"GO",IF(AND(ISNUMBER(Eingaben!$B$23),ISNUMBER(Eingaben!$B$24),IF(Eingaben!$B$23&lt;Eingaben!$B$24,AND(B161&gt;=Eingaben!$B$23,B161&lt;Eingaben!$B$24),OR(B161&gt;=Eingaben!$B$23,B161&lt;Eingaben!$B$24))),"HEAT","STANDARD"))</f>
        <v>STANDARD</v>
      </c>
      <c r="E161" s="9"/>
      <c r="F161" t="str">
        <f>IF(E161="",D161,E161)</f>
        <v>STANDARD</v>
      </c>
      <c r="G161" t="str">
        <f>INDEX(Netzzeiten!$B$6:$B$29,HOUR(B161)+1)</f>
        <v>NT</v>
      </c>
      <c r="H161" s="6">
        <f>IF(F161="GO",Eingaben!$B$11,IF(F161="STANDARD",Eingaben!$B$12,IF(AND(F161="HEAT",ISNUMBER(Eingaben!$B$13)),Eingaben!$B$13,"")))</f>
        <v>28.2744</v>
      </c>
      <c r="I161" s="6">
        <f>INDEX(Netzzeiten!$C$6:$C$29,HOUR(B161)+1)</f>
        <v>1.64</v>
      </c>
      <c r="J161" t="str">
        <f>IF(C161="","FEHLT",IF(NOT(ISNUMBER(C161)),"MESSWERT UNGUELTIG",IF(C161&lt;0,"MESSWERT UNGUELTIG",IF(H161="","TARIFPREIS FEHLT","OK"))))</f>
        <v>FEHLT</v>
      </c>
      <c r="K161" s="7">
        <f>IF(J161&lt;&gt;"OK","",C161*I161/100)</f>
        <v/>
      </c>
    </row>
    <row r="162" spans="1:11">
      <c r="A162" s="14">
        <v>46144</v>
      </c>
      <c r="B162" s="15">
        <v>0.625</v>
      </c>
      <c r="C162" s="5">
        <f>IF('96 Werte'!BJ7="","",'96 Werte'!BJ7)</f>
        <v/>
      </c>
      <c r="D162" t="str">
        <f>IF(IF(Eingaben!$B$21&lt;Eingaben!$B$22,AND(B162&gt;=Eingaben!$B$21,B162&lt;Eingaben!$B$22),OR(B162&gt;=Eingaben!$B$21,B162&lt;Eingaben!$B$22)),"GO",IF(AND(ISNUMBER(Eingaben!$B$23),ISNUMBER(Eingaben!$B$24),IF(Eingaben!$B$23&lt;Eingaben!$B$24,AND(B162&gt;=Eingaben!$B$23,B162&lt;Eingaben!$B$24),OR(B162&gt;=Eingaben!$B$23,B162&lt;Eingaben!$B$24))),"HEAT","STANDARD"))</f>
        <v>STANDARD</v>
      </c>
      <c r="E162" s="9"/>
      <c r="F162" t="str">
        <f>IF(E162="",D162,E162)</f>
        <v>STANDARD</v>
      </c>
      <c r="G162" t="str">
        <f>INDEX(Netzzeiten!$B$6:$B$29,HOUR(B162)+1)</f>
        <v>ST</v>
      </c>
      <c r="H162" s="6">
        <f>IF(F162="GO",Eingaben!$B$11,IF(F162="STANDARD",Eingaben!$B$12,IF(AND(F162="HEAT",ISNUMBER(Eingaben!$B$13)),Eingaben!$B$13,"")))</f>
        <v>28.2744</v>
      </c>
      <c r="I162" s="6">
        <f>INDEX(Netzzeiten!$C$6:$C$29,HOUR(B162)+1)</f>
        <v>5.48</v>
      </c>
      <c r="J162" t="str">
        <f>IF(C162="","FEHLT",IF(NOT(ISNUMBER(C162)),"MESSWERT UNGUELTIG",IF(C162&lt;0,"MESSWERT UNGUELTIG",IF(H162="","TARIFPREIS FEHLT","OK"))))</f>
        <v>FEHLT</v>
      </c>
      <c r="K162" s="7">
        <f>IF(J162&lt;&gt;"OK","",C162*I162/100)</f>
        <v/>
      </c>
    </row>
    <row r="163" spans="1:11">
      <c r="A163" s="14">
        <v>46144</v>
      </c>
      <c r="B163" s="15">
        <v>0.6354166666666666</v>
      </c>
      <c r="C163" s="5">
        <f>IF('96 Werte'!BK7="","",'96 Werte'!BK7)</f>
        <v/>
      </c>
      <c r="D163" t="str">
        <f>IF(IF(Eingaben!$B$21&lt;Eingaben!$B$22,AND(B163&gt;=Eingaben!$B$21,B163&lt;Eingaben!$B$22),OR(B163&gt;=Eingaben!$B$21,B163&lt;Eingaben!$B$22)),"GO",IF(AND(ISNUMBER(Eingaben!$B$23),ISNUMBER(Eingaben!$B$24),IF(Eingaben!$B$23&lt;Eingaben!$B$24,AND(B163&gt;=Eingaben!$B$23,B163&lt;Eingaben!$B$24),OR(B163&gt;=Eingaben!$B$23,B163&lt;Eingaben!$B$24))),"HEAT","STANDARD"))</f>
        <v>STANDARD</v>
      </c>
      <c r="E163" s="9"/>
      <c r="F163" t="str">
        <f>IF(E163="",D163,E163)</f>
        <v>STANDARD</v>
      </c>
      <c r="G163" t="str">
        <f>INDEX(Netzzeiten!$B$6:$B$29,HOUR(B163)+1)</f>
        <v>ST</v>
      </c>
      <c r="H163" s="6">
        <f>IF(F163="GO",Eingaben!$B$11,IF(F163="STANDARD",Eingaben!$B$12,IF(AND(F163="HEAT",ISNUMBER(Eingaben!$B$13)),Eingaben!$B$13,"")))</f>
        <v>28.2744</v>
      </c>
      <c r="I163" s="6">
        <f>INDEX(Netzzeiten!$C$6:$C$29,HOUR(B163)+1)</f>
        <v>5.48</v>
      </c>
      <c r="J163" t="str">
        <f>IF(C163="","FEHLT",IF(NOT(ISNUMBER(C163)),"MESSWERT UNGUELTIG",IF(C163&lt;0,"MESSWERT UNGUELTIG",IF(H163="","TARIFPREIS FEHLT","OK"))))</f>
        <v>FEHLT</v>
      </c>
      <c r="K163" s="7">
        <f>IF(J163&lt;&gt;"OK","",C163*I163/100)</f>
        <v/>
      </c>
    </row>
    <row r="164" spans="1:11">
      <c r="A164" s="14">
        <v>46144</v>
      </c>
      <c r="B164" s="15">
        <v>0.6458333333333334</v>
      </c>
      <c r="C164" s="5">
        <f>IF('96 Werte'!BL7="","",'96 Werte'!BL7)</f>
        <v/>
      </c>
      <c r="D164" t="str">
        <f>IF(IF(Eingaben!$B$21&lt;Eingaben!$B$22,AND(B164&gt;=Eingaben!$B$21,B164&lt;Eingaben!$B$22),OR(B164&gt;=Eingaben!$B$21,B164&lt;Eingaben!$B$22)),"GO",IF(AND(ISNUMBER(Eingaben!$B$23),ISNUMBER(Eingaben!$B$24),IF(Eingaben!$B$23&lt;Eingaben!$B$24,AND(B164&gt;=Eingaben!$B$23,B164&lt;Eingaben!$B$24),OR(B164&gt;=Eingaben!$B$23,B164&lt;Eingaben!$B$24))),"HEAT","STANDARD"))</f>
        <v>STANDARD</v>
      </c>
      <c r="E164" s="9"/>
      <c r="F164" t="str">
        <f>IF(E164="",D164,E164)</f>
        <v>STANDARD</v>
      </c>
      <c r="G164" t="str">
        <f>INDEX(Netzzeiten!$B$6:$B$29,HOUR(B164)+1)</f>
        <v>ST</v>
      </c>
      <c r="H164" s="6">
        <f>IF(F164="GO",Eingaben!$B$11,IF(F164="STANDARD",Eingaben!$B$12,IF(AND(F164="HEAT",ISNUMBER(Eingaben!$B$13)),Eingaben!$B$13,"")))</f>
        <v>28.2744</v>
      </c>
      <c r="I164" s="6">
        <f>INDEX(Netzzeiten!$C$6:$C$29,HOUR(B164)+1)</f>
        <v>5.48</v>
      </c>
      <c r="J164" t="str">
        <f>IF(C164="","FEHLT",IF(NOT(ISNUMBER(C164)),"MESSWERT UNGUELTIG",IF(C164&lt;0,"MESSWERT UNGUELTIG",IF(H164="","TARIFPREIS FEHLT","OK"))))</f>
        <v>FEHLT</v>
      </c>
      <c r="K164" s="7">
        <f>IF(J164&lt;&gt;"OK","",C164*I164/100)</f>
        <v/>
      </c>
    </row>
    <row r="165" spans="1:11">
      <c r="A165" s="14">
        <v>46144</v>
      </c>
      <c r="B165" s="15">
        <v>0.65625</v>
      </c>
      <c r="C165" s="5">
        <f>IF('96 Werte'!BM7="","",'96 Werte'!BM7)</f>
        <v/>
      </c>
      <c r="D165" t="str">
        <f>IF(IF(Eingaben!$B$21&lt;Eingaben!$B$22,AND(B165&gt;=Eingaben!$B$21,B165&lt;Eingaben!$B$22),OR(B165&gt;=Eingaben!$B$21,B165&lt;Eingaben!$B$22)),"GO",IF(AND(ISNUMBER(Eingaben!$B$23),ISNUMBER(Eingaben!$B$24),IF(Eingaben!$B$23&lt;Eingaben!$B$24,AND(B165&gt;=Eingaben!$B$23,B165&lt;Eingaben!$B$24),OR(B165&gt;=Eingaben!$B$23,B165&lt;Eingaben!$B$24))),"HEAT","STANDARD"))</f>
        <v>STANDARD</v>
      </c>
      <c r="E165" s="9"/>
      <c r="F165" t="str">
        <f>IF(E165="",D165,E165)</f>
        <v>STANDARD</v>
      </c>
      <c r="G165" t="str">
        <f>INDEX(Netzzeiten!$B$6:$B$29,HOUR(B165)+1)</f>
        <v>ST</v>
      </c>
      <c r="H165" s="6">
        <f>IF(F165="GO",Eingaben!$B$11,IF(F165="STANDARD",Eingaben!$B$12,IF(AND(F165="HEAT",ISNUMBER(Eingaben!$B$13)),Eingaben!$B$13,"")))</f>
        <v>28.2744</v>
      </c>
      <c r="I165" s="6">
        <f>INDEX(Netzzeiten!$C$6:$C$29,HOUR(B165)+1)</f>
        <v>5.48</v>
      </c>
      <c r="J165" t="str">
        <f>IF(C165="","FEHLT",IF(NOT(ISNUMBER(C165)),"MESSWERT UNGUELTIG",IF(C165&lt;0,"MESSWERT UNGUELTIG",IF(H165="","TARIFPREIS FEHLT","OK"))))</f>
        <v>FEHLT</v>
      </c>
      <c r="K165" s="7">
        <f>IF(J165&lt;&gt;"OK","",C165*I165/100)</f>
        <v/>
      </c>
    </row>
    <row r="166" spans="1:11">
      <c r="A166" s="14">
        <v>46144</v>
      </c>
      <c r="B166" s="15">
        <v>0.6666666666666666</v>
      </c>
      <c r="C166" s="5">
        <f>IF('96 Werte'!BN7="","",'96 Werte'!BN7)</f>
        <v/>
      </c>
      <c r="D166" t="str">
        <f>IF(IF(Eingaben!$B$21&lt;Eingaben!$B$22,AND(B166&gt;=Eingaben!$B$21,B166&lt;Eingaben!$B$22),OR(B166&gt;=Eingaben!$B$21,B166&lt;Eingaben!$B$22)),"GO",IF(AND(ISNUMBER(Eingaben!$B$23),ISNUMBER(Eingaben!$B$24),IF(Eingaben!$B$23&lt;Eingaben!$B$24,AND(B166&gt;=Eingaben!$B$23,B166&lt;Eingaben!$B$24),OR(B166&gt;=Eingaben!$B$23,B166&lt;Eingaben!$B$24))),"HEAT","STANDARD"))</f>
        <v>STANDARD</v>
      </c>
      <c r="E166" s="9"/>
      <c r="F166" t="str">
        <f>IF(E166="",D166,E166)</f>
        <v>STANDARD</v>
      </c>
      <c r="G166" t="str">
        <f>INDEX(Netzzeiten!$B$6:$B$29,HOUR(B166)+1)</f>
        <v>ST</v>
      </c>
      <c r="H166" s="6">
        <f>IF(F166="GO",Eingaben!$B$11,IF(F166="STANDARD",Eingaben!$B$12,IF(AND(F166="HEAT",ISNUMBER(Eingaben!$B$13)),Eingaben!$B$13,"")))</f>
        <v>28.2744</v>
      </c>
      <c r="I166" s="6">
        <f>INDEX(Netzzeiten!$C$6:$C$29,HOUR(B166)+1)</f>
        <v>5.48</v>
      </c>
      <c r="J166" t="str">
        <f>IF(C166="","FEHLT",IF(NOT(ISNUMBER(C166)),"MESSWERT UNGUELTIG",IF(C166&lt;0,"MESSWERT UNGUELTIG",IF(H166="","TARIFPREIS FEHLT","OK"))))</f>
        <v>FEHLT</v>
      </c>
      <c r="K166" s="7">
        <f>IF(J166&lt;&gt;"OK","",C166*I166/100)</f>
        <v/>
      </c>
    </row>
    <row r="167" spans="1:11">
      <c r="A167" s="14">
        <v>46144</v>
      </c>
      <c r="B167" s="15">
        <v>0.6770833333333334</v>
      </c>
      <c r="C167" s="5">
        <f>IF('96 Werte'!BO7="","",'96 Werte'!BO7)</f>
        <v/>
      </c>
      <c r="D167" t="str">
        <f>IF(IF(Eingaben!$B$21&lt;Eingaben!$B$22,AND(B167&gt;=Eingaben!$B$21,B167&lt;Eingaben!$B$22),OR(B167&gt;=Eingaben!$B$21,B167&lt;Eingaben!$B$22)),"GO",IF(AND(ISNUMBER(Eingaben!$B$23),ISNUMBER(Eingaben!$B$24),IF(Eingaben!$B$23&lt;Eingaben!$B$24,AND(B167&gt;=Eingaben!$B$23,B167&lt;Eingaben!$B$24),OR(B167&gt;=Eingaben!$B$23,B167&lt;Eingaben!$B$24))),"HEAT","STANDARD"))</f>
        <v>STANDARD</v>
      </c>
      <c r="E167" s="9"/>
      <c r="F167" t="str">
        <f>IF(E167="",D167,E167)</f>
        <v>STANDARD</v>
      </c>
      <c r="G167" t="str">
        <f>INDEX(Netzzeiten!$B$6:$B$29,HOUR(B167)+1)</f>
        <v>ST</v>
      </c>
      <c r="H167" s="6">
        <f>IF(F167="GO",Eingaben!$B$11,IF(F167="STANDARD",Eingaben!$B$12,IF(AND(F167="HEAT",ISNUMBER(Eingaben!$B$13)),Eingaben!$B$13,"")))</f>
        <v>28.2744</v>
      </c>
      <c r="I167" s="6">
        <f>INDEX(Netzzeiten!$C$6:$C$29,HOUR(B167)+1)</f>
        <v>5.48</v>
      </c>
      <c r="J167" t="str">
        <f>IF(C167="","FEHLT",IF(NOT(ISNUMBER(C167)),"MESSWERT UNGUELTIG",IF(C167&lt;0,"MESSWERT UNGUELTIG",IF(H167="","TARIFPREIS FEHLT","OK"))))</f>
        <v>FEHLT</v>
      </c>
      <c r="K167" s="7">
        <f>IF(J167&lt;&gt;"OK","",C167*I167/100)</f>
        <v/>
      </c>
    </row>
    <row r="168" spans="1:11">
      <c r="A168" s="14">
        <v>46144</v>
      </c>
      <c r="B168" s="15">
        <v>0.6875</v>
      </c>
      <c r="C168" s="5">
        <f>IF('96 Werte'!BP7="","",'96 Werte'!BP7)</f>
        <v/>
      </c>
      <c r="D168" t="str">
        <f>IF(IF(Eingaben!$B$21&lt;Eingaben!$B$22,AND(B168&gt;=Eingaben!$B$21,B168&lt;Eingaben!$B$22),OR(B168&gt;=Eingaben!$B$21,B168&lt;Eingaben!$B$22)),"GO",IF(AND(ISNUMBER(Eingaben!$B$23),ISNUMBER(Eingaben!$B$24),IF(Eingaben!$B$23&lt;Eingaben!$B$24,AND(B168&gt;=Eingaben!$B$23,B168&lt;Eingaben!$B$24),OR(B168&gt;=Eingaben!$B$23,B168&lt;Eingaben!$B$24))),"HEAT","STANDARD"))</f>
        <v>STANDARD</v>
      </c>
      <c r="E168" s="9"/>
      <c r="F168" t="str">
        <f>IF(E168="",D168,E168)</f>
        <v>STANDARD</v>
      </c>
      <c r="G168" t="str">
        <f>INDEX(Netzzeiten!$B$6:$B$29,HOUR(B168)+1)</f>
        <v>ST</v>
      </c>
      <c r="H168" s="6">
        <f>IF(F168="GO",Eingaben!$B$11,IF(F168="STANDARD",Eingaben!$B$12,IF(AND(F168="HEAT",ISNUMBER(Eingaben!$B$13)),Eingaben!$B$13,"")))</f>
        <v>28.2744</v>
      </c>
      <c r="I168" s="6">
        <f>INDEX(Netzzeiten!$C$6:$C$29,HOUR(B168)+1)</f>
        <v>5.48</v>
      </c>
      <c r="J168" t="str">
        <f>IF(C168="","FEHLT",IF(NOT(ISNUMBER(C168)),"MESSWERT UNGUELTIG",IF(C168&lt;0,"MESSWERT UNGUELTIG",IF(H168="","TARIFPREIS FEHLT","OK"))))</f>
        <v>FEHLT</v>
      </c>
      <c r="K168" s="7">
        <f>IF(J168&lt;&gt;"OK","",C168*I168/100)</f>
        <v/>
      </c>
    </row>
    <row r="169" spans="1:11">
      <c r="A169" s="14">
        <v>46144</v>
      </c>
      <c r="B169" s="15">
        <v>0.6979166666666666</v>
      </c>
      <c r="C169" s="5">
        <f>IF('96 Werte'!BQ7="","",'96 Werte'!BQ7)</f>
        <v/>
      </c>
      <c r="D169" t="str">
        <f>IF(IF(Eingaben!$B$21&lt;Eingaben!$B$22,AND(B169&gt;=Eingaben!$B$21,B169&lt;Eingaben!$B$22),OR(B169&gt;=Eingaben!$B$21,B169&lt;Eingaben!$B$22)),"GO",IF(AND(ISNUMBER(Eingaben!$B$23),ISNUMBER(Eingaben!$B$24),IF(Eingaben!$B$23&lt;Eingaben!$B$24,AND(B169&gt;=Eingaben!$B$23,B169&lt;Eingaben!$B$24),OR(B169&gt;=Eingaben!$B$23,B169&lt;Eingaben!$B$24))),"HEAT","STANDARD"))</f>
        <v>STANDARD</v>
      </c>
      <c r="E169" s="9"/>
      <c r="F169" t="str">
        <f>IF(E169="",D169,E169)</f>
        <v>STANDARD</v>
      </c>
      <c r="G169" t="str">
        <f>INDEX(Netzzeiten!$B$6:$B$29,HOUR(B169)+1)</f>
        <v>ST</v>
      </c>
      <c r="H169" s="6">
        <f>IF(F169="GO",Eingaben!$B$11,IF(F169="STANDARD",Eingaben!$B$12,IF(AND(F169="HEAT",ISNUMBER(Eingaben!$B$13)),Eingaben!$B$13,"")))</f>
        <v>28.2744</v>
      </c>
      <c r="I169" s="6">
        <f>INDEX(Netzzeiten!$C$6:$C$29,HOUR(B169)+1)</f>
        <v>5.48</v>
      </c>
      <c r="J169" t="str">
        <f>IF(C169="","FEHLT",IF(NOT(ISNUMBER(C169)),"MESSWERT UNGUELTIG",IF(C169&lt;0,"MESSWERT UNGUELTIG",IF(H169="","TARIFPREIS FEHLT","OK"))))</f>
        <v>FEHLT</v>
      </c>
      <c r="K169" s="7">
        <f>IF(J169&lt;&gt;"OK","",C169*I169/100)</f>
        <v/>
      </c>
    </row>
    <row r="170" spans="1:11">
      <c r="A170" s="14">
        <v>46144</v>
      </c>
      <c r="B170" s="15">
        <v>0.7083333333333334</v>
      </c>
      <c r="C170" s="5">
        <f>IF('96 Werte'!BR7="","",'96 Werte'!BR7)</f>
        <v/>
      </c>
      <c r="D170" t="str">
        <f>IF(IF(Eingaben!$B$21&lt;Eingaben!$B$22,AND(B170&gt;=Eingaben!$B$21,B170&lt;Eingaben!$B$22),OR(B170&gt;=Eingaben!$B$21,B170&lt;Eingaben!$B$22)),"GO",IF(AND(ISNUMBER(Eingaben!$B$23),ISNUMBER(Eingaben!$B$24),IF(Eingaben!$B$23&lt;Eingaben!$B$24,AND(B170&gt;=Eingaben!$B$23,B170&lt;Eingaben!$B$24),OR(B170&gt;=Eingaben!$B$23,B170&lt;Eingaben!$B$24))),"HEAT","STANDARD"))</f>
        <v>STANDARD</v>
      </c>
      <c r="E170" s="9"/>
      <c r="F170" t="str">
        <f>IF(E170="",D170,E170)</f>
        <v>STANDARD</v>
      </c>
      <c r="G170" t="str">
        <f>INDEX(Netzzeiten!$B$6:$B$29,HOUR(B170)+1)</f>
        <v>HT</v>
      </c>
      <c r="H170" s="6">
        <f>IF(F170="GO",Eingaben!$B$11,IF(F170="STANDARD",Eingaben!$B$12,IF(AND(F170="HEAT",ISNUMBER(Eingaben!$B$13)),Eingaben!$B$13,"")))</f>
        <v>28.2744</v>
      </c>
      <c r="I170" s="6">
        <f>INDEX(Netzzeiten!$C$6:$C$29,HOUR(B170)+1)</f>
        <v>10.52</v>
      </c>
      <c r="J170" t="str">
        <f>IF(C170="","FEHLT",IF(NOT(ISNUMBER(C170)),"MESSWERT UNGUELTIG",IF(C170&lt;0,"MESSWERT UNGUELTIG",IF(H170="","TARIFPREIS FEHLT","OK"))))</f>
        <v>FEHLT</v>
      </c>
      <c r="K170" s="7">
        <f>IF(J170&lt;&gt;"OK","",C170*I170/100)</f>
        <v/>
      </c>
    </row>
    <row r="171" spans="1:11">
      <c r="A171" s="14">
        <v>46144</v>
      </c>
      <c r="B171" s="15">
        <v>0.71875</v>
      </c>
      <c r="C171" s="5">
        <f>IF('96 Werte'!BS7="","",'96 Werte'!BS7)</f>
        <v/>
      </c>
      <c r="D171" t="str">
        <f>IF(IF(Eingaben!$B$21&lt;Eingaben!$B$22,AND(B171&gt;=Eingaben!$B$21,B171&lt;Eingaben!$B$22),OR(B171&gt;=Eingaben!$B$21,B171&lt;Eingaben!$B$22)),"GO",IF(AND(ISNUMBER(Eingaben!$B$23),ISNUMBER(Eingaben!$B$24),IF(Eingaben!$B$23&lt;Eingaben!$B$24,AND(B171&gt;=Eingaben!$B$23,B171&lt;Eingaben!$B$24),OR(B171&gt;=Eingaben!$B$23,B171&lt;Eingaben!$B$24))),"HEAT","STANDARD"))</f>
        <v>STANDARD</v>
      </c>
      <c r="E171" s="9"/>
      <c r="F171" t="str">
        <f>IF(E171="",D171,E171)</f>
        <v>STANDARD</v>
      </c>
      <c r="G171" t="str">
        <f>INDEX(Netzzeiten!$B$6:$B$29,HOUR(B171)+1)</f>
        <v>HT</v>
      </c>
      <c r="H171" s="6">
        <f>IF(F171="GO",Eingaben!$B$11,IF(F171="STANDARD",Eingaben!$B$12,IF(AND(F171="HEAT",ISNUMBER(Eingaben!$B$13)),Eingaben!$B$13,"")))</f>
        <v>28.2744</v>
      </c>
      <c r="I171" s="6">
        <f>INDEX(Netzzeiten!$C$6:$C$29,HOUR(B171)+1)</f>
        <v>10.52</v>
      </c>
      <c r="J171" t="str">
        <f>IF(C171="","FEHLT",IF(NOT(ISNUMBER(C171)),"MESSWERT UNGUELTIG",IF(C171&lt;0,"MESSWERT UNGUELTIG",IF(H171="","TARIFPREIS FEHLT","OK"))))</f>
        <v>FEHLT</v>
      </c>
      <c r="K171" s="7">
        <f>IF(J171&lt;&gt;"OK","",C171*I171/100)</f>
        <v/>
      </c>
    </row>
    <row r="172" spans="1:11">
      <c r="A172" s="14">
        <v>46144</v>
      </c>
      <c r="B172" s="15">
        <v>0.7291666666666666</v>
      </c>
      <c r="C172" s="5">
        <f>IF('96 Werte'!BT7="","",'96 Werte'!BT7)</f>
        <v/>
      </c>
      <c r="D172" t="str">
        <f>IF(IF(Eingaben!$B$21&lt;Eingaben!$B$22,AND(B172&gt;=Eingaben!$B$21,B172&lt;Eingaben!$B$22),OR(B172&gt;=Eingaben!$B$21,B172&lt;Eingaben!$B$22)),"GO",IF(AND(ISNUMBER(Eingaben!$B$23),ISNUMBER(Eingaben!$B$24),IF(Eingaben!$B$23&lt;Eingaben!$B$24,AND(B172&gt;=Eingaben!$B$23,B172&lt;Eingaben!$B$24),OR(B172&gt;=Eingaben!$B$23,B172&lt;Eingaben!$B$24))),"HEAT","STANDARD"))</f>
        <v>STANDARD</v>
      </c>
      <c r="E172" s="9"/>
      <c r="F172" t="str">
        <f>IF(E172="",D172,E172)</f>
        <v>STANDARD</v>
      </c>
      <c r="G172" t="str">
        <f>INDEX(Netzzeiten!$B$6:$B$29,HOUR(B172)+1)</f>
        <v>HT</v>
      </c>
      <c r="H172" s="6">
        <f>IF(F172="GO",Eingaben!$B$11,IF(F172="STANDARD",Eingaben!$B$12,IF(AND(F172="HEAT",ISNUMBER(Eingaben!$B$13)),Eingaben!$B$13,"")))</f>
        <v>28.2744</v>
      </c>
      <c r="I172" s="6">
        <f>INDEX(Netzzeiten!$C$6:$C$29,HOUR(B172)+1)</f>
        <v>10.52</v>
      </c>
      <c r="J172" t="str">
        <f>IF(C172="","FEHLT",IF(NOT(ISNUMBER(C172)),"MESSWERT UNGUELTIG",IF(C172&lt;0,"MESSWERT UNGUELTIG",IF(H172="","TARIFPREIS FEHLT","OK"))))</f>
        <v>FEHLT</v>
      </c>
      <c r="K172" s="7">
        <f>IF(J172&lt;&gt;"OK","",C172*I172/100)</f>
        <v/>
      </c>
    </row>
    <row r="173" spans="1:11">
      <c r="A173" s="14">
        <v>46144</v>
      </c>
      <c r="B173" s="15">
        <v>0.7395833333333334</v>
      </c>
      <c r="C173" s="5">
        <f>IF('96 Werte'!BU7="","",'96 Werte'!BU7)</f>
        <v/>
      </c>
      <c r="D173" t="str">
        <f>IF(IF(Eingaben!$B$21&lt;Eingaben!$B$22,AND(B173&gt;=Eingaben!$B$21,B173&lt;Eingaben!$B$22),OR(B173&gt;=Eingaben!$B$21,B173&lt;Eingaben!$B$22)),"GO",IF(AND(ISNUMBER(Eingaben!$B$23),ISNUMBER(Eingaben!$B$24),IF(Eingaben!$B$23&lt;Eingaben!$B$24,AND(B173&gt;=Eingaben!$B$23,B173&lt;Eingaben!$B$24),OR(B173&gt;=Eingaben!$B$23,B173&lt;Eingaben!$B$24))),"HEAT","STANDARD"))</f>
        <v>STANDARD</v>
      </c>
      <c r="E173" s="9"/>
      <c r="F173" t="str">
        <f>IF(E173="",D173,E173)</f>
        <v>STANDARD</v>
      </c>
      <c r="G173" t="str">
        <f>INDEX(Netzzeiten!$B$6:$B$29,HOUR(B173)+1)</f>
        <v>HT</v>
      </c>
      <c r="H173" s="6">
        <f>IF(F173="GO",Eingaben!$B$11,IF(F173="STANDARD",Eingaben!$B$12,IF(AND(F173="HEAT",ISNUMBER(Eingaben!$B$13)),Eingaben!$B$13,"")))</f>
        <v>28.2744</v>
      </c>
      <c r="I173" s="6">
        <f>INDEX(Netzzeiten!$C$6:$C$29,HOUR(B173)+1)</f>
        <v>10.52</v>
      </c>
      <c r="J173" t="str">
        <f>IF(C173="","FEHLT",IF(NOT(ISNUMBER(C173)),"MESSWERT UNGUELTIG",IF(C173&lt;0,"MESSWERT UNGUELTIG",IF(H173="","TARIFPREIS FEHLT","OK"))))</f>
        <v>FEHLT</v>
      </c>
      <c r="K173" s="7">
        <f>IF(J173&lt;&gt;"OK","",C173*I173/100)</f>
        <v/>
      </c>
    </row>
    <row r="174" spans="1:11">
      <c r="A174" s="14">
        <v>46144</v>
      </c>
      <c r="B174" s="15">
        <v>0.75</v>
      </c>
      <c r="C174" s="5">
        <f>IF('96 Werte'!BV7="","",'96 Werte'!BV7)</f>
        <v/>
      </c>
      <c r="D174" t="str">
        <f>IF(IF(Eingaben!$B$21&lt;Eingaben!$B$22,AND(B174&gt;=Eingaben!$B$21,B174&lt;Eingaben!$B$22),OR(B174&gt;=Eingaben!$B$21,B174&lt;Eingaben!$B$22)),"GO",IF(AND(ISNUMBER(Eingaben!$B$23),ISNUMBER(Eingaben!$B$24),IF(Eingaben!$B$23&lt;Eingaben!$B$24,AND(B174&gt;=Eingaben!$B$23,B174&lt;Eingaben!$B$24),OR(B174&gt;=Eingaben!$B$23,B174&lt;Eingaben!$B$24))),"HEAT","STANDARD"))</f>
        <v>STANDARD</v>
      </c>
      <c r="E174" s="9"/>
      <c r="F174" t="str">
        <f>IF(E174="",D174,E174)</f>
        <v>STANDARD</v>
      </c>
      <c r="G174" t="str">
        <f>INDEX(Netzzeiten!$B$6:$B$29,HOUR(B174)+1)</f>
        <v>HT</v>
      </c>
      <c r="H174" s="6">
        <f>IF(F174="GO",Eingaben!$B$11,IF(F174="STANDARD",Eingaben!$B$12,IF(AND(F174="HEAT",ISNUMBER(Eingaben!$B$13)),Eingaben!$B$13,"")))</f>
        <v>28.2744</v>
      </c>
      <c r="I174" s="6">
        <f>INDEX(Netzzeiten!$C$6:$C$29,HOUR(B174)+1)</f>
        <v>10.52</v>
      </c>
      <c r="J174" t="str">
        <f>IF(C174="","FEHLT",IF(NOT(ISNUMBER(C174)),"MESSWERT UNGUELTIG",IF(C174&lt;0,"MESSWERT UNGUELTIG",IF(H174="","TARIFPREIS FEHLT","OK"))))</f>
        <v>FEHLT</v>
      </c>
      <c r="K174" s="7">
        <f>IF(J174&lt;&gt;"OK","",C174*I174/100)</f>
        <v/>
      </c>
    </row>
    <row r="175" spans="1:11">
      <c r="A175" s="14">
        <v>46144</v>
      </c>
      <c r="B175" s="15">
        <v>0.7604166666666666</v>
      </c>
      <c r="C175" s="5">
        <f>IF('96 Werte'!BW7="","",'96 Werte'!BW7)</f>
        <v/>
      </c>
      <c r="D175" t="str">
        <f>IF(IF(Eingaben!$B$21&lt;Eingaben!$B$22,AND(B175&gt;=Eingaben!$B$21,B175&lt;Eingaben!$B$22),OR(B175&gt;=Eingaben!$B$21,B175&lt;Eingaben!$B$22)),"GO",IF(AND(ISNUMBER(Eingaben!$B$23),ISNUMBER(Eingaben!$B$24),IF(Eingaben!$B$23&lt;Eingaben!$B$24,AND(B175&gt;=Eingaben!$B$23,B175&lt;Eingaben!$B$24),OR(B175&gt;=Eingaben!$B$23,B175&lt;Eingaben!$B$24))),"HEAT","STANDARD"))</f>
        <v>STANDARD</v>
      </c>
      <c r="E175" s="9"/>
      <c r="F175" t="str">
        <f>IF(E175="",D175,E175)</f>
        <v>STANDARD</v>
      </c>
      <c r="G175" t="str">
        <f>INDEX(Netzzeiten!$B$6:$B$29,HOUR(B175)+1)</f>
        <v>HT</v>
      </c>
      <c r="H175" s="6">
        <f>IF(F175="GO",Eingaben!$B$11,IF(F175="STANDARD",Eingaben!$B$12,IF(AND(F175="HEAT",ISNUMBER(Eingaben!$B$13)),Eingaben!$B$13,"")))</f>
        <v>28.2744</v>
      </c>
      <c r="I175" s="6">
        <f>INDEX(Netzzeiten!$C$6:$C$29,HOUR(B175)+1)</f>
        <v>10.52</v>
      </c>
      <c r="J175" t="str">
        <f>IF(C175="","FEHLT",IF(NOT(ISNUMBER(C175)),"MESSWERT UNGUELTIG",IF(C175&lt;0,"MESSWERT UNGUELTIG",IF(H175="","TARIFPREIS FEHLT","OK"))))</f>
        <v>FEHLT</v>
      </c>
      <c r="K175" s="7">
        <f>IF(J175&lt;&gt;"OK","",C175*I175/100)</f>
        <v/>
      </c>
    </row>
    <row r="176" spans="1:11">
      <c r="A176" s="14">
        <v>46144</v>
      </c>
      <c r="B176" s="15">
        <v>0.7708333333333334</v>
      </c>
      <c r="C176" s="5">
        <f>IF('96 Werte'!BX7="","",'96 Werte'!BX7)</f>
        <v/>
      </c>
      <c r="D176" t="str">
        <f>IF(IF(Eingaben!$B$21&lt;Eingaben!$B$22,AND(B176&gt;=Eingaben!$B$21,B176&lt;Eingaben!$B$22),OR(B176&gt;=Eingaben!$B$21,B176&lt;Eingaben!$B$22)),"GO",IF(AND(ISNUMBER(Eingaben!$B$23),ISNUMBER(Eingaben!$B$24),IF(Eingaben!$B$23&lt;Eingaben!$B$24,AND(B176&gt;=Eingaben!$B$23,B176&lt;Eingaben!$B$24),OR(B176&gt;=Eingaben!$B$23,B176&lt;Eingaben!$B$24))),"HEAT","STANDARD"))</f>
        <v>STANDARD</v>
      </c>
      <c r="E176" s="9"/>
      <c r="F176" t="str">
        <f>IF(E176="",D176,E176)</f>
        <v>STANDARD</v>
      </c>
      <c r="G176" t="str">
        <f>INDEX(Netzzeiten!$B$6:$B$29,HOUR(B176)+1)</f>
        <v>HT</v>
      </c>
      <c r="H176" s="6">
        <f>IF(F176="GO",Eingaben!$B$11,IF(F176="STANDARD",Eingaben!$B$12,IF(AND(F176="HEAT",ISNUMBER(Eingaben!$B$13)),Eingaben!$B$13,"")))</f>
        <v>28.2744</v>
      </c>
      <c r="I176" s="6">
        <f>INDEX(Netzzeiten!$C$6:$C$29,HOUR(B176)+1)</f>
        <v>10.52</v>
      </c>
      <c r="J176" t="str">
        <f>IF(C176="","FEHLT",IF(NOT(ISNUMBER(C176)),"MESSWERT UNGUELTIG",IF(C176&lt;0,"MESSWERT UNGUELTIG",IF(H176="","TARIFPREIS FEHLT","OK"))))</f>
        <v>FEHLT</v>
      </c>
      <c r="K176" s="7">
        <f>IF(J176&lt;&gt;"OK","",C176*I176/100)</f>
        <v/>
      </c>
    </row>
    <row r="177" spans="1:11">
      <c r="A177" s="14">
        <v>46144</v>
      </c>
      <c r="B177" s="15">
        <v>0.78125</v>
      </c>
      <c r="C177" s="5">
        <f>IF('96 Werte'!BY7="","",'96 Werte'!BY7)</f>
        <v/>
      </c>
      <c r="D177" t="str">
        <f>IF(IF(Eingaben!$B$21&lt;Eingaben!$B$22,AND(B177&gt;=Eingaben!$B$21,B177&lt;Eingaben!$B$22),OR(B177&gt;=Eingaben!$B$21,B177&lt;Eingaben!$B$22)),"GO",IF(AND(ISNUMBER(Eingaben!$B$23),ISNUMBER(Eingaben!$B$24),IF(Eingaben!$B$23&lt;Eingaben!$B$24,AND(B177&gt;=Eingaben!$B$23,B177&lt;Eingaben!$B$24),OR(B177&gt;=Eingaben!$B$23,B177&lt;Eingaben!$B$24))),"HEAT","STANDARD"))</f>
        <v>STANDARD</v>
      </c>
      <c r="E177" s="9"/>
      <c r="F177" t="str">
        <f>IF(E177="",D177,E177)</f>
        <v>STANDARD</v>
      </c>
      <c r="G177" t="str">
        <f>INDEX(Netzzeiten!$B$6:$B$29,HOUR(B177)+1)</f>
        <v>HT</v>
      </c>
      <c r="H177" s="6">
        <f>IF(F177="GO",Eingaben!$B$11,IF(F177="STANDARD",Eingaben!$B$12,IF(AND(F177="HEAT",ISNUMBER(Eingaben!$B$13)),Eingaben!$B$13,"")))</f>
        <v>28.2744</v>
      </c>
      <c r="I177" s="6">
        <f>INDEX(Netzzeiten!$C$6:$C$29,HOUR(B177)+1)</f>
        <v>10.52</v>
      </c>
      <c r="J177" t="str">
        <f>IF(C177="","FEHLT",IF(NOT(ISNUMBER(C177)),"MESSWERT UNGUELTIG",IF(C177&lt;0,"MESSWERT UNGUELTIG",IF(H177="","TARIFPREIS FEHLT","OK"))))</f>
        <v>FEHLT</v>
      </c>
      <c r="K177" s="7">
        <f>IF(J177&lt;&gt;"OK","",C177*I177/100)</f>
        <v/>
      </c>
    </row>
    <row r="178" spans="1:11">
      <c r="A178" s="14">
        <v>46144</v>
      </c>
      <c r="B178" s="15">
        <v>0.7916666666666666</v>
      </c>
      <c r="C178" s="5">
        <f>IF('96 Werte'!BZ7="","",'96 Werte'!BZ7)</f>
        <v/>
      </c>
      <c r="D178" t="str">
        <f>IF(IF(Eingaben!$B$21&lt;Eingaben!$B$22,AND(B178&gt;=Eingaben!$B$21,B178&lt;Eingaben!$B$22),OR(B178&gt;=Eingaben!$B$21,B178&lt;Eingaben!$B$22)),"GO",IF(AND(ISNUMBER(Eingaben!$B$23),ISNUMBER(Eingaben!$B$24),IF(Eingaben!$B$23&lt;Eingaben!$B$24,AND(B178&gt;=Eingaben!$B$23,B178&lt;Eingaben!$B$24),OR(B178&gt;=Eingaben!$B$23,B178&lt;Eingaben!$B$24))),"HEAT","STANDARD"))</f>
        <v>STANDARD</v>
      </c>
      <c r="E178" s="9"/>
      <c r="F178" t="str">
        <f>IF(E178="",D178,E178)</f>
        <v>STANDARD</v>
      </c>
      <c r="G178" t="str">
        <f>INDEX(Netzzeiten!$B$6:$B$29,HOUR(B178)+1)</f>
        <v>HT</v>
      </c>
      <c r="H178" s="6">
        <f>IF(F178="GO",Eingaben!$B$11,IF(F178="STANDARD",Eingaben!$B$12,IF(AND(F178="HEAT",ISNUMBER(Eingaben!$B$13)),Eingaben!$B$13,"")))</f>
        <v>28.2744</v>
      </c>
      <c r="I178" s="6">
        <f>INDEX(Netzzeiten!$C$6:$C$29,HOUR(B178)+1)</f>
        <v>10.52</v>
      </c>
      <c r="J178" t="str">
        <f>IF(C178="","FEHLT",IF(NOT(ISNUMBER(C178)),"MESSWERT UNGUELTIG",IF(C178&lt;0,"MESSWERT UNGUELTIG",IF(H178="","TARIFPREIS FEHLT","OK"))))</f>
        <v>FEHLT</v>
      </c>
      <c r="K178" s="7">
        <f>IF(J178&lt;&gt;"OK","",C178*I178/100)</f>
        <v/>
      </c>
    </row>
    <row r="179" spans="1:11">
      <c r="A179" s="14">
        <v>46144</v>
      </c>
      <c r="B179" s="15">
        <v>0.8020833333333334</v>
      </c>
      <c r="C179" s="5">
        <f>IF('96 Werte'!CA7="","",'96 Werte'!CA7)</f>
        <v/>
      </c>
      <c r="D179" t="str">
        <f>IF(IF(Eingaben!$B$21&lt;Eingaben!$B$22,AND(B179&gt;=Eingaben!$B$21,B179&lt;Eingaben!$B$22),OR(B179&gt;=Eingaben!$B$21,B179&lt;Eingaben!$B$22)),"GO",IF(AND(ISNUMBER(Eingaben!$B$23),ISNUMBER(Eingaben!$B$24),IF(Eingaben!$B$23&lt;Eingaben!$B$24,AND(B179&gt;=Eingaben!$B$23,B179&lt;Eingaben!$B$24),OR(B179&gt;=Eingaben!$B$23,B179&lt;Eingaben!$B$24))),"HEAT","STANDARD"))</f>
        <v>STANDARD</v>
      </c>
      <c r="E179" s="9"/>
      <c r="F179" t="str">
        <f>IF(E179="",D179,E179)</f>
        <v>STANDARD</v>
      </c>
      <c r="G179" t="str">
        <f>INDEX(Netzzeiten!$B$6:$B$29,HOUR(B179)+1)</f>
        <v>HT</v>
      </c>
      <c r="H179" s="6">
        <f>IF(F179="GO",Eingaben!$B$11,IF(F179="STANDARD",Eingaben!$B$12,IF(AND(F179="HEAT",ISNUMBER(Eingaben!$B$13)),Eingaben!$B$13,"")))</f>
        <v>28.2744</v>
      </c>
      <c r="I179" s="6">
        <f>INDEX(Netzzeiten!$C$6:$C$29,HOUR(B179)+1)</f>
        <v>10.52</v>
      </c>
      <c r="J179" t="str">
        <f>IF(C179="","FEHLT",IF(NOT(ISNUMBER(C179)),"MESSWERT UNGUELTIG",IF(C179&lt;0,"MESSWERT UNGUELTIG",IF(H179="","TARIFPREIS FEHLT","OK"))))</f>
        <v>FEHLT</v>
      </c>
      <c r="K179" s="7">
        <f>IF(J179&lt;&gt;"OK","",C179*I179/100)</f>
        <v/>
      </c>
    </row>
    <row r="180" spans="1:11">
      <c r="A180" s="14">
        <v>46144</v>
      </c>
      <c r="B180" s="15">
        <v>0.8125</v>
      </c>
      <c r="C180" s="5">
        <f>IF('96 Werte'!CB7="","",'96 Werte'!CB7)</f>
        <v/>
      </c>
      <c r="D180" t="str">
        <f>IF(IF(Eingaben!$B$21&lt;Eingaben!$B$22,AND(B180&gt;=Eingaben!$B$21,B180&lt;Eingaben!$B$22),OR(B180&gt;=Eingaben!$B$21,B180&lt;Eingaben!$B$22)),"GO",IF(AND(ISNUMBER(Eingaben!$B$23),ISNUMBER(Eingaben!$B$24),IF(Eingaben!$B$23&lt;Eingaben!$B$24,AND(B180&gt;=Eingaben!$B$23,B180&lt;Eingaben!$B$24),OR(B180&gt;=Eingaben!$B$23,B180&lt;Eingaben!$B$24))),"HEAT","STANDARD"))</f>
        <v>STANDARD</v>
      </c>
      <c r="E180" s="9"/>
      <c r="F180" t="str">
        <f>IF(E180="",D180,E180)</f>
        <v>STANDARD</v>
      </c>
      <c r="G180" t="str">
        <f>INDEX(Netzzeiten!$B$6:$B$29,HOUR(B180)+1)</f>
        <v>HT</v>
      </c>
      <c r="H180" s="6">
        <f>IF(F180="GO",Eingaben!$B$11,IF(F180="STANDARD",Eingaben!$B$12,IF(AND(F180="HEAT",ISNUMBER(Eingaben!$B$13)),Eingaben!$B$13,"")))</f>
        <v>28.2744</v>
      </c>
      <c r="I180" s="6">
        <f>INDEX(Netzzeiten!$C$6:$C$29,HOUR(B180)+1)</f>
        <v>10.52</v>
      </c>
      <c r="J180" t="str">
        <f>IF(C180="","FEHLT",IF(NOT(ISNUMBER(C180)),"MESSWERT UNGUELTIG",IF(C180&lt;0,"MESSWERT UNGUELTIG",IF(H180="","TARIFPREIS FEHLT","OK"))))</f>
        <v>FEHLT</v>
      </c>
      <c r="K180" s="7">
        <f>IF(J180&lt;&gt;"OK","",C180*I180/100)</f>
        <v/>
      </c>
    </row>
    <row r="181" spans="1:11">
      <c r="A181" s="14">
        <v>46144</v>
      </c>
      <c r="B181" s="15">
        <v>0.8229166666666666</v>
      </c>
      <c r="C181" s="5">
        <f>IF('96 Werte'!CC7="","",'96 Werte'!CC7)</f>
        <v/>
      </c>
      <c r="D181" t="str">
        <f>IF(IF(Eingaben!$B$21&lt;Eingaben!$B$22,AND(B181&gt;=Eingaben!$B$21,B181&lt;Eingaben!$B$22),OR(B181&gt;=Eingaben!$B$21,B181&lt;Eingaben!$B$22)),"GO",IF(AND(ISNUMBER(Eingaben!$B$23),ISNUMBER(Eingaben!$B$24),IF(Eingaben!$B$23&lt;Eingaben!$B$24,AND(B181&gt;=Eingaben!$B$23,B181&lt;Eingaben!$B$24),OR(B181&gt;=Eingaben!$B$23,B181&lt;Eingaben!$B$24))),"HEAT","STANDARD"))</f>
        <v>STANDARD</v>
      </c>
      <c r="E181" s="9"/>
      <c r="F181" t="str">
        <f>IF(E181="",D181,E181)</f>
        <v>STANDARD</v>
      </c>
      <c r="G181" t="str">
        <f>INDEX(Netzzeiten!$B$6:$B$29,HOUR(B181)+1)</f>
        <v>HT</v>
      </c>
      <c r="H181" s="6">
        <f>IF(F181="GO",Eingaben!$B$11,IF(F181="STANDARD",Eingaben!$B$12,IF(AND(F181="HEAT",ISNUMBER(Eingaben!$B$13)),Eingaben!$B$13,"")))</f>
        <v>28.2744</v>
      </c>
      <c r="I181" s="6">
        <f>INDEX(Netzzeiten!$C$6:$C$29,HOUR(B181)+1)</f>
        <v>10.52</v>
      </c>
      <c r="J181" t="str">
        <f>IF(C181="","FEHLT",IF(NOT(ISNUMBER(C181)),"MESSWERT UNGUELTIG",IF(C181&lt;0,"MESSWERT UNGUELTIG",IF(H181="","TARIFPREIS FEHLT","OK"))))</f>
        <v>FEHLT</v>
      </c>
      <c r="K181" s="7">
        <f>IF(J181&lt;&gt;"OK","",C181*I181/100)</f>
        <v/>
      </c>
    </row>
    <row r="182" spans="1:11">
      <c r="A182" s="14">
        <v>46144</v>
      </c>
      <c r="B182" s="15">
        <v>0.8333333333333334</v>
      </c>
      <c r="C182" s="5">
        <f>IF('96 Werte'!CD7="","",'96 Werte'!CD7)</f>
        <v/>
      </c>
      <c r="D182" t="str">
        <f>IF(IF(Eingaben!$B$21&lt;Eingaben!$B$22,AND(B182&gt;=Eingaben!$B$21,B182&lt;Eingaben!$B$22),OR(B182&gt;=Eingaben!$B$21,B182&lt;Eingaben!$B$22)),"GO",IF(AND(ISNUMBER(Eingaben!$B$23),ISNUMBER(Eingaben!$B$24),IF(Eingaben!$B$23&lt;Eingaben!$B$24,AND(B182&gt;=Eingaben!$B$23,B182&lt;Eingaben!$B$24),OR(B182&gt;=Eingaben!$B$23,B182&lt;Eingaben!$B$24))),"HEAT","STANDARD"))</f>
        <v>STANDARD</v>
      </c>
      <c r="E182" s="9"/>
      <c r="F182" t="str">
        <f>IF(E182="",D182,E182)</f>
        <v>STANDARD</v>
      </c>
      <c r="G182" t="str">
        <f>INDEX(Netzzeiten!$B$6:$B$29,HOUR(B182)+1)</f>
        <v>HT</v>
      </c>
      <c r="H182" s="6">
        <f>IF(F182="GO",Eingaben!$B$11,IF(F182="STANDARD",Eingaben!$B$12,IF(AND(F182="HEAT",ISNUMBER(Eingaben!$B$13)),Eingaben!$B$13,"")))</f>
        <v>28.2744</v>
      </c>
      <c r="I182" s="6">
        <f>INDEX(Netzzeiten!$C$6:$C$29,HOUR(B182)+1)</f>
        <v>10.52</v>
      </c>
      <c r="J182" t="str">
        <f>IF(C182="","FEHLT",IF(NOT(ISNUMBER(C182)),"MESSWERT UNGUELTIG",IF(C182&lt;0,"MESSWERT UNGUELTIG",IF(H182="","TARIFPREIS FEHLT","OK"))))</f>
        <v>FEHLT</v>
      </c>
      <c r="K182" s="7">
        <f>IF(J182&lt;&gt;"OK","",C182*I182/100)</f>
        <v/>
      </c>
    </row>
    <row r="183" spans="1:11">
      <c r="A183" s="14">
        <v>46144</v>
      </c>
      <c r="B183" s="15">
        <v>0.84375</v>
      </c>
      <c r="C183" s="5">
        <f>IF('96 Werte'!CE7="","",'96 Werte'!CE7)</f>
        <v/>
      </c>
      <c r="D183" t="str">
        <f>IF(IF(Eingaben!$B$21&lt;Eingaben!$B$22,AND(B183&gt;=Eingaben!$B$21,B183&lt;Eingaben!$B$22),OR(B183&gt;=Eingaben!$B$21,B183&lt;Eingaben!$B$22)),"GO",IF(AND(ISNUMBER(Eingaben!$B$23),ISNUMBER(Eingaben!$B$24),IF(Eingaben!$B$23&lt;Eingaben!$B$24,AND(B183&gt;=Eingaben!$B$23,B183&lt;Eingaben!$B$24),OR(B183&gt;=Eingaben!$B$23,B183&lt;Eingaben!$B$24))),"HEAT","STANDARD"))</f>
        <v>STANDARD</v>
      </c>
      <c r="E183" s="9"/>
      <c r="F183" t="str">
        <f>IF(E183="",D183,E183)</f>
        <v>STANDARD</v>
      </c>
      <c r="G183" t="str">
        <f>INDEX(Netzzeiten!$B$6:$B$29,HOUR(B183)+1)</f>
        <v>HT</v>
      </c>
      <c r="H183" s="6">
        <f>IF(F183="GO",Eingaben!$B$11,IF(F183="STANDARD",Eingaben!$B$12,IF(AND(F183="HEAT",ISNUMBER(Eingaben!$B$13)),Eingaben!$B$13,"")))</f>
        <v>28.2744</v>
      </c>
      <c r="I183" s="6">
        <f>INDEX(Netzzeiten!$C$6:$C$29,HOUR(B183)+1)</f>
        <v>10.52</v>
      </c>
      <c r="J183" t="str">
        <f>IF(C183="","FEHLT",IF(NOT(ISNUMBER(C183)),"MESSWERT UNGUELTIG",IF(C183&lt;0,"MESSWERT UNGUELTIG",IF(H183="","TARIFPREIS FEHLT","OK"))))</f>
        <v>FEHLT</v>
      </c>
      <c r="K183" s="7">
        <f>IF(J183&lt;&gt;"OK","",C183*I183/100)</f>
        <v/>
      </c>
    </row>
    <row r="184" spans="1:11">
      <c r="A184" s="14">
        <v>46144</v>
      </c>
      <c r="B184" s="15">
        <v>0.8541666666666666</v>
      </c>
      <c r="C184" s="5">
        <f>IF('96 Werte'!CF7="","",'96 Werte'!CF7)</f>
        <v/>
      </c>
      <c r="D184" t="str">
        <f>IF(IF(Eingaben!$B$21&lt;Eingaben!$B$22,AND(B184&gt;=Eingaben!$B$21,B184&lt;Eingaben!$B$22),OR(B184&gt;=Eingaben!$B$21,B184&lt;Eingaben!$B$22)),"GO",IF(AND(ISNUMBER(Eingaben!$B$23),ISNUMBER(Eingaben!$B$24),IF(Eingaben!$B$23&lt;Eingaben!$B$24,AND(B184&gt;=Eingaben!$B$23,B184&lt;Eingaben!$B$24),OR(B184&gt;=Eingaben!$B$23,B184&lt;Eingaben!$B$24))),"HEAT","STANDARD"))</f>
        <v>STANDARD</v>
      </c>
      <c r="E184" s="9"/>
      <c r="F184" t="str">
        <f>IF(E184="",D184,E184)</f>
        <v>STANDARD</v>
      </c>
      <c r="G184" t="str">
        <f>INDEX(Netzzeiten!$B$6:$B$29,HOUR(B184)+1)</f>
        <v>HT</v>
      </c>
      <c r="H184" s="6">
        <f>IF(F184="GO",Eingaben!$B$11,IF(F184="STANDARD",Eingaben!$B$12,IF(AND(F184="HEAT",ISNUMBER(Eingaben!$B$13)),Eingaben!$B$13,"")))</f>
        <v>28.2744</v>
      </c>
      <c r="I184" s="6">
        <f>INDEX(Netzzeiten!$C$6:$C$29,HOUR(B184)+1)</f>
        <v>10.52</v>
      </c>
      <c r="J184" t="str">
        <f>IF(C184="","FEHLT",IF(NOT(ISNUMBER(C184)),"MESSWERT UNGUELTIG",IF(C184&lt;0,"MESSWERT UNGUELTIG",IF(H184="","TARIFPREIS FEHLT","OK"))))</f>
        <v>FEHLT</v>
      </c>
      <c r="K184" s="7">
        <f>IF(J184&lt;&gt;"OK","",C184*I184/100)</f>
        <v/>
      </c>
    </row>
    <row r="185" spans="1:11">
      <c r="A185" s="14">
        <v>46144</v>
      </c>
      <c r="B185" s="15">
        <v>0.8645833333333334</v>
      </c>
      <c r="C185" s="5">
        <f>IF('96 Werte'!CG7="","",'96 Werte'!CG7)</f>
        <v/>
      </c>
      <c r="D185" t="str">
        <f>IF(IF(Eingaben!$B$21&lt;Eingaben!$B$22,AND(B185&gt;=Eingaben!$B$21,B185&lt;Eingaben!$B$22),OR(B185&gt;=Eingaben!$B$21,B185&lt;Eingaben!$B$22)),"GO",IF(AND(ISNUMBER(Eingaben!$B$23),ISNUMBER(Eingaben!$B$24),IF(Eingaben!$B$23&lt;Eingaben!$B$24,AND(B185&gt;=Eingaben!$B$23,B185&lt;Eingaben!$B$24),OR(B185&gt;=Eingaben!$B$23,B185&lt;Eingaben!$B$24))),"HEAT","STANDARD"))</f>
        <v>STANDARD</v>
      </c>
      <c r="E185" s="9"/>
      <c r="F185" t="str">
        <f>IF(E185="",D185,E185)</f>
        <v>STANDARD</v>
      </c>
      <c r="G185" t="str">
        <f>INDEX(Netzzeiten!$B$6:$B$29,HOUR(B185)+1)</f>
        <v>HT</v>
      </c>
      <c r="H185" s="6">
        <f>IF(F185="GO",Eingaben!$B$11,IF(F185="STANDARD",Eingaben!$B$12,IF(AND(F185="HEAT",ISNUMBER(Eingaben!$B$13)),Eingaben!$B$13,"")))</f>
        <v>28.2744</v>
      </c>
      <c r="I185" s="6">
        <f>INDEX(Netzzeiten!$C$6:$C$29,HOUR(B185)+1)</f>
        <v>10.52</v>
      </c>
      <c r="J185" t="str">
        <f>IF(C185="","FEHLT",IF(NOT(ISNUMBER(C185)),"MESSWERT UNGUELTIG",IF(C185&lt;0,"MESSWERT UNGUELTIG",IF(H185="","TARIFPREIS FEHLT","OK"))))</f>
        <v>FEHLT</v>
      </c>
      <c r="K185" s="7">
        <f>IF(J185&lt;&gt;"OK","",C185*I185/100)</f>
        <v/>
      </c>
    </row>
    <row r="186" spans="1:11">
      <c r="A186" s="14">
        <v>46144</v>
      </c>
      <c r="B186" s="15">
        <v>0.875</v>
      </c>
      <c r="C186" s="5">
        <f>IF('96 Werte'!CH7="","",'96 Werte'!CH7)</f>
        <v/>
      </c>
      <c r="D186" t="str">
        <f>IF(IF(Eingaben!$B$21&lt;Eingaben!$B$22,AND(B186&gt;=Eingaben!$B$21,B186&lt;Eingaben!$B$22),OR(B186&gt;=Eingaben!$B$21,B186&lt;Eingaben!$B$22)),"GO",IF(AND(ISNUMBER(Eingaben!$B$23),ISNUMBER(Eingaben!$B$24),IF(Eingaben!$B$23&lt;Eingaben!$B$24,AND(B186&gt;=Eingaben!$B$23,B186&lt;Eingaben!$B$24),OR(B186&gt;=Eingaben!$B$23,B186&lt;Eingaben!$B$24))),"HEAT","STANDARD"))</f>
        <v>STANDARD</v>
      </c>
      <c r="E186" s="9"/>
      <c r="F186" t="str">
        <f>IF(E186="",D186,E186)</f>
        <v>STANDARD</v>
      </c>
      <c r="G186" t="str">
        <f>INDEX(Netzzeiten!$B$6:$B$29,HOUR(B186)+1)</f>
        <v>HT</v>
      </c>
      <c r="H186" s="6">
        <f>IF(F186="GO",Eingaben!$B$11,IF(F186="STANDARD",Eingaben!$B$12,IF(AND(F186="HEAT",ISNUMBER(Eingaben!$B$13)),Eingaben!$B$13,"")))</f>
        <v>28.2744</v>
      </c>
      <c r="I186" s="6">
        <f>INDEX(Netzzeiten!$C$6:$C$29,HOUR(B186)+1)</f>
        <v>10.52</v>
      </c>
      <c r="J186" t="str">
        <f>IF(C186="","FEHLT",IF(NOT(ISNUMBER(C186)),"MESSWERT UNGUELTIG",IF(C186&lt;0,"MESSWERT UNGUELTIG",IF(H186="","TARIFPREIS FEHLT","OK"))))</f>
        <v>FEHLT</v>
      </c>
      <c r="K186" s="7">
        <f>IF(J186&lt;&gt;"OK","",C186*I186/100)</f>
        <v/>
      </c>
    </row>
    <row r="187" spans="1:11">
      <c r="A187" s="14">
        <v>46144</v>
      </c>
      <c r="B187" s="15">
        <v>0.8854166666666666</v>
      </c>
      <c r="C187" s="5">
        <f>IF('96 Werte'!CI7="","",'96 Werte'!CI7)</f>
        <v/>
      </c>
      <c r="D187" t="str">
        <f>IF(IF(Eingaben!$B$21&lt;Eingaben!$B$22,AND(B187&gt;=Eingaben!$B$21,B187&lt;Eingaben!$B$22),OR(B187&gt;=Eingaben!$B$21,B187&lt;Eingaben!$B$22)),"GO",IF(AND(ISNUMBER(Eingaben!$B$23),ISNUMBER(Eingaben!$B$24),IF(Eingaben!$B$23&lt;Eingaben!$B$24,AND(B187&gt;=Eingaben!$B$23,B187&lt;Eingaben!$B$24),OR(B187&gt;=Eingaben!$B$23,B187&lt;Eingaben!$B$24))),"HEAT","STANDARD"))</f>
        <v>STANDARD</v>
      </c>
      <c r="E187" s="9"/>
      <c r="F187" t="str">
        <f>IF(E187="",D187,E187)</f>
        <v>STANDARD</v>
      </c>
      <c r="G187" t="str">
        <f>INDEX(Netzzeiten!$B$6:$B$29,HOUR(B187)+1)</f>
        <v>HT</v>
      </c>
      <c r="H187" s="6">
        <f>IF(F187="GO",Eingaben!$B$11,IF(F187="STANDARD",Eingaben!$B$12,IF(AND(F187="HEAT",ISNUMBER(Eingaben!$B$13)),Eingaben!$B$13,"")))</f>
        <v>28.2744</v>
      </c>
      <c r="I187" s="6">
        <f>INDEX(Netzzeiten!$C$6:$C$29,HOUR(B187)+1)</f>
        <v>10.52</v>
      </c>
      <c r="J187" t="str">
        <f>IF(C187="","FEHLT",IF(NOT(ISNUMBER(C187)),"MESSWERT UNGUELTIG",IF(C187&lt;0,"MESSWERT UNGUELTIG",IF(H187="","TARIFPREIS FEHLT","OK"))))</f>
        <v>FEHLT</v>
      </c>
      <c r="K187" s="7">
        <f>IF(J187&lt;&gt;"OK","",C187*I187/100)</f>
        <v/>
      </c>
    </row>
    <row r="188" spans="1:11">
      <c r="A188" s="14">
        <v>46144</v>
      </c>
      <c r="B188" s="15">
        <v>0.8958333333333334</v>
      </c>
      <c r="C188" s="5">
        <f>IF('96 Werte'!CJ7="","",'96 Werte'!CJ7)</f>
        <v/>
      </c>
      <c r="D188" t="str">
        <f>IF(IF(Eingaben!$B$21&lt;Eingaben!$B$22,AND(B188&gt;=Eingaben!$B$21,B188&lt;Eingaben!$B$22),OR(B188&gt;=Eingaben!$B$21,B188&lt;Eingaben!$B$22)),"GO",IF(AND(ISNUMBER(Eingaben!$B$23),ISNUMBER(Eingaben!$B$24),IF(Eingaben!$B$23&lt;Eingaben!$B$24,AND(B188&gt;=Eingaben!$B$23,B188&lt;Eingaben!$B$24),OR(B188&gt;=Eingaben!$B$23,B188&lt;Eingaben!$B$24))),"HEAT","STANDARD"))</f>
        <v>STANDARD</v>
      </c>
      <c r="E188" s="9"/>
      <c r="F188" t="str">
        <f>IF(E188="",D188,E188)</f>
        <v>STANDARD</v>
      </c>
      <c r="G188" t="str">
        <f>INDEX(Netzzeiten!$B$6:$B$29,HOUR(B188)+1)</f>
        <v>HT</v>
      </c>
      <c r="H188" s="6">
        <f>IF(F188="GO",Eingaben!$B$11,IF(F188="STANDARD",Eingaben!$B$12,IF(AND(F188="HEAT",ISNUMBER(Eingaben!$B$13)),Eingaben!$B$13,"")))</f>
        <v>28.2744</v>
      </c>
      <c r="I188" s="6">
        <f>INDEX(Netzzeiten!$C$6:$C$29,HOUR(B188)+1)</f>
        <v>10.52</v>
      </c>
      <c r="J188" t="str">
        <f>IF(C188="","FEHLT",IF(NOT(ISNUMBER(C188)),"MESSWERT UNGUELTIG",IF(C188&lt;0,"MESSWERT UNGUELTIG",IF(H188="","TARIFPREIS FEHLT","OK"))))</f>
        <v>FEHLT</v>
      </c>
      <c r="K188" s="7">
        <f>IF(J188&lt;&gt;"OK","",C188*I188/100)</f>
        <v/>
      </c>
    </row>
    <row r="189" spans="1:11">
      <c r="A189" s="14">
        <v>46144</v>
      </c>
      <c r="B189" s="15">
        <v>0.90625</v>
      </c>
      <c r="C189" s="5">
        <f>IF('96 Werte'!CK7="","",'96 Werte'!CK7)</f>
        <v/>
      </c>
      <c r="D189" t="str">
        <f>IF(IF(Eingaben!$B$21&lt;Eingaben!$B$22,AND(B189&gt;=Eingaben!$B$21,B189&lt;Eingaben!$B$22),OR(B189&gt;=Eingaben!$B$21,B189&lt;Eingaben!$B$22)),"GO",IF(AND(ISNUMBER(Eingaben!$B$23),ISNUMBER(Eingaben!$B$24),IF(Eingaben!$B$23&lt;Eingaben!$B$24,AND(B189&gt;=Eingaben!$B$23,B189&lt;Eingaben!$B$24),OR(B189&gt;=Eingaben!$B$23,B189&lt;Eingaben!$B$24))),"HEAT","STANDARD"))</f>
        <v>STANDARD</v>
      </c>
      <c r="E189" s="9"/>
      <c r="F189" t="str">
        <f>IF(E189="",D189,E189)</f>
        <v>STANDARD</v>
      </c>
      <c r="G189" t="str">
        <f>INDEX(Netzzeiten!$B$6:$B$29,HOUR(B189)+1)</f>
        <v>HT</v>
      </c>
      <c r="H189" s="6">
        <f>IF(F189="GO",Eingaben!$B$11,IF(F189="STANDARD",Eingaben!$B$12,IF(AND(F189="HEAT",ISNUMBER(Eingaben!$B$13)),Eingaben!$B$13,"")))</f>
        <v>28.2744</v>
      </c>
      <c r="I189" s="6">
        <f>INDEX(Netzzeiten!$C$6:$C$29,HOUR(B189)+1)</f>
        <v>10.52</v>
      </c>
      <c r="J189" t="str">
        <f>IF(C189="","FEHLT",IF(NOT(ISNUMBER(C189)),"MESSWERT UNGUELTIG",IF(C189&lt;0,"MESSWERT UNGUELTIG",IF(H189="","TARIFPREIS FEHLT","OK"))))</f>
        <v>FEHLT</v>
      </c>
      <c r="K189" s="7">
        <f>IF(J189&lt;&gt;"OK","",C189*I189/100)</f>
        <v/>
      </c>
    </row>
    <row r="190" spans="1:11">
      <c r="A190" s="14">
        <v>46144</v>
      </c>
      <c r="B190" s="15">
        <v>0.9166666666666666</v>
      </c>
      <c r="C190" s="5">
        <f>IF('96 Werte'!CL7="","",'96 Werte'!CL7)</f>
        <v/>
      </c>
      <c r="D190" t="str">
        <f>IF(IF(Eingaben!$B$21&lt;Eingaben!$B$22,AND(B190&gt;=Eingaben!$B$21,B190&lt;Eingaben!$B$22),OR(B190&gt;=Eingaben!$B$21,B190&lt;Eingaben!$B$22)),"GO",IF(AND(ISNUMBER(Eingaben!$B$23),ISNUMBER(Eingaben!$B$24),IF(Eingaben!$B$23&lt;Eingaben!$B$24,AND(B190&gt;=Eingaben!$B$23,B190&lt;Eingaben!$B$24),OR(B190&gt;=Eingaben!$B$23,B190&lt;Eingaben!$B$24))),"HEAT","STANDARD"))</f>
        <v>STANDARD</v>
      </c>
      <c r="E190" s="9"/>
      <c r="F190" t="str">
        <f>IF(E190="",D190,E190)</f>
        <v>STANDARD</v>
      </c>
      <c r="G190" t="str">
        <f>INDEX(Netzzeiten!$B$6:$B$29,HOUR(B190)+1)</f>
        <v>ST</v>
      </c>
      <c r="H190" s="6">
        <f>IF(F190="GO",Eingaben!$B$11,IF(F190="STANDARD",Eingaben!$B$12,IF(AND(F190="HEAT",ISNUMBER(Eingaben!$B$13)),Eingaben!$B$13,"")))</f>
        <v>28.2744</v>
      </c>
      <c r="I190" s="6">
        <f>INDEX(Netzzeiten!$C$6:$C$29,HOUR(B190)+1)</f>
        <v>5.48</v>
      </c>
      <c r="J190" t="str">
        <f>IF(C190="","FEHLT",IF(NOT(ISNUMBER(C190)),"MESSWERT UNGUELTIG",IF(C190&lt;0,"MESSWERT UNGUELTIG",IF(H190="","TARIFPREIS FEHLT","OK"))))</f>
        <v>FEHLT</v>
      </c>
      <c r="K190" s="7">
        <f>IF(J190&lt;&gt;"OK","",C190*I190/100)</f>
        <v/>
      </c>
    </row>
    <row r="191" spans="1:11">
      <c r="A191" s="14">
        <v>46144</v>
      </c>
      <c r="B191" s="15">
        <v>0.9270833333333334</v>
      </c>
      <c r="C191" s="5">
        <f>IF('96 Werte'!CM7="","",'96 Werte'!CM7)</f>
        <v/>
      </c>
      <c r="D191" t="str">
        <f>IF(IF(Eingaben!$B$21&lt;Eingaben!$B$22,AND(B191&gt;=Eingaben!$B$21,B191&lt;Eingaben!$B$22),OR(B191&gt;=Eingaben!$B$21,B191&lt;Eingaben!$B$22)),"GO",IF(AND(ISNUMBER(Eingaben!$B$23),ISNUMBER(Eingaben!$B$24),IF(Eingaben!$B$23&lt;Eingaben!$B$24,AND(B191&gt;=Eingaben!$B$23,B191&lt;Eingaben!$B$24),OR(B191&gt;=Eingaben!$B$23,B191&lt;Eingaben!$B$24))),"HEAT","STANDARD"))</f>
        <v>STANDARD</v>
      </c>
      <c r="E191" s="9"/>
      <c r="F191" t="str">
        <f>IF(E191="",D191,E191)</f>
        <v>STANDARD</v>
      </c>
      <c r="G191" t="str">
        <f>INDEX(Netzzeiten!$B$6:$B$29,HOUR(B191)+1)</f>
        <v>ST</v>
      </c>
      <c r="H191" s="6">
        <f>IF(F191="GO",Eingaben!$B$11,IF(F191="STANDARD",Eingaben!$B$12,IF(AND(F191="HEAT",ISNUMBER(Eingaben!$B$13)),Eingaben!$B$13,"")))</f>
        <v>28.2744</v>
      </c>
      <c r="I191" s="6">
        <f>INDEX(Netzzeiten!$C$6:$C$29,HOUR(B191)+1)</f>
        <v>5.48</v>
      </c>
      <c r="J191" t="str">
        <f>IF(C191="","FEHLT",IF(NOT(ISNUMBER(C191)),"MESSWERT UNGUELTIG",IF(C191&lt;0,"MESSWERT UNGUELTIG",IF(H191="","TARIFPREIS FEHLT","OK"))))</f>
        <v>FEHLT</v>
      </c>
      <c r="K191" s="7">
        <f>IF(J191&lt;&gt;"OK","",C191*I191/100)</f>
        <v/>
      </c>
    </row>
    <row r="192" spans="1:11">
      <c r="A192" s="14">
        <v>46144</v>
      </c>
      <c r="B192" s="15">
        <v>0.9375</v>
      </c>
      <c r="C192" s="5">
        <f>IF('96 Werte'!CN7="","",'96 Werte'!CN7)</f>
        <v/>
      </c>
      <c r="D192" t="str">
        <f>IF(IF(Eingaben!$B$21&lt;Eingaben!$B$22,AND(B192&gt;=Eingaben!$B$21,B192&lt;Eingaben!$B$22),OR(B192&gt;=Eingaben!$B$21,B192&lt;Eingaben!$B$22)),"GO",IF(AND(ISNUMBER(Eingaben!$B$23),ISNUMBER(Eingaben!$B$24),IF(Eingaben!$B$23&lt;Eingaben!$B$24,AND(B192&gt;=Eingaben!$B$23,B192&lt;Eingaben!$B$24),OR(B192&gt;=Eingaben!$B$23,B192&lt;Eingaben!$B$24))),"HEAT","STANDARD"))</f>
        <v>STANDARD</v>
      </c>
      <c r="E192" s="9"/>
      <c r="F192" t="str">
        <f>IF(E192="",D192,E192)</f>
        <v>STANDARD</v>
      </c>
      <c r="G192" t="str">
        <f>INDEX(Netzzeiten!$B$6:$B$29,HOUR(B192)+1)</f>
        <v>ST</v>
      </c>
      <c r="H192" s="6">
        <f>IF(F192="GO",Eingaben!$B$11,IF(F192="STANDARD",Eingaben!$B$12,IF(AND(F192="HEAT",ISNUMBER(Eingaben!$B$13)),Eingaben!$B$13,"")))</f>
        <v>28.2744</v>
      </c>
      <c r="I192" s="6">
        <f>INDEX(Netzzeiten!$C$6:$C$29,HOUR(B192)+1)</f>
        <v>5.48</v>
      </c>
      <c r="J192" t="str">
        <f>IF(C192="","FEHLT",IF(NOT(ISNUMBER(C192)),"MESSWERT UNGUELTIG",IF(C192&lt;0,"MESSWERT UNGUELTIG",IF(H192="","TARIFPREIS FEHLT","OK"))))</f>
        <v>FEHLT</v>
      </c>
      <c r="K192" s="7">
        <f>IF(J192&lt;&gt;"OK","",C192*I192/100)</f>
        <v/>
      </c>
    </row>
    <row r="193" spans="1:11">
      <c r="A193" s="14">
        <v>46144</v>
      </c>
      <c r="B193" s="15">
        <v>0.9479166666666666</v>
      </c>
      <c r="C193" s="5">
        <f>IF('96 Werte'!CO7="","",'96 Werte'!CO7)</f>
        <v/>
      </c>
      <c r="D193" t="str">
        <f>IF(IF(Eingaben!$B$21&lt;Eingaben!$B$22,AND(B193&gt;=Eingaben!$B$21,B193&lt;Eingaben!$B$22),OR(B193&gt;=Eingaben!$B$21,B193&lt;Eingaben!$B$22)),"GO",IF(AND(ISNUMBER(Eingaben!$B$23),ISNUMBER(Eingaben!$B$24),IF(Eingaben!$B$23&lt;Eingaben!$B$24,AND(B193&gt;=Eingaben!$B$23,B193&lt;Eingaben!$B$24),OR(B193&gt;=Eingaben!$B$23,B193&lt;Eingaben!$B$24))),"HEAT","STANDARD"))</f>
        <v>STANDARD</v>
      </c>
      <c r="E193" s="9"/>
      <c r="F193" t="str">
        <f>IF(E193="",D193,E193)</f>
        <v>STANDARD</v>
      </c>
      <c r="G193" t="str">
        <f>INDEX(Netzzeiten!$B$6:$B$29,HOUR(B193)+1)</f>
        <v>ST</v>
      </c>
      <c r="H193" s="6">
        <f>IF(F193="GO",Eingaben!$B$11,IF(F193="STANDARD",Eingaben!$B$12,IF(AND(F193="HEAT",ISNUMBER(Eingaben!$B$13)),Eingaben!$B$13,"")))</f>
        <v>28.2744</v>
      </c>
      <c r="I193" s="6">
        <f>INDEX(Netzzeiten!$C$6:$C$29,HOUR(B193)+1)</f>
        <v>5.48</v>
      </c>
      <c r="J193" t="str">
        <f>IF(C193="","FEHLT",IF(NOT(ISNUMBER(C193)),"MESSWERT UNGUELTIG",IF(C193&lt;0,"MESSWERT UNGUELTIG",IF(H193="","TARIFPREIS FEHLT","OK"))))</f>
        <v>FEHLT</v>
      </c>
      <c r="K193" s="7">
        <f>IF(J193&lt;&gt;"OK","",C193*I193/100)</f>
        <v/>
      </c>
    </row>
    <row r="194" spans="1:11">
      <c r="A194" s="14">
        <v>46144</v>
      </c>
      <c r="B194" s="15">
        <v>0.9583333333333334</v>
      </c>
      <c r="C194" s="5">
        <f>IF('96 Werte'!CP7="","",'96 Werte'!CP7)</f>
        <v/>
      </c>
      <c r="D194" t="str">
        <f>IF(IF(Eingaben!$B$21&lt;Eingaben!$B$22,AND(B194&gt;=Eingaben!$B$21,B194&lt;Eingaben!$B$22),OR(B194&gt;=Eingaben!$B$21,B194&lt;Eingaben!$B$22)),"GO",IF(AND(ISNUMBER(Eingaben!$B$23),ISNUMBER(Eingaben!$B$24),IF(Eingaben!$B$23&lt;Eingaben!$B$24,AND(B194&gt;=Eingaben!$B$23,B194&lt;Eingaben!$B$24),OR(B194&gt;=Eingaben!$B$23,B194&lt;Eingaben!$B$24))),"HEAT","STANDARD"))</f>
        <v>STANDARD</v>
      </c>
      <c r="E194" s="9"/>
      <c r="F194" t="str">
        <f>IF(E194="",D194,E194)</f>
        <v>STANDARD</v>
      </c>
      <c r="G194" t="str">
        <f>INDEX(Netzzeiten!$B$6:$B$29,HOUR(B194)+1)</f>
        <v>NT</v>
      </c>
      <c r="H194" s="6">
        <f>IF(F194="GO",Eingaben!$B$11,IF(F194="STANDARD",Eingaben!$B$12,IF(AND(F194="HEAT",ISNUMBER(Eingaben!$B$13)),Eingaben!$B$13,"")))</f>
        <v>28.2744</v>
      </c>
      <c r="I194" s="6">
        <f>INDEX(Netzzeiten!$C$6:$C$29,HOUR(B194)+1)</f>
        <v>1.64</v>
      </c>
      <c r="J194" t="str">
        <f>IF(C194="","FEHLT",IF(NOT(ISNUMBER(C194)),"MESSWERT UNGUELTIG",IF(C194&lt;0,"MESSWERT UNGUELTIG",IF(H194="","TARIFPREIS FEHLT","OK"))))</f>
        <v>FEHLT</v>
      </c>
      <c r="K194" s="7">
        <f>IF(J194&lt;&gt;"OK","",C194*I194/100)</f>
        <v/>
      </c>
    </row>
    <row r="195" spans="1:11">
      <c r="A195" s="14">
        <v>46144</v>
      </c>
      <c r="B195" s="15">
        <v>0.96875</v>
      </c>
      <c r="C195" s="5">
        <f>IF('96 Werte'!CQ7="","",'96 Werte'!CQ7)</f>
        <v/>
      </c>
      <c r="D195" t="str">
        <f>IF(IF(Eingaben!$B$21&lt;Eingaben!$B$22,AND(B195&gt;=Eingaben!$B$21,B195&lt;Eingaben!$B$22),OR(B195&gt;=Eingaben!$B$21,B195&lt;Eingaben!$B$22)),"GO",IF(AND(ISNUMBER(Eingaben!$B$23),ISNUMBER(Eingaben!$B$24),IF(Eingaben!$B$23&lt;Eingaben!$B$24,AND(B195&gt;=Eingaben!$B$23,B195&lt;Eingaben!$B$24),OR(B195&gt;=Eingaben!$B$23,B195&lt;Eingaben!$B$24))),"HEAT","STANDARD"))</f>
        <v>STANDARD</v>
      </c>
      <c r="E195" s="9"/>
      <c r="F195" t="str">
        <f>IF(E195="",D195,E195)</f>
        <v>STANDARD</v>
      </c>
      <c r="G195" t="str">
        <f>INDEX(Netzzeiten!$B$6:$B$29,HOUR(B195)+1)</f>
        <v>NT</v>
      </c>
      <c r="H195" s="6">
        <f>IF(F195="GO",Eingaben!$B$11,IF(F195="STANDARD",Eingaben!$B$12,IF(AND(F195="HEAT",ISNUMBER(Eingaben!$B$13)),Eingaben!$B$13,"")))</f>
        <v>28.2744</v>
      </c>
      <c r="I195" s="6">
        <f>INDEX(Netzzeiten!$C$6:$C$29,HOUR(B195)+1)</f>
        <v>1.64</v>
      </c>
      <c r="J195" t="str">
        <f>IF(C195="","FEHLT",IF(NOT(ISNUMBER(C195)),"MESSWERT UNGUELTIG",IF(C195&lt;0,"MESSWERT UNGUELTIG",IF(H195="","TARIFPREIS FEHLT","OK"))))</f>
        <v>FEHLT</v>
      </c>
      <c r="K195" s="7">
        <f>IF(J195&lt;&gt;"OK","",C195*I195/100)</f>
        <v/>
      </c>
    </row>
    <row r="196" spans="1:11">
      <c r="A196" s="14">
        <v>46144</v>
      </c>
      <c r="B196" s="15">
        <v>0.9791666666666666</v>
      </c>
      <c r="C196" s="5">
        <f>IF('96 Werte'!CR7="","",'96 Werte'!CR7)</f>
        <v/>
      </c>
      <c r="D196" t="str">
        <f>IF(IF(Eingaben!$B$21&lt;Eingaben!$B$22,AND(B196&gt;=Eingaben!$B$21,B196&lt;Eingaben!$B$22),OR(B196&gt;=Eingaben!$B$21,B196&lt;Eingaben!$B$22)),"GO",IF(AND(ISNUMBER(Eingaben!$B$23),ISNUMBER(Eingaben!$B$24),IF(Eingaben!$B$23&lt;Eingaben!$B$24,AND(B196&gt;=Eingaben!$B$23,B196&lt;Eingaben!$B$24),OR(B196&gt;=Eingaben!$B$23,B196&lt;Eingaben!$B$24))),"HEAT","STANDARD"))</f>
        <v>STANDARD</v>
      </c>
      <c r="E196" s="9"/>
      <c r="F196" t="str">
        <f>IF(E196="",D196,E196)</f>
        <v>STANDARD</v>
      </c>
      <c r="G196" t="str">
        <f>INDEX(Netzzeiten!$B$6:$B$29,HOUR(B196)+1)</f>
        <v>NT</v>
      </c>
      <c r="H196" s="6">
        <f>IF(F196="GO",Eingaben!$B$11,IF(F196="STANDARD",Eingaben!$B$12,IF(AND(F196="HEAT",ISNUMBER(Eingaben!$B$13)),Eingaben!$B$13,"")))</f>
        <v>28.2744</v>
      </c>
      <c r="I196" s="6">
        <f>INDEX(Netzzeiten!$C$6:$C$29,HOUR(B196)+1)</f>
        <v>1.64</v>
      </c>
      <c r="J196" t="str">
        <f>IF(C196="","FEHLT",IF(NOT(ISNUMBER(C196)),"MESSWERT UNGUELTIG",IF(C196&lt;0,"MESSWERT UNGUELTIG",IF(H196="","TARIFPREIS FEHLT","OK"))))</f>
        <v>FEHLT</v>
      </c>
      <c r="K196" s="7">
        <f>IF(J196&lt;&gt;"OK","",C196*I196/100)</f>
        <v/>
      </c>
    </row>
    <row r="197" spans="1:11">
      <c r="A197" s="14">
        <v>46144</v>
      </c>
      <c r="B197" s="15">
        <v>0.9895833333333334</v>
      </c>
      <c r="C197" s="5">
        <f>IF('96 Werte'!CS7="","",'96 Werte'!CS7)</f>
        <v/>
      </c>
      <c r="D197" t="str">
        <f>IF(IF(Eingaben!$B$21&lt;Eingaben!$B$22,AND(B197&gt;=Eingaben!$B$21,B197&lt;Eingaben!$B$22),OR(B197&gt;=Eingaben!$B$21,B197&lt;Eingaben!$B$22)),"GO",IF(AND(ISNUMBER(Eingaben!$B$23),ISNUMBER(Eingaben!$B$24),IF(Eingaben!$B$23&lt;Eingaben!$B$24,AND(B197&gt;=Eingaben!$B$23,B197&lt;Eingaben!$B$24),OR(B197&gt;=Eingaben!$B$23,B197&lt;Eingaben!$B$24))),"HEAT","STANDARD"))</f>
        <v>STANDARD</v>
      </c>
      <c r="E197" s="9"/>
      <c r="F197" t="str">
        <f>IF(E197="",D197,E197)</f>
        <v>STANDARD</v>
      </c>
      <c r="G197" t="str">
        <f>INDEX(Netzzeiten!$B$6:$B$29,HOUR(B197)+1)</f>
        <v>NT</v>
      </c>
      <c r="H197" s="6">
        <f>IF(F197="GO",Eingaben!$B$11,IF(F197="STANDARD",Eingaben!$B$12,IF(AND(F197="HEAT",ISNUMBER(Eingaben!$B$13)),Eingaben!$B$13,"")))</f>
        <v>28.2744</v>
      </c>
      <c r="I197" s="6">
        <f>INDEX(Netzzeiten!$C$6:$C$29,HOUR(B197)+1)</f>
        <v>1.64</v>
      </c>
      <c r="J197" t="str">
        <f>IF(C197="","FEHLT",IF(NOT(ISNUMBER(C197)),"MESSWERT UNGUELTIG",IF(C197&lt;0,"MESSWERT UNGUELTIG",IF(H197="","TARIFPREIS FEHLT","OK"))))</f>
        <v>FEHLT</v>
      </c>
      <c r="K197" s="7">
        <f>IF(J197&lt;&gt;"OK","",C197*I197/100)</f>
        <v/>
      </c>
    </row>
    <row r="198" spans="1:11">
      <c r="A198" s="14">
        <v>46145</v>
      </c>
      <c r="B198" s="15">
        <v>0</v>
      </c>
      <c r="C198" s="5">
        <f>IF('96 Werte'!B8="","",'96 Werte'!B8)</f>
        <v/>
      </c>
      <c r="D198" t="str">
        <f>IF(IF(Eingaben!$B$21&lt;Eingaben!$B$22,AND(B198&gt;=Eingaben!$B$21,B198&lt;Eingaben!$B$22),OR(B198&gt;=Eingaben!$B$21,B198&lt;Eingaben!$B$22)),"GO",IF(AND(ISNUMBER(Eingaben!$B$23),ISNUMBER(Eingaben!$B$24),IF(Eingaben!$B$23&lt;Eingaben!$B$24,AND(B198&gt;=Eingaben!$B$23,B198&lt;Eingaben!$B$24),OR(B198&gt;=Eingaben!$B$23,B198&lt;Eingaben!$B$24))),"HEAT","STANDARD"))</f>
        <v>GO</v>
      </c>
      <c r="E198" s="9"/>
      <c r="F198" t="str">
        <f>IF(E198="",D198,E198)</f>
        <v>GO</v>
      </c>
      <c r="G198" t="str">
        <f>INDEX(Netzzeiten!$B$6:$B$29,HOUR(B198)+1)</f>
        <v>NT</v>
      </c>
      <c r="H198" s="6">
        <f>IF(F198="GO",Eingaben!$B$11,IF(F198="STANDARD",Eingaben!$B$12,IF(AND(F198="HEAT",ISNUMBER(Eingaben!$B$13)),Eingaben!$B$13,"")))</f>
        <v>15.0654</v>
      </c>
      <c r="I198" s="6">
        <f>INDEX(Netzzeiten!$C$6:$C$29,HOUR(B198)+1)</f>
        <v>1.64</v>
      </c>
      <c r="J198" t="str">
        <f>IF(C198="","FEHLT",IF(NOT(ISNUMBER(C198)),"MESSWERT UNGUELTIG",IF(C198&lt;0,"MESSWERT UNGUELTIG",IF(H198="","TARIFPREIS FEHLT","OK"))))</f>
        <v>FEHLT</v>
      </c>
      <c r="K198" s="7">
        <f>IF(J198&lt;&gt;"OK","",C198*I198/100)</f>
        <v/>
      </c>
    </row>
    <row r="199" spans="1:11">
      <c r="A199" s="14">
        <v>46145</v>
      </c>
      <c r="B199" s="15">
        <v>0.01041666666666667</v>
      </c>
      <c r="C199" s="5">
        <f>IF('96 Werte'!C8="","",'96 Werte'!C8)</f>
        <v/>
      </c>
      <c r="D199" t="str">
        <f>IF(IF(Eingaben!$B$21&lt;Eingaben!$B$22,AND(B199&gt;=Eingaben!$B$21,B199&lt;Eingaben!$B$22),OR(B199&gt;=Eingaben!$B$21,B199&lt;Eingaben!$B$22)),"GO",IF(AND(ISNUMBER(Eingaben!$B$23),ISNUMBER(Eingaben!$B$24),IF(Eingaben!$B$23&lt;Eingaben!$B$24,AND(B199&gt;=Eingaben!$B$23,B199&lt;Eingaben!$B$24),OR(B199&gt;=Eingaben!$B$23,B199&lt;Eingaben!$B$24))),"HEAT","STANDARD"))</f>
        <v>GO</v>
      </c>
      <c r="E199" s="9"/>
      <c r="F199" t="str">
        <f>IF(E199="",D199,E199)</f>
        <v>GO</v>
      </c>
      <c r="G199" t="str">
        <f>INDEX(Netzzeiten!$B$6:$B$29,HOUR(B199)+1)</f>
        <v>NT</v>
      </c>
      <c r="H199" s="6">
        <f>IF(F199="GO",Eingaben!$B$11,IF(F199="STANDARD",Eingaben!$B$12,IF(AND(F199="HEAT",ISNUMBER(Eingaben!$B$13)),Eingaben!$B$13,"")))</f>
        <v>15.0654</v>
      </c>
      <c r="I199" s="6">
        <f>INDEX(Netzzeiten!$C$6:$C$29,HOUR(B199)+1)</f>
        <v>1.64</v>
      </c>
      <c r="J199" t="str">
        <f>IF(C199="","FEHLT",IF(NOT(ISNUMBER(C199)),"MESSWERT UNGUELTIG",IF(C199&lt;0,"MESSWERT UNGUELTIG",IF(H199="","TARIFPREIS FEHLT","OK"))))</f>
        <v>FEHLT</v>
      </c>
      <c r="K199" s="7">
        <f>IF(J199&lt;&gt;"OK","",C199*I199/100)</f>
        <v/>
      </c>
    </row>
    <row r="200" spans="1:11">
      <c r="A200" s="14">
        <v>46145</v>
      </c>
      <c r="B200" s="15">
        <v>0.02083333333333333</v>
      </c>
      <c r="C200" s="5">
        <f>IF('96 Werte'!D8="","",'96 Werte'!D8)</f>
        <v/>
      </c>
      <c r="D200" t="str">
        <f>IF(IF(Eingaben!$B$21&lt;Eingaben!$B$22,AND(B200&gt;=Eingaben!$B$21,B200&lt;Eingaben!$B$22),OR(B200&gt;=Eingaben!$B$21,B200&lt;Eingaben!$B$22)),"GO",IF(AND(ISNUMBER(Eingaben!$B$23),ISNUMBER(Eingaben!$B$24),IF(Eingaben!$B$23&lt;Eingaben!$B$24,AND(B200&gt;=Eingaben!$B$23,B200&lt;Eingaben!$B$24),OR(B200&gt;=Eingaben!$B$23,B200&lt;Eingaben!$B$24))),"HEAT","STANDARD"))</f>
        <v>GO</v>
      </c>
      <c r="E200" s="9"/>
      <c r="F200" t="str">
        <f>IF(E200="",D200,E200)</f>
        <v>GO</v>
      </c>
      <c r="G200" t="str">
        <f>INDEX(Netzzeiten!$B$6:$B$29,HOUR(B200)+1)</f>
        <v>NT</v>
      </c>
      <c r="H200" s="6">
        <f>IF(F200="GO",Eingaben!$B$11,IF(F200="STANDARD",Eingaben!$B$12,IF(AND(F200="HEAT",ISNUMBER(Eingaben!$B$13)),Eingaben!$B$13,"")))</f>
        <v>15.0654</v>
      </c>
      <c r="I200" s="6">
        <f>INDEX(Netzzeiten!$C$6:$C$29,HOUR(B200)+1)</f>
        <v>1.64</v>
      </c>
      <c r="J200" t="str">
        <f>IF(C200="","FEHLT",IF(NOT(ISNUMBER(C200)),"MESSWERT UNGUELTIG",IF(C200&lt;0,"MESSWERT UNGUELTIG",IF(H200="","TARIFPREIS FEHLT","OK"))))</f>
        <v>FEHLT</v>
      </c>
      <c r="K200" s="7">
        <f>IF(J200&lt;&gt;"OK","",C200*I200/100)</f>
        <v/>
      </c>
    </row>
    <row r="201" spans="1:11">
      <c r="A201" s="14">
        <v>46145</v>
      </c>
      <c r="B201" s="15">
        <v>0.03125</v>
      </c>
      <c r="C201" s="5">
        <f>IF('96 Werte'!E8="","",'96 Werte'!E8)</f>
        <v/>
      </c>
      <c r="D201" t="str">
        <f>IF(IF(Eingaben!$B$21&lt;Eingaben!$B$22,AND(B201&gt;=Eingaben!$B$21,B201&lt;Eingaben!$B$22),OR(B201&gt;=Eingaben!$B$21,B201&lt;Eingaben!$B$22)),"GO",IF(AND(ISNUMBER(Eingaben!$B$23),ISNUMBER(Eingaben!$B$24),IF(Eingaben!$B$23&lt;Eingaben!$B$24,AND(B201&gt;=Eingaben!$B$23,B201&lt;Eingaben!$B$24),OR(B201&gt;=Eingaben!$B$23,B201&lt;Eingaben!$B$24))),"HEAT","STANDARD"))</f>
        <v>GO</v>
      </c>
      <c r="E201" s="9"/>
      <c r="F201" t="str">
        <f>IF(E201="",D201,E201)</f>
        <v>GO</v>
      </c>
      <c r="G201" t="str">
        <f>INDEX(Netzzeiten!$B$6:$B$29,HOUR(B201)+1)</f>
        <v>NT</v>
      </c>
      <c r="H201" s="6">
        <f>IF(F201="GO",Eingaben!$B$11,IF(F201="STANDARD",Eingaben!$B$12,IF(AND(F201="HEAT",ISNUMBER(Eingaben!$B$13)),Eingaben!$B$13,"")))</f>
        <v>15.0654</v>
      </c>
      <c r="I201" s="6">
        <f>INDEX(Netzzeiten!$C$6:$C$29,HOUR(B201)+1)</f>
        <v>1.64</v>
      </c>
      <c r="J201" t="str">
        <f>IF(C201="","FEHLT",IF(NOT(ISNUMBER(C201)),"MESSWERT UNGUELTIG",IF(C201&lt;0,"MESSWERT UNGUELTIG",IF(H201="","TARIFPREIS FEHLT","OK"))))</f>
        <v>FEHLT</v>
      </c>
      <c r="K201" s="7">
        <f>IF(J201&lt;&gt;"OK","",C201*I201/100)</f>
        <v/>
      </c>
    </row>
    <row r="202" spans="1:11">
      <c r="A202" s="14">
        <v>46145</v>
      </c>
      <c r="B202" s="15">
        <v>0.04166666666666666</v>
      </c>
      <c r="C202" s="5">
        <f>IF('96 Werte'!F8="","",'96 Werte'!F8)</f>
        <v/>
      </c>
      <c r="D202" t="str">
        <f>IF(IF(Eingaben!$B$21&lt;Eingaben!$B$22,AND(B202&gt;=Eingaben!$B$21,B202&lt;Eingaben!$B$22),OR(B202&gt;=Eingaben!$B$21,B202&lt;Eingaben!$B$22)),"GO",IF(AND(ISNUMBER(Eingaben!$B$23),ISNUMBER(Eingaben!$B$24),IF(Eingaben!$B$23&lt;Eingaben!$B$24,AND(B202&gt;=Eingaben!$B$23,B202&lt;Eingaben!$B$24),OR(B202&gt;=Eingaben!$B$23,B202&lt;Eingaben!$B$24))),"HEAT","STANDARD"))</f>
        <v>GO</v>
      </c>
      <c r="E202" s="9"/>
      <c r="F202" t="str">
        <f>IF(E202="",D202,E202)</f>
        <v>GO</v>
      </c>
      <c r="G202" t="str">
        <f>INDEX(Netzzeiten!$B$6:$B$29,HOUR(B202)+1)</f>
        <v>NT</v>
      </c>
      <c r="H202" s="6">
        <f>IF(F202="GO",Eingaben!$B$11,IF(F202="STANDARD",Eingaben!$B$12,IF(AND(F202="HEAT",ISNUMBER(Eingaben!$B$13)),Eingaben!$B$13,"")))</f>
        <v>15.0654</v>
      </c>
      <c r="I202" s="6">
        <f>INDEX(Netzzeiten!$C$6:$C$29,HOUR(B202)+1)</f>
        <v>1.64</v>
      </c>
      <c r="J202" t="str">
        <f>IF(C202="","FEHLT",IF(NOT(ISNUMBER(C202)),"MESSWERT UNGUELTIG",IF(C202&lt;0,"MESSWERT UNGUELTIG",IF(H202="","TARIFPREIS FEHLT","OK"))))</f>
        <v>FEHLT</v>
      </c>
      <c r="K202" s="7">
        <f>IF(J202&lt;&gt;"OK","",C202*I202/100)</f>
        <v/>
      </c>
    </row>
    <row r="203" spans="1:11">
      <c r="A203" s="14">
        <v>46145</v>
      </c>
      <c r="B203" s="15">
        <v>0.05208333333333334</v>
      </c>
      <c r="C203" s="5">
        <f>IF('96 Werte'!G8="","",'96 Werte'!G8)</f>
        <v/>
      </c>
      <c r="D203" t="str">
        <f>IF(IF(Eingaben!$B$21&lt;Eingaben!$B$22,AND(B203&gt;=Eingaben!$B$21,B203&lt;Eingaben!$B$22),OR(B203&gt;=Eingaben!$B$21,B203&lt;Eingaben!$B$22)),"GO",IF(AND(ISNUMBER(Eingaben!$B$23),ISNUMBER(Eingaben!$B$24),IF(Eingaben!$B$23&lt;Eingaben!$B$24,AND(B203&gt;=Eingaben!$B$23,B203&lt;Eingaben!$B$24),OR(B203&gt;=Eingaben!$B$23,B203&lt;Eingaben!$B$24))),"HEAT","STANDARD"))</f>
        <v>GO</v>
      </c>
      <c r="E203" s="9"/>
      <c r="F203" t="str">
        <f>IF(E203="",D203,E203)</f>
        <v>GO</v>
      </c>
      <c r="G203" t="str">
        <f>INDEX(Netzzeiten!$B$6:$B$29,HOUR(B203)+1)</f>
        <v>NT</v>
      </c>
      <c r="H203" s="6">
        <f>IF(F203="GO",Eingaben!$B$11,IF(F203="STANDARD",Eingaben!$B$12,IF(AND(F203="HEAT",ISNUMBER(Eingaben!$B$13)),Eingaben!$B$13,"")))</f>
        <v>15.0654</v>
      </c>
      <c r="I203" s="6">
        <f>INDEX(Netzzeiten!$C$6:$C$29,HOUR(B203)+1)</f>
        <v>1.64</v>
      </c>
      <c r="J203" t="str">
        <f>IF(C203="","FEHLT",IF(NOT(ISNUMBER(C203)),"MESSWERT UNGUELTIG",IF(C203&lt;0,"MESSWERT UNGUELTIG",IF(H203="","TARIFPREIS FEHLT","OK"))))</f>
        <v>FEHLT</v>
      </c>
      <c r="K203" s="7">
        <f>IF(J203&lt;&gt;"OK","",C203*I203/100)</f>
        <v/>
      </c>
    </row>
    <row r="204" spans="1:11">
      <c r="A204" s="14">
        <v>46145</v>
      </c>
      <c r="B204" s="15">
        <v>0.0625</v>
      </c>
      <c r="C204" s="5">
        <f>IF('96 Werte'!H8="","",'96 Werte'!H8)</f>
        <v/>
      </c>
      <c r="D204" t="str">
        <f>IF(IF(Eingaben!$B$21&lt;Eingaben!$B$22,AND(B204&gt;=Eingaben!$B$21,B204&lt;Eingaben!$B$22),OR(B204&gt;=Eingaben!$B$21,B204&lt;Eingaben!$B$22)),"GO",IF(AND(ISNUMBER(Eingaben!$B$23),ISNUMBER(Eingaben!$B$24),IF(Eingaben!$B$23&lt;Eingaben!$B$24,AND(B204&gt;=Eingaben!$B$23,B204&lt;Eingaben!$B$24),OR(B204&gt;=Eingaben!$B$23,B204&lt;Eingaben!$B$24))),"HEAT","STANDARD"))</f>
        <v>GO</v>
      </c>
      <c r="E204" s="9"/>
      <c r="F204" t="str">
        <f>IF(E204="",D204,E204)</f>
        <v>GO</v>
      </c>
      <c r="G204" t="str">
        <f>INDEX(Netzzeiten!$B$6:$B$29,HOUR(B204)+1)</f>
        <v>NT</v>
      </c>
      <c r="H204" s="6">
        <f>IF(F204="GO",Eingaben!$B$11,IF(F204="STANDARD",Eingaben!$B$12,IF(AND(F204="HEAT",ISNUMBER(Eingaben!$B$13)),Eingaben!$B$13,"")))</f>
        <v>15.0654</v>
      </c>
      <c r="I204" s="6">
        <f>INDEX(Netzzeiten!$C$6:$C$29,HOUR(B204)+1)</f>
        <v>1.64</v>
      </c>
      <c r="J204" t="str">
        <f>IF(C204="","FEHLT",IF(NOT(ISNUMBER(C204)),"MESSWERT UNGUELTIG",IF(C204&lt;0,"MESSWERT UNGUELTIG",IF(H204="","TARIFPREIS FEHLT","OK"))))</f>
        <v>FEHLT</v>
      </c>
      <c r="K204" s="7">
        <f>IF(J204&lt;&gt;"OK","",C204*I204/100)</f>
        <v/>
      </c>
    </row>
    <row r="205" spans="1:11">
      <c r="A205" s="14">
        <v>46145</v>
      </c>
      <c r="B205" s="15">
        <v>0.07291666666666667</v>
      </c>
      <c r="C205" s="5">
        <f>IF('96 Werte'!I8="","",'96 Werte'!I8)</f>
        <v/>
      </c>
      <c r="D205" t="str">
        <f>IF(IF(Eingaben!$B$21&lt;Eingaben!$B$22,AND(B205&gt;=Eingaben!$B$21,B205&lt;Eingaben!$B$22),OR(B205&gt;=Eingaben!$B$21,B205&lt;Eingaben!$B$22)),"GO",IF(AND(ISNUMBER(Eingaben!$B$23),ISNUMBER(Eingaben!$B$24),IF(Eingaben!$B$23&lt;Eingaben!$B$24,AND(B205&gt;=Eingaben!$B$23,B205&lt;Eingaben!$B$24),OR(B205&gt;=Eingaben!$B$23,B205&lt;Eingaben!$B$24))),"HEAT","STANDARD"))</f>
        <v>GO</v>
      </c>
      <c r="E205" s="9"/>
      <c r="F205" t="str">
        <f>IF(E205="",D205,E205)</f>
        <v>GO</v>
      </c>
      <c r="G205" t="str">
        <f>INDEX(Netzzeiten!$B$6:$B$29,HOUR(B205)+1)</f>
        <v>NT</v>
      </c>
      <c r="H205" s="6">
        <f>IF(F205="GO",Eingaben!$B$11,IF(F205="STANDARD",Eingaben!$B$12,IF(AND(F205="HEAT",ISNUMBER(Eingaben!$B$13)),Eingaben!$B$13,"")))</f>
        <v>15.0654</v>
      </c>
      <c r="I205" s="6">
        <f>INDEX(Netzzeiten!$C$6:$C$29,HOUR(B205)+1)</f>
        <v>1.64</v>
      </c>
      <c r="J205" t="str">
        <f>IF(C205="","FEHLT",IF(NOT(ISNUMBER(C205)),"MESSWERT UNGUELTIG",IF(C205&lt;0,"MESSWERT UNGUELTIG",IF(H205="","TARIFPREIS FEHLT","OK"))))</f>
        <v>FEHLT</v>
      </c>
      <c r="K205" s="7">
        <f>IF(J205&lt;&gt;"OK","",C205*I205/100)</f>
        <v/>
      </c>
    </row>
    <row r="206" spans="1:11">
      <c r="A206" s="14">
        <v>46145</v>
      </c>
      <c r="B206" s="15">
        <v>0.08333333333333333</v>
      </c>
      <c r="C206" s="5">
        <f>IF('96 Werte'!J8="","",'96 Werte'!J8)</f>
        <v/>
      </c>
      <c r="D206" t="str">
        <f>IF(IF(Eingaben!$B$21&lt;Eingaben!$B$22,AND(B206&gt;=Eingaben!$B$21,B206&lt;Eingaben!$B$22),OR(B206&gt;=Eingaben!$B$21,B206&lt;Eingaben!$B$22)),"GO",IF(AND(ISNUMBER(Eingaben!$B$23),ISNUMBER(Eingaben!$B$24),IF(Eingaben!$B$23&lt;Eingaben!$B$24,AND(B206&gt;=Eingaben!$B$23,B206&lt;Eingaben!$B$24),OR(B206&gt;=Eingaben!$B$23,B206&lt;Eingaben!$B$24))),"HEAT","STANDARD"))</f>
        <v>GO</v>
      </c>
      <c r="E206" s="9"/>
      <c r="F206" t="str">
        <f>IF(E206="",D206,E206)</f>
        <v>GO</v>
      </c>
      <c r="G206" t="str">
        <f>INDEX(Netzzeiten!$B$6:$B$29,HOUR(B206)+1)</f>
        <v>NT</v>
      </c>
      <c r="H206" s="6">
        <f>IF(F206="GO",Eingaben!$B$11,IF(F206="STANDARD",Eingaben!$B$12,IF(AND(F206="HEAT",ISNUMBER(Eingaben!$B$13)),Eingaben!$B$13,"")))</f>
        <v>15.0654</v>
      </c>
      <c r="I206" s="6">
        <f>INDEX(Netzzeiten!$C$6:$C$29,HOUR(B206)+1)</f>
        <v>1.64</v>
      </c>
      <c r="J206" t="str">
        <f>IF(C206="","FEHLT",IF(NOT(ISNUMBER(C206)),"MESSWERT UNGUELTIG",IF(C206&lt;0,"MESSWERT UNGUELTIG",IF(H206="","TARIFPREIS FEHLT","OK"))))</f>
        <v>FEHLT</v>
      </c>
      <c r="K206" s="7">
        <f>IF(J206&lt;&gt;"OK","",C206*I206/100)</f>
        <v/>
      </c>
    </row>
    <row r="207" spans="1:11">
      <c r="A207" s="14">
        <v>46145</v>
      </c>
      <c r="B207" s="15">
        <v>0.09375</v>
      </c>
      <c r="C207" s="5">
        <f>IF('96 Werte'!K8="","",'96 Werte'!K8)</f>
        <v/>
      </c>
      <c r="D207" t="str">
        <f>IF(IF(Eingaben!$B$21&lt;Eingaben!$B$22,AND(B207&gt;=Eingaben!$B$21,B207&lt;Eingaben!$B$22),OR(B207&gt;=Eingaben!$B$21,B207&lt;Eingaben!$B$22)),"GO",IF(AND(ISNUMBER(Eingaben!$B$23),ISNUMBER(Eingaben!$B$24),IF(Eingaben!$B$23&lt;Eingaben!$B$24,AND(B207&gt;=Eingaben!$B$23,B207&lt;Eingaben!$B$24),OR(B207&gt;=Eingaben!$B$23,B207&lt;Eingaben!$B$24))),"HEAT","STANDARD"))</f>
        <v>GO</v>
      </c>
      <c r="E207" s="9"/>
      <c r="F207" t="str">
        <f>IF(E207="",D207,E207)</f>
        <v>GO</v>
      </c>
      <c r="G207" t="str">
        <f>INDEX(Netzzeiten!$B$6:$B$29,HOUR(B207)+1)</f>
        <v>NT</v>
      </c>
      <c r="H207" s="6">
        <f>IF(F207="GO",Eingaben!$B$11,IF(F207="STANDARD",Eingaben!$B$12,IF(AND(F207="HEAT",ISNUMBER(Eingaben!$B$13)),Eingaben!$B$13,"")))</f>
        <v>15.0654</v>
      </c>
      <c r="I207" s="6">
        <f>INDEX(Netzzeiten!$C$6:$C$29,HOUR(B207)+1)</f>
        <v>1.64</v>
      </c>
      <c r="J207" t="str">
        <f>IF(C207="","FEHLT",IF(NOT(ISNUMBER(C207)),"MESSWERT UNGUELTIG",IF(C207&lt;0,"MESSWERT UNGUELTIG",IF(H207="","TARIFPREIS FEHLT","OK"))))</f>
        <v>FEHLT</v>
      </c>
      <c r="K207" s="7">
        <f>IF(J207&lt;&gt;"OK","",C207*I207/100)</f>
        <v/>
      </c>
    </row>
    <row r="208" spans="1:11">
      <c r="A208" s="14">
        <v>46145</v>
      </c>
      <c r="B208" s="15">
        <v>0.1041666666666667</v>
      </c>
      <c r="C208" s="5">
        <f>IF('96 Werte'!L8="","",'96 Werte'!L8)</f>
        <v/>
      </c>
      <c r="D208" t="str">
        <f>IF(IF(Eingaben!$B$21&lt;Eingaben!$B$22,AND(B208&gt;=Eingaben!$B$21,B208&lt;Eingaben!$B$22),OR(B208&gt;=Eingaben!$B$21,B208&lt;Eingaben!$B$22)),"GO",IF(AND(ISNUMBER(Eingaben!$B$23),ISNUMBER(Eingaben!$B$24),IF(Eingaben!$B$23&lt;Eingaben!$B$24,AND(B208&gt;=Eingaben!$B$23,B208&lt;Eingaben!$B$24),OR(B208&gt;=Eingaben!$B$23,B208&lt;Eingaben!$B$24))),"HEAT","STANDARD"))</f>
        <v>GO</v>
      </c>
      <c r="E208" s="9"/>
      <c r="F208" t="str">
        <f>IF(E208="",D208,E208)</f>
        <v>GO</v>
      </c>
      <c r="G208" t="str">
        <f>INDEX(Netzzeiten!$B$6:$B$29,HOUR(B208)+1)</f>
        <v>NT</v>
      </c>
      <c r="H208" s="6">
        <f>IF(F208="GO",Eingaben!$B$11,IF(F208="STANDARD",Eingaben!$B$12,IF(AND(F208="HEAT",ISNUMBER(Eingaben!$B$13)),Eingaben!$B$13,"")))</f>
        <v>15.0654</v>
      </c>
      <c r="I208" s="6">
        <f>INDEX(Netzzeiten!$C$6:$C$29,HOUR(B208)+1)</f>
        <v>1.64</v>
      </c>
      <c r="J208" t="str">
        <f>IF(C208="","FEHLT",IF(NOT(ISNUMBER(C208)),"MESSWERT UNGUELTIG",IF(C208&lt;0,"MESSWERT UNGUELTIG",IF(H208="","TARIFPREIS FEHLT","OK"))))</f>
        <v>FEHLT</v>
      </c>
      <c r="K208" s="7">
        <f>IF(J208&lt;&gt;"OK","",C208*I208/100)</f>
        <v/>
      </c>
    </row>
    <row r="209" spans="1:11">
      <c r="A209" s="14">
        <v>46145</v>
      </c>
      <c r="B209" s="15">
        <v>0.1145833333333333</v>
      </c>
      <c r="C209" s="5">
        <f>IF('96 Werte'!M8="","",'96 Werte'!M8)</f>
        <v/>
      </c>
      <c r="D209" t="str">
        <f>IF(IF(Eingaben!$B$21&lt;Eingaben!$B$22,AND(B209&gt;=Eingaben!$B$21,B209&lt;Eingaben!$B$22),OR(B209&gt;=Eingaben!$B$21,B209&lt;Eingaben!$B$22)),"GO",IF(AND(ISNUMBER(Eingaben!$B$23),ISNUMBER(Eingaben!$B$24),IF(Eingaben!$B$23&lt;Eingaben!$B$24,AND(B209&gt;=Eingaben!$B$23,B209&lt;Eingaben!$B$24),OR(B209&gt;=Eingaben!$B$23,B209&lt;Eingaben!$B$24))),"HEAT","STANDARD"))</f>
        <v>GO</v>
      </c>
      <c r="E209" s="9"/>
      <c r="F209" t="str">
        <f>IF(E209="",D209,E209)</f>
        <v>GO</v>
      </c>
      <c r="G209" t="str">
        <f>INDEX(Netzzeiten!$B$6:$B$29,HOUR(B209)+1)</f>
        <v>NT</v>
      </c>
      <c r="H209" s="6">
        <f>IF(F209="GO",Eingaben!$B$11,IF(F209="STANDARD",Eingaben!$B$12,IF(AND(F209="HEAT",ISNUMBER(Eingaben!$B$13)),Eingaben!$B$13,"")))</f>
        <v>15.0654</v>
      </c>
      <c r="I209" s="6">
        <f>INDEX(Netzzeiten!$C$6:$C$29,HOUR(B209)+1)</f>
        <v>1.64</v>
      </c>
      <c r="J209" t="str">
        <f>IF(C209="","FEHLT",IF(NOT(ISNUMBER(C209)),"MESSWERT UNGUELTIG",IF(C209&lt;0,"MESSWERT UNGUELTIG",IF(H209="","TARIFPREIS FEHLT","OK"))))</f>
        <v>FEHLT</v>
      </c>
      <c r="K209" s="7">
        <f>IF(J209&lt;&gt;"OK","",C209*I209/100)</f>
        <v/>
      </c>
    </row>
    <row r="210" spans="1:11">
      <c r="A210" s="14">
        <v>46145</v>
      </c>
      <c r="B210" s="15">
        <v>0.125</v>
      </c>
      <c r="C210" s="5">
        <f>IF('96 Werte'!N8="","",'96 Werte'!N8)</f>
        <v/>
      </c>
      <c r="D210" t="str">
        <f>IF(IF(Eingaben!$B$21&lt;Eingaben!$B$22,AND(B210&gt;=Eingaben!$B$21,B210&lt;Eingaben!$B$22),OR(B210&gt;=Eingaben!$B$21,B210&lt;Eingaben!$B$22)),"GO",IF(AND(ISNUMBER(Eingaben!$B$23),ISNUMBER(Eingaben!$B$24),IF(Eingaben!$B$23&lt;Eingaben!$B$24,AND(B210&gt;=Eingaben!$B$23,B210&lt;Eingaben!$B$24),OR(B210&gt;=Eingaben!$B$23,B210&lt;Eingaben!$B$24))),"HEAT","STANDARD"))</f>
        <v>GO</v>
      </c>
      <c r="E210" s="9"/>
      <c r="F210" t="str">
        <f>IF(E210="",D210,E210)</f>
        <v>GO</v>
      </c>
      <c r="G210" t="str">
        <f>INDEX(Netzzeiten!$B$6:$B$29,HOUR(B210)+1)</f>
        <v>NT</v>
      </c>
      <c r="H210" s="6">
        <f>IF(F210="GO",Eingaben!$B$11,IF(F210="STANDARD",Eingaben!$B$12,IF(AND(F210="HEAT",ISNUMBER(Eingaben!$B$13)),Eingaben!$B$13,"")))</f>
        <v>15.0654</v>
      </c>
      <c r="I210" s="6">
        <f>INDEX(Netzzeiten!$C$6:$C$29,HOUR(B210)+1)</f>
        <v>1.64</v>
      </c>
      <c r="J210" t="str">
        <f>IF(C210="","FEHLT",IF(NOT(ISNUMBER(C210)),"MESSWERT UNGUELTIG",IF(C210&lt;0,"MESSWERT UNGUELTIG",IF(H210="","TARIFPREIS FEHLT","OK"))))</f>
        <v>FEHLT</v>
      </c>
      <c r="K210" s="7">
        <f>IF(J210&lt;&gt;"OK","",C210*I210/100)</f>
        <v/>
      </c>
    </row>
    <row r="211" spans="1:11">
      <c r="A211" s="14">
        <v>46145</v>
      </c>
      <c r="B211" s="15">
        <v>0.1354166666666667</v>
      </c>
      <c r="C211" s="5">
        <f>IF('96 Werte'!O8="","",'96 Werte'!O8)</f>
        <v/>
      </c>
      <c r="D211" t="str">
        <f>IF(IF(Eingaben!$B$21&lt;Eingaben!$B$22,AND(B211&gt;=Eingaben!$B$21,B211&lt;Eingaben!$B$22),OR(B211&gt;=Eingaben!$B$21,B211&lt;Eingaben!$B$22)),"GO",IF(AND(ISNUMBER(Eingaben!$B$23),ISNUMBER(Eingaben!$B$24),IF(Eingaben!$B$23&lt;Eingaben!$B$24,AND(B211&gt;=Eingaben!$B$23,B211&lt;Eingaben!$B$24),OR(B211&gt;=Eingaben!$B$23,B211&lt;Eingaben!$B$24))),"HEAT","STANDARD"))</f>
        <v>GO</v>
      </c>
      <c r="E211" s="9"/>
      <c r="F211" t="str">
        <f>IF(E211="",D211,E211)</f>
        <v>GO</v>
      </c>
      <c r="G211" t="str">
        <f>INDEX(Netzzeiten!$B$6:$B$29,HOUR(B211)+1)</f>
        <v>NT</v>
      </c>
      <c r="H211" s="6">
        <f>IF(F211="GO",Eingaben!$B$11,IF(F211="STANDARD",Eingaben!$B$12,IF(AND(F211="HEAT",ISNUMBER(Eingaben!$B$13)),Eingaben!$B$13,"")))</f>
        <v>15.0654</v>
      </c>
      <c r="I211" s="6">
        <f>INDEX(Netzzeiten!$C$6:$C$29,HOUR(B211)+1)</f>
        <v>1.64</v>
      </c>
      <c r="J211" t="str">
        <f>IF(C211="","FEHLT",IF(NOT(ISNUMBER(C211)),"MESSWERT UNGUELTIG",IF(C211&lt;0,"MESSWERT UNGUELTIG",IF(H211="","TARIFPREIS FEHLT","OK"))))</f>
        <v>FEHLT</v>
      </c>
      <c r="K211" s="7">
        <f>IF(J211&lt;&gt;"OK","",C211*I211/100)</f>
        <v/>
      </c>
    </row>
    <row r="212" spans="1:11">
      <c r="A212" s="14">
        <v>46145</v>
      </c>
      <c r="B212" s="15">
        <v>0.1458333333333333</v>
      </c>
      <c r="C212" s="5">
        <f>IF('96 Werte'!P8="","",'96 Werte'!P8)</f>
        <v/>
      </c>
      <c r="D212" t="str">
        <f>IF(IF(Eingaben!$B$21&lt;Eingaben!$B$22,AND(B212&gt;=Eingaben!$B$21,B212&lt;Eingaben!$B$22),OR(B212&gt;=Eingaben!$B$21,B212&lt;Eingaben!$B$22)),"GO",IF(AND(ISNUMBER(Eingaben!$B$23),ISNUMBER(Eingaben!$B$24),IF(Eingaben!$B$23&lt;Eingaben!$B$24,AND(B212&gt;=Eingaben!$B$23,B212&lt;Eingaben!$B$24),OR(B212&gt;=Eingaben!$B$23,B212&lt;Eingaben!$B$24))),"HEAT","STANDARD"))</f>
        <v>GO</v>
      </c>
      <c r="E212" s="9"/>
      <c r="F212" t="str">
        <f>IF(E212="",D212,E212)</f>
        <v>GO</v>
      </c>
      <c r="G212" t="str">
        <f>INDEX(Netzzeiten!$B$6:$B$29,HOUR(B212)+1)</f>
        <v>NT</v>
      </c>
      <c r="H212" s="6">
        <f>IF(F212="GO",Eingaben!$B$11,IF(F212="STANDARD",Eingaben!$B$12,IF(AND(F212="HEAT",ISNUMBER(Eingaben!$B$13)),Eingaben!$B$13,"")))</f>
        <v>15.0654</v>
      </c>
      <c r="I212" s="6">
        <f>INDEX(Netzzeiten!$C$6:$C$29,HOUR(B212)+1)</f>
        <v>1.64</v>
      </c>
      <c r="J212" t="str">
        <f>IF(C212="","FEHLT",IF(NOT(ISNUMBER(C212)),"MESSWERT UNGUELTIG",IF(C212&lt;0,"MESSWERT UNGUELTIG",IF(H212="","TARIFPREIS FEHLT","OK"))))</f>
        <v>FEHLT</v>
      </c>
      <c r="K212" s="7">
        <f>IF(J212&lt;&gt;"OK","",C212*I212/100)</f>
        <v/>
      </c>
    </row>
    <row r="213" spans="1:11">
      <c r="A213" s="14">
        <v>46145</v>
      </c>
      <c r="B213" s="15">
        <v>0.15625</v>
      </c>
      <c r="C213" s="5">
        <f>IF('96 Werte'!Q8="","",'96 Werte'!Q8)</f>
        <v/>
      </c>
      <c r="D213" t="str">
        <f>IF(IF(Eingaben!$B$21&lt;Eingaben!$B$22,AND(B213&gt;=Eingaben!$B$21,B213&lt;Eingaben!$B$22),OR(B213&gt;=Eingaben!$B$21,B213&lt;Eingaben!$B$22)),"GO",IF(AND(ISNUMBER(Eingaben!$B$23),ISNUMBER(Eingaben!$B$24),IF(Eingaben!$B$23&lt;Eingaben!$B$24,AND(B213&gt;=Eingaben!$B$23,B213&lt;Eingaben!$B$24),OR(B213&gt;=Eingaben!$B$23,B213&lt;Eingaben!$B$24))),"HEAT","STANDARD"))</f>
        <v>GO</v>
      </c>
      <c r="E213" s="9"/>
      <c r="F213" t="str">
        <f>IF(E213="",D213,E213)</f>
        <v>GO</v>
      </c>
      <c r="G213" t="str">
        <f>INDEX(Netzzeiten!$B$6:$B$29,HOUR(B213)+1)</f>
        <v>NT</v>
      </c>
      <c r="H213" s="6">
        <f>IF(F213="GO",Eingaben!$B$11,IF(F213="STANDARD",Eingaben!$B$12,IF(AND(F213="HEAT",ISNUMBER(Eingaben!$B$13)),Eingaben!$B$13,"")))</f>
        <v>15.0654</v>
      </c>
      <c r="I213" s="6">
        <f>INDEX(Netzzeiten!$C$6:$C$29,HOUR(B213)+1)</f>
        <v>1.64</v>
      </c>
      <c r="J213" t="str">
        <f>IF(C213="","FEHLT",IF(NOT(ISNUMBER(C213)),"MESSWERT UNGUELTIG",IF(C213&lt;0,"MESSWERT UNGUELTIG",IF(H213="","TARIFPREIS FEHLT","OK"))))</f>
        <v>FEHLT</v>
      </c>
      <c r="K213" s="7">
        <f>IF(J213&lt;&gt;"OK","",C213*I213/100)</f>
        <v/>
      </c>
    </row>
    <row r="214" spans="1:11">
      <c r="A214" s="14">
        <v>46145</v>
      </c>
      <c r="B214" s="15">
        <v>0.1666666666666667</v>
      </c>
      <c r="C214" s="5">
        <f>IF('96 Werte'!R8="","",'96 Werte'!R8)</f>
        <v/>
      </c>
      <c r="D214" t="str">
        <f>IF(IF(Eingaben!$B$21&lt;Eingaben!$B$22,AND(B214&gt;=Eingaben!$B$21,B214&lt;Eingaben!$B$22),OR(B214&gt;=Eingaben!$B$21,B214&lt;Eingaben!$B$22)),"GO",IF(AND(ISNUMBER(Eingaben!$B$23),ISNUMBER(Eingaben!$B$24),IF(Eingaben!$B$23&lt;Eingaben!$B$24,AND(B214&gt;=Eingaben!$B$23,B214&lt;Eingaben!$B$24),OR(B214&gt;=Eingaben!$B$23,B214&lt;Eingaben!$B$24))),"HEAT","STANDARD"))</f>
        <v>GO</v>
      </c>
      <c r="E214" s="9"/>
      <c r="F214" t="str">
        <f>IF(E214="",D214,E214)</f>
        <v>GO</v>
      </c>
      <c r="G214" t="str">
        <f>INDEX(Netzzeiten!$B$6:$B$29,HOUR(B214)+1)</f>
        <v>NT</v>
      </c>
      <c r="H214" s="6">
        <f>IF(F214="GO",Eingaben!$B$11,IF(F214="STANDARD",Eingaben!$B$12,IF(AND(F214="HEAT",ISNUMBER(Eingaben!$B$13)),Eingaben!$B$13,"")))</f>
        <v>15.0654</v>
      </c>
      <c r="I214" s="6">
        <f>INDEX(Netzzeiten!$C$6:$C$29,HOUR(B214)+1)</f>
        <v>1.64</v>
      </c>
      <c r="J214" t="str">
        <f>IF(C214="","FEHLT",IF(NOT(ISNUMBER(C214)),"MESSWERT UNGUELTIG",IF(C214&lt;0,"MESSWERT UNGUELTIG",IF(H214="","TARIFPREIS FEHLT","OK"))))</f>
        <v>FEHLT</v>
      </c>
      <c r="K214" s="7">
        <f>IF(J214&lt;&gt;"OK","",C214*I214/100)</f>
        <v/>
      </c>
    </row>
    <row r="215" spans="1:11">
      <c r="A215" s="14">
        <v>46145</v>
      </c>
      <c r="B215" s="15">
        <v>0.1770833333333333</v>
      </c>
      <c r="C215" s="5">
        <f>IF('96 Werte'!S8="","",'96 Werte'!S8)</f>
        <v/>
      </c>
      <c r="D215" t="str">
        <f>IF(IF(Eingaben!$B$21&lt;Eingaben!$B$22,AND(B215&gt;=Eingaben!$B$21,B215&lt;Eingaben!$B$22),OR(B215&gt;=Eingaben!$B$21,B215&lt;Eingaben!$B$22)),"GO",IF(AND(ISNUMBER(Eingaben!$B$23),ISNUMBER(Eingaben!$B$24),IF(Eingaben!$B$23&lt;Eingaben!$B$24,AND(B215&gt;=Eingaben!$B$23,B215&lt;Eingaben!$B$24),OR(B215&gt;=Eingaben!$B$23,B215&lt;Eingaben!$B$24))),"HEAT","STANDARD"))</f>
        <v>GO</v>
      </c>
      <c r="E215" s="9"/>
      <c r="F215" t="str">
        <f>IF(E215="",D215,E215)</f>
        <v>GO</v>
      </c>
      <c r="G215" t="str">
        <f>INDEX(Netzzeiten!$B$6:$B$29,HOUR(B215)+1)</f>
        <v>NT</v>
      </c>
      <c r="H215" s="6">
        <f>IF(F215="GO",Eingaben!$B$11,IF(F215="STANDARD",Eingaben!$B$12,IF(AND(F215="HEAT",ISNUMBER(Eingaben!$B$13)),Eingaben!$B$13,"")))</f>
        <v>15.0654</v>
      </c>
      <c r="I215" s="6">
        <f>INDEX(Netzzeiten!$C$6:$C$29,HOUR(B215)+1)</f>
        <v>1.64</v>
      </c>
      <c r="J215" t="str">
        <f>IF(C215="","FEHLT",IF(NOT(ISNUMBER(C215)),"MESSWERT UNGUELTIG",IF(C215&lt;0,"MESSWERT UNGUELTIG",IF(H215="","TARIFPREIS FEHLT","OK"))))</f>
        <v>FEHLT</v>
      </c>
      <c r="K215" s="7">
        <f>IF(J215&lt;&gt;"OK","",C215*I215/100)</f>
        <v/>
      </c>
    </row>
    <row r="216" spans="1:11">
      <c r="A216" s="14">
        <v>46145</v>
      </c>
      <c r="B216" s="15">
        <v>0.1875</v>
      </c>
      <c r="C216" s="5">
        <f>IF('96 Werte'!T8="","",'96 Werte'!T8)</f>
        <v/>
      </c>
      <c r="D216" t="str">
        <f>IF(IF(Eingaben!$B$21&lt;Eingaben!$B$22,AND(B216&gt;=Eingaben!$B$21,B216&lt;Eingaben!$B$22),OR(B216&gt;=Eingaben!$B$21,B216&lt;Eingaben!$B$22)),"GO",IF(AND(ISNUMBER(Eingaben!$B$23),ISNUMBER(Eingaben!$B$24),IF(Eingaben!$B$23&lt;Eingaben!$B$24,AND(B216&gt;=Eingaben!$B$23,B216&lt;Eingaben!$B$24),OR(B216&gt;=Eingaben!$B$23,B216&lt;Eingaben!$B$24))),"HEAT","STANDARD"))</f>
        <v>GO</v>
      </c>
      <c r="E216" s="9"/>
      <c r="F216" t="str">
        <f>IF(E216="",D216,E216)</f>
        <v>GO</v>
      </c>
      <c r="G216" t="str">
        <f>INDEX(Netzzeiten!$B$6:$B$29,HOUR(B216)+1)</f>
        <v>NT</v>
      </c>
      <c r="H216" s="6">
        <f>IF(F216="GO",Eingaben!$B$11,IF(F216="STANDARD",Eingaben!$B$12,IF(AND(F216="HEAT",ISNUMBER(Eingaben!$B$13)),Eingaben!$B$13,"")))</f>
        <v>15.0654</v>
      </c>
      <c r="I216" s="6">
        <f>INDEX(Netzzeiten!$C$6:$C$29,HOUR(B216)+1)</f>
        <v>1.64</v>
      </c>
      <c r="J216" t="str">
        <f>IF(C216="","FEHLT",IF(NOT(ISNUMBER(C216)),"MESSWERT UNGUELTIG",IF(C216&lt;0,"MESSWERT UNGUELTIG",IF(H216="","TARIFPREIS FEHLT","OK"))))</f>
        <v>FEHLT</v>
      </c>
      <c r="K216" s="7">
        <f>IF(J216&lt;&gt;"OK","",C216*I216/100)</f>
        <v/>
      </c>
    </row>
    <row r="217" spans="1:11">
      <c r="A217" s="14">
        <v>46145</v>
      </c>
      <c r="B217" s="15">
        <v>0.1979166666666667</v>
      </c>
      <c r="C217" s="5">
        <f>IF('96 Werte'!U8="","",'96 Werte'!U8)</f>
        <v/>
      </c>
      <c r="D217" t="str">
        <f>IF(IF(Eingaben!$B$21&lt;Eingaben!$B$22,AND(B217&gt;=Eingaben!$B$21,B217&lt;Eingaben!$B$22),OR(B217&gt;=Eingaben!$B$21,B217&lt;Eingaben!$B$22)),"GO",IF(AND(ISNUMBER(Eingaben!$B$23),ISNUMBER(Eingaben!$B$24),IF(Eingaben!$B$23&lt;Eingaben!$B$24,AND(B217&gt;=Eingaben!$B$23,B217&lt;Eingaben!$B$24),OR(B217&gt;=Eingaben!$B$23,B217&lt;Eingaben!$B$24))),"HEAT","STANDARD"))</f>
        <v>GO</v>
      </c>
      <c r="E217" s="9"/>
      <c r="F217" t="str">
        <f>IF(E217="",D217,E217)</f>
        <v>GO</v>
      </c>
      <c r="G217" t="str">
        <f>INDEX(Netzzeiten!$B$6:$B$29,HOUR(B217)+1)</f>
        <v>NT</v>
      </c>
      <c r="H217" s="6">
        <f>IF(F217="GO",Eingaben!$B$11,IF(F217="STANDARD",Eingaben!$B$12,IF(AND(F217="HEAT",ISNUMBER(Eingaben!$B$13)),Eingaben!$B$13,"")))</f>
        <v>15.0654</v>
      </c>
      <c r="I217" s="6">
        <f>INDEX(Netzzeiten!$C$6:$C$29,HOUR(B217)+1)</f>
        <v>1.64</v>
      </c>
      <c r="J217" t="str">
        <f>IF(C217="","FEHLT",IF(NOT(ISNUMBER(C217)),"MESSWERT UNGUELTIG",IF(C217&lt;0,"MESSWERT UNGUELTIG",IF(H217="","TARIFPREIS FEHLT","OK"))))</f>
        <v>FEHLT</v>
      </c>
      <c r="K217" s="7">
        <f>IF(J217&lt;&gt;"OK","",C217*I217/100)</f>
        <v/>
      </c>
    </row>
    <row r="218" spans="1:11">
      <c r="A218" s="14">
        <v>46145</v>
      </c>
      <c r="B218" s="15">
        <v>0.2083333333333333</v>
      </c>
      <c r="C218" s="5">
        <f>IF('96 Werte'!V8="","",'96 Werte'!V8)</f>
        <v/>
      </c>
      <c r="D218" t="str">
        <f>IF(IF(Eingaben!$B$21&lt;Eingaben!$B$22,AND(B218&gt;=Eingaben!$B$21,B218&lt;Eingaben!$B$22),OR(B218&gt;=Eingaben!$B$21,B218&lt;Eingaben!$B$22)),"GO",IF(AND(ISNUMBER(Eingaben!$B$23),ISNUMBER(Eingaben!$B$24),IF(Eingaben!$B$23&lt;Eingaben!$B$24,AND(B218&gt;=Eingaben!$B$23,B218&lt;Eingaben!$B$24),OR(B218&gt;=Eingaben!$B$23,B218&lt;Eingaben!$B$24))),"HEAT","STANDARD"))</f>
        <v>STANDARD</v>
      </c>
      <c r="E218" s="9"/>
      <c r="F218" t="str">
        <f>IF(E218="",D218,E218)</f>
        <v>STANDARD</v>
      </c>
      <c r="G218" t="str">
        <f>INDEX(Netzzeiten!$B$6:$B$29,HOUR(B218)+1)</f>
        <v>NT</v>
      </c>
      <c r="H218" s="6">
        <f>IF(F218="GO",Eingaben!$B$11,IF(F218="STANDARD",Eingaben!$B$12,IF(AND(F218="HEAT",ISNUMBER(Eingaben!$B$13)),Eingaben!$B$13,"")))</f>
        <v>28.2744</v>
      </c>
      <c r="I218" s="6">
        <f>INDEX(Netzzeiten!$C$6:$C$29,HOUR(B218)+1)</f>
        <v>1.64</v>
      </c>
      <c r="J218" t="str">
        <f>IF(C218="","FEHLT",IF(NOT(ISNUMBER(C218)),"MESSWERT UNGUELTIG",IF(C218&lt;0,"MESSWERT UNGUELTIG",IF(H218="","TARIFPREIS FEHLT","OK"))))</f>
        <v>FEHLT</v>
      </c>
      <c r="K218" s="7">
        <f>IF(J218&lt;&gt;"OK","",C218*I218/100)</f>
        <v/>
      </c>
    </row>
    <row r="219" spans="1:11">
      <c r="A219" s="14">
        <v>46145</v>
      </c>
      <c r="B219" s="15">
        <v>0.21875</v>
      </c>
      <c r="C219" s="5">
        <f>IF('96 Werte'!W8="","",'96 Werte'!W8)</f>
        <v/>
      </c>
      <c r="D219" t="str">
        <f>IF(IF(Eingaben!$B$21&lt;Eingaben!$B$22,AND(B219&gt;=Eingaben!$B$21,B219&lt;Eingaben!$B$22),OR(B219&gt;=Eingaben!$B$21,B219&lt;Eingaben!$B$22)),"GO",IF(AND(ISNUMBER(Eingaben!$B$23),ISNUMBER(Eingaben!$B$24),IF(Eingaben!$B$23&lt;Eingaben!$B$24,AND(B219&gt;=Eingaben!$B$23,B219&lt;Eingaben!$B$24),OR(B219&gt;=Eingaben!$B$23,B219&lt;Eingaben!$B$24))),"HEAT","STANDARD"))</f>
        <v>STANDARD</v>
      </c>
      <c r="E219" s="9"/>
      <c r="F219" t="str">
        <f>IF(E219="",D219,E219)</f>
        <v>STANDARD</v>
      </c>
      <c r="G219" t="str">
        <f>INDEX(Netzzeiten!$B$6:$B$29,HOUR(B219)+1)</f>
        <v>NT</v>
      </c>
      <c r="H219" s="6">
        <f>IF(F219="GO",Eingaben!$B$11,IF(F219="STANDARD",Eingaben!$B$12,IF(AND(F219="HEAT",ISNUMBER(Eingaben!$B$13)),Eingaben!$B$13,"")))</f>
        <v>28.2744</v>
      </c>
      <c r="I219" s="6">
        <f>INDEX(Netzzeiten!$C$6:$C$29,HOUR(B219)+1)</f>
        <v>1.64</v>
      </c>
      <c r="J219" t="str">
        <f>IF(C219="","FEHLT",IF(NOT(ISNUMBER(C219)),"MESSWERT UNGUELTIG",IF(C219&lt;0,"MESSWERT UNGUELTIG",IF(H219="","TARIFPREIS FEHLT","OK"))))</f>
        <v>FEHLT</v>
      </c>
      <c r="K219" s="7">
        <f>IF(J219&lt;&gt;"OK","",C219*I219/100)</f>
        <v/>
      </c>
    </row>
    <row r="220" spans="1:11">
      <c r="A220" s="14">
        <v>46145</v>
      </c>
      <c r="B220" s="15">
        <v>0.2291666666666667</v>
      </c>
      <c r="C220" s="5">
        <f>IF('96 Werte'!X8="","",'96 Werte'!X8)</f>
        <v/>
      </c>
      <c r="D220" t="str">
        <f>IF(IF(Eingaben!$B$21&lt;Eingaben!$B$22,AND(B220&gt;=Eingaben!$B$21,B220&lt;Eingaben!$B$22),OR(B220&gt;=Eingaben!$B$21,B220&lt;Eingaben!$B$22)),"GO",IF(AND(ISNUMBER(Eingaben!$B$23),ISNUMBER(Eingaben!$B$24),IF(Eingaben!$B$23&lt;Eingaben!$B$24,AND(B220&gt;=Eingaben!$B$23,B220&lt;Eingaben!$B$24),OR(B220&gt;=Eingaben!$B$23,B220&lt;Eingaben!$B$24))),"HEAT","STANDARD"))</f>
        <v>STANDARD</v>
      </c>
      <c r="E220" s="9"/>
      <c r="F220" t="str">
        <f>IF(E220="",D220,E220)</f>
        <v>STANDARD</v>
      </c>
      <c r="G220" t="str">
        <f>INDEX(Netzzeiten!$B$6:$B$29,HOUR(B220)+1)</f>
        <v>NT</v>
      </c>
      <c r="H220" s="6">
        <f>IF(F220="GO",Eingaben!$B$11,IF(F220="STANDARD",Eingaben!$B$12,IF(AND(F220="HEAT",ISNUMBER(Eingaben!$B$13)),Eingaben!$B$13,"")))</f>
        <v>28.2744</v>
      </c>
      <c r="I220" s="6">
        <f>INDEX(Netzzeiten!$C$6:$C$29,HOUR(B220)+1)</f>
        <v>1.64</v>
      </c>
      <c r="J220" t="str">
        <f>IF(C220="","FEHLT",IF(NOT(ISNUMBER(C220)),"MESSWERT UNGUELTIG",IF(C220&lt;0,"MESSWERT UNGUELTIG",IF(H220="","TARIFPREIS FEHLT","OK"))))</f>
        <v>FEHLT</v>
      </c>
      <c r="K220" s="7">
        <f>IF(J220&lt;&gt;"OK","",C220*I220/100)</f>
        <v/>
      </c>
    </row>
    <row r="221" spans="1:11">
      <c r="A221" s="14">
        <v>46145</v>
      </c>
      <c r="B221" s="15">
        <v>0.2395833333333333</v>
      </c>
      <c r="C221" s="5">
        <f>IF('96 Werte'!Y8="","",'96 Werte'!Y8)</f>
        <v/>
      </c>
      <c r="D221" t="str">
        <f>IF(IF(Eingaben!$B$21&lt;Eingaben!$B$22,AND(B221&gt;=Eingaben!$B$21,B221&lt;Eingaben!$B$22),OR(B221&gt;=Eingaben!$B$21,B221&lt;Eingaben!$B$22)),"GO",IF(AND(ISNUMBER(Eingaben!$B$23),ISNUMBER(Eingaben!$B$24),IF(Eingaben!$B$23&lt;Eingaben!$B$24,AND(B221&gt;=Eingaben!$B$23,B221&lt;Eingaben!$B$24),OR(B221&gt;=Eingaben!$B$23,B221&lt;Eingaben!$B$24))),"HEAT","STANDARD"))</f>
        <v>STANDARD</v>
      </c>
      <c r="E221" s="9"/>
      <c r="F221" t="str">
        <f>IF(E221="",D221,E221)</f>
        <v>STANDARD</v>
      </c>
      <c r="G221" t="str">
        <f>INDEX(Netzzeiten!$B$6:$B$29,HOUR(B221)+1)</f>
        <v>NT</v>
      </c>
      <c r="H221" s="6">
        <f>IF(F221="GO",Eingaben!$B$11,IF(F221="STANDARD",Eingaben!$B$12,IF(AND(F221="HEAT",ISNUMBER(Eingaben!$B$13)),Eingaben!$B$13,"")))</f>
        <v>28.2744</v>
      </c>
      <c r="I221" s="6">
        <f>INDEX(Netzzeiten!$C$6:$C$29,HOUR(B221)+1)</f>
        <v>1.64</v>
      </c>
      <c r="J221" t="str">
        <f>IF(C221="","FEHLT",IF(NOT(ISNUMBER(C221)),"MESSWERT UNGUELTIG",IF(C221&lt;0,"MESSWERT UNGUELTIG",IF(H221="","TARIFPREIS FEHLT","OK"))))</f>
        <v>FEHLT</v>
      </c>
      <c r="K221" s="7">
        <f>IF(J221&lt;&gt;"OK","",C221*I221/100)</f>
        <v/>
      </c>
    </row>
    <row r="222" spans="1:11">
      <c r="A222" s="14">
        <v>46145</v>
      </c>
      <c r="B222" s="15">
        <v>0.25</v>
      </c>
      <c r="C222" s="5">
        <f>IF('96 Werte'!Z8="","",'96 Werte'!Z8)</f>
        <v/>
      </c>
      <c r="D222" t="str">
        <f>IF(IF(Eingaben!$B$21&lt;Eingaben!$B$22,AND(B222&gt;=Eingaben!$B$21,B222&lt;Eingaben!$B$22),OR(B222&gt;=Eingaben!$B$21,B222&lt;Eingaben!$B$22)),"GO",IF(AND(ISNUMBER(Eingaben!$B$23),ISNUMBER(Eingaben!$B$24),IF(Eingaben!$B$23&lt;Eingaben!$B$24,AND(B222&gt;=Eingaben!$B$23,B222&lt;Eingaben!$B$24),OR(B222&gt;=Eingaben!$B$23,B222&lt;Eingaben!$B$24))),"HEAT","STANDARD"))</f>
        <v>STANDARD</v>
      </c>
      <c r="E222" s="9"/>
      <c r="F222" t="str">
        <f>IF(E222="",D222,E222)</f>
        <v>STANDARD</v>
      </c>
      <c r="G222" t="str">
        <f>INDEX(Netzzeiten!$B$6:$B$29,HOUR(B222)+1)</f>
        <v>ST</v>
      </c>
      <c r="H222" s="6">
        <f>IF(F222="GO",Eingaben!$B$11,IF(F222="STANDARD",Eingaben!$B$12,IF(AND(F222="HEAT",ISNUMBER(Eingaben!$B$13)),Eingaben!$B$13,"")))</f>
        <v>28.2744</v>
      </c>
      <c r="I222" s="6">
        <f>INDEX(Netzzeiten!$C$6:$C$29,HOUR(B222)+1)</f>
        <v>5.48</v>
      </c>
      <c r="J222" t="str">
        <f>IF(C222="","FEHLT",IF(NOT(ISNUMBER(C222)),"MESSWERT UNGUELTIG",IF(C222&lt;0,"MESSWERT UNGUELTIG",IF(H222="","TARIFPREIS FEHLT","OK"))))</f>
        <v>FEHLT</v>
      </c>
      <c r="K222" s="7">
        <f>IF(J222&lt;&gt;"OK","",C222*I222/100)</f>
        <v/>
      </c>
    </row>
    <row r="223" spans="1:11">
      <c r="A223" s="14">
        <v>46145</v>
      </c>
      <c r="B223" s="15">
        <v>0.2604166666666667</v>
      </c>
      <c r="C223" s="5">
        <f>IF('96 Werte'!AA8="","",'96 Werte'!AA8)</f>
        <v/>
      </c>
      <c r="D223" t="str">
        <f>IF(IF(Eingaben!$B$21&lt;Eingaben!$B$22,AND(B223&gt;=Eingaben!$B$21,B223&lt;Eingaben!$B$22),OR(B223&gt;=Eingaben!$B$21,B223&lt;Eingaben!$B$22)),"GO",IF(AND(ISNUMBER(Eingaben!$B$23),ISNUMBER(Eingaben!$B$24),IF(Eingaben!$B$23&lt;Eingaben!$B$24,AND(B223&gt;=Eingaben!$B$23,B223&lt;Eingaben!$B$24),OR(B223&gt;=Eingaben!$B$23,B223&lt;Eingaben!$B$24))),"HEAT","STANDARD"))</f>
        <v>STANDARD</v>
      </c>
      <c r="E223" s="9"/>
      <c r="F223" t="str">
        <f>IF(E223="",D223,E223)</f>
        <v>STANDARD</v>
      </c>
      <c r="G223" t="str">
        <f>INDEX(Netzzeiten!$B$6:$B$29,HOUR(B223)+1)</f>
        <v>ST</v>
      </c>
      <c r="H223" s="6">
        <f>IF(F223="GO",Eingaben!$B$11,IF(F223="STANDARD",Eingaben!$B$12,IF(AND(F223="HEAT",ISNUMBER(Eingaben!$B$13)),Eingaben!$B$13,"")))</f>
        <v>28.2744</v>
      </c>
      <c r="I223" s="6">
        <f>INDEX(Netzzeiten!$C$6:$C$29,HOUR(B223)+1)</f>
        <v>5.48</v>
      </c>
      <c r="J223" t="str">
        <f>IF(C223="","FEHLT",IF(NOT(ISNUMBER(C223)),"MESSWERT UNGUELTIG",IF(C223&lt;0,"MESSWERT UNGUELTIG",IF(H223="","TARIFPREIS FEHLT","OK"))))</f>
        <v>FEHLT</v>
      </c>
      <c r="K223" s="7">
        <f>IF(J223&lt;&gt;"OK","",C223*I223/100)</f>
        <v/>
      </c>
    </row>
    <row r="224" spans="1:11">
      <c r="A224" s="14">
        <v>46145</v>
      </c>
      <c r="B224" s="15">
        <v>0.2708333333333333</v>
      </c>
      <c r="C224" s="5">
        <f>IF('96 Werte'!AB8="","",'96 Werte'!AB8)</f>
        <v/>
      </c>
      <c r="D224" t="str">
        <f>IF(IF(Eingaben!$B$21&lt;Eingaben!$B$22,AND(B224&gt;=Eingaben!$B$21,B224&lt;Eingaben!$B$22),OR(B224&gt;=Eingaben!$B$21,B224&lt;Eingaben!$B$22)),"GO",IF(AND(ISNUMBER(Eingaben!$B$23),ISNUMBER(Eingaben!$B$24),IF(Eingaben!$B$23&lt;Eingaben!$B$24,AND(B224&gt;=Eingaben!$B$23,B224&lt;Eingaben!$B$24),OR(B224&gt;=Eingaben!$B$23,B224&lt;Eingaben!$B$24))),"HEAT","STANDARD"))</f>
        <v>STANDARD</v>
      </c>
      <c r="E224" s="9"/>
      <c r="F224" t="str">
        <f>IF(E224="",D224,E224)</f>
        <v>STANDARD</v>
      </c>
      <c r="G224" t="str">
        <f>INDEX(Netzzeiten!$B$6:$B$29,HOUR(B224)+1)</f>
        <v>ST</v>
      </c>
      <c r="H224" s="6">
        <f>IF(F224="GO",Eingaben!$B$11,IF(F224="STANDARD",Eingaben!$B$12,IF(AND(F224="HEAT",ISNUMBER(Eingaben!$B$13)),Eingaben!$B$13,"")))</f>
        <v>28.2744</v>
      </c>
      <c r="I224" s="6">
        <f>INDEX(Netzzeiten!$C$6:$C$29,HOUR(B224)+1)</f>
        <v>5.48</v>
      </c>
      <c r="J224" t="str">
        <f>IF(C224="","FEHLT",IF(NOT(ISNUMBER(C224)),"MESSWERT UNGUELTIG",IF(C224&lt;0,"MESSWERT UNGUELTIG",IF(H224="","TARIFPREIS FEHLT","OK"))))</f>
        <v>FEHLT</v>
      </c>
      <c r="K224" s="7">
        <f>IF(J224&lt;&gt;"OK","",C224*I224/100)</f>
        <v/>
      </c>
    </row>
    <row r="225" spans="1:11">
      <c r="A225" s="14">
        <v>46145</v>
      </c>
      <c r="B225" s="15">
        <v>0.28125</v>
      </c>
      <c r="C225" s="5">
        <f>IF('96 Werte'!AC8="","",'96 Werte'!AC8)</f>
        <v/>
      </c>
      <c r="D225" t="str">
        <f>IF(IF(Eingaben!$B$21&lt;Eingaben!$B$22,AND(B225&gt;=Eingaben!$B$21,B225&lt;Eingaben!$B$22),OR(B225&gt;=Eingaben!$B$21,B225&lt;Eingaben!$B$22)),"GO",IF(AND(ISNUMBER(Eingaben!$B$23),ISNUMBER(Eingaben!$B$24),IF(Eingaben!$B$23&lt;Eingaben!$B$24,AND(B225&gt;=Eingaben!$B$23,B225&lt;Eingaben!$B$24),OR(B225&gt;=Eingaben!$B$23,B225&lt;Eingaben!$B$24))),"HEAT","STANDARD"))</f>
        <v>STANDARD</v>
      </c>
      <c r="E225" s="9"/>
      <c r="F225" t="str">
        <f>IF(E225="",D225,E225)</f>
        <v>STANDARD</v>
      </c>
      <c r="G225" t="str">
        <f>INDEX(Netzzeiten!$B$6:$B$29,HOUR(B225)+1)</f>
        <v>ST</v>
      </c>
      <c r="H225" s="6">
        <f>IF(F225="GO",Eingaben!$B$11,IF(F225="STANDARD",Eingaben!$B$12,IF(AND(F225="HEAT",ISNUMBER(Eingaben!$B$13)),Eingaben!$B$13,"")))</f>
        <v>28.2744</v>
      </c>
      <c r="I225" s="6">
        <f>INDEX(Netzzeiten!$C$6:$C$29,HOUR(B225)+1)</f>
        <v>5.48</v>
      </c>
      <c r="J225" t="str">
        <f>IF(C225="","FEHLT",IF(NOT(ISNUMBER(C225)),"MESSWERT UNGUELTIG",IF(C225&lt;0,"MESSWERT UNGUELTIG",IF(H225="","TARIFPREIS FEHLT","OK"))))</f>
        <v>FEHLT</v>
      </c>
      <c r="K225" s="7">
        <f>IF(J225&lt;&gt;"OK","",C225*I225/100)</f>
        <v/>
      </c>
    </row>
    <row r="226" spans="1:11">
      <c r="A226" s="14">
        <v>46145</v>
      </c>
      <c r="B226" s="15">
        <v>0.2916666666666667</v>
      </c>
      <c r="C226" s="5">
        <f>IF('96 Werte'!AD8="","",'96 Werte'!AD8)</f>
        <v/>
      </c>
      <c r="D226" t="str">
        <f>IF(IF(Eingaben!$B$21&lt;Eingaben!$B$22,AND(B226&gt;=Eingaben!$B$21,B226&lt;Eingaben!$B$22),OR(B226&gt;=Eingaben!$B$21,B226&lt;Eingaben!$B$22)),"GO",IF(AND(ISNUMBER(Eingaben!$B$23),ISNUMBER(Eingaben!$B$24),IF(Eingaben!$B$23&lt;Eingaben!$B$24,AND(B226&gt;=Eingaben!$B$23,B226&lt;Eingaben!$B$24),OR(B226&gt;=Eingaben!$B$23,B226&lt;Eingaben!$B$24))),"HEAT","STANDARD"))</f>
        <v>STANDARD</v>
      </c>
      <c r="E226" s="9"/>
      <c r="F226" t="str">
        <f>IF(E226="",D226,E226)</f>
        <v>STANDARD</v>
      </c>
      <c r="G226" t="str">
        <f>INDEX(Netzzeiten!$B$6:$B$29,HOUR(B226)+1)</f>
        <v>ST</v>
      </c>
      <c r="H226" s="6">
        <f>IF(F226="GO",Eingaben!$B$11,IF(F226="STANDARD",Eingaben!$B$12,IF(AND(F226="HEAT",ISNUMBER(Eingaben!$B$13)),Eingaben!$B$13,"")))</f>
        <v>28.2744</v>
      </c>
      <c r="I226" s="6">
        <f>INDEX(Netzzeiten!$C$6:$C$29,HOUR(B226)+1)</f>
        <v>5.48</v>
      </c>
      <c r="J226" t="str">
        <f>IF(C226="","FEHLT",IF(NOT(ISNUMBER(C226)),"MESSWERT UNGUELTIG",IF(C226&lt;0,"MESSWERT UNGUELTIG",IF(H226="","TARIFPREIS FEHLT","OK"))))</f>
        <v>FEHLT</v>
      </c>
      <c r="K226" s="7">
        <f>IF(J226&lt;&gt;"OK","",C226*I226/100)</f>
        <v/>
      </c>
    </row>
    <row r="227" spans="1:11">
      <c r="A227" s="14">
        <v>46145</v>
      </c>
      <c r="B227" s="15">
        <v>0.3020833333333333</v>
      </c>
      <c r="C227" s="5">
        <f>IF('96 Werte'!AE8="","",'96 Werte'!AE8)</f>
        <v/>
      </c>
      <c r="D227" t="str">
        <f>IF(IF(Eingaben!$B$21&lt;Eingaben!$B$22,AND(B227&gt;=Eingaben!$B$21,B227&lt;Eingaben!$B$22),OR(B227&gt;=Eingaben!$B$21,B227&lt;Eingaben!$B$22)),"GO",IF(AND(ISNUMBER(Eingaben!$B$23),ISNUMBER(Eingaben!$B$24),IF(Eingaben!$B$23&lt;Eingaben!$B$24,AND(B227&gt;=Eingaben!$B$23,B227&lt;Eingaben!$B$24),OR(B227&gt;=Eingaben!$B$23,B227&lt;Eingaben!$B$24))),"HEAT","STANDARD"))</f>
        <v>STANDARD</v>
      </c>
      <c r="E227" s="9"/>
      <c r="F227" t="str">
        <f>IF(E227="",D227,E227)</f>
        <v>STANDARD</v>
      </c>
      <c r="G227" t="str">
        <f>INDEX(Netzzeiten!$B$6:$B$29,HOUR(B227)+1)</f>
        <v>ST</v>
      </c>
      <c r="H227" s="6">
        <f>IF(F227="GO",Eingaben!$B$11,IF(F227="STANDARD",Eingaben!$B$12,IF(AND(F227="HEAT",ISNUMBER(Eingaben!$B$13)),Eingaben!$B$13,"")))</f>
        <v>28.2744</v>
      </c>
      <c r="I227" s="6">
        <f>INDEX(Netzzeiten!$C$6:$C$29,HOUR(B227)+1)</f>
        <v>5.48</v>
      </c>
      <c r="J227" t="str">
        <f>IF(C227="","FEHLT",IF(NOT(ISNUMBER(C227)),"MESSWERT UNGUELTIG",IF(C227&lt;0,"MESSWERT UNGUELTIG",IF(H227="","TARIFPREIS FEHLT","OK"))))</f>
        <v>FEHLT</v>
      </c>
      <c r="K227" s="7">
        <f>IF(J227&lt;&gt;"OK","",C227*I227/100)</f>
        <v/>
      </c>
    </row>
    <row r="228" spans="1:11">
      <c r="A228" s="14">
        <v>46145</v>
      </c>
      <c r="B228" s="15">
        <v>0.3125</v>
      </c>
      <c r="C228" s="5">
        <f>IF('96 Werte'!AF8="","",'96 Werte'!AF8)</f>
        <v/>
      </c>
      <c r="D228" t="str">
        <f>IF(IF(Eingaben!$B$21&lt;Eingaben!$B$22,AND(B228&gt;=Eingaben!$B$21,B228&lt;Eingaben!$B$22),OR(B228&gt;=Eingaben!$B$21,B228&lt;Eingaben!$B$22)),"GO",IF(AND(ISNUMBER(Eingaben!$B$23),ISNUMBER(Eingaben!$B$24),IF(Eingaben!$B$23&lt;Eingaben!$B$24,AND(B228&gt;=Eingaben!$B$23,B228&lt;Eingaben!$B$24),OR(B228&gt;=Eingaben!$B$23,B228&lt;Eingaben!$B$24))),"HEAT","STANDARD"))</f>
        <v>STANDARD</v>
      </c>
      <c r="E228" s="9"/>
      <c r="F228" t="str">
        <f>IF(E228="",D228,E228)</f>
        <v>STANDARD</v>
      </c>
      <c r="G228" t="str">
        <f>INDEX(Netzzeiten!$B$6:$B$29,HOUR(B228)+1)</f>
        <v>ST</v>
      </c>
      <c r="H228" s="6">
        <f>IF(F228="GO",Eingaben!$B$11,IF(F228="STANDARD",Eingaben!$B$12,IF(AND(F228="HEAT",ISNUMBER(Eingaben!$B$13)),Eingaben!$B$13,"")))</f>
        <v>28.2744</v>
      </c>
      <c r="I228" s="6">
        <f>INDEX(Netzzeiten!$C$6:$C$29,HOUR(B228)+1)</f>
        <v>5.48</v>
      </c>
      <c r="J228" t="str">
        <f>IF(C228="","FEHLT",IF(NOT(ISNUMBER(C228)),"MESSWERT UNGUELTIG",IF(C228&lt;0,"MESSWERT UNGUELTIG",IF(H228="","TARIFPREIS FEHLT","OK"))))</f>
        <v>FEHLT</v>
      </c>
      <c r="K228" s="7">
        <f>IF(J228&lt;&gt;"OK","",C228*I228/100)</f>
        <v/>
      </c>
    </row>
    <row r="229" spans="1:11">
      <c r="A229" s="14">
        <v>46145</v>
      </c>
      <c r="B229" s="15">
        <v>0.3229166666666667</v>
      </c>
      <c r="C229" s="5">
        <f>IF('96 Werte'!AG8="","",'96 Werte'!AG8)</f>
        <v/>
      </c>
      <c r="D229" t="str">
        <f>IF(IF(Eingaben!$B$21&lt;Eingaben!$B$22,AND(B229&gt;=Eingaben!$B$21,B229&lt;Eingaben!$B$22),OR(B229&gt;=Eingaben!$B$21,B229&lt;Eingaben!$B$22)),"GO",IF(AND(ISNUMBER(Eingaben!$B$23),ISNUMBER(Eingaben!$B$24),IF(Eingaben!$B$23&lt;Eingaben!$B$24,AND(B229&gt;=Eingaben!$B$23,B229&lt;Eingaben!$B$24),OR(B229&gt;=Eingaben!$B$23,B229&lt;Eingaben!$B$24))),"HEAT","STANDARD"))</f>
        <v>STANDARD</v>
      </c>
      <c r="E229" s="9"/>
      <c r="F229" t="str">
        <f>IF(E229="",D229,E229)</f>
        <v>STANDARD</v>
      </c>
      <c r="G229" t="str">
        <f>INDEX(Netzzeiten!$B$6:$B$29,HOUR(B229)+1)</f>
        <v>ST</v>
      </c>
      <c r="H229" s="6">
        <f>IF(F229="GO",Eingaben!$B$11,IF(F229="STANDARD",Eingaben!$B$12,IF(AND(F229="HEAT",ISNUMBER(Eingaben!$B$13)),Eingaben!$B$13,"")))</f>
        <v>28.2744</v>
      </c>
      <c r="I229" s="6">
        <f>INDEX(Netzzeiten!$C$6:$C$29,HOUR(B229)+1)</f>
        <v>5.48</v>
      </c>
      <c r="J229" t="str">
        <f>IF(C229="","FEHLT",IF(NOT(ISNUMBER(C229)),"MESSWERT UNGUELTIG",IF(C229&lt;0,"MESSWERT UNGUELTIG",IF(H229="","TARIFPREIS FEHLT","OK"))))</f>
        <v>FEHLT</v>
      </c>
      <c r="K229" s="7">
        <f>IF(J229&lt;&gt;"OK","",C229*I229/100)</f>
        <v/>
      </c>
    </row>
    <row r="230" spans="1:11">
      <c r="A230" s="14">
        <v>46145</v>
      </c>
      <c r="B230" s="15">
        <v>0.3333333333333333</v>
      </c>
      <c r="C230" s="5">
        <f>IF('96 Werte'!AH8="","",'96 Werte'!AH8)</f>
        <v/>
      </c>
      <c r="D230" t="str">
        <f>IF(IF(Eingaben!$B$21&lt;Eingaben!$B$22,AND(B230&gt;=Eingaben!$B$21,B230&lt;Eingaben!$B$22),OR(B230&gt;=Eingaben!$B$21,B230&lt;Eingaben!$B$22)),"GO",IF(AND(ISNUMBER(Eingaben!$B$23),ISNUMBER(Eingaben!$B$24),IF(Eingaben!$B$23&lt;Eingaben!$B$24,AND(B230&gt;=Eingaben!$B$23,B230&lt;Eingaben!$B$24),OR(B230&gt;=Eingaben!$B$23,B230&lt;Eingaben!$B$24))),"HEAT","STANDARD"))</f>
        <v>STANDARD</v>
      </c>
      <c r="E230" s="9"/>
      <c r="F230" t="str">
        <f>IF(E230="",D230,E230)</f>
        <v>STANDARD</v>
      </c>
      <c r="G230" t="str">
        <f>INDEX(Netzzeiten!$B$6:$B$29,HOUR(B230)+1)</f>
        <v>ST</v>
      </c>
      <c r="H230" s="6">
        <f>IF(F230="GO",Eingaben!$B$11,IF(F230="STANDARD",Eingaben!$B$12,IF(AND(F230="HEAT",ISNUMBER(Eingaben!$B$13)),Eingaben!$B$13,"")))</f>
        <v>28.2744</v>
      </c>
      <c r="I230" s="6">
        <f>INDEX(Netzzeiten!$C$6:$C$29,HOUR(B230)+1)</f>
        <v>5.48</v>
      </c>
      <c r="J230" t="str">
        <f>IF(C230="","FEHLT",IF(NOT(ISNUMBER(C230)),"MESSWERT UNGUELTIG",IF(C230&lt;0,"MESSWERT UNGUELTIG",IF(H230="","TARIFPREIS FEHLT","OK"))))</f>
        <v>FEHLT</v>
      </c>
      <c r="K230" s="7">
        <f>IF(J230&lt;&gt;"OK","",C230*I230/100)</f>
        <v/>
      </c>
    </row>
    <row r="231" spans="1:11">
      <c r="A231" s="14">
        <v>46145</v>
      </c>
      <c r="B231" s="15">
        <v>0.34375</v>
      </c>
      <c r="C231" s="5">
        <f>IF('96 Werte'!AI8="","",'96 Werte'!AI8)</f>
        <v/>
      </c>
      <c r="D231" t="str">
        <f>IF(IF(Eingaben!$B$21&lt;Eingaben!$B$22,AND(B231&gt;=Eingaben!$B$21,B231&lt;Eingaben!$B$22),OR(B231&gt;=Eingaben!$B$21,B231&lt;Eingaben!$B$22)),"GO",IF(AND(ISNUMBER(Eingaben!$B$23),ISNUMBER(Eingaben!$B$24),IF(Eingaben!$B$23&lt;Eingaben!$B$24,AND(B231&gt;=Eingaben!$B$23,B231&lt;Eingaben!$B$24),OR(B231&gt;=Eingaben!$B$23,B231&lt;Eingaben!$B$24))),"HEAT","STANDARD"))</f>
        <v>STANDARD</v>
      </c>
      <c r="E231" s="9"/>
      <c r="F231" t="str">
        <f>IF(E231="",D231,E231)</f>
        <v>STANDARD</v>
      </c>
      <c r="G231" t="str">
        <f>INDEX(Netzzeiten!$B$6:$B$29,HOUR(B231)+1)</f>
        <v>ST</v>
      </c>
      <c r="H231" s="6">
        <f>IF(F231="GO",Eingaben!$B$11,IF(F231="STANDARD",Eingaben!$B$12,IF(AND(F231="HEAT",ISNUMBER(Eingaben!$B$13)),Eingaben!$B$13,"")))</f>
        <v>28.2744</v>
      </c>
      <c r="I231" s="6">
        <f>INDEX(Netzzeiten!$C$6:$C$29,HOUR(B231)+1)</f>
        <v>5.48</v>
      </c>
      <c r="J231" t="str">
        <f>IF(C231="","FEHLT",IF(NOT(ISNUMBER(C231)),"MESSWERT UNGUELTIG",IF(C231&lt;0,"MESSWERT UNGUELTIG",IF(H231="","TARIFPREIS FEHLT","OK"))))</f>
        <v>FEHLT</v>
      </c>
      <c r="K231" s="7">
        <f>IF(J231&lt;&gt;"OK","",C231*I231/100)</f>
        <v/>
      </c>
    </row>
    <row r="232" spans="1:11">
      <c r="A232" s="14">
        <v>46145</v>
      </c>
      <c r="B232" s="15">
        <v>0.3541666666666667</v>
      </c>
      <c r="C232" s="5">
        <f>IF('96 Werte'!AJ8="","",'96 Werte'!AJ8)</f>
        <v/>
      </c>
      <c r="D232" t="str">
        <f>IF(IF(Eingaben!$B$21&lt;Eingaben!$B$22,AND(B232&gt;=Eingaben!$B$21,B232&lt;Eingaben!$B$22),OR(B232&gt;=Eingaben!$B$21,B232&lt;Eingaben!$B$22)),"GO",IF(AND(ISNUMBER(Eingaben!$B$23),ISNUMBER(Eingaben!$B$24),IF(Eingaben!$B$23&lt;Eingaben!$B$24,AND(B232&gt;=Eingaben!$B$23,B232&lt;Eingaben!$B$24),OR(B232&gt;=Eingaben!$B$23,B232&lt;Eingaben!$B$24))),"HEAT","STANDARD"))</f>
        <v>STANDARD</v>
      </c>
      <c r="E232" s="9"/>
      <c r="F232" t="str">
        <f>IF(E232="",D232,E232)</f>
        <v>STANDARD</v>
      </c>
      <c r="G232" t="str">
        <f>INDEX(Netzzeiten!$B$6:$B$29,HOUR(B232)+1)</f>
        <v>ST</v>
      </c>
      <c r="H232" s="6">
        <f>IF(F232="GO",Eingaben!$B$11,IF(F232="STANDARD",Eingaben!$B$12,IF(AND(F232="HEAT",ISNUMBER(Eingaben!$B$13)),Eingaben!$B$13,"")))</f>
        <v>28.2744</v>
      </c>
      <c r="I232" s="6">
        <f>INDEX(Netzzeiten!$C$6:$C$29,HOUR(B232)+1)</f>
        <v>5.48</v>
      </c>
      <c r="J232" t="str">
        <f>IF(C232="","FEHLT",IF(NOT(ISNUMBER(C232)),"MESSWERT UNGUELTIG",IF(C232&lt;0,"MESSWERT UNGUELTIG",IF(H232="","TARIFPREIS FEHLT","OK"))))</f>
        <v>FEHLT</v>
      </c>
      <c r="K232" s="7">
        <f>IF(J232&lt;&gt;"OK","",C232*I232/100)</f>
        <v/>
      </c>
    </row>
    <row r="233" spans="1:11">
      <c r="A233" s="14">
        <v>46145</v>
      </c>
      <c r="B233" s="15">
        <v>0.3645833333333333</v>
      </c>
      <c r="C233" s="5">
        <f>IF('96 Werte'!AK8="","",'96 Werte'!AK8)</f>
        <v/>
      </c>
      <c r="D233" t="str">
        <f>IF(IF(Eingaben!$B$21&lt;Eingaben!$B$22,AND(B233&gt;=Eingaben!$B$21,B233&lt;Eingaben!$B$22),OR(B233&gt;=Eingaben!$B$21,B233&lt;Eingaben!$B$22)),"GO",IF(AND(ISNUMBER(Eingaben!$B$23),ISNUMBER(Eingaben!$B$24),IF(Eingaben!$B$23&lt;Eingaben!$B$24,AND(B233&gt;=Eingaben!$B$23,B233&lt;Eingaben!$B$24),OR(B233&gt;=Eingaben!$B$23,B233&lt;Eingaben!$B$24))),"HEAT","STANDARD"))</f>
        <v>STANDARD</v>
      </c>
      <c r="E233" s="9"/>
      <c r="F233" t="str">
        <f>IF(E233="",D233,E233)</f>
        <v>STANDARD</v>
      </c>
      <c r="G233" t="str">
        <f>INDEX(Netzzeiten!$B$6:$B$29,HOUR(B233)+1)</f>
        <v>ST</v>
      </c>
      <c r="H233" s="6">
        <f>IF(F233="GO",Eingaben!$B$11,IF(F233="STANDARD",Eingaben!$B$12,IF(AND(F233="HEAT",ISNUMBER(Eingaben!$B$13)),Eingaben!$B$13,"")))</f>
        <v>28.2744</v>
      </c>
      <c r="I233" s="6">
        <f>INDEX(Netzzeiten!$C$6:$C$29,HOUR(B233)+1)</f>
        <v>5.48</v>
      </c>
      <c r="J233" t="str">
        <f>IF(C233="","FEHLT",IF(NOT(ISNUMBER(C233)),"MESSWERT UNGUELTIG",IF(C233&lt;0,"MESSWERT UNGUELTIG",IF(H233="","TARIFPREIS FEHLT","OK"))))</f>
        <v>FEHLT</v>
      </c>
      <c r="K233" s="7">
        <f>IF(J233&lt;&gt;"OK","",C233*I233/100)</f>
        <v/>
      </c>
    </row>
    <row r="234" spans="1:11">
      <c r="A234" s="14">
        <v>46145</v>
      </c>
      <c r="B234" s="15">
        <v>0.375</v>
      </c>
      <c r="C234" s="5">
        <f>IF('96 Werte'!AL8="","",'96 Werte'!AL8)</f>
        <v/>
      </c>
      <c r="D234" t="str">
        <f>IF(IF(Eingaben!$B$21&lt;Eingaben!$B$22,AND(B234&gt;=Eingaben!$B$21,B234&lt;Eingaben!$B$22),OR(B234&gt;=Eingaben!$B$21,B234&lt;Eingaben!$B$22)),"GO",IF(AND(ISNUMBER(Eingaben!$B$23),ISNUMBER(Eingaben!$B$24),IF(Eingaben!$B$23&lt;Eingaben!$B$24,AND(B234&gt;=Eingaben!$B$23,B234&lt;Eingaben!$B$24),OR(B234&gt;=Eingaben!$B$23,B234&lt;Eingaben!$B$24))),"HEAT","STANDARD"))</f>
        <v>STANDARD</v>
      </c>
      <c r="E234" s="9"/>
      <c r="F234" t="str">
        <f>IF(E234="",D234,E234)</f>
        <v>STANDARD</v>
      </c>
      <c r="G234" t="str">
        <f>INDEX(Netzzeiten!$B$6:$B$29,HOUR(B234)+1)</f>
        <v>ST</v>
      </c>
      <c r="H234" s="6">
        <f>IF(F234="GO",Eingaben!$B$11,IF(F234="STANDARD",Eingaben!$B$12,IF(AND(F234="HEAT",ISNUMBER(Eingaben!$B$13)),Eingaben!$B$13,"")))</f>
        <v>28.2744</v>
      </c>
      <c r="I234" s="6">
        <f>INDEX(Netzzeiten!$C$6:$C$29,HOUR(B234)+1)</f>
        <v>5.48</v>
      </c>
      <c r="J234" t="str">
        <f>IF(C234="","FEHLT",IF(NOT(ISNUMBER(C234)),"MESSWERT UNGUELTIG",IF(C234&lt;0,"MESSWERT UNGUELTIG",IF(H234="","TARIFPREIS FEHLT","OK"))))</f>
        <v>FEHLT</v>
      </c>
      <c r="K234" s="7">
        <f>IF(J234&lt;&gt;"OK","",C234*I234/100)</f>
        <v/>
      </c>
    </row>
    <row r="235" spans="1:11">
      <c r="A235" s="14">
        <v>46145</v>
      </c>
      <c r="B235" s="15">
        <v>0.3854166666666667</v>
      </c>
      <c r="C235" s="5">
        <f>IF('96 Werte'!AM8="","",'96 Werte'!AM8)</f>
        <v/>
      </c>
      <c r="D235" t="str">
        <f>IF(IF(Eingaben!$B$21&lt;Eingaben!$B$22,AND(B235&gt;=Eingaben!$B$21,B235&lt;Eingaben!$B$22),OR(B235&gt;=Eingaben!$B$21,B235&lt;Eingaben!$B$22)),"GO",IF(AND(ISNUMBER(Eingaben!$B$23),ISNUMBER(Eingaben!$B$24),IF(Eingaben!$B$23&lt;Eingaben!$B$24,AND(B235&gt;=Eingaben!$B$23,B235&lt;Eingaben!$B$24),OR(B235&gt;=Eingaben!$B$23,B235&lt;Eingaben!$B$24))),"HEAT","STANDARD"))</f>
        <v>STANDARD</v>
      </c>
      <c r="E235" s="9"/>
      <c r="F235" t="str">
        <f>IF(E235="",D235,E235)</f>
        <v>STANDARD</v>
      </c>
      <c r="G235" t="str">
        <f>INDEX(Netzzeiten!$B$6:$B$29,HOUR(B235)+1)</f>
        <v>ST</v>
      </c>
      <c r="H235" s="6">
        <f>IF(F235="GO",Eingaben!$B$11,IF(F235="STANDARD",Eingaben!$B$12,IF(AND(F235="HEAT",ISNUMBER(Eingaben!$B$13)),Eingaben!$B$13,"")))</f>
        <v>28.2744</v>
      </c>
      <c r="I235" s="6">
        <f>INDEX(Netzzeiten!$C$6:$C$29,HOUR(B235)+1)</f>
        <v>5.48</v>
      </c>
      <c r="J235" t="str">
        <f>IF(C235="","FEHLT",IF(NOT(ISNUMBER(C235)),"MESSWERT UNGUELTIG",IF(C235&lt;0,"MESSWERT UNGUELTIG",IF(H235="","TARIFPREIS FEHLT","OK"))))</f>
        <v>FEHLT</v>
      </c>
      <c r="K235" s="7">
        <f>IF(J235&lt;&gt;"OK","",C235*I235/100)</f>
        <v/>
      </c>
    </row>
    <row r="236" spans="1:11">
      <c r="A236" s="14">
        <v>46145</v>
      </c>
      <c r="B236" s="15">
        <v>0.3958333333333333</v>
      </c>
      <c r="C236" s="5">
        <f>IF('96 Werte'!AN8="","",'96 Werte'!AN8)</f>
        <v/>
      </c>
      <c r="D236" t="str">
        <f>IF(IF(Eingaben!$B$21&lt;Eingaben!$B$22,AND(B236&gt;=Eingaben!$B$21,B236&lt;Eingaben!$B$22),OR(B236&gt;=Eingaben!$B$21,B236&lt;Eingaben!$B$22)),"GO",IF(AND(ISNUMBER(Eingaben!$B$23),ISNUMBER(Eingaben!$B$24),IF(Eingaben!$B$23&lt;Eingaben!$B$24,AND(B236&gt;=Eingaben!$B$23,B236&lt;Eingaben!$B$24),OR(B236&gt;=Eingaben!$B$23,B236&lt;Eingaben!$B$24))),"HEAT","STANDARD"))</f>
        <v>STANDARD</v>
      </c>
      <c r="E236" s="9"/>
      <c r="F236" t="str">
        <f>IF(E236="",D236,E236)</f>
        <v>STANDARD</v>
      </c>
      <c r="G236" t="str">
        <f>INDEX(Netzzeiten!$B$6:$B$29,HOUR(B236)+1)</f>
        <v>ST</v>
      </c>
      <c r="H236" s="6">
        <f>IF(F236="GO",Eingaben!$B$11,IF(F236="STANDARD",Eingaben!$B$12,IF(AND(F236="HEAT",ISNUMBER(Eingaben!$B$13)),Eingaben!$B$13,"")))</f>
        <v>28.2744</v>
      </c>
      <c r="I236" s="6">
        <f>INDEX(Netzzeiten!$C$6:$C$29,HOUR(B236)+1)</f>
        <v>5.48</v>
      </c>
      <c r="J236" t="str">
        <f>IF(C236="","FEHLT",IF(NOT(ISNUMBER(C236)),"MESSWERT UNGUELTIG",IF(C236&lt;0,"MESSWERT UNGUELTIG",IF(H236="","TARIFPREIS FEHLT","OK"))))</f>
        <v>FEHLT</v>
      </c>
      <c r="K236" s="7">
        <f>IF(J236&lt;&gt;"OK","",C236*I236/100)</f>
        <v/>
      </c>
    </row>
    <row r="237" spans="1:11">
      <c r="A237" s="14">
        <v>46145</v>
      </c>
      <c r="B237" s="15">
        <v>0.40625</v>
      </c>
      <c r="C237" s="5">
        <f>IF('96 Werte'!AO8="","",'96 Werte'!AO8)</f>
        <v/>
      </c>
      <c r="D237" t="str">
        <f>IF(IF(Eingaben!$B$21&lt;Eingaben!$B$22,AND(B237&gt;=Eingaben!$B$21,B237&lt;Eingaben!$B$22),OR(B237&gt;=Eingaben!$B$21,B237&lt;Eingaben!$B$22)),"GO",IF(AND(ISNUMBER(Eingaben!$B$23),ISNUMBER(Eingaben!$B$24),IF(Eingaben!$B$23&lt;Eingaben!$B$24,AND(B237&gt;=Eingaben!$B$23,B237&lt;Eingaben!$B$24),OR(B237&gt;=Eingaben!$B$23,B237&lt;Eingaben!$B$24))),"HEAT","STANDARD"))</f>
        <v>STANDARD</v>
      </c>
      <c r="E237" s="9"/>
      <c r="F237" t="str">
        <f>IF(E237="",D237,E237)</f>
        <v>STANDARD</v>
      </c>
      <c r="G237" t="str">
        <f>INDEX(Netzzeiten!$B$6:$B$29,HOUR(B237)+1)</f>
        <v>ST</v>
      </c>
      <c r="H237" s="6">
        <f>IF(F237="GO",Eingaben!$B$11,IF(F237="STANDARD",Eingaben!$B$12,IF(AND(F237="HEAT",ISNUMBER(Eingaben!$B$13)),Eingaben!$B$13,"")))</f>
        <v>28.2744</v>
      </c>
      <c r="I237" s="6">
        <f>INDEX(Netzzeiten!$C$6:$C$29,HOUR(B237)+1)</f>
        <v>5.48</v>
      </c>
      <c r="J237" t="str">
        <f>IF(C237="","FEHLT",IF(NOT(ISNUMBER(C237)),"MESSWERT UNGUELTIG",IF(C237&lt;0,"MESSWERT UNGUELTIG",IF(H237="","TARIFPREIS FEHLT","OK"))))</f>
        <v>FEHLT</v>
      </c>
      <c r="K237" s="7">
        <f>IF(J237&lt;&gt;"OK","",C237*I237/100)</f>
        <v/>
      </c>
    </row>
    <row r="238" spans="1:11">
      <c r="A238" s="14">
        <v>46145</v>
      </c>
      <c r="B238" s="15">
        <v>0.4166666666666667</v>
      </c>
      <c r="C238" s="5">
        <f>IF('96 Werte'!AP8="","",'96 Werte'!AP8)</f>
        <v/>
      </c>
      <c r="D238" t="str">
        <f>IF(IF(Eingaben!$B$21&lt;Eingaben!$B$22,AND(B238&gt;=Eingaben!$B$21,B238&lt;Eingaben!$B$22),OR(B238&gt;=Eingaben!$B$21,B238&lt;Eingaben!$B$22)),"GO",IF(AND(ISNUMBER(Eingaben!$B$23),ISNUMBER(Eingaben!$B$24),IF(Eingaben!$B$23&lt;Eingaben!$B$24,AND(B238&gt;=Eingaben!$B$23,B238&lt;Eingaben!$B$24),OR(B238&gt;=Eingaben!$B$23,B238&lt;Eingaben!$B$24))),"HEAT","STANDARD"))</f>
        <v>STANDARD</v>
      </c>
      <c r="E238" s="9"/>
      <c r="F238" t="str">
        <f>IF(E238="",D238,E238)</f>
        <v>STANDARD</v>
      </c>
      <c r="G238" t="str">
        <f>INDEX(Netzzeiten!$B$6:$B$29,HOUR(B238)+1)</f>
        <v>ST</v>
      </c>
      <c r="H238" s="6">
        <f>IF(F238="GO",Eingaben!$B$11,IF(F238="STANDARD",Eingaben!$B$12,IF(AND(F238="HEAT",ISNUMBER(Eingaben!$B$13)),Eingaben!$B$13,"")))</f>
        <v>28.2744</v>
      </c>
      <c r="I238" s="6">
        <f>INDEX(Netzzeiten!$C$6:$C$29,HOUR(B238)+1)</f>
        <v>5.48</v>
      </c>
      <c r="J238" t="str">
        <f>IF(C238="","FEHLT",IF(NOT(ISNUMBER(C238)),"MESSWERT UNGUELTIG",IF(C238&lt;0,"MESSWERT UNGUELTIG",IF(H238="","TARIFPREIS FEHLT","OK"))))</f>
        <v>FEHLT</v>
      </c>
      <c r="K238" s="7">
        <f>IF(J238&lt;&gt;"OK","",C238*I238/100)</f>
        <v/>
      </c>
    </row>
    <row r="239" spans="1:11">
      <c r="A239" s="14">
        <v>46145</v>
      </c>
      <c r="B239" s="15">
        <v>0.4270833333333333</v>
      </c>
      <c r="C239" s="5">
        <f>IF('96 Werte'!AQ8="","",'96 Werte'!AQ8)</f>
        <v/>
      </c>
      <c r="D239" t="str">
        <f>IF(IF(Eingaben!$B$21&lt;Eingaben!$B$22,AND(B239&gt;=Eingaben!$B$21,B239&lt;Eingaben!$B$22),OR(B239&gt;=Eingaben!$B$21,B239&lt;Eingaben!$B$22)),"GO",IF(AND(ISNUMBER(Eingaben!$B$23),ISNUMBER(Eingaben!$B$24),IF(Eingaben!$B$23&lt;Eingaben!$B$24,AND(B239&gt;=Eingaben!$B$23,B239&lt;Eingaben!$B$24),OR(B239&gt;=Eingaben!$B$23,B239&lt;Eingaben!$B$24))),"HEAT","STANDARD"))</f>
        <v>STANDARD</v>
      </c>
      <c r="E239" s="9"/>
      <c r="F239" t="str">
        <f>IF(E239="",D239,E239)</f>
        <v>STANDARD</v>
      </c>
      <c r="G239" t="str">
        <f>INDEX(Netzzeiten!$B$6:$B$29,HOUR(B239)+1)</f>
        <v>ST</v>
      </c>
      <c r="H239" s="6">
        <f>IF(F239="GO",Eingaben!$B$11,IF(F239="STANDARD",Eingaben!$B$12,IF(AND(F239="HEAT",ISNUMBER(Eingaben!$B$13)),Eingaben!$B$13,"")))</f>
        <v>28.2744</v>
      </c>
      <c r="I239" s="6">
        <f>INDEX(Netzzeiten!$C$6:$C$29,HOUR(B239)+1)</f>
        <v>5.48</v>
      </c>
      <c r="J239" t="str">
        <f>IF(C239="","FEHLT",IF(NOT(ISNUMBER(C239)),"MESSWERT UNGUELTIG",IF(C239&lt;0,"MESSWERT UNGUELTIG",IF(H239="","TARIFPREIS FEHLT","OK"))))</f>
        <v>FEHLT</v>
      </c>
      <c r="K239" s="7">
        <f>IF(J239&lt;&gt;"OK","",C239*I239/100)</f>
        <v/>
      </c>
    </row>
    <row r="240" spans="1:11">
      <c r="A240" s="14">
        <v>46145</v>
      </c>
      <c r="B240" s="15">
        <v>0.4375</v>
      </c>
      <c r="C240" s="5">
        <f>IF('96 Werte'!AR8="","",'96 Werte'!AR8)</f>
        <v/>
      </c>
      <c r="D240" t="str">
        <f>IF(IF(Eingaben!$B$21&lt;Eingaben!$B$22,AND(B240&gt;=Eingaben!$B$21,B240&lt;Eingaben!$B$22),OR(B240&gt;=Eingaben!$B$21,B240&lt;Eingaben!$B$22)),"GO",IF(AND(ISNUMBER(Eingaben!$B$23),ISNUMBER(Eingaben!$B$24),IF(Eingaben!$B$23&lt;Eingaben!$B$24,AND(B240&gt;=Eingaben!$B$23,B240&lt;Eingaben!$B$24),OR(B240&gt;=Eingaben!$B$23,B240&lt;Eingaben!$B$24))),"HEAT","STANDARD"))</f>
        <v>STANDARD</v>
      </c>
      <c r="E240" s="9"/>
      <c r="F240" t="str">
        <f>IF(E240="",D240,E240)</f>
        <v>STANDARD</v>
      </c>
      <c r="G240" t="str">
        <f>INDEX(Netzzeiten!$B$6:$B$29,HOUR(B240)+1)</f>
        <v>ST</v>
      </c>
      <c r="H240" s="6">
        <f>IF(F240="GO",Eingaben!$B$11,IF(F240="STANDARD",Eingaben!$B$12,IF(AND(F240="HEAT",ISNUMBER(Eingaben!$B$13)),Eingaben!$B$13,"")))</f>
        <v>28.2744</v>
      </c>
      <c r="I240" s="6">
        <f>INDEX(Netzzeiten!$C$6:$C$29,HOUR(B240)+1)</f>
        <v>5.48</v>
      </c>
      <c r="J240" t="str">
        <f>IF(C240="","FEHLT",IF(NOT(ISNUMBER(C240)),"MESSWERT UNGUELTIG",IF(C240&lt;0,"MESSWERT UNGUELTIG",IF(H240="","TARIFPREIS FEHLT","OK"))))</f>
        <v>FEHLT</v>
      </c>
      <c r="K240" s="7">
        <f>IF(J240&lt;&gt;"OK","",C240*I240/100)</f>
        <v/>
      </c>
    </row>
    <row r="241" spans="1:11">
      <c r="A241" s="14">
        <v>46145</v>
      </c>
      <c r="B241" s="15">
        <v>0.4479166666666667</v>
      </c>
      <c r="C241" s="5">
        <f>IF('96 Werte'!AS8="","",'96 Werte'!AS8)</f>
        <v/>
      </c>
      <c r="D241" t="str">
        <f>IF(IF(Eingaben!$B$21&lt;Eingaben!$B$22,AND(B241&gt;=Eingaben!$B$21,B241&lt;Eingaben!$B$22),OR(B241&gt;=Eingaben!$B$21,B241&lt;Eingaben!$B$22)),"GO",IF(AND(ISNUMBER(Eingaben!$B$23),ISNUMBER(Eingaben!$B$24),IF(Eingaben!$B$23&lt;Eingaben!$B$24,AND(B241&gt;=Eingaben!$B$23,B241&lt;Eingaben!$B$24),OR(B241&gt;=Eingaben!$B$23,B241&lt;Eingaben!$B$24))),"HEAT","STANDARD"))</f>
        <v>STANDARD</v>
      </c>
      <c r="E241" s="9"/>
      <c r="F241" t="str">
        <f>IF(E241="",D241,E241)</f>
        <v>STANDARD</v>
      </c>
      <c r="G241" t="str">
        <f>INDEX(Netzzeiten!$B$6:$B$29,HOUR(B241)+1)</f>
        <v>ST</v>
      </c>
      <c r="H241" s="6">
        <f>IF(F241="GO",Eingaben!$B$11,IF(F241="STANDARD",Eingaben!$B$12,IF(AND(F241="HEAT",ISNUMBER(Eingaben!$B$13)),Eingaben!$B$13,"")))</f>
        <v>28.2744</v>
      </c>
      <c r="I241" s="6">
        <f>INDEX(Netzzeiten!$C$6:$C$29,HOUR(B241)+1)</f>
        <v>5.48</v>
      </c>
      <c r="J241" t="str">
        <f>IF(C241="","FEHLT",IF(NOT(ISNUMBER(C241)),"MESSWERT UNGUELTIG",IF(C241&lt;0,"MESSWERT UNGUELTIG",IF(H241="","TARIFPREIS FEHLT","OK"))))</f>
        <v>FEHLT</v>
      </c>
      <c r="K241" s="7">
        <f>IF(J241&lt;&gt;"OK","",C241*I241/100)</f>
        <v/>
      </c>
    </row>
    <row r="242" spans="1:11">
      <c r="A242" s="14">
        <v>46145</v>
      </c>
      <c r="B242" s="15">
        <v>0.4583333333333333</v>
      </c>
      <c r="C242" s="5">
        <f>IF('96 Werte'!AT8="","",'96 Werte'!AT8)</f>
        <v/>
      </c>
      <c r="D242" t="str">
        <f>IF(IF(Eingaben!$B$21&lt;Eingaben!$B$22,AND(B242&gt;=Eingaben!$B$21,B242&lt;Eingaben!$B$22),OR(B242&gt;=Eingaben!$B$21,B242&lt;Eingaben!$B$22)),"GO",IF(AND(ISNUMBER(Eingaben!$B$23),ISNUMBER(Eingaben!$B$24),IF(Eingaben!$B$23&lt;Eingaben!$B$24,AND(B242&gt;=Eingaben!$B$23,B242&lt;Eingaben!$B$24),OR(B242&gt;=Eingaben!$B$23,B242&lt;Eingaben!$B$24))),"HEAT","STANDARD"))</f>
        <v>STANDARD</v>
      </c>
      <c r="E242" s="9"/>
      <c r="F242" t="str">
        <f>IF(E242="",D242,E242)</f>
        <v>STANDARD</v>
      </c>
      <c r="G242" t="str">
        <f>INDEX(Netzzeiten!$B$6:$B$29,HOUR(B242)+1)</f>
        <v>NT</v>
      </c>
      <c r="H242" s="6">
        <f>IF(F242="GO",Eingaben!$B$11,IF(F242="STANDARD",Eingaben!$B$12,IF(AND(F242="HEAT",ISNUMBER(Eingaben!$B$13)),Eingaben!$B$13,"")))</f>
        <v>28.2744</v>
      </c>
      <c r="I242" s="6">
        <f>INDEX(Netzzeiten!$C$6:$C$29,HOUR(B242)+1)</f>
        <v>1.64</v>
      </c>
      <c r="J242" t="str">
        <f>IF(C242="","FEHLT",IF(NOT(ISNUMBER(C242)),"MESSWERT UNGUELTIG",IF(C242&lt;0,"MESSWERT UNGUELTIG",IF(H242="","TARIFPREIS FEHLT","OK"))))</f>
        <v>FEHLT</v>
      </c>
      <c r="K242" s="7">
        <f>IF(J242&lt;&gt;"OK","",C242*I242/100)</f>
        <v/>
      </c>
    </row>
    <row r="243" spans="1:11">
      <c r="A243" s="14">
        <v>46145</v>
      </c>
      <c r="B243" s="15">
        <v>0.46875</v>
      </c>
      <c r="C243" s="5">
        <f>IF('96 Werte'!AU8="","",'96 Werte'!AU8)</f>
        <v/>
      </c>
      <c r="D243" t="str">
        <f>IF(IF(Eingaben!$B$21&lt;Eingaben!$B$22,AND(B243&gt;=Eingaben!$B$21,B243&lt;Eingaben!$B$22),OR(B243&gt;=Eingaben!$B$21,B243&lt;Eingaben!$B$22)),"GO",IF(AND(ISNUMBER(Eingaben!$B$23),ISNUMBER(Eingaben!$B$24),IF(Eingaben!$B$23&lt;Eingaben!$B$24,AND(B243&gt;=Eingaben!$B$23,B243&lt;Eingaben!$B$24),OR(B243&gt;=Eingaben!$B$23,B243&lt;Eingaben!$B$24))),"HEAT","STANDARD"))</f>
        <v>STANDARD</v>
      </c>
      <c r="E243" s="9"/>
      <c r="F243" t="str">
        <f>IF(E243="",D243,E243)</f>
        <v>STANDARD</v>
      </c>
      <c r="G243" t="str">
        <f>INDEX(Netzzeiten!$B$6:$B$29,HOUR(B243)+1)</f>
        <v>NT</v>
      </c>
      <c r="H243" s="6">
        <f>IF(F243="GO",Eingaben!$B$11,IF(F243="STANDARD",Eingaben!$B$12,IF(AND(F243="HEAT",ISNUMBER(Eingaben!$B$13)),Eingaben!$B$13,"")))</f>
        <v>28.2744</v>
      </c>
      <c r="I243" s="6">
        <f>INDEX(Netzzeiten!$C$6:$C$29,HOUR(B243)+1)</f>
        <v>1.64</v>
      </c>
      <c r="J243" t="str">
        <f>IF(C243="","FEHLT",IF(NOT(ISNUMBER(C243)),"MESSWERT UNGUELTIG",IF(C243&lt;0,"MESSWERT UNGUELTIG",IF(H243="","TARIFPREIS FEHLT","OK"))))</f>
        <v>FEHLT</v>
      </c>
      <c r="K243" s="7">
        <f>IF(J243&lt;&gt;"OK","",C243*I243/100)</f>
        <v/>
      </c>
    </row>
    <row r="244" spans="1:11">
      <c r="A244" s="14">
        <v>46145</v>
      </c>
      <c r="B244" s="15">
        <v>0.4791666666666667</v>
      </c>
      <c r="C244" s="5">
        <f>IF('96 Werte'!AV8="","",'96 Werte'!AV8)</f>
        <v/>
      </c>
      <c r="D244" t="str">
        <f>IF(IF(Eingaben!$B$21&lt;Eingaben!$B$22,AND(B244&gt;=Eingaben!$B$21,B244&lt;Eingaben!$B$22),OR(B244&gt;=Eingaben!$B$21,B244&lt;Eingaben!$B$22)),"GO",IF(AND(ISNUMBER(Eingaben!$B$23),ISNUMBER(Eingaben!$B$24),IF(Eingaben!$B$23&lt;Eingaben!$B$24,AND(B244&gt;=Eingaben!$B$23,B244&lt;Eingaben!$B$24),OR(B244&gt;=Eingaben!$B$23,B244&lt;Eingaben!$B$24))),"HEAT","STANDARD"))</f>
        <v>STANDARD</v>
      </c>
      <c r="E244" s="9"/>
      <c r="F244" t="str">
        <f>IF(E244="",D244,E244)</f>
        <v>STANDARD</v>
      </c>
      <c r="G244" t="str">
        <f>INDEX(Netzzeiten!$B$6:$B$29,HOUR(B244)+1)</f>
        <v>NT</v>
      </c>
      <c r="H244" s="6">
        <f>IF(F244="GO",Eingaben!$B$11,IF(F244="STANDARD",Eingaben!$B$12,IF(AND(F244="HEAT",ISNUMBER(Eingaben!$B$13)),Eingaben!$B$13,"")))</f>
        <v>28.2744</v>
      </c>
      <c r="I244" s="6">
        <f>INDEX(Netzzeiten!$C$6:$C$29,HOUR(B244)+1)</f>
        <v>1.64</v>
      </c>
      <c r="J244" t="str">
        <f>IF(C244="","FEHLT",IF(NOT(ISNUMBER(C244)),"MESSWERT UNGUELTIG",IF(C244&lt;0,"MESSWERT UNGUELTIG",IF(H244="","TARIFPREIS FEHLT","OK"))))</f>
        <v>FEHLT</v>
      </c>
      <c r="K244" s="7">
        <f>IF(J244&lt;&gt;"OK","",C244*I244/100)</f>
        <v/>
      </c>
    </row>
    <row r="245" spans="1:11">
      <c r="A245" s="14">
        <v>46145</v>
      </c>
      <c r="B245" s="15">
        <v>0.4895833333333333</v>
      </c>
      <c r="C245" s="5">
        <f>IF('96 Werte'!AW8="","",'96 Werte'!AW8)</f>
        <v/>
      </c>
      <c r="D245" t="str">
        <f>IF(IF(Eingaben!$B$21&lt;Eingaben!$B$22,AND(B245&gt;=Eingaben!$B$21,B245&lt;Eingaben!$B$22),OR(B245&gt;=Eingaben!$B$21,B245&lt;Eingaben!$B$22)),"GO",IF(AND(ISNUMBER(Eingaben!$B$23),ISNUMBER(Eingaben!$B$24),IF(Eingaben!$B$23&lt;Eingaben!$B$24,AND(B245&gt;=Eingaben!$B$23,B245&lt;Eingaben!$B$24),OR(B245&gt;=Eingaben!$B$23,B245&lt;Eingaben!$B$24))),"HEAT","STANDARD"))</f>
        <v>STANDARD</v>
      </c>
      <c r="E245" s="9"/>
      <c r="F245" t="str">
        <f>IF(E245="",D245,E245)</f>
        <v>STANDARD</v>
      </c>
      <c r="G245" t="str">
        <f>INDEX(Netzzeiten!$B$6:$B$29,HOUR(B245)+1)</f>
        <v>NT</v>
      </c>
      <c r="H245" s="6">
        <f>IF(F245="GO",Eingaben!$B$11,IF(F245="STANDARD",Eingaben!$B$12,IF(AND(F245="HEAT",ISNUMBER(Eingaben!$B$13)),Eingaben!$B$13,"")))</f>
        <v>28.2744</v>
      </c>
      <c r="I245" s="6">
        <f>INDEX(Netzzeiten!$C$6:$C$29,HOUR(B245)+1)</f>
        <v>1.64</v>
      </c>
      <c r="J245" t="str">
        <f>IF(C245="","FEHLT",IF(NOT(ISNUMBER(C245)),"MESSWERT UNGUELTIG",IF(C245&lt;0,"MESSWERT UNGUELTIG",IF(H245="","TARIFPREIS FEHLT","OK"))))</f>
        <v>FEHLT</v>
      </c>
      <c r="K245" s="7">
        <f>IF(J245&lt;&gt;"OK","",C245*I245/100)</f>
        <v/>
      </c>
    </row>
    <row r="246" spans="1:11">
      <c r="A246" s="14">
        <v>46145</v>
      </c>
      <c r="B246" s="15">
        <v>0.5</v>
      </c>
      <c r="C246" s="5">
        <f>IF('96 Werte'!AX8="","",'96 Werte'!AX8)</f>
        <v/>
      </c>
      <c r="D246" t="str">
        <f>IF(IF(Eingaben!$B$21&lt;Eingaben!$B$22,AND(B246&gt;=Eingaben!$B$21,B246&lt;Eingaben!$B$22),OR(B246&gt;=Eingaben!$B$21,B246&lt;Eingaben!$B$22)),"GO",IF(AND(ISNUMBER(Eingaben!$B$23),ISNUMBER(Eingaben!$B$24),IF(Eingaben!$B$23&lt;Eingaben!$B$24,AND(B246&gt;=Eingaben!$B$23,B246&lt;Eingaben!$B$24),OR(B246&gt;=Eingaben!$B$23,B246&lt;Eingaben!$B$24))),"HEAT","STANDARD"))</f>
        <v>STANDARD</v>
      </c>
      <c r="E246" s="9"/>
      <c r="F246" t="str">
        <f>IF(E246="",D246,E246)</f>
        <v>STANDARD</v>
      </c>
      <c r="G246" t="str">
        <f>INDEX(Netzzeiten!$B$6:$B$29,HOUR(B246)+1)</f>
        <v>NT</v>
      </c>
      <c r="H246" s="6">
        <f>IF(F246="GO",Eingaben!$B$11,IF(F246="STANDARD",Eingaben!$B$12,IF(AND(F246="HEAT",ISNUMBER(Eingaben!$B$13)),Eingaben!$B$13,"")))</f>
        <v>28.2744</v>
      </c>
      <c r="I246" s="6">
        <f>INDEX(Netzzeiten!$C$6:$C$29,HOUR(B246)+1)</f>
        <v>1.64</v>
      </c>
      <c r="J246" t="str">
        <f>IF(C246="","FEHLT",IF(NOT(ISNUMBER(C246)),"MESSWERT UNGUELTIG",IF(C246&lt;0,"MESSWERT UNGUELTIG",IF(H246="","TARIFPREIS FEHLT","OK"))))</f>
        <v>FEHLT</v>
      </c>
      <c r="K246" s="7">
        <f>IF(J246&lt;&gt;"OK","",C246*I246/100)</f>
        <v/>
      </c>
    </row>
    <row r="247" spans="1:11">
      <c r="A247" s="14">
        <v>46145</v>
      </c>
      <c r="B247" s="15">
        <v>0.5104166666666666</v>
      </c>
      <c r="C247" s="5">
        <f>IF('96 Werte'!AY8="","",'96 Werte'!AY8)</f>
        <v/>
      </c>
      <c r="D247" t="str">
        <f>IF(IF(Eingaben!$B$21&lt;Eingaben!$B$22,AND(B247&gt;=Eingaben!$B$21,B247&lt;Eingaben!$B$22),OR(B247&gt;=Eingaben!$B$21,B247&lt;Eingaben!$B$22)),"GO",IF(AND(ISNUMBER(Eingaben!$B$23),ISNUMBER(Eingaben!$B$24),IF(Eingaben!$B$23&lt;Eingaben!$B$24,AND(B247&gt;=Eingaben!$B$23,B247&lt;Eingaben!$B$24),OR(B247&gt;=Eingaben!$B$23,B247&lt;Eingaben!$B$24))),"HEAT","STANDARD"))</f>
        <v>STANDARD</v>
      </c>
      <c r="E247" s="9"/>
      <c r="F247" t="str">
        <f>IF(E247="",D247,E247)</f>
        <v>STANDARD</v>
      </c>
      <c r="G247" t="str">
        <f>INDEX(Netzzeiten!$B$6:$B$29,HOUR(B247)+1)</f>
        <v>NT</v>
      </c>
      <c r="H247" s="6">
        <f>IF(F247="GO",Eingaben!$B$11,IF(F247="STANDARD",Eingaben!$B$12,IF(AND(F247="HEAT",ISNUMBER(Eingaben!$B$13)),Eingaben!$B$13,"")))</f>
        <v>28.2744</v>
      </c>
      <c r="I247" s="6">
        <f>INDEX(Netzzeiten!$C$6:$C$29,HOUR(B247)+1)</f>
        <v>1.64</v>
      </c>
      <c r="J247" t="str">
        <f>IF(C247="","FEHLT",IF(NOT(ISNUMBER(C247)),"MESSWERT UNGUELTIG",IF(C247&lt;0,"MESSWERT UNGUELTIG",IF(H247="","TARIFPREIS FEHLT","OK"))))</f>
        <v>FEHLT</v>
      </c>
      <c r="K247" s="7">
        <f>IF(J247&lt;&gt;"OK","",C247*I247/100)</f>
        <v/>
      </c>
    </row>
    <row r="248" spans="1:11">
      <c r="A248" s="14">
        <v>46145</v>
      </c>
      <c r="B248" s="15">
        <v>0.5208333333333334</v>
      </c>
      <c r="C248" s="5">
        <f>IF('96 Werte'!AZ8="","",'96 Werte'!AZ8)</f>
        <v/>
      </c>
      <c r="D248" t="str">
        <f>IF(IF(Eingaben!$B$21&lt;Eingaben!$B$22,AND(B248&gt;=Eingaben!$B$21,B248&lt;Eingaben!$B$22),OR(B248&gt;=Eingaben!$B$21,B248&lt;Eingaben!$B$22)),"GO",IF(AND(ISNUMBER(Eingaben!$B$23),ISNUMBER(Eingaben!$B$24),IF(Eingaben!$B$23&lt;Eingaben!$B$24,AND(B248&gt;=Eingaben!$B$23,B248&lt;Eingaben!$B$24),OR(B248&gt;=Eingaben!$B$23,B248&lt;Eingaben!$B$24))),"HEAT","STANDARD"))</f>
        <v>STANDARD</v>
      </c>
      <c r="E248" s="9"/>
      <c r="F248" t="str">
        <f>IF(E248="",D248,E248)</f>
        <v>STANDARD</v>
      </c>
      <c r="G248" t="str">
        <f>INDEX(Netzzeiten!$B$6:$B$29,HOUR(B248)+1)</f>
        <v>NT</v>
      </c>
      <c r="H248" s="6">
        <f>IF(F248="GO",Eingaben!$B$11,IF(F248="STANDARD",Eingaben!$B$12,IF(AND(F248="HEAT",ISNUMBER(Eingaben!$B$13)),Eingaben!$B$13,"")))</f>
        <v>28.2744</v>
      </c>
      <c r="I248" s="6">
        <f>INDEX(Netzzeiten!$C$6:$C$29,HOUR(B248)+1)</f>
        <v>1.64</v>
      </c>
      <c r="J248" t="str">
        <f>IF(C248="","FEHLT",IF(NOT(ISNUMBER(C248)),"MESSWERT UNGUELTIG",IF(C248&lt;0,"MESSWERT UNGUELTIG",IF(H248="","TARIFPREIS FEHLT","OK"))))</f>
        <v>FEHLT</v>
      </c>
      <c r="K248" s="7">
        <f>IF(J248&lt;&gt;"OK","",C248*I248/100)</f>
        <v/>
      </c>
    </row>
    <row r="249" spans="1:11">
      <c r="A249" s="14">
        <v>46145</v>
      </c>
      <c r="B249" s="15">
        <v>0.53125</v>
      </c>
      <c r="C249" s="5">
        <f>IF('96 Werte'!BA8="","",'96 Werte'!BA8)</f>
        <v/>
      </c>
      <c r="D249" t="str">
        <f>IF(IF(Eingaben!$B$21&lt;Eingaben!$B$22,AND(B249&gt;=Eingaben!$B$21,B249&lt;Eingaben!$B$22),OR(B249&gt;=Eingaben!$B$21,B249&lt;Eingaben!$B$22)),"GO",IF(AND(ISNUMBER(Eingaben!$B$23),ISNUMBER(Eingaben!$B$24),IF(Eingaben!$B$23&lt;Eingaben!$B$24,AND(B249&gt;=Eingaben!$B$23,B249&lt;Eingaben!$B$24),OR(B249&gt;=Eingaben!$B$23,B249&lt;Eingaben!$B$24))),"HEAT","STANDARD"))</f>
        <v>STANDARD</v>
      </c>
      <c r="E249" s="9"/>
      <c r="F249" t="str">
        <f>IF(E249="",D249,E249)</f>
        <v>STANDARD</v>
      </c>
      <c r="G249" t="str">
        <f>INDEX(Netzzeiten!$B$6:$B$29,HOUR(B249)+1)</f>
        <v>NT</v>
      </c>
      <c r="H249" s="6">
        <f>IF(F249="GO",Eingaben!$B$11,IF(F249="STANDARD",Eingaben!$B$12,IF(AND(F249="HEAT",ISNUMBER(Eingaben!$B$13)),Eingaben!$B$13,"")))</f>
        <v>28.2744</v>
      </c>
      <c r="I249" s="6">
        <f>INDEX(Netzzeiten!$C$6:$C$29,HOUR(B249)+1)</f>
        <v>1.64</v>
      </c>
      <c r="J249" t="str">
        <f>IF(C249="","FEHLT",IF(NOT(ISNUMBER(C249)),"MESSWERT UNGUELTIG",IF(C249&lt;0,"MESSWERT UNGUELTIG",IF(H249="","TARIFPREIS FEHLT","OK"))))</f>
        <v>FEHLT</v>
      </c>
      <c r="K249" s="7">
        <f>IF(J249&lt;&gt;"OK","",C249*I249/100)</f>
        <v/>
      </c>
    </row>
    <row r="250" spans="1:11">
      <c r="A250" s="14">
        <v>46145</v>
      </c>
      <c r="B250" s="15">
        <v>0.5416666666666666</v>
      </c>
      <c r="C250" s="5">
        <f>IF('96 Werte'!BB8="","",'96 Werte'!BB8)</f>
        <v/>
      </c>
      <c r="D250" t="str">
        <f>IF(IF(Eingaben!$B$21&lt;Eingaben!$B$22,AND(B250&gt;=Eingaben!$B$21,B250&lt;Eingaben!$B$22),OR(B250&gt;=Eingaben!$B$21,B250&lt;Eingaben!$B$22)),"GO",IF(AND(ISNUMBER(Eingaben!$B$23),ISNUMBER(Eingaben!$B$24),IF(Eingaben!$B$23&lt;Eingaben!$B$24,AND(B250&gt;=Eingaben!$B$23,B250&lt;Eingaben!$B$24),OR(B250&gt;=Eingaben!$B$23,B250&lt;Eingaben!$B$24))),"HEAT","STANDARD"))</f>
        <v>STANDARD</v>
      </c>
      <c r="E250" s="9"/>
      <c r="F250" t="str">
        <f>IF(E250="",D250,E250)</f>
        <v>STANDARD</v>
      </c>
      <c r="G250" t="str">
        <f>INDEX(Netzzeiten!$B$6:$B$29,HOUR(B250)+1)</f>
        <v>NT</v>
      </c>
      <c r="H250" s="6">
        <f>IF(F250="GO",Eingaben!$B$11,IF(F250="STANDARD",Eingaben!$B$12,IF(AND(F250="HEAT",ISNUMBER(Eingaben!$B$13)),Eingaben!$B$13,"")))</f>
        <v>28.2744</v>
      </c>
      <c r="I250" s="6">
        <f>INDEX(Netzzeiten!$C$6:$C$29,HOUR(B250)+1)</f>
        <v>1.64</v>
      </c>
      <c r="J250" t="str">
        <f>IF(C250="","FEHLT",IF(NOT(ISNUMBER(C250)),"MESSWERT UNGUELTIG",IF(C250&lt;0,"MESSWERT UNGUELTIG",IF(H250="","TARIFPREIS FEHLT","OK"))))</f>
        <v>FEHLT</v>
      </c>
      <c r="K250" s="7">
        <f>IF(J250&lt;&gt;"OK","",C250*I250/100)</f>
        <v/>
      </c>
    </row>
    <row r="251" spans="1:11">
      <c r="A251" s="14">
        <v>46145</v>
      </c>
      <c r="B251" s="15">
        <v>0.5520833333333334</v>
      </c>
      <c r="C251" s="5">
        <f>IF('96 Werte'!BC8="","",'96 Werte'!BC8)</f>
        <v/>
      </c>
      <c r="D251" t="str">
        <f>IF(IF(Eingaben!$B$21&lt;Eingaben!$B$22,AND(B251&gt;=Eingaben!$B$21,B251&lt;Eingaben!$B$22),OR(B251&gt;=Eingaben!$B$21,B251&lt;Eingaben!$B$22)),"GO",IF(AND(ISNUMBER(Eingaben!$B$23),ISNUMBER(Eingaben!$B$24),IF(Eingaben!$B$23&lt;Eingaben!$B$24,AND(B251&gt;=Eingaben!$B$23,B251&lt;Eingaben!$B$24),OR(B251&gt;=Eingaben!$B$23,B251&lt;Eingaben!$B$24))),"HEAT","STANDARD"))</f>
        <v>STANDARD</v>
      </c>
      <c r="E251" s="9"/>
      <c r="F251" t="str">
        <f>IF(E251="",D251,E251)</f>
        <v>STANDARD</v>
      </c>
      <c r="G251" t="str">
        <f>INDEX(Netzzeiten!$B$6:$B$29,HOUR(B251)+1)</f>
        <v>NT</v>
      </c>
      <c r="H251" s="6">
        <f>IF(F251="GO",Eingaben!$B$11,IF(F251="STANDARD",Eingaben!$B$12,IF(AND(F251="HEAT",ISNUMBER(Eingaben!$B$13)),Eingaben!$B$13,"")))</f>
        <v>28.2744</v>
      </c>
      <c r="I251" s="6">
        <f>INDEX(Netzzeiten!$C$6:$C$29,HOUR(B251)+1)</f>
        <v>1.64</v>
      </c>
      <c r="J251" t="str">
        <f>IF(C251="","FEHLT",IF(NOT(ISNUMBER(C251)),"MESSWERT UNGUELTIG",IF(C251&lt;0,"MESSWERT UNGUELTIG",IF(H251="","TARIFPREIS FEHLT","OK"))))</f>
        <v>FEHLT</v>
      </c>
      <c r="K251" s="7">
        <f>IF(J251&lt;&gt;"OK","",C251*I251/100)</f>
        <v/>
      </c>
    </row>
    <row r="252" spans="1:11">
      <c r="A252" s="14">
        <v>46145</v>
      </c>
      <c r="B252" s="15">
        <v>0.5625</v>
      </c>
      <c r="C252" s="5">
        <f>IF('96 Werte'!BD8="","",'96 Werte'!BD8)</f>
        <v/>
      </c>
      <c r="D252" t="str">
        <f>IF(IF(Eingaben!$B$21&lt;Eingaben!$B$22,AND(B252&gt;=Eingaben!$B$21,B252&lt;Eingaben!$B$22),OR(B252&gt;=Eingaben!$B$21,B252&lt;Eingaben!$B$22)),"GO",IF(AND(ISNUMBER(Eingaben!$B$23),ISNUMBER(Eingaben!$B$24),IF(Eingaben!$B$23&lt;Eingaben!$B$24,AND(B252&gt;=Eingaben!$B$23,B252&lt;Eingaben!$B$24),OR(B252&gt;=Eingaben!$B$23,B252&lt;Eingaben!$B$24))),"HEAT","STANDARD"))</f>
        <v>STANDARD</v>
      </c>
      <c r="E252" s="9"/>
      <c r="F252" t="str">
        <f>IF(E252="",D252,E252)</f>
        <v>STANDARD</v>
      </c>
      <c r="G252" t="str">
        <f>INDEX(Netzzeiten!$B$6:$B$29,HOUR(B252)+1)</f>
        <v>NT</v>
      </c>
      <c r="H252" s="6">
        <f>IF(F252="GO",Eingaben!$B$11,IF(F252="STANDARD",Eingaben!$B$12,IF(AND(F252="HEAT",ISNUMBER(Eingaben!$B$13)),Eingaben!$B$13,"")))</f>
        <v>28.2744</v>
      </c>
      <c r="I252" s="6">
        <f>INDEX(Netzzeiten!$C$6:$C$29,HOUR(B252)+1)</f>
        <v>1.64</v>
      </c>
      <c r="J252" t="str">
        <f>IF(C252="","FEHLT",IF(NOT(ISNUMBER(C252)),"MESSWERT UNGUELTIG",IF(C252&lt;0,"MESSWERT UNGUELTIG",IF(H252="","TARIFPREIS FEHLT","OK"))))</f>
        <v>FEHLT</v>
      </c>
      <c r="K252" s="7">
        <f>IF(J252&lt;&gt;"OK","",C252*I252/100)</f>
        <v/>
      </c>
    </row>
    <row r="253" spans="1:11">
      <c r="A253" s="14">
        <v>46145</v>
      </c>
      <c r="B253" s="15">
        <v>0.5729166666666666</v>
      </c>
      <c r="C253" s="5">
        <f>IF('96 Werte'!BE8="","",'96 Werte'!BE8)</f>
        <v/>
      </c>
      <c r="D253" t="str">
        <f>IF(IF(Eingaben!$B$21&lt;Eingaben!$B$22,AND(B253&gt;=Eingaben!$B$21,B253&lt;Eingaben!$B$22),OR(B253&gt;=Eingaben!$B$21,B253&lt;Eingaben!$B$22)),"GO",IF(AND(ISNUMBER(Eingaben!$B$23),ISNUMBER(Eingaben!$B$24),IF(Eingaben!$B$23&lt;Eingaben!$B$24,AND(B253&gt;=Eingaben!$B$23,B253&lt;Eingaben!$B$24),OR(B253&gt;=Eingaben!$B$23,B253&lt;Eingaben!$B$24))),"HEAT","STANDARD"))</f>
        <v>STANDARD</v>
      </c>
      <c r="E253" s="9"/>
      <c r="F253" t="str">
        <f>IF(E253="",D253,E253)</f>
        <v>STANDARD</v>
      </c>
      <c r="G253" t="str">
        <f>INDEX(Netzzeiten!$B$6:$B$29,HOUR(B253)+1)</f>
        <v>NT</v>
      </c>
      <c r="H253" s="6">
        <f>IF(F253="GO",Eingaben!$B$11,IF(F253="STANDARD",Eingaben!$B$12,IF(AND(F253="HEAT",ISNUMBER(Eingaben!$B$13)),Eingaben!$B$13,"")))</f>
        <v>28.2744</v>
      </c>
      <c r="I253" s="6">
        <f>INDEX(Netzzeiten!$C$6:$C$29,HOUR(B253)+1)</f>
        <v>1.64</v>
      </c>
      <c r="J253" t="str">
        <f>IF(C253="","FEHLT",IF(NOT(ISNUMBER(C253)),"MESSWERT UNGUELTIG",IF(C253&lt;0,"MESSWERT UNGUELTIG",IF(H253="","TARIFPREIS FEHLT","OK"))))</f>
        <v>FEHLT</v>
      </c>
      <c r="K253" s="7">
        <f>IF(J253&lt;&gt;"OK","",C253*I253/100)</f>
        <v/>
      </c>
    </row>
    <row r="254" spans="1:11">
      <c r="A254" s="14">
        <v>46145</v>
      </c>
      <c r="B254" s="15">
        <v>0.5833333333333334</v>
      </c>
      <c r="C254" s="5">
        <f>IF('96 Werte'!BF8="","",'96 Werte'!BF8)</f>
        <v/>
      </c>
      <c r="D254" t="str">
        <f>IF(IF(Eingaben!$B$21&lt;Eingaben!$B$22,AND(B254&gt;=Eingaben!$B$21,B254&lt;Eingaben!$B$22),OR(B254&gt;=Eingaben!$B$21,B254&lt;Eingaben!$B$22)),"GO",IF(AND(ISNUMBER(Eingaben!$B$23),ISNUMBER(Eingaben!$B$24),IF(Eingaben!$B$23&lt;Eingaben!$B$24,AND(B254&gt;=Eingaben!$B$23,B254&lt;Eingaben!$B$24),OR(B254&gt;=Eingaben!$B$23,B254&lt;Eingaben!$B$24))),"HEAT","STANDARD"))</f>
        <v>STANDARD</v>
      </c>
      <c r="E254" s="9"/>
      <c r="F254" t="str">
        <f>IF(E254="",D254,E254)</f>
        <v>STANDARD</v>
      </c>
      <c r="G254" t="str">
        <f>INDEX(Netzzeiten!$B$6:$B$29,HOUR(B254)+1)</f>
        <v>NT</v>
      </c>
      <c r="H254" s="6">
        <f>IF(F254="GO",Eingaben!$B$11,IF(F254="STANDARD",Eingaben!$B$12,IF(AND(F254="HEAT",ISNUMBER(Eingaben!$B$13)),Eingaben!$B$13,"")))</f>
        <v>28.2744</v>
      </c>
      <c r="I254" s="6">
        <f>INDEX(Netzzeiten!$C$6:$C$29,HOUR(B254)+1)</f>
        <v>1.64</v>
      </c>
      <c r="J254" t="str">
        <f>IF(C254="","FEHLT",IF(NOT(ISNUMBER(C254)),"MESSWERT UNGUELTIG",IF(C254&lt;0,"MESSWERT UNGUELTIG",IF(H254="","TARIFPREIS FEHLT","OK"))))</f>
        <v>FEHLT</v>
      </c>
      <c r="K254" s="7">
        <f>IF(J254&lt;&gt;"OK","",C254*I254/100)</f>
        <v/>
      </c>
    </row>
    <row r="255" spans="1:11">
      <c r="A255" s="14">
        <v>46145</v>
      </c>
      <c r="B255" s="15">
        <v>0.59375</v>
      </c>
      <c r="C255" s="5">
        <f>IF('96 Werte'!BG8="","",'96 Werte'!BG8)</f>
        <v/>
      </c>
      <c r="D255" t="str">
        <f>IF(IF(Eingaben!$B$21&lt;Eingaben!$B$22,AND(B255&gt;=Eingaben!$B$21,B255&lt;Eingaben!$B$22),OR(B255&gt;=Eingaben!$B$21,B255&lt;Eingaben!$B$22)),"GO",IF(AND(ISNUMBER(Eingaben!$B$23),ISNUMBER(Eingaben!$B$24),IF(Eingaben!$B$23&lt;Eingaben!$B$24,AND(B255&gt;=Eingaben!$B$23,B255&lt;Eingaben!$B$24),OR(B255&gt;=Eingaben!$B$23,B255&lt;Eingaben!$B$24))),"HEAT","STANDARD"))</f>
        <v>STANDARD</v>
      </c>
      <c r="E255" s="9"/>
      <c r="F255" t="str">
        <f>IF(E255="",D255,E255)</f>
        <v>STANDARD</v>
      </c>
      <c r="G255" t="str">
        <f>INDEX(Netzzeiten!$B$6:$B$29,HOUR(B255)+1)</f>
        <v>NT</v>
      </c>
      <c r="H255" s="6">
        <f>IF(F255="GO",Eingaben!$B$11,IF(F255="STANDARD",Eingaben!$B$12,IF(AND(F255="HEAT",ISNUMBER(Eingaben!$B$13)),Eingaben!$B$13,"")))</f>
        <v>28.2744</v>
      </c>
      <c r="I255" s="6">
        <f>INDEX(Netzzeiten!$C$6:$C$29,HOUR(B255)+1)</f>
        <v>1.64</v>
      </c>
      <c r="J255" t="str">
        <f>IF(C255="","FEHLT",IF(NOT(ISNUMBER(C255)),"MESSWERT UNGUELTIG",IF(C255&lt;0,"MESSWERT UNGUELTIG",IF(H255="","TARIFPREIS FEHLT","OK"))))</f>
        <v>FEHLT</v>
      </c>
      <c r="K255" s="7">
        <f>IF(J255&lt;&gt;"OK","",C255*I255/100)</f>
        <v/>
      </c>
    </row>
    <row r="256" spans="1:11">
      <c r="A256" s="14">
        <v>46145</v>
      </c>
      <c r="B256" s="15">
        <v>0.6041666666666666</v>
      </c>
      <c r="C256" s="5">
        <f>IF('96 Werte'!BH8="","",'96 Werte'!BH8)</f>
        <v/>
      </c>
      <c r="D256" t="str">
        <f>IF(IF(Eingaben!$B$21&lt;Eingaben!$B$22,AND(B256&gt;=Eingaben!$B$21,B256&lt;Eingaben!$B$22),OR(B256&gt;=Eingaben!$B$21,B256&lt;Eingaben!$B$22)),"GO",IF(AND(ISNUMBER(Eingaben!$B$23),ISNUMBER(Eingaben!$B$24),IF(Eingaben!$B$23&lt;Eingaben!$B$24,AND(B256&gt;=Eingaben!$B$23,B256&lt;Eingaben!$B$24),OR(B256&gt;=Eingaben!$B$23,B256&lt;Eingaben!$B$24))),"HEAT","STANDARD"))</f>
        <v>STANDARD</v>
      </c>
      <c r="E256" s="9"/>
      <c r="F256" t="str">
        <f>IF(E256="",D256,E256)</f>
        <v>STANDARD</v>
      </c>
      <c r="G256" t="str">
        <f>INDEX(Netzzeiten!$B$6:$B$29,HOUR(B256)+1)</f>
        <v>NT</v>
      </c>
      <c r="H256" s="6">
        <f>IF(F256="GO",Eingaben!$B$11,IF(F256="STANDARD",Eingaben!$B$12,IF(AND(F256="HEAT",ISNUMBER(Eingaben!$B$13)),Eingaben!$B$13,"")))</f>
        <v>28.2744</v>
      </c>
      <c r="I256" s="6">
        <f>INDEX(Netzzeiten!$C$6:$C$29,HOUR(B256)+1)</f>
        <v>1.64</v>
      </c>
      <c r="J256" t="str">
        <f>IF(C256="","FEHLT",IF(NOT(ISNUMBER(C256)),"MESSWERT UNGUELTIG",IF(C256&lt;0,"MESSWERT UNGUELTIG",IF(H256="","TARIFPREIS FEHLT","OK"))))</f>
        <v>FEHLT</v>
      </c>
      <c r="K256" s="7">
        <f>IF(J256&lt;&gt;"OK","",C256*I256/100)</f>
        <v/>
      </c>
    </row>
    <row r="257" spans="1:11">
      <c r="A257" s="14">
        <v>46145</v>
      </c>
      <c r="B257" s="15">
        <v>0.6145833333333334</v>
      </c>
      <c r="C257" s="5">
        <f>IF('96 Werte'!BI8="","",'96 Werte'!BI8)</f>
        <v/>
      </c>
      <c r="D257" t="str">
        <f>IF(IF(Eingaben!$B$21&lt;Eingaben!$B$22,AND(B257&gt;=Eingaben!$B$21,B257&lt;Eingaben!$B$22),OR(B257&gt;=Eingaben!$B$21,B257&lt;Eingaben!$B$22)),"GO",IF(AND(ISNUMBER(Eingaben!$B$23),ISNUMBER(Eingaben!$B$24),IF(Eingaben!$B$23&lt;Eingaben!$B$24,AND(B257&gt;=Eingaben!$B$23,B257&lt;Eingaben!$B$24),OR(B257&gt;=Eingaben!$B$23,B257&lt;Eingaben!$B$24))),"HEAT","STANDARD"))</f>
        <v>STANDARD</v>
      </c>
      <c r="E257" s="9"/>
      <c r="F257" t="str">
        <f>IF(E257="",D257,E257)</f>
        <v>STANDARD</v>
      </c>
      <c r="G257" t="str">
        <f>INDEX(Netzzeiten!$B$6:$B$29,HOUR(B257)+1)</f>
        <v>NT</v>
      </c>
      <c r="H257" s="6">
        <f>IF(F257="GO",Eingaben!$B$11,IF(F257="STANDARD",Eingaben!$B$12,IF(AND(F257="HEAT",ISNUMBER(Eingaben!$B$13)),Eingaben!$B$13,"")))</f>
        <v>28.2744</v>
      </c>
      <c r="I257" s="6">
        <f>INDEX(Netzzeiten!$C$6:$C$29,HOUR(B257)+1)</f>
        <v>1.64</v>
      </c>
      <c r="J257" t="str">
        <f>IF(C257="","FEHLT",IF(NOT(ISNUMBER(C257)),"MESSWERT UNGUELTIG",IF(C257&lt;0,"MESSWERT UNGUELTIG",IF(H257="","TARIFPREIS FEHLT","OK"))))</f>
        <v>FEHLT</v>
      </c>
      <c r="K257" s="7">
        <f>IF(J257&lt;&gt;"OK","",C257*I257/100)</f>
        <v/>
      </c>
    </row>
    <row r="258" spans="1:11">
      <c r="A258" s="14">
        <v>46145</v>
      </c>
      <c r="B258" s="15">
        <v>0.625</v>
      </c>
      <c r="C258" s="5">
        <f>IF('96 Werte'!BJ8="","",'96 Werte'!BJ8)</f>
        <v/>
      </c>
      <c r="D258" t="str">
        <f>IF(IF(Eingaben!$B$21&lt;Eingaben!$B$22,AND(B258&gt;=Eingaben!$B$21,B258&lt;Eingaben!$B$22),OR(B258&gt;=Eingaben!$B$21,B258&lt;Eingaben!$B$22)),"GO",IF(AND(ISNUMBER(Eingaben!$B$23),ISNUMBER(Eingaben!$B$24),IF(Eingaben!$B$23&lt;Eingaben!$B$24,AND(B258&gt;=Eingaben!$B$23,B258&lt;Eingaben!$B$24),OR(B258&gt;=Eingaben!$B$23,B258&lt;Eingaben!$B$24))),"HEAT","STANDARD"))</f>
        <v>STANDARD</v>
      </c>
      <c r="E258" s="9"/>
      <c r="F258" t="str">
        <f>IF(E258="",D258,E258)</f>
        <v>STANDARD</v>
      </c>
      <c r="G258" t="str">
        <f>INDEX(Netzzeiten!$B$6:$B$29,HOUR(B258)+1)</f>
        <v>ST</v>
      </c>
      <c r="H258" s="6">
        <f>IF(F258="GO",Eingaben!$B$11,IF(F258="STANDARD",Eingaben!$B$12,IF(AND(F258="HEAT",ISNUMBER(Eingaben!$B$13)),Eingaben!$B$13,"")))</f>
        <v>28.2744</v>
      </c>
      <c r="I258" s="6">
        <f>INDEX(Netzzeiten!$C$6:$C$29,HOUR(B258)+1)</f>
        <v>5.48</v>
      </c>
      <c r="J258" t="str">
        <f>IF(C258="","FEHLT",IF(NOT(ISNUMBER(C258)),"MESSWERT UNGUELTIG",IF(C258&lt;0,"MESSWERT UNGUELTIG",IF(H258="","TARIFPREIS FEHLT","OK"))))</f>
        <v>FEHLT</v>
      </c>
      <c r="K258" s="7">
        <f>IF(J258&lt;&gt;"OK","",C258*I258/100)</f>
        <v/>
      </c>
    </row>
    <row r="259" spans="1:11">
      <c r="A259" s="14">
        <v>46145</v>
      </c>
      <c r="B259" s="15">
        <v>0.6354166666666666</v>
      </c>
      <c r="C259" s="5">
        <f>IF('96 Werte'!BK8="","",'96 Werte'!BK8)</f>
        <v/>
      </c>
      <c r="D259" t="str">
        <f>IF(IF(Eingaben!$B$21&lt;Eingaben!$B$22,AND(B259&gt;=Eingaben!$B$21,B259&lt;Eingaben!$B$22),OR(B259&gt;=Eingaben!$B$21,B259&lt;Eingaben!$B$22)),"GO",IF(AND(ISNUMBER(Eingaben!$B$23),ISNUMBER(Eingaben!$B$24),IF(Eingaben!$B$23&lt;Eingaben!$B$24,AND(B259&gt;=Eingaben!$B$23,B259&lt;Eingaben!$B$24),OR(B259&gt;=Eingaben!$B$23,B259&lt;Eingaben!$B$24))),"HEAT","STANDARD"))</f>
        <v>STANDARD</v>
      </c>
      <c r="E259" s="9"/>
      <c r="F259" t="str">
        <f>IF(E259="",D259,E259)</f>
        <v>STANDARD</v>
      </c>
      <c r="G259" t="str">
        <f>INDEX(Netzzeiten!$B$6:$B$29,HOUR(B259)+1)</f>
        <v>ST</v>
      </c>
      <c r="H259" s="6">
        <f>IF(F259="GO",Eingaben!$B$11,IF(F259="STANDARD",Eingaben!$B$12,IF(AND(F259="HEAT",ISNUMBER(Eingaben!$B$13)),Eingaben!$B$13,"")))</f>
        <v>28.2744</v>
      </c>
      <c r="I259" s="6">
        <f>INDEX(Netzzeiten!$C$6:$C$29,HOUR(B259)+1)</f>
        <v>5.48</v>
      </c>
      <c r="J259" t="str">
        <f>IF(C259="","FEHLT",IF(NOT(ISNUMBER(C259)),"MESSWERT UNGUELTIG",IF(C259&lt;0,"MESSWERT UNGUELTIG",IF(H259="","TARIFPREIS FEHLT","OK"))))</f>
        <v>FEHLT</v>
      </c>
      <c r="K259" s="7">
        <f>IF(J259&lt;&gt;"OK","",C259*I259/100)</f>
        <v/>
      </c>
    </row>
    <row r="260" spans="1:11">
      <c r="A260" s="14">
        <v>46145</v>
      </c>
      <c r="B260" s="15">
        <v>0.6458333333333334</v>
      </c>
      <c r="C260" s="5">
        <f>IF('96 Werte'!BL8="","",'96 Werte'!BL8)</f>
        <v/>
      </c>
      <c r="D260" t="str">
        <f>IF(IF(Eingaben!$B$21&lt;Eingaben!$B$22,AND(B260&gt;=Eingaben!$B$21,B260&lt;Eingaben!$B$22),OR(B260&gt;=Eingaben!$B$21,B260&lt;Eingaben!$B$22)),"GO",IF(AND(ISNUMBER(Eingaben!$B$23),ISNUMBER(Eingaben!$B$24),IF(Eingaben!$B$23&lt;Eingaben!$B$24,AND(B260&gt;=Eingaben!$B$23,B260&lt;Eingaben!$B$24),OR(B260&gt;=Eingaben!$B$23,B260&lt;Eingaben!$B$24))),"HEAT","STANDARD"))</f>
        <v>STANDARD</v>
      </c>
      <c r="E260" s="9"/>
      <c r="F260" t="str">
        <f>IF(E260="",D260,E260)</f>
        <v>STANDARD</v>
      </c>
      <c r="G260" t="str">
        <f>INDEX(Netzzeiten!$B$6:$B$29,HOUR(B260)+1)</f>
        <v>ST</v>
      </c>
      <c r="H260" s="6">
        <f>IF(F260="GO",Eingaben!$B$11,IF(F260="STANDARD",Eingaben!$B$12,IF(AND(F260="HEAT",ISNUMBER(Eingaben!$B$13)),Eingaben!$B$13,"")))</f>
        <v>28.2744</v>
      </c>
      <c r="I260" s="6">
        <f>INDEX(Netzzeiten!$C$6:$C$29,HOUR(B260)+1)</f>
        <v>5.48</v>
      </c>
      <c r="J260" t="str">
        <f>IF(C260="","FEHLT",IF(NOT(ISNUMBER(C260)),"MESSWERT UNGUELTIG",IF(C260&lt;0,"MESSWERT UNGUELTIG",IF(H260="","TARIFPREIS FEHLT","OK"))))</f>
        <v>FEHLT</v>
      </c>
      <c r="K260" s="7">
        <f>IF(J260&lt;&gt;"OK","",C260*I260/100)</f>
        <v/>
      </c>
    </row>
    <row r="261" spans="1:11">
      <c r="A261" s="14">
        <v>46145</v>
      </c>
      <c r="B261" s="15">
        <v>0.65625</v>
      </c>
      <c r="C261" s="5">
        <f>IF('96 Werte'!BM8="","",'96 Werte'!BM8)</f>
        <v/>
      </c>
      <c r="D261" t="str">
        <f>IF(IF(Eingaben!$B$21&lt;Eingaben!$B$22,AND(B261&gt;=Eingaben!$B$21,B261&lt;Eingaben!$B$22),OR(B261&gt;=Eingaben!$B$21,B261&lt;Eingaben!$B$22)),"GO",IF(AND(ISNUMBER(Eingaben!$B$23),ISNUMBER(Eingaben!$B$24),IF(Eingaben!$B$23&lt;Eingaben!$B$24,AND(B261&gt;=Eingaben!$B$23,B261&lt;Eingaben!$B$24),OR(B261&gt;=Eingaben!$B$23,B261&lt;Eingaben!$B$24))),"HEAT","STANDARD"))</f>
        <v>STANDARD</v>
      </c>
      <c r="E261" s="9"/>
      <c r="F261" t="str">
        <f>IF(E261="",D261,E261)</f>
        <v>STANDARD</v>
      </c>
      <c r="G261" t="str">
        <f>INDEX(Netzzeiten!$B$6:$B$29,HOUR(B261)+1)</f>
        <v>ST</v>
      </c>
      <c r="H261" s="6">
        <f>IF(F261="GO",Eingaben!$B$11,IF(F261="STANDARD",Eingaben!$B$12,IF(AND(F261="HEAT",ISNUMBER(Eingaben!$B$13)),Eingaben!$B$13,"")))</f>
        <v>28.2744</v>
      </c>
      <c r="I261" s="6">
        <f>INDEX(Netzzeiten!$C$6:$C$29,HOUR(B261)+1)</f>
        <v>5.48</v>
      </c>
      <c r="J261" t="str">
        <f>IF(C261="","FEHLT",IF(NOT(ISNUMBER(C261)),"MESSWERT UNGUELTIG",IF(C261&lt;0,"MESSWERT UNGUELTIG",IF(H261="","TARIFPREIS FEHLT","OK"))))</f>
        <v>FEHLT</v>
      </c>
      <c r="K261" s="7">
        <f>IF(J261&lt;&gt;"OK","",C261*I261/100)</f>
        <v/>
      </c>
    </row>
    <row r="262" spans="1:11">
      <c r="A262" s="14">
        <v>46145</v>
      </c>
      <c r="B262" s="15">
        <v>0.6666666666666666</v>
      </c>
      <c r="C262" s="5">
        <f>IF('96 Werte'!BN8="","",'96 Werte'!BN8)</f>
        <v/>
      </c>
      <c r="D262" t="str">
        <f>IF(IF(Eingaben!$B$21&lt;Eingaben!$B$22,AND(B262&gt;=Eingaben!$B$21,B262&lt;Eingaben!$B$22),OR(B262&gt;=Eingaben!$B$21,B262&lt;Eingaben!$B$22)),"GO",IF(AND(ISNUMBER(Eingaben!$B$23),ISNUMBER(Eingaben!$B$24),IF(Eingaben!$B$23&lt;Eingaben!$B$24,AND(B262&gt;=Eingaben!$B$23,B262&lt;Eingaben!$B$24),OR(B262&gt;=Eingaben!$B$23,B262&lt;Eingaben!$B$24))),"HEAT","STANDARD"))</f>
        <v>STANDARD</v>
      </c>
      <c r="E262" s="9"/>
      <c r="F262" t="str">
        <f>IF(E262="",D262,E262)</f>
        <v>STANDARD</v>
      </c>
      <c r="G262" t="str">
        <f>INDEX(Netzzeiten!$B$6:$B$29,HOUR(B262)+1)</f>
        <v>ST</v>
      </c>
      <c r="H262" s="6">
        <f>IF(F262="GO",Eingaben!$B$11,IF(F262="STANDARD",Eingaben!$B$12,IF(AND(F262="HEAT",ISNUMBER(Eingaben!$B$13)),Eingaben!$B$13,"")))</f>
        <v>28.2744</v>
      </c>
      <c r="I262" s="6">
        <f>INDEX(Netzzeiten!$C$6:$C$29,HOUR(B262)+1)</f>
        <v>5.48</v>
      </c>
      <c r="J262" t="str">
        <f>IF(C262="","FEHLT",IF(NOT(ISNUMBER(C262)),"MESSWERT UNGUELTIG",IF(C262&lt;0,"MESSWERT UNGUELTIG",IF(H262="","TARIFPREIS FEHLT","OK"))))</f>
        <v>FEHLT</v>
      </c>
      <c r="K262" s="7">
        <f>IF(J262&lt;&gt;"OK","",C262*I262/100)</f>
        <v/>
      </c>
    </row>
    <row r="263" spans="1:11">
      <c r="A263" s="14">
        <v>46145</v>
      </c>
      <c r="B263" s="15">
        <v>0.6770833333333334</v>
      </c>
      <c r="C263" s="5">
        <f>IF('96 Werte'!BO8="","",'96 Werte'!BO8)</f>
        <v/>
      </c>
      <c r="D263" t="str">
        <f>IF(IF(Eingaben!$B$21&lt;Eingaben!$B$22,AND(B263&gt;=Eingaben!$B$21,B263&lt;Eingaben!$B$22),OR(B263&gt;=Eingaben!$B$21,B263&lt;Eingaben!$B$22)),"GO",IF(AND(ISNUMBER(Eingaben!$B$23),ISNUMBER(Eingaben!$B$24),IF(Eingaben!$B$23&lt;Eingaben!$B$24,AND(B263&gt;=Eingaben!$B$23,B263&lt;Eingaben!$B$24),OR(B263&gt;=Eingaben!$B$23,B263&lt;Eingaben!$B$24))),"HEAT","STANDARD"))</f>
        <v>STANDARD</v>
      </c>
      <c r="E263" s="9"/>
      <c r="F263" t="str">
        <f>IF(E263="",D263,E263)</f>
        <v>STANDARD</v>
      </c>
      <c r="G263" t="str">
        <f>INDEX(Netzzeiten!$B$6:$B$29,HOUR(B263)+1)</f>
        <v>ST</v>
      </c>
      <c r="H263" s="6">
        <f>IF(F263="GO",Eingaben!$B$11,IF(F263="STANDARD",Eingaben!$B$12,IF(AND(F263="HEAT",ISNUMBER(Eingaben!$B$13)),Eingaben!$B$13,"")))</f>
        <v>28.2744</v>
      </c>
      <c r="I263" s="6">
        <f>INDEX(Netzzeiten!$C$6:$C$29,HOUR(B263)+1)</f>
        <v>5.48</v>
      </c>
      <c r="J263" t="str">
        <f>IF(C263="","FEHLT",IF(NOT(ISNUMBER(C263)),"MESSWERT UNGUELTIG",IF(C263&lt;0,"MESSWERT UNGUELTIG",IF(H263="","TARIFPREIS FEHLT","OK"))))</f>
        <v>FEHLT</v>
      </c>
      <c r="K263" s="7">
        <f>IF(J263&lt;&gt;"OK","",C263*I263/100)</f>
        <v/>
      </c>
    </row>
    <row r="264" spans="1:11">
      <c r="A264" s="14">
        <v>46145</v>
      </c>
      <c r="B264" s="15">
        <v>0.6875</v>
      </c>
      <c r="C264" s="5">
        <f>IF('96 Werte'!BP8="","",'96 Werte'!BP8)</f>
        <v/>
      </c>
      <c r="D264" t="str">
        <f>IF(IF(Eingaben!$B$21&lt;Eingaben!$B$22,AND(B264&gt;=Eingaben!$B$21,B264&lt;Eingaben!$B$22),OR(B264&gt;=Eingaben!$B$21,B264&lt;Eingaben!$B$22)),"GO",IF(AND(ISNUMBER(Eingaben!$B$23),ISNUMBER(Eingaben!$B$24),IF(Eingaben!$B$23&lt;Eingaben!$B$24,AND(B264&gt;=Eingaben!$B$23,B264&lt;Eingaben!$B$24),OR(B264&gt;=Eingaben!$B$23,B264&lt;Eingaben!$B$24))),"HEAT","STANDARD"))</f>
        <v>STANDARD</v>
      </c>
      <c r="E264" s="9"/>
      <c r="F264" t="str">
        <f>IF(E264="",D264,E264)</f>
        <v>STANDARD</v>
      </c>
      <c r="G264" t="str">
        <f>INDEX(Netzzeiten!$B$6:$B$29,HOUR(B264)+1)</f>
        <v>ST</v>
      </c>
      <c r="H264" s="6">
        <f>IF(F264="GO",Eingaben!$B$11,IF(F264="STANDARD",Eingaben!$B$12,IF(AND(F264="HEAT",ISNUMBER(Eingaben!$B$13)),Eingaben!$B$13,"")))</f>
        <v>28.2744</v>
      </c>
      <c r="I264" s="6">
        <f>INDEX(Netzzeiten!$C$6:$C$29,HOUR(B264)+1)</f>
        <v>5.48</v>
      </c>
      <c r="J264" t="str">
        <f>IF(C264="","FEHLT",IF(NOT(ISNUMBER(C264)),"MESSWERT UNGUELTIG",IF(C264&lt;0,"MESSWERT UNGUELTIG",IF(H264="","TARIFPREIS FEHLT","OK"))))</f>
        <v>FEHLT</v>
      </c>
      <c r="K264" s="7">
        <f>IF(J264&lt;&gt;"OK","",C264*I264/100)</f>
        <v/>
      </c>
    </row>
    <row r="265" spans="1:11">
      <c r="A265" s="14">
        <v>46145</v>
      </c>
      <c r="B265" s="15">
        <v>0.6979166666666666</v>
      </c>
      <c r="C265" s="5">
        <f>IF('96 Werte'!BQ8="","",'96 Werte'!BQ8)</f>
        <v/>
      </c>
      <c r="D265" t="str">
        <f>IF(IF(Eingaben!$B$21&lt;Eingaben!$B$22,AND(B265&gt;=Eingaben!$B$21,B265&lt;Eingaben!$B$22),OR(B265&gt;=Eingaben!$B$21,B265&lt;Eingaben!$B$22)),"GO",IF(AND(ISNUMBER(Eingaben!$B$23),ISNUMBER(Eingaben!$B$24),IF(Eingaben!$B$23&lt;Eingaben!$B$24,AND(B265&gt;=Eingaben!$B$23,B265&lt;Eingaben!$B$24),OR(B265&gt;=Eingaben!$B$23,B265&lt;Eingaben!$B$24))),"HEAT","STANDARD"))</f>
        <v>STANDARD</v>
      </c>
      <c r="E265" s="9"/>
      <c r="F265" t="str">
        <f>IF(E265="",D265,E265)</f>
        <v>STANDARD</v>
      </c>
      <c r="G265" t="str">
        <f>INDEX(Netzzeiten!$B$6:$B$29,HOUR(B265)+1)</f>
        <v>ST</v>
      </c>
      <c r="H265" s="6">
        <f>IF(F265="GO",Eingaben!$B$11,IF(F265="STANDARD",Eingaben!$B$12,IF(AND(F265="HEAT",ISNUMBER(Eingaben!$B$13)),Eingaben!$B$13,"")))</f>
        <v>28.2744</v>
      </c>
      <c r="I265" s="6">
        <f>INDEX(Netzzeiten!$C$6:$C$29,HOUR(B265)+1)</f>
        <v>5.48</v>
      </c>
      <c r="J265" t="str">
        <f>IF(C265="","FEHLT",IF(NOT(ISNUMBER(C265)),"MESSWERT UNGUELTIG",IF(C265&lt;0,"MESSWERT UNGUELTIG",IF(H265="","TARIFPREIS FEHLT","OK"))))</f>
        <v>FEHLT</v>
      </c>
      <c r="K265" s="7">
        <f>IF(J265&lt;&gt;"OK","",C265*I265/100)</f>
        <v/>
      </c>
    </row>
    <row r="266" spans="1:11">
      <c r="A266" s="14">
        <v>46145</v>
      </c>
      <c r="B266" s="15">
        <v>0.7083333333333334</v>
      </c>
      <c r="C266" s="5">
        <f>IF('96 Werte'!BR8="","",'96 Werte'!BR8)</f>
        <v/>
      </c>
      <c r="D266" t="str">
        <f>IF(IF(Eingaben!$B$21&lt;Eingaben!$B$22,AND(B266&gt;=Eingaben!$B$21,B266&lt;Eingaben!$B$22),OR(B266&gt;=Eingaben!$B$21,B266&lt;Eingaben!$B$22)),"GO",IF(AND(ISNUMBER(Eingaben!$B$23),ISNUMBER(Eingaben!$B$24),IF(Eingaben!$B$23&lt;Eingaben!$B$24,AND(B266&gt;=Eingaben!$B$23,B266&lt;Eingaben!$B$24),OR(B266&gt;=Eingaben!$B$23,B266&lt;Eingaben!$B$24))),"HEAT","STANDARD"))</f>
        <v>STANDARD</v>
      </c>
      <c r="E266" s="9"/>
      <c r="F266" t="str">
        <f>IF(E266="",D266,E266)</f>
        <v>STANDARD</v>
      </c>
      <c r="G266" t="str">
        <f>INDEX(Netzzeiten!$B$6:$B$29,HOUR(B266)+1)</f>
        <v>HT</v>
      </c>
      <c r="H266" s="6">
        <f>IF(F266="GO",Eingaben!$B$11,IF(F266="STANDARD",Eingaben!$B$12,IF(AND(F266="HEAT",ISNUMBER(Eingaben!$B$13)),Eingaben!$B$13,"")))</f>
        <v>28.2744</v>
      </c>
      <c r="I266" s="6">
        <f>INDEX(Netzzeiten!$C$6:$C$29,HOUR(B266)+1)</f>
        <v>10.52</v>
      </c>
      <c r="J266" t="str">
        <f>IF(C266="","FEHLT",IF(NOT(ISNUMBER(C266)),"MESSWERT UNGUELTIG",IF(C266&lt;0,"MESSWERT UNGUELTIG",IF(H266="","TARIFPREIS FEHLT","OK"))))</f>
        <v>FEHLT</v>
      </c>
      <c r="K266" s="7">
        <f>IF(J266&lt;&gt;"OK","",C266*I266/100)</f>
        <v/>
      </c>
    </row>
    <row r="267" spans="1:11">
      <c r="A267" s="14">
        <v>46145</v>
      </c>
      <c r="B267" s="15">
        <v>0.71875</v>
      </c>
      <c r="C267" s="5">
        <f>IF('96 Werte'!BS8="","",'96 Werte'!BS8)</f>
        <v/>
      </c>
      <c r="D267" t="str">
        <f>IF(IF(Eingaben!$B$21&lt;Eingaben!$B$22,AND(B267&gt;=Eingaben!$B$21,B267&lt;Eingaben!$B$22),OR(B267&gt;=Eingaben!$B$21,B267&lt;Eingaben!$B$22)),"GO",IF(AND(ISNUMBER(Eingaben!$B$23),ISNUMBER(Eingaben!$B$24),IF(Eingaben!$B$23&lt;Eingaben!$B$24,AND(B267&gt;=Eingaben!$B$23,B267&lt;Eingaben!$B$24),OR(B267&gt;=Eingaben!$B$23,B267&lt;Eingaben!$B$24))),"HEAT","STANDARD"))</f>
        <v>STANDARD</v>
      </c>
      <c r="E267" s="9"/>
      <c r="F267" t="str">
        <f>IF(E267="",D267,E267)</f>
        <v>STANDARD</v>
      </c>
      <c r="G267" t="str">
        <f>INDEX(Netzzeiten!$B$6:$B$29,HOUR(B267)+1)</f>
        <v>HT</v>
      </c>
      <c r="H267" s="6">
        <f>IF(F267="GO",Eingaben!$B$11,IF(F267="STANDARD",Eingaben!$B$12,IF(AND(F267="HEAT",ISNUMBER(Eingaben!$B$13)),Eingaben!$B$13,"")))</f>
        <v>28.2744</v>
      </c>
      <c r="I267" s="6">
        <f>INDEX(Netzzeiten!$C$6:$C$29,HOUR(B267)+1)</f>
        <v>10.52</v>
      </c>
      <c r="J267" t="str">
        <f>IF(C267="","FEHLT",IF(NOT(ISNUMBER(C267)),"MESSWERT UNGUELTIG",IF(C267&lt;0,"MESSWERT UNGUELTIG",IF(H267="","TARIFPREIS FEHLT","OK"))))</f>
        <v>FEHLT</v>
      </c>
      <c r="K267" s="7">
        <f>IF(J267&lt;&gt;"OK","",C267*I267/100)</f>
        <v/>
      </c>
    </row>
    <row r="268" spans="1:11">
      <c r="A268" s="14">
        <v>46145</v>
      </c>
      <c r="B268" s="15">
        <v>0.7291666666666666</v>
      </c>
      <c r="C268" s="5">
        <f>IF('96 Werte'!BT8="","",'96 Werte'!BT8)</f>
        <v/>
      </c>
      <c r="D268" t="str">
        <f>IF(IF(Eingaben!$B$21&lt;Eingaben!$B$22,AND(B268&gt;=Eingaben!$B$21,B268&lt;Eingaben!$B$22),OR(B268&gt;=Eingaben!$B$21,B268&lt;Eingaben!$B$22)),"GO",IF(AND(ISNUMBER(Eingaben!$B$23),ISNUMBER(Eingaben!$B$24),IF(Eingaben!$B$23&lt;Eingaben!$B$24,AND(B268&gt;=Eingaben!$B$23,B268&lt;Eingaben!$B$24),OR(B268&gt;=Eingaben!$B$23,B268&lt;Eingaben!$B$24))),"HEAT","STANDARD"))</f>
        <v>STANDARD</v>
      </c>
      <c r="E268" s="9"/>
      <c r="F268" t="str">
        <f>IF(E268="",D268,E268)</f>
        <v>STANDARD</v>
      </c>
      <c r="G268" t="str">
        <f>INDEX(Netzzeiten!$B$6:$B$29,HOUR(B268)+1)</f>
        <v>HT</v>
      </c>
      <c r="H268" s="6">
        <f>IF(F268="GO",Eingaben!$B$11,IF(F268="STANDARD",Eingaben!$B$12,IF(AND(F268="HEAT",ISNUMBER(Eingaben!$B$13)),Eingaben!$B$13,"")))</f>
        <v>28.2744</v>
      </c>
      <c r="I268" s="6">
        <f>INDEX(Netzzeiten!$C$6:$C$29,HOUR(B268)+1)</f>
        <v>10.52</v>
      </c>
      <c r="J268" t="str">
        <f>IF(C268="","FEHLT",IF(NOT(ISNUMBER(C268)),"MESSWERT UNGUELTIG",IF(C268&lt;0,"MESSWERT UNGUELTIG",IF(H268="","TARIFPREIS FEHLT","OK"))))</f>
        <v>FEHLT</v>
      </c>
      <c r="K268" s="7">
        <f>IF(J268&lt;&gt;"OK","",C268*I268/100)</f>
        <v/>
      </c>
    </row>
    <row r="269" spans="1:11">
      <c r="A269" s="14">
        <v>46145</v>
      </c>
      <c r="B269" s="15">
        <v>0.7395833333333334</v>
      </c>
      <c r="C269" s="5">
        <f>IF('96 Werte'!BU8="","",'96 Werte'!BU8)</f>
        <v/>
      </c>
      <c r="D269" t="str">
        <f>IF(IF(Eingaben!$B$21&lt;Eingaben!$B$22,AND(B269&gt;=Eingaben!$B$21,B269&lt;Eingaben!$B$22),OR(B269&gt;=Eingaben!$B$21,B269&lt;Eingaben!$B$22)),"GO",IF(AND(ISNUMBER(Eingaben!$B$23),ISNUMBER(Eingaben!$B$24),IF(Eingaben!$B$23&lt;Eingaben!$B$24,AND(B269&gt;=Eingaben!$B$23,B269&lt;Eingaben!$B$24),OR(B269&gt;=Eingaben!$B$23,B269&lt;Eingaben!$B$24))),"HEAT","STANDARD"))</f>
        <v>STANDARD</v>
      </c>
      <c r="E269" s="9"/>
      <c r="F269" t="str">
        <f>IF(E269="",D269,E269)</f>
        <v>STANDARD</v>
      </c>
      <c r="G269" t="str">
        <f>INDEX(Netzzeiten!$B$6:$B$29,HOUR(B269)+1)</f>
        <v>HT</v>
      </c>
      <c r="H269" s="6">
        <f>IF(F269="GO",Eingaben!$B$11,IF(F269="STANDARD",Eingaben!$B$12,IF(AND(F269="HEAT",ISNUMBER(Eingaben!$B$13)),Eingaben!$B$13,"")))</f>
        <v>28.2744</v>
      </c>
      <c r="I269" s="6">
        <f>INDEX(Netzzeiten!$C$6:$C$29,HOUR(B269)+1)</f>
        <v>10.52</v>
      </c>
      <c r="J269" t="str">
        <f>IF(C269="","FEHLT",IF(NOT(ISNUMBER(C269)),"MESSWERT UNGUELTIG",IF(C269&lt;0,"MESSWERT UNGUELTIG",IF(H269="","TARIFPREIS FEHLT","OK"))))</f>
        <v>FEHLT</v>
      </c>
      <c r="K269" s="7">
        <f>IF(J269&lt;&gt;"OK","",C269*I269/100)</f>
        <v/>
      </c>
    </row>
    <row r="270" spans="1:11">
      <c r="A270" s="14">
        <v>46145</v>
      </c>
      <c r="B270" s="15">
        <v>0.75</v>
      </c>
      <c r="C270" s="5">
        <f>IF('96 Werte'!BV8="","",'96 Werte'!BV8)</f>
        <v/>
      </c>
      <c r="D270" t="str">
        <f>IF(IF(Eingaben!$B$21&lt;Eingaben!$B$22,AND(B270&gt;=Eingaben!$B$21,B270&lt;Eingaben!$B$22),OR(B270&gt;=Eingaben!$B$21,B270&lt;Eingaben!$B$22)),"GO",IF(AND(ISNUMBER(Eingaben!$B$23),ISNUMBER(Eingaben!$B$24),IF(Eingaben!$B$23&lt;Eingaben!$B$24,AND(B270&gt;=Eingaben!$B$23,B270&lt;Eingaben!$B$24),OR(B270&gt;=Eingaben!$B$23,B270&lt;Eingaben!$B$24))),"HEAT","STANDARD"))</f>
        <v>STANDARD</v>
      </c>
      <c r="E270" s="9"/>
      <c r="F270" t="str">
        <f>IF(E270="",D270,E270)</f>
        <v>STANDARD</v>
      </c>
      <c r="G270" t="str">
        <f>INDEX(Netzzeiten!$B$6:$B$29,HOUR(B270)+1)</f>
        <v>HT</v>
      </c>
      <c r="H270" s="6">
        <f>IF(F270="GO",Eingaben!$B$11,IF(F270="STANDARD",Eingaben!$B$12,IF(AND(F270="HEAT",ISNUMBER(Eingaben!$B$13)),Eingaben!$B$13,"")))</f>
        <v>28.2744</v>
      </c>
      <c r="I270" s="6">
        <f>INDEX(Netzzeiten!$C$6:$C$29,HOUR(B270)+1)</f>
        <v>10.52</v>
      </c>
      <c r="J270" t="str">
        <f>IF(C270="","FEHLT",IF(NOT(ISNUMBER(C270)),"MESSWERT UNGUELTIG",IF(C270&lt;0,"MESSWERT UNGUELTIG",IF(H270="","TARIFPREIS FEHLT","OK"))))</f>
        <v>FEHLT</v>
      </c>
      <c r="K270" s="7">
        <f>IF(J270&lt;&gt;"OK","",C270*I270/100)</f>
        <v/>
      </c>
    </row>
    <row r="271" spans="1:11">
      <c r="A271" s="14">
        <v>46145</v>
      </c>
      <c r="B271" s="15">
        <v>0.7604166666666666</v>
      </c>
      <c r="C271" s="5">
        <f>IF('96 Werte'!BW8="","",'96 Werte'!BW8)</f>
        <v/>
      </c>
      <c r="D271" t="str">
        <f>IF(IF(Eingaben!$B$21&lt;Eingaben!$B$22,AND(B271&gt;=Eingaben!$B$21,B271&lt;Eingaben!$B$22),OR(B271&gt;=Eingaben!$B$21,B271&lt;Eingaben!$B$22)),"GO",IF(AND(ISNUMBER(Eingaben!$B$23),ISNUMBER(Eingaben!$B$24),IF(Eingaben!$B$23&lt;Eingaben!$B$24,AND(B271&gt;=Eingaben!$B$23,B271&lt;Eingaben!$B$24),OR(B271&gt;=Eingaben!$B$23,B271&lt;Eingaben!$B$24))),"HEAT","STANDARD"))</f>
        <v>STANDARD</v>
      </c>
      <c r="E271" s="9"/>
      <c r="F271" t="str">
        <f>IF(E271="",D271,E271)</f>
        <v>STANDARD</v>
      </c>
      <c r="G271" t="str">
        <f>INDEX(Netzzeiten!$B$6:$B$29,HOUR(B271)+1)</f>
        <v>HT</v>
      </c>
      <c r="H271" s="6">
        <f>IF(F271="GO",Eingaben!$B$11,IF(F271="STANDARD",Eingaben!$B$12,IF(AND(F271="HEAT",ISNUMBER(Eingaben!$B$13)),Eingaben!$B$13,"")))</f>
        <v>28.2744</v>
      </c>
      <c r="I271" s="6">
        <f>INDEX(Netzzeiten!$C$6:$C$29,HOUR(B271)+1)</f>
        <v>10.52</v>
      </c>
      <c r="J271" t="str">
        <f>IF(C271="","FEHLT",IF(NOT(ISNUMBER(C271)),"MESSWERT UNGUELTIG",IF(C271&lt;0,"MESSWERT UNGUELTIG",IF(H271="","TARIFPREIS FEHLT","OK"))))</f>
        <v>FEHLT</v>
      </c>
      <c r="K271" s="7">
        <f>IF(J271&lt;&gt;"OK","",C271*I271/100)</f>
        <v/>
      </c>
    </row>
    <row r="272" spans="1:11">
      <c r="A272" s="14">
        <v>46145</v>
      </c>
      <c r="B272" s="15">
        <v>0.7708333333333334</v>
      </c>
      <c r="C272" s="5">
        <f>IF('96 Werte'!BX8="","",'96 Werte'!BX8)</f>
        <v/>
      </c>
      <c r="D272" t="str">
        <f>IF(IF(Eingaben!$B$21&lt;Eingaben!$B$22,AND(B272&gt;=Eingaben!$B$21,B272&lt;Eingaben!$B$22),OR(B272&gt;=Eingaben!$B$21,B272&lt;Eingaben!$B$22)),"GO",IF(AND(ISNUMBER(Eingaben!$B$23),ISNUMBER(Eingaben!$B$24),IF(Eingaben!$B$23&lt;Eingaben!$B$24,AND(B272&gt;=Eingaben!$B$23,B272&lt;Eingaben!$B$24),OR(B272&gt;=Eingaben!$B$23,B272&lt;Eingaben!$B$24))),"HEAT","STANDARD"))</f>
        <v>STANDARD</v>
      </c>
      <c r="E272" s="9"/>
      <c r="F272" t="str">
        <f>IF(E272="",D272,E272)</f>
        <v>STANDARD</v>
      </c>
      <c r="G272" t="str">
        <f>INDEX(Netzzeiten!$B$6:$B$29,HOUR(B272)+1)</f>
        <v>HT</v>
      </c>
      <c r="H272" s="6">
        <f>IF(F272="GO",Eingaben!$B$11,IF(F272="STANDARD",Eingaben!$B$12,IF(AND(F272="HEAT",ISNUMBER(Eingaben!$B$13)),Eingaben!$B$13,"")))</f>
        <v>28.2744</v>
      </c>
      <c r="I272" s="6">
        <f>INDEX(Netzzeiten!$C$6:$C$29,HOUR(B272)+1)</f>
        <v>10.52</v>
      </c>
      <c r="J272" t="str">
        <f>IF(C272="","FEHLT",IF(NOT(ISNUMBER(C272)),"MESSWERT UNGUELTIG",IF(C272&lt;0,"MESSWERT UNGUELTIG",IF(H272="","TARIFPREIS FEHLT","OK"))))</f>
        <v>FEHLT</v>
      </c>
      <c r="K272" s="7">
        <f>IF(J272&lt;&gt;"OK","",C272*I272/100)</f>
        <v/>
      </c>
    </row>
    <row r="273" spans="1:11">
      <c r="A273" s="14">
        <v>46145</v>
      </c>
      <c r="B273" s="15">
        <v>0.78125</v>
      </c>
      <c r="C273" s="5">
        <f>IF('96 Werte'!BY8="","",'96 Werte'!BY8)</f>
        <v/>
      </c>
      <c r="D273" t="str">
        <f>IF(IF(Eingaben!$B$21&lt;Eingaben!$B$22,AND(B273&gt;=Eingaben!$B$21,B273&lt;Eingaben!$B$22),OR(B273&gt;=Eingaben!$B$21,B273&lt;Eingaben!$B$22)),"GO",IF(AND(ISNUMBER(Eingaben!$B$23),ISNUMBER(Eingaben!$B$24),IF(Eingaben!$B$23&lt;Eingaben!$B$24,AND(B273&gt;=Eingaben!$B$23,B273&lt;Eingaben!$B$24),OR(B273&gt;=Eingaben!$B$23,B273&lt;Eingaben!$B$24))),"HEAT","STANDARD"))</f>
        <v>STANDARD</v>
      </c>
      <c r="E273" s="9"/>
      <c r="F273" t="str">
        <f>IF(E273="",D273,E273)</f>
        <v>STANDARD</v>
      </c>
      <c r="G273" t="str">
        <f>INDEX(Netzzeiten!$B$6:$B$29,HOUR(B273)+1)</f>
        <v>HT</v>
      </c>
      <c r="H273" s="6">
        <f>IF(F273="GO",Eingaben!$B$11,IF(F273="STANDARD",Eingaben!$B$12,IF(AND(F273="HEAT",ISNUMBER(Eingaben!$B$13)),Eingaben!$B$13,"")))</f>
        <v>28.2744</v>
      </c>
      <c r="I273" s="6">
        <f>INDEX(Netzzeiten!$C$6:$C$29,HOUR(B273)+1)</f>
        <v>10.52</v>
      </c>
      <c r="J273" t="str">
        <f>IF(C273="","FEHLT",IF(NOT(ISNUMBER(C273)),"MESSWERT UNGUELTIG",IF(C273&lt;0,"MESSWERT UNGUELTIG",IF(H273="","TARIFPREIS FEHLT","OK"))))</f>
        <v>FEHLT</v>
      </c>
      <c r="K273" s="7">
        <f>IF(J273&lt;&gt;"OK","",C273*I273/100)</f>
        <v/>
      </c>
    </row>
    <row r="274" spans="1:11">
      <c r="A274" s="14">
        <v>46145</v>
      </c>
      <c r="B274" s="15">
        <v>0.7916666666666666</v>
      </c>
      <c r="C274" s="5">
        <f>IF('96 Werte'!BZ8="","",'96 Werte'!BZ8)</f>
        <v/>
      </c>
      <c r="D274" t="str">
        <f>IF(IF(Eingaben!$B$21&lt;Eingaben!$B$22,AND(B274&gt;=Eingaben!$B$21,B274&lt;Eingaben!$B$22),OR(B274&gt;=Eingaben!$B$21,B274&lt;Eingaben!$B$22)),"GO",IF(AND(ISNUMBER(Eingaben!$B$23),ISNUMBER(Eingaben!$B$24),IF(Eingaben!$B$23&lt;Eingaben!$B$24,AND(B274&gt;=Eingaben!$B$23,B274&lt;Eingaben!$B$24),OR(B274&gt;=Eingaben!$B$23,B274&lt;Eingaben!$B$24))),"HEAT","STANDARD"))</f>
        <v>STANDARD</v>
      </c>
      <c r="E274" s="9"/>
      <c r="F274" t="str">
        <f>IF(E274="",D274,E274)</f>
        <v>STANDARD</v>
      </c>
      <c r="G274" t="str">
        <f>INDEX(Netzzeiten!$B$6:$B$29,HOUR(B274)+1)</f>
        <v>HT</v>
      </c>
      <c r="H274" s="6">
        <f>IF(F274="GO",Eingaben!$B$11,IF(F274="STANDARD",Eingaben!$B$12,IF(AND(F274="HEAT",ISNUMBER(Eingaben!$B$13)),Eingaben!$B$13,"")))</f>
        <v>28.2744</v>
      </c>
      <c r="I274" s="6">
        <f>INDEX(Netzzeiten!$C$6:$C$29,HOUR(B274)+1)</f>
        <v>10.52</v>
      </c>
      <c r="J274" t="str">
        <f>IF(C274="","FEHLT",IF(NOT(ISNUMBER(C274)),"MESSWERT UNGUELTIG",IF(C274&lt;0,"MESSWERT UNGUELTIG",IF(H274="","TARIFPREIS FEHLT","OK"))))</f>
        <v>FEHLT</v>
      </c>
      <c r="K274" s="7">
        <f>IF(J274&lt;&gt;"OK","",C274*I274/100)</f>
        <v/>
      </c>
    </row>
    <row r="275" spans="1:11">
      <c r="A275" s="14">
        <v>46145</v>
      </c>
      <c r="B275" s="15">
        <v>0.8020833333333334</v>
      </c>
      <c r="C275" s="5">
        <f>IF('96 Werte'!CA8="","",'96 Werte'!CA8)</f>
        <v/>
      </c>
      <c r="D275" t="str">
        <f>IF(IF(Eingaben!$B$21&lt;Eingaben!$B$22,AND(B275&gt;=Eingaben!$B$21,B275&lt;Eingaben!$B$22),OR(B275&gt;=Eingaben!$B$21,B275&lt;Eingaben!$B$22)),"GO",IF(AND(ISNUMBER(Eingaben!$B$23),ISNUMBER(Eingaben!$B$24),IF(Eingaben!$B$23&lt;Eingaben!$B$24,AND(B275&gt;=Eingaben!$B$23,B275&lt;Eingaben!$B$24),OR(B275&gt;=Eingaben!$B$23,B275&lt;Eingaben!$B$24))),"HEAT","STANDARD"))</f>
        <v>STANDARD</v>
      </c>
      <c r="E275" s="9"/>
      <c r="F275" t="str">
        <f>IF(E275="",D275,E275)</f>
        <v>STANDARD</v>
      </c>
      <c r="G275" t="str">
        <f>INDEX(Netzzeiten!$B$6:$B$29,HOUR(B275)+1)</f>
        <v>HT</v>
      </c>
      <c r="H275" s="6">
        <f>IF(F275="GO",Eingaben!$B$11,IF(F275="STANDARD",Eingaben!$B$12,IF(AND(F275="HEAT",ISNUMBER(Eingaben!$B$13)),Eingaben!$B$13,"")))</f>
        <v>28.2744</v>
      </c>
      <c r="I275" s="6">
        <f>INDEX(Netzzeiten!$C$6:$C$29,HOUR(B275)+1)</f>
        <v>10.52</v>
      </c>
      <c r="J275" t="str">
        <f>IF(C275="","FEHLT",IF(NOT(ISNUMBER(C275)),"MESSWERT UNGUELTIG",IF(C275&lt;0,"MESSWERT UNGUELTIG",IF(H275="","TARIFPREIS FEHLT","OK"))))</f>
        <v>FEHLT</v>
      </c>
      <c r="K275" s="7">
        <f>IF(J275&lt;&gt;"OK","",C275*I275/100)</f>
        <v/>
      </c>
    </row>
    <row r="276" spans="1:11">
      <c r="A276" s="14">
        <v>46145</v>
      </c>
      <c r="B276" s="15">
        <v>0.8125</v>
      </c>
      <c r="C276" s="5">
        <f>IF('96 Werte'!CB8="","",'96 Werte'!CB8)</f>
        <v/>
      </c>
      <c r="D276" t="str">
        <f>IF(IF(Eingaben!$B$21&lt;Eingaben!$B$22,AND(B276&gt;=Eingaben!$B$21,B276&lt;Eingaben!$B$22),OR(B276&gt;=Eingaben!$B$21,B276&lt;Eingaben!$B$22)),"GO",IF(AND(ISNUMBER(Eingaben!$B$23),ISNUMBER(Eingaben!$B$24),IF(Eingaben!$B$23&lt;Eingaben!$B$24,AND(B276&gt;=Eingaben!$B$23,B276&lt;Eingaben!$B$24),OR(B276&gt;=Eingaben!$B$23,B276&lt;Eingaben!$B$24))),"HEAT","STANDARD"))</f>
        <v>STANDARD</v>
      </c>
      <c r="E276" s="9"/>
      <c r="F276" t="str">
        <f>IF(E276="",D276,E276)</f>
        <v>STANDARD</v>
      </c>
      <c r="G276" t="str">
        <f>INDEX(Netzzeiten!$B$6:$B$29,HOUR(B276)+1)</f>
        <v>HT</v>
      </c>
      <c r="H276" s="6">
        <f>IF(F276="GO",Eingaben!$B$11,IF(F276="STANDARD",Eingaben!$B$12,IF(AND(F276="HEAT",ISNUMBER(Eingaben!$B$13)),Eingaben!$B$13,"")))</f>
        <v>28.2744</v>
      </c>
      <c r="I276" s="6">
        <f>INDEX(Netzzeiten!$C$6:$C$29,HOUR(B276)+1)</f>
        <v>10.52</v>
      </c>
      <c r="J276" t="str">
        <f>IF(C276="","FEHLT",IF(NOT(ISNUMBER(C276)),"MESSWERT UNGUELTIG",IF(C276&lt;0,"MESSWERT UNGUELTIG",IF(H276="","TARIFPREIS FEHLT","OK"))))</f>
        <v>FEHLT</v>
      </c>
      <c r="K276" s="7">
        <f>IF(J276&lt;&gt;"OK","",C276*I276/100)</f>
        <v/>
      </c>
    </row>
    <row r="277" spans="1:11">
      <c r="A277" s="14">
        <v>46145</v>
      </c>
      <c r="B277" s="15">
        <v>0.8229166666666666</v>
      </c>
      <c r="C277" s="5">
        <f>IF('96 Werte'!CC8="","",'96 Werte'!CC8)</f>
        <v/>
      </c>
      <c r="D277" t="str">
        <f>IF(IF(Eingaben!$B$21&lt;Eingaben!$B$22,AND(B277&gt;=Eingaben!$B$21,B277&lt;Eingaben!$B$22),OR(B277&gt;=Eingaben!$B$21,B277&lt;Eingaben!$B$22)),"GO",IF(AND(ISNUMBER(Eingaben!$B$23),ISNUMBER(Eingaben!$B$24),IF(Eingaben!$B$23&lt;Eingaben!$B$24,AND(B277&gt;=Eingaben!$B$23,B277&lt;Eingaben!$B$24),OR(B277&gt;=Eingaben!$B$23,B277&lt;Eingaben!$B$24))),"HEAT","STANDARD"))</f>
        <v>STANDARD</v>
      </c>
      <c r="E277" s="9"/>
      <c r="F277" t="str">
        <f>IF(E277="",D277,E277)</f>
        <v>STANDARD</v>
      </c>
      <c r="G277" t="str">
        <f>INDEX(Netzzeiten!$B$6:$B$29,HOUR(B277)+1)</f>
        <v>HT</v>
      </c>
      <c r="H277" s="6">
        <f>IF(F277="GO",Eingaben!$B$11,IF(F277="STANDARD",Eingaben!$B$12,IF(AND(F277="HEAT",ISNUMBER(Eingaben!$B$13)),Eingaben!$B$13,"")))</f>
        <v>28.2744</v>
      </c>
      <c r="I277" s="6">
        <f>INDEX(Netzzeiten!$C$6:$C$29,HOUR(B277)+1)</f>
        <v>10.52</v>
      </c>
      <c r="J277" t="str">
        <f>IF(C277="","FEHLT",IF(NOT(ISNUMBER(C277)),"MESSWERT UNGUELTIG",IF(C277&lt;0,"MESSWERT UNGUELTIG",IF(H277="","TARIFPREIS FEHLT","OK"))))</f>
        <v>FEHLT</v>
      </c>
      <c r="K277" s="7">
        <f>IF(J277&lt;&gt;"OK","",C277*I277/100)</f>
        <v/>
      </c>
    </row>
    <row r="278" spans="1:11">
      <c r="A278" s="14">
        <v>46145</v>
      </c>
      <c r="B278" s="15">
        <v>0.8333333333333334</v>
      </c>
      <c r="C278" s="5">
        <f>IF('96 Werte'!CD8="","",'96 Werte'!CD8)</f>
        <v/>
      </c>
      <c r="D278" t="str">
        <f>IF(IF(Eingaben!$B$21&lt;Eingaben!$B$22,AND(B278&gt;=Eingaben!$B$21,B278&lt;Eingaben!$B$22),OR(B278&gt;=Eingaben!$B$21,B278&lt;Eingaben!$B$22)),"GO",IF(AND(ISNUMBER(Eingaben!$B$23),ISNUMBER(Eingaben!$B$24),IF(Eingaben!$B$23&lt;Eingaben!$B$24,AND(B278&gt;=Eingaben!$B$23,B278&lt;Eingaben!$B$24),OR(B278&gt;=Eingaben!$B$23,B278&lt;Eingaben!$B$24))),"HEAT","STANDARD"))</f>
        <v>STANDARD</v>
      </c>
      <c r="E278" s="9"/>
      <c r="F278" t="str">
        <f>IF(E278="",D278,E278)</f>
        <v>STANDARD</v>
      </c>
      <c r="G278" t="str">
        <f>INDEX(Netzzeiten!$B$6:$B$29,HOUR(B278)+1)</f>
        <v>HT</v>
      </c>
      <c r="H278" s="6">
        <f>IF(F278="GO",Eingaben!$B$11,IF(F278="STANDARD",Eingaben!$B$12,IF(AND(F278="HEAT",ISNUMBER(Eingaben!$B$13)),Eingaben!$B$13,"")))</f>
        <v>28.2744</v>
      </c>
      <c r="I278" s="6">
        <f>INDEX(Netzzeiten!$C$6:$C$29,HOUR(B278)+1)</f>
        <v>10.52</v>
      </c>
      <c r="J278" t="str">
        <f>IF(C278="","FEHLT",IF(NOT(ISNUMBER(C278)),"MESSWERT UNGUELTIG",IF(C278&lt;0,"MESSWERT UNGUELTIG",IF(H278="","TARIFPREIS FEHLT","OK"))))</f>
        <v>FEHLT</v>
      </c>
      <c r="K278" s="7">
        <f>IF(J278&lt;&gt;"OK","",C278*I278/100)</f>
        <v/>
      </c>
    </row>
    <row r="279" spans="1:11">
      <c r="A279" s="14">
        <v>46145</v>
      </c>
      <c r="B279" s="15">
        <v>0.84375</v>
      </c>
      <c r="C279" s="5">
        <f>IF('96 Werte'!CE8="","",'96 Werte'!CE8)</f>
        <v/>
      </c>
      <c r="D279" t="str">
        <f>IF(IF(Eingaben!$B$21&lt;Eingaben!$B$22,AND(B279&gt;=Eingaben!$B$21,B279&lt;Eingaben!$B$22),OR(B279&gt;=Eingaben!$B$21,B279&lt;Eingaben!$B$22)),"GO",IF(AND(ISNUMBER(Eingaben!$B$23),ISNUMBER(Eingaben!$B$24),IF(Eingaben!$B$23&lt;Eingaben!$B$24,AND(B279&gt;=Eingaben!$B$23,B279&lt;Eingaben!$B$24),OR(B279&gt;=Eingaben!$B$23,B279&lt;Eingaben!$B$24))),"HEAT","STANDARD"))</f>
        <v>STANDARD</v>
      </c>
      <c r="E279" s="9"/>
      <c r="F279" t="str">
        <f>IF(E279="",D279,E279)</f>
        <v>STANDARD</v>
      </c>
      <c r="G279" t="str">
        <f>INDEX(Netzzeiten!$B$6:$B$29,HOUR(B279)+1)</f>
        <v>HT</v>
      </c>
      <c r="H279" s="6">
        <f>IF(F279="GO",Eingaben!$B$11,IF(F279="STANDARD",Eingaben!$B$12,IF(AND(F279="HEAT",ISNUMBER(Eingaben!$B$13)),Eingaben!$B$13,"")))</f>
        <v>28.2744</v>
      </c>
      <c r="I279" s="6">
        <f>INDEX(Netzzeiten!$C$6:$C$29,HOUR(B279)+1)</f>
        <v>10.52</v>
      </c>
      <c r="J279" t="str">
        <f>IF(C279="","FEHLT",IF(NOT(ISNUMBER(C279)),"MESSWERT UNGUELTIG",IF(C279&lt;0,"MESSWERT UNGUELTIG",IF(H279="","TARIFPREIS FEHLT","OK"))))</f>
        <v>FEHLT</v>
      </c>
      <c r="K279" s="7">
        <f>IF(J279&lt;&gt;"OK","",C279*I279/100)</f>
        <v/>
      </c>
    </row>
    <row r="280" spans="1:11">
      <c r="A280" s="14">
        <v>46145</v>
      </c>
      <c r="B280" s="15">
        <v>0.8541666666666666</v>
      </c>
      <c r="C280" s="5">
        <f>IF('96 Werte'!CF8="","",'96 Werte'!CF8)</f>
        <v/>
      </c>
      <c r="D280" t="str">
        <f>IF(IF(Eingaben!$B$21&lt;Eingaben!$B$22,AND(B280&gt;=Eingaben!$B$21,B280&lt;Eingaben!$B$22),OR(B280&gt;=Eingaben!$B$21,B280&lt;Eingaben!$B$22)),"GO",IF(AND(ISNUMBER(Eingaben!$B$23),ISNUMBER(Eingaben!$B$24),IF(Eingaben!$B$23&lt;Eingaben!$B$24,AND(B280&gt;=Eingaben!$B$23,B280&lt;Eingaben!$B$24),OR(B280&gt;=Eingaben!$B$23,B280&lt;Eingaben!$B$24))),"HEAT","STANDARD"))</f>
        <v>STANDARD</v>
      </c>
      <c r="E280" s="9"/>
      <c r="F280" t="str">
        <f>IF(E280="",D280,E280)</f>
        <v>STANDARD</v>
      </c>
      <c r="G280" t="str">
        <f>INDEX(Netzzeiten!$B$6:$B$29,HOUR(B280)+1)</f>
        <v>HT</v>
      </c>
      <c r="H280" s="6">
        <f>IF(F280="GO",Eingaben!$B$11,IF(F280="STANDARD",Eingaben!$B$12,IF(AND(F280="HEAT",ISNUMBER(Eingaben!$B$13)),Eingaben!$B$13,"")))</f>
        <v>28.2744</v>
      </c>
      <c r="I280" s="6">
        <f>INDEX(Netzzeiten!$C$6:$C$29,HOUR(B280)+1)</f>
        <v>10.52</v>
      </c>
      <c r="J280" t="str">
        <f>IF(C280="","FEHLT",IF(NOT(ISNUMBER(C280)),"MESSWERT UNGUELTIG",IF(C280&lt;0,"MESSWERT UNGUELTIG",IF(H280="","TARIFPREIS FEHLT","OK"))))</f>
        <v>FEHLT</v>
      </c>
      <c r="K280" s="7">
        <f>IF(J280&lt;&gt;"OK","",C280*I280/100)</f>
        <v/>
      </c>
    </row>
    <row r="281" spans="1:11">
      <c r="A281" s="14">
        <v>46145</v>
      </c>
      <c r="B281" s="15">
        <v>0.8645833333333334</v>
      </c>
      <c r="C281" s="5">
        <f>IF('96 Werte'!CG8="","",'96 Werte'!CG8)</f>
        <v/>
      </c>
      <c r="D281" t="str">
        <f>IF(IF(Eingaben!$B$21&lt;Eingaben!$B$22,AND(B281&gt;=Eingaben!$B$21,B281&lt;Eingaben!$B$22),OR(B281&gt;=Eingaben!$B$21,B281&lt;Eingaben!$B$22)),"GO",IF(AND(ISNUMBER(Eingaben!$B$23),ISNUMBER(Eingaben!$B$24),IF(Eingaben!$B$23&lt;Eingaben!$B$24,AND(B281&gt;=Eingaben!$B$23,B281&lt;Eingaben!$B$24),OR(B281&gt;=Eingaben!$B$23,B281&lt;Eingaben!$B$24))),"HEAT","STANDARD"))</f>
        <v>STANDARD</v>
      </c>
      <c r="E281" s="9"/>
      <c r="F281" t="str">
        <f>IF(E281="",D281,E281)</f>
        <v>STANDARD</v>
      </c>
      <c r="G281" t="str">
        <f>INDEX(Netzzeiten!$B$6:$B$29,HOUR(B281)+1)</f>
        <v>HT</v>
      </c>
      <c r="H281" s="6">
        <f>IF(F281="GO",Eingaben!$B$11,IF(F281="STANDARD",Eingaben!$B$12,IF(AND(F281="HEAT",ISNUMBER(Eingaben!$B$13)),Eingaben!$B$13,"")))</f>
        <v>28.2744</v>
      </c>
      <c r="I281" s="6">
        <f>INDEX(Netzzeiten!$C$6:$C$29,HOUR(B281)+1)</f>
        <v>10.52</v>
      </c>
      <c r="J281" t="str">
        <f>IF(C281="","FEHLT",IF(NOT(ISNUMBER(C281)),"MESSWERT UNGUELTIG",IF(C281&lt;0,"MESSWERT UNGUELTIG",IF(H281="","TARIFPREIS FEHLT","OK"))))</f>
        <v>FEHLT</v>
      </c>
      <c r="K281" s="7">
        <f>IF(J281&lt;&gt;"OK","",C281*I281/100)</f>
        <v/>
      </c>
    </row>
    <row r="282" spans="1:11">
      <c r="A282" s="14">
        <v>46145</v>
      </c>
      <c r="B282" s="15">
        <v>0.875</v>
      </c>
      <c r="C282" s="5">
        <f>IF('96 Werte'!CH8="","",'96 Werte'!CH8)</f>
        <v/>
      </c>
      <c r="D282" t="str">
        <f>IF(IF(Eingaben!$B$21&lt;Eingaben!$B$22,AND(B282&gt;=Eingaben!$B$21,B282&lt;Eingaben!$B$22),OR(B282&gt;=Eingaben!$B$21,B282&lt;Eingaben!$B$22)),"GO",IF(AND(ISNUMBER(Eingaben!$B$23),ISNUMBER(Eingaben!$B$24),IF(Eingaben!$B$23&lt;Eingaben!$B$24,AND(B282&gt;=Eingaben!$B$23,B282&lt;Eingaben!$B$24),OR(B282&gt;=Eingaben!$B$23,B282&lt;Eingaben!$B$24))),"HEAT","STANDARD"))</f>
        <v>STANDARD</v>
      </c>
      <c r="E282" s="9"/>
      <c r="F282" t="str">
        <f>IF(E282="",D282,E282)</f>
        <v>STANDARD</v>
      </c>
      <c r="G282" t="str">
        <f>INDEX(Netzzeiten!$B$6:$B$29,HOUR(B282)+1)</f>
        <v>HT</v>
      </c>
      <c r="H282" s="6">
        <f>IF(F282="GO",Eingaben!$B$11,IF(F282="STANDARD",Eingaben!$B$12,IF(AND(F282="HEAT",ISNUMBER(Eingaben!$B$13)),Eingaben!$B$13,"")))</f>
        <v>28.2744</v>
      </c>
      <c r="I282" s="6">
        <f>INDEX(Netzzeiten!$C$6:$C$29,HOUR(B282)+1)</f>
        <v>10.52</v>
      </c>
      <c r="J282" t="str">
        <f>IF(C282="","FEHLT",IF(NOT(ISNUMBER(C282)),"MESSWERT UNGUELTIG",IF(C282&lt;0,"MESSWERT UNGUELTIG",IF(H282="","TARIFPREIS FEHLT","OK"))))</f>
        <v>FEHLT</v>
      </c>
      <c r="K282" s="7">
        <f>IF(J282&lt;&gt;"OK","",C282*I282/100)</f>
        <v/>
      </c>
    </row>
    <row r="283" spans="1:11">
      <c r="A283" s="14">
        <v>46145</v>
      </c>
      <c r="B283" s="15">
        <v>0.8854166666666666</v>
      </c>
      <c r="C283" s="5">
        <f>IF('96 Werte'!CI8="","",'96 Werte'!CI8)</f>
        <v/>
      </c>
      <c r="D283" t="str">
        <f>IF(IF(Eingaben!$B$21&lt;Eingaben!$B$22,AND(B283&gt;=Eingaben!$B$21,B283&lt;Eingaben!$B$22),OR(B283&gt;=Eingaben!$B$21,B283&lt;Eingaben!$B$22)),"GO",IF(AND(ISNUMBER(Eingaben!$B$23),ISNUMBER(Eingaben!$B$24),IF(Eingaben!$B$23&lt;Eingaben!$B$24,AND(B283&gt;=Eingaben!$B$23,B283&lt;Eingaben!$B$24),OR(B283&gt;=Eingaben!$B$23,B283&lt;Eingaben!$B$24))),"HEAT","STANDARD"))</f>
        <v>STANDARD</v>
      </c>
      <c r="E283" s="9"/>
      <c r="F283" t="str">
        <f>IF(E283="",D283,E283)</f>
        <v>STANDARD</v>
      </c>
      <c r="G283" t="str">
        <f>INDEX(Netzzeiten!$B$6:$B$29,HOUR(B283)+1)</f>
        <v>HT</v>
      </c>
      <c r="H283" s="6">
        <f>IF(F283="GO",Eingaben!$B$11,IF(F283="STANDARD",Eingaben!$B$12,IF(AND(F283="HEAT",ISNUMBER(Eingaben!$B$13)),Eingaben!$B$13,"")))</f>
        <v>28.2744</v>
      </c>
      <c r="I283" s="6">
        <f>INDEX(Netzzeiten!$C$6:$C$29,HOUR(B283)+1)</f>
        <v>10.52</v>
      </c>
      <c r="J283" t="str">
        <f>IF(C283="","FEHLT",IF(NOT(ISNUMBER(C283)),"MESSWERT UNGUELTIG",IF(C283&lt;0,"MESSWERT UNGUELTIG",IF(H283="","TARIFPREIS FEHLT","OK"))))</f>
        <v>FEHLT</v>
      </c>
      <c r="K283" s="7">
        <f>IF(J283&lt;&gt;"OK","",C283*I283/100)</f>
        <v/>
      </c>
    </row>
    <row r="284" spans="1:11">
      <c r="A284" s="14">
        <v>46145</v>
      </c>
      <c r="B284" s="15">
        <v>0.8958333333333334</v>
      </c>
      <c r="C284" s="5">
        <f>IF('96 Werte'!CJ8="","",'96 Werte'!CJ8)</f>
        <v/>
      </c>
      <c r="D284" t="str">
        <f>IF(IF(Eingaben!$B$21&lt;Eingaben!$B$22,AND(B284&gt;=Eingaben!$B$21,B284&lt;Eingaben!$B$22),OR(B284&gt;=Eingaben!$B$21,B284&lt;Eingaben!$B$22)),"GO",IF(AND(ISNUMBER(Eingaben!$B$23),ISNUMBER(Eingaben!$B$24),IF(Eingaben!$B$23&lt;Eingaben!$B$24,AND(B284&gt;=Eingaben!$B$23,B284&lt;Eingaben!$B$24),OR(B284&gt;=Eingaben!$B$23,B284&lt;Eingaben!$B$24))),"HEAT","STANDARD"))</f>
        <v>STANDARD</v>
      </c>
      <c r="E284" s="9"/>
      <c r="F284" t="str">
        <f>IF(E284="",D284,E284)</f>
        <v>STANDARD</v>
      </c>
      <c r="G284" t="str">
        <f>INDEX(Netzzeiten!$B$6:$B$29,HOUR(B284)+1)</f>
        <v>HT</v>
      </c>
      <c r="H284" s="6">
        <f>IF(F284="GO",Eingaben!$B$11,IF(F284="STANDARD",Eingaben!$B$12,IF(AND(F284="HEAT",ISNUMBER(Eingaben!$B$13)),Eingaben!$B$13,"")))</f>
        <v>28.2744</v>
      </c>
      <c r="I284" s="6">
        <f>INDEX(Netzzeiten!$C$6:$C$29,HOUR(B284)+1)</f>
        <v>10.52</v>
      </c>
      <c r="J284" t="str">
        <f>IF(C284="","FEHLT",IF(NOT(ISNUMBER(C284)),"MESSWERT UNGUELTIG",IF(C284&lt;0,"MESSWERT UNGUELTIG",IF(H284="","TARIFPREIS FEHLT","OK"))))</f>
        <v>FEHLT</v>
      </c>
      <c r="K284" s="7">
        <f>IF(J284&lt;&gt;"OK","",C284*I284/100)</f>
        <v/>
      </c>
    </row>
    <row r="285" spans="1:11">
      <c r="A285" s="14">
        <v>46145</v>
      </c>
      <c r="B285" s="15">
        <v>0.90625</v>
      </c>
      <c r="C285" s="5">
        <f>IF('96 Werte'!CK8="","",'96 Werte'!CK8)</f>
        <v/>
      </c>
      <c r="D285" t="str">
        <f>IF(IF(Eingaben!$B$21&lt;Eingaben!$B$22,AND(B285&gt;=Eingaben!$B$21,B285&lt;Eingaben!$B$22),OR(B285&gt;=Eingaben!$B$21,B285&lt;Eingaben!$B$22)),"GO",IF(AND(ISNUMBER(Eingaben!$B$23),ISNUMBER(Eingaben!$B$24),IF(Eingaben!$B$23&lt;Eingaben!$B$24,AND(B285&gt;=Eingaben!$B$23,B285&lt;Eingaben!$B$24),OR(B285&gt;=Eingaben!$B$23,B285&lt;Eingaben!$B$24))),"HEAT","STANDARD"))</f>
        <v>STANDARD</v>
      </c>
      <c r="E285" s="9"/>
      <c r="F285" t="str">
        <f>IF(E285="",D285,E285)</f>
        <v>STANDARD</v>
      </c>
      <c r="G285" t="str">
        <f>INDEX(Netzzeiten!$B$6:$B$29,HOUR(B285)+1)</f>
        <v>HT</v>
      </c>
      <c r="H285" s="6">
        <f>IF(F285="GO",Eingaben!$B$11,IF(F285="STANDARD",Eingaben!$B$12,IF(AND(F285="HEAT",ISNUMBER(Eingaben!$B$13)),Eingaben!$B$13,"")))</f>
        <v>28.2744</v>
      </c>
      <c r="I285" s="6">
        <f>INDEX(Netzzeiten!$C$6:$C$29,HOUR(B285)+1)</f>
        <v>10.52</v>
      </c>
      <c r="J285" t="str">
        <f>IF(C285="","FEHLT",IF(NOT(ISNUMBER(C285)),"MESSWERT UNGUELTIG",IF(C285&lt;0,"MESSWERT UNGUELTIG",IF(H285="","TARIFPREIS FEHLT","OK"))))</f>
        <v>FEHLT</v>
      </c>
      <c r="K285" s="7">
        <f>IF(J285&lt;&gt;"OK","",C285*I285/100)</f>
        <v/>
      </c>
    </row>
    <row r="286" spans="1:11">
      <c r="A286" s="14">
        <v>46145</v>
      </c>
      <c r="B286" s="15">
        <v>0.9166666666666666</v>
      </c>
      <c r="C286" s="5">
        <f>IF('96 Werte'!CL8="","",'96 Werte'!CL8)</f>
        <v/>
      </c>
      <c r="D286" t="str">
        <f>IF(IF(Eingaben!$B$21&lt;Eingaben!$B$22,AND(B286&gt;=Eingaben!$B$21,B286&lt;Eingaben!$B$22),OR(B286&gt;=Eingaben!$B$21,B286&lt;Eingaben!$B$22)),"GO",IF(AND(ISNUMBER(Eingaben!$B$23),ISNUMBER(Eingaben!$B$24),IF(Eingaben!$B$23&lt;Eingaben!$B$24,AND(B286&gt;=Eingaben!$B$23,B286&lt;Eingaben!$B$24),OR(B286&gt;=Eingaben!$B$23,B286&lt;Eingaben!$B$24))),"HEAT","STANDARD"))</f>
        <v>STANDARD</v>
      </c>
      <c r="E286" s="9"/>
      <c r="F286" t="str">
        <f>IF(E286="",D286,E286)</f>
        <v>STANDARD</v>
      </c>
      <c r="G286" t="str">
        <f>INDEX(Netzzeiten!$B$6:$B$29,HOUR(B286)+1)</f>
        <v>ST</v>
      </c>
      <c r="H286" s="6">
        <f>IF(F286="GO",Eingaben!$B$11,IF(F286="STANDARD",Eingaben!$B$12,IF(AND(F286="HEAT",ISNUMBER(Eingaben!$B$13)),Eingaben!$B$13,"")))</f>
        <v>28.2744</v>
      </c>
      <c r="I286" s="6">
        <f>INDEX(Netzzeiten!$C$6:$C$29,HOUR(B286)+1)</f>
        <v>5.48</v>
      </c>
      <c r="J286" t="str">
        <f>IF(C286="","FEHLT",IF(NOT(ISNUMBER(C286)),"MESSWERT UNGUELTIG",IF(C286&lt;0,"MESSWERT UNGUELTIG",IF(H286="","TARIFPREIS FEHLT","OK"))))</f>
        <v>FEHLT</v>
      </c>
      <c r="K286" s="7">
        <f>IF(J286&lt;&gt;"OK","",C286*I286/100)</f>
        <v/>
      </c>
    </row>
    <row r="287" spans="1:11">
      <c r="A287" s="14">
        <v>46145</v>
      </c>
      <c r="B287" s="15">
        <v>0.9270833333333334</v>
      </c>
      <c r="C287" s="5">
        <f>IF('96 Werte'!CM8="","",'96 Werte'!CM8)</f>
        <v/>
      </c>
      <c r="D287" t="str">
        <f>IF(IF(Eingaben!$B$21&lt;Eingaben!$B$22,AND(B287&gt;=Eingaben!$B$21,B287&lt;Eingaben!$B$22),OR(B287&gt;=Eingaben!$B$21,B287&lt;Eingaben!$B$22)),"GO",IF(AND(ISNUMBER(Eingaben!$B$23),ISNUMBER(Eingaben!$B$24),IF(Eingaben!$B$23&lt;Eingaben!$B$24,AND(B287&gt;=Eingaben!$B$23,B287&lt;Eingaben!$B$24),OR(B287&gt;=Eingaben!$B$23,B287&lt;Eingaben!$B$24))),"HEAT","STANDARD"))</f>
        <v>STANDARD</v>
      </c>
      <c r="E287" s="9"/>
      <c r="F287" t="str">
        <f>IF(E287="",D287,E287)</f>
        <v>STANDARD</v>
      </c>
      <c r="G287" t="str">
        <f>INDEX(Netzzeiten!$B$6:$B$29,HOUR(B287)+1)</f>
        <v>ST</v>
      </c>
      <c r="H287" s="6">
        <f>IF(F287="GO",Eingaben!$B$11,IF(F287="STANDARD",Eingaben!$B$12,IF(AND(F287="HEAT",ISNUMBER(Eingaben!$B$13)),Eingaben!$B$13,"")))</f>
        <v>28.2744</v>
      </c>
      <c r="I287" s="6">
        <f>INDEX(Netzzeiten!$C$6:$C$29,HOUR(B287)+1)</f>
        <v>5.48</v>
      </c>
      <c r="J287" t="str">
        <f>IF(C287="","FEHLT",IF(NOT(ISNUMBER(C287)),"MESSWERT UNGUELTIG",IF(C287&lt;0,"MESSWERT UNGUELTIG",IF(H287="","TARIFPREIS FEHLT","OK"))))</f>
        <v>FEHLT</v>
      </c>
      <c r="K287" s="7">
        <f>IF(J287&lt;&gt;"OK","",C287*I287/100)</f>
        <v/>
      </c>
    </row>
    <row r="288" spans="1:11">
      <c r="A288" s="14">
        <v>46145</v>
      </c>
      <c r="B288" s="15">
        <v>0.9375</v>
      </c>
      <c r="C288" s="5">
        <f>IF('96 Werte'!CN8="","",'96 Werte'!CN8)</f>
        <v/>
      </c>
      <c r="D288" t="str">
        <f>IF(IF(Eingaben!$B$21&lt;Eingaben!$B$22,AND(B288&gt;=Eingaben!$B$21,B288&lt;Eingaben!$B$22),OR(B288&gt;=Eingaben!$B$21,B288&lt;Eingaben!$B$22)),"GO",IF(AND(ISNUMBER(Eingaben!$B$23),ISNUMBER(Eingaben!$B$24),IF(Eingaben!$B$23&lt;Eingaben!$B$24,AND(B288&gt;=Eingaben!$B$23,B288&lt;Eingaben!$B$24),OR(B288&gt;=Eingaben!$B$23,B288&lt;Eingaben!$B$24))),"HEAT","STANDARD"))</f>
        <v>STANDARD</v>
      </c>
      <c r="E288" s="9"/>
      <c r="F288" t="str">
        <f>IF(E288="",D288,E288)</f>
        <v>STANDARD</v>
      </c>
      <c r="G288" t="str">
        <f>INDEX(Netzzeiten!$B$6:$B$29,HOUR(B288)+1)</f>
        <v>ST</v>
      </c>
      <c r="H288" s="6">
        <f>IF(F288="GO",Eingaben!$B$11,IF(F288="STANDARD",Eingaben!$B$12,IF(AND(F288="HEAT",ISNUMBER(Eingaben!$B$13)),Eingaben!$B$13,"")))</f>
        <v>28.2744</v>
      </c>
      <c r="I288" s="6">
        <f>INDEX(Netzzeiten!$C$6:$C$29,HOUR(B288)+1)</f>
        <v>5.48</v>
      </c>
      <c r="J288" t="str">
        <f>IF(C288="","FEHLT",IF(NOT(ISNUMBER(C288)),"MESSWERT UNGUELTIG",IF(C288&lt;0,"MESSWERT UNGUELTIG",IF(H288="","TARIFPREIS FEHLT","OK"))))</f>
        <v>FEHLT</v>
      </c>
      <c r="K288" s="7">
        <f>IF(J288&lt;&gt;"OK","",C288*I288/100)</f>
        <v/>
      </c>
    </row>
    <row r="289" spans="1:11">
      <c r="A289" s="14">
        <v>46145</v>
      </c>
      <c r="B289" s="15">
        <v>0.9479166666666666</v>
      </c>
      <c r="C289" s="5">
        <f>IF('96 Werte'!CO8="","",'96 Werte'!CO8)</f>
        <v/>
      </c>
      <c r="D289" t="str">
        <f>IF(IF(Eingaben!$B$21&lt;Eingaben!$B$22,AND(B289&gt;=Eingaben!$B$21,B289&lt;Eingaben!$B$22),OR(B289&gt;=Eingaben!$B$21,B289&lt;Eingaben!$B$22)),"GO",IF(AND(ISNUMBER(Eingaben!$B$23),ISNUMBER(Eingaben!$B$24),IF(Eingaben!$B$23&lt;Eingaben!$B$24,AND(B289&gt;=Eingaben!$B$23,B289&lt;Eingaben!$B$24),OR(B289&gt;=Eingaben!$B$23,B289&lt;Eingaben!$B$24))),"HEAT","STANDARD"))</f>
        <v>STANDARD</v>
      </c>
      <c r="E289" s="9"/>
      <c r="F289" t="str">
        <f>IF(E289="",D289,E289)</f>
        <v>STANDARD</v>
      </c>
      <c r="G289" t="str">
        <f>INDEX(Netzzeiten!$B$6:$B$29,HOUR(B289)+1)</f>
        <v>ST</v>
      </c>
      <c r="H289" s="6">
        <f>IF(F289="GO",Eingaben!$B$11,IF(F289="STANDARD",Eingaben!$B$12,IF(AND(F289="HEAT",ISNUMBER(Eingaben!$B$13)),Eingaben!$B$13,"")))</f>
        <v>28.2744</v>
      </c>
      <c r="I289" s="6">
        <f>INDEX(Netzzeiten!$C$6:$C$29,HOUR(B289)+1)</f>
        <v>5.48</v>
      </c>
      <c r="J289" t="str">
        <f>IF(C289="","FEHLT",IF(NOT(ISNUMBER(C289)),"MESSWERT UNGUELTIG",IF(C289&lt;0,"MESSWERT UNGUELTIG",IF(H289="","TARIFPREIS FEHLT","OK"))))</f>
        <v>FEHLT</v>
      </c>
      <c r="K289" s="7">
        <f>IF(J289&lt;&gt;"OK","",C289*I289/100)</f>
        <v/>
      </c>
    </row>
    <row r="290" spans="1:11">
      <c r="A290" s="14">
        <v>46145</v>
      </c>
      <c r="B290" s="15">
        <v>0.9583333333333334</v>
      </c>
      <c r="C290" s="5">
        <f>IF('96 Werte'!CP8="","",'96 Werte'!CP8)</f>
        <v/>
      </c>
      <c r="D290" t="str">
        <f>IF(IF(Eingaben!$B$21&lt;Eingaben!$B$22,AND(B290&gt;=Eingaben!$B$21,B290&lt;Eingaben!$B$22),OR(B290&gt;=Eingaben!$B$21,B290&lt;Eingaben!$B$22)),"GO",IF(AND(ISNUMBER(Eingaben!$B$23),ISNUMBER(Eingaben!$B$24),IF(Eingaben!$B$23&lt;Eingaben!$B$24,AND(B290&gt;=Eingaben!$B$23,B290&lt;Eingaben!$B$24),OR(B290&gt;=Eingaben!$B$23,B290&lt;Eingaben!$B$24))),"HEAT","STANDARD"))</f>
        <v>STANDARD</v>
      </c>
      <c r="E290" s="9"/>
      <c r="F290" t="str">
        <f>IF(E290="",D290,E290)</f>
        <v>STANDARD</v>
      </c>
      <c r="G290" t="str">
        <f>INDEX(Netzzeiten!$B$6:$B$29,HOUR(B290)+1)</f>
        <v>NT</v>
      </c>
      <c r="H290" s="6">
        <f>IF(F290="GO",Eingaben!$B$11,IF(F290="STANDARD",Eingaben!$B$12,IF(AND(F290="HEAT",ISNUMBER(Eingaben!$B$13)),Eingaben!$B$13,"")))</f>
        <v>28.2744</v>
      </c>
      <c r="I290" s="6">
        <f>INDEX(Netzzeiten!$C$6:$C$29,HOUR(B290)+1)</f>
        <v>1.64</v>
      </c>
      <c r="J290" t="str">
        <f>IF(C290="","FEHLT",IF(NOT(ISNUMBER(C290)),"MESSWERT UNGUELTIG",IF(C290&lt;0,"MESSWERT UNGUELTIG",IF(H290="","TARIFPREIS FEHLT","OK"))))</f>
        <v>FEHLT</v>
      </c>
      <c r="K290" s="7">
        <f>IF(J290&lt;&gt;"OK","",C290*I290/100)</f>
        <v/>
      </c>
    </row>
    <row r="291" spans="1:11">
      <c r="A291" s="14">
        <v>46145</v>
      </c>
      <c r="B291" s="15">
        <v>0.96875</v>
      </c>
      <c r="C291" s="5">
        <f>IF('96 Werte'!CQ8="","",'96 Werte'!CQ8)</f>
        <v/>
      </c>
      <c r="D291" t="str">
        <f>IF(IF(Eingaben!$B$21&lt;Eingaben!$B$22,AND(B291&gt;=Eingaben!$B$21,B291&lt;Eingaben!$B$22),OR(B291&gt;=Eingaben!$B$21,B291&lt;Eingaben!$B$22)),"GO",IF(AND(ISNUMBER(Eingaben!$B$23),ISNUMBER(Eingaben!$B$24),IF(Eingaben!$B$23&lt;Eingaben!$B$24,AND(B291&gt;=Eingaben!$B$23,B291&lt;Eingaben!$B$24),OR(B291&gt;=Eingaben!$B$23,B291&lt;Eingaben!$B$24))),"HEAT","STANDARD"))</f>
        <v>STANDARD</v>
      </c>
      <c r="E291" s="9"/>
      <c r="F291" t="str">
        <f>IF(E291="",D291,E291)</f>
        <v>STANDARD</v>
      </c>
      <c r="G291" t="str">
        <f>INDEX(Netzzeiten!$B$6:$B$29,HOUR(B291)+1)</f>
        <v>NT</v>
      </c>
      <c r="H291" s="6">
        <f>IF(F291="GO",Eingaben!$B$11,IF(F291="STANDARD",Eingaben!$B$12,IF(AND(F291="HEAT",ISNUMBER(Eingaben!$B$13)),Eingaben!$B$13,"")))</f>
        <v>28.2744</v>
      </c>
      <c r="I291" s="6">
        <f>INDEX(Netzzeiten!$C$6:$C$29,HOUR(B291)+1)</f>
        <v>1.64</v>
      </c>
      <c r="J291" t="str">
        <f>IF(C291="","FEHLT",IF(NOT(ISNUMBER(C291)),"MESSWERT UNGUELTIG",IF(C291&lt;0,"MESSWERT UNGUELTIG",IF(H291="","TARIFPREIS FEHLT","OK"))))</f>
        <v>FEHLT</v>
      </c>
      <c r="K291" s="7">
        <f>IF(J291&lt;&gt;"OK","",C291*I291/100)</f>
        <v/>
      </c>
    </row>
    <row r="292" spans="1:11">
      <c r="A292" s="14">
        <v>46145</v>
      </c>
      <c r="B292" s="15">
        <v>0.9791666666666666</v>
      </c>
      <c r="C292" s="5">
        <f>IF('96 Werte'!CR8="","",'96 Werte'!CR8)</f>
        <v/>
      </c>
      <c r="D292" t="str">
        <f>IF(IF(Eingaben!$B$21&lt;Eingaben!$B$22,AND(B292&gt;=Eingaben!$B$21,B292&lt;Eingaben!$B$22),OR(B292&gt;=Eingaben!$B$21,B292&lt;Eingaben!$B$22)),"GO",IF(AND(ISNUMBER(Eingaben!$B$23),ISNUMBER(Eingaben!$B$24),IF(Eingaben!$B$23&lt;Eingaben!$B$24,AND(B292&gt;=Eingaben!$B$23,B292&lt;Eingaben!$B$24),OR(B292&gt;=Eingaben!$B$23,B292&lt;Eingaben!$B$24))),"HEAT","STANDARD"))</f>
        <v>STANDARD</v>
      </c>
      <c r="E292" s="9"/>
      <c r="F292" t="str">
        <f>IF(E292="",D292,E292)</f>
        <v>STANDARD</v>
      </c>
      <c r="G292" t="str">
        <f>INDEX(Netzzeiten!$B$6:$B$29,HOUR(B292)+1)</f>
        <v>NT</v>
      </c>
      <c r="H292" s="6">
        <f>IF(F292="GO",Eingaben!$B$11,IF(F292="STANDARD",Eingaben!$B$12,IF(AND(F292="HEAT",ISNUMBER(Eingaben!$B$13)),Eingaben!$B$13,"")))</f>
        <v>28.2744</v>
      </c>
      <c r="I292" s="6">
        <f>INDEX(Netzzeiten!$C$6:$C$29,HOUR(B292)+1)</f>
        <v>1.64</v>
      </c>
      <c r="J292" t="str">
        <f>IF(C292="","FEHLT",IF(NOT(ISNUMBER(C292)),"MESSWERT UNGUELTIG",IF(C292&lt;0,"MESSWERT UNGUELTIG",IF(H292="","TARIFPREIS FEHLT","OK"))))</f>
        <v>FEHLT</v>
      </c>
      <c r="K292" s="7">
        <f>IF(J292&lt;&gt;"OK","",C292*I292/100)</f>
        <v/>
      </c>
    </row>
    <row r="293" spans="1:11">
      <c r="A293" s="14">
        <v>46145</v>
      </c>
      <c r="B293" s="15">
        <v>0.9895833333333334</v>
      </c>
      <c r="C293" s="5">
        <f>IF('96 Werte'!CS8="","",'96 Werte'!CS8)</f>
        <v/>
      </c>
      <c r="D293" t="str">
        <f>IF(IF(Eingaben!$B$21&lt;Eingaben!$B$22,AND(B293&gt;=Eingaben!$B$21,B293&lt;Eingaben!$B$22),OR(B293&gt;=Eingaben!$B$21,B293&lt;Eingaben!$B$22)),"GO",IF(AND(ISNUMBER(Eingaben!$B$23),ISNUMBER(Eingaben!$B$24),IF(Eingaben!$B$23&lt;Eingaben!$B$24,AND(B293&gt;=Eingaben!$B$23,B293&lt;Eingaben!$B$24),OR(B293&gt;=Eingaben!$B$23,B293&lt;Eingaben!$B$24))),"HEAT","STANDARD"))</f>
        <v>STANDARD</v>
      </c>
      <c r="E293" s="9"/>
      <c r="F293" t="str">
        <f>IF(E293="",D293,E293)</f>
        <v>STANDARD</v>
      </c>
      <c r="G293" t="str">
        <f>INDEX(Netzzeiten!$B$6:$B$29,HOUR(B293)+1)</f>
        <v>NT</v>
      </c>
      <c r="H293" s="6">
        <f>IF(F293="GO",Eingaben!$B$11,IF(F293="STANDARD",Eingaben!$B$12,IF(AND(F293="HEAT",ISNUMBER(Eingaben!$B$13)),Eingaben!$B$13,"")))</f>
        <v>28.2744</v>
      </c>
      <c r="I293" s="6">
        <f>INDEX(Netzzeiten!$C$6:$C$29,HOUR(B293)+1)</f>
        <v>1.64</v>
      </c>
      <c r="J293" t="str">
        <f>IF(C293="","FEHLT",IF(NOT(ISNUMBER(C293)),"MESSWERT UNGUELTIG",IF(C293&lt;0,"MESSWERT UNGUELTIG",IF(H293="","TARIFPREIS FEHLT","OK"))))</f>
        <v>FEHLT</v>
      </c>
      <c r="K293" s="7">
        <f>IF(J293&lt;&gt;"OK","",C293*I293/100)</f>
        <v/>
      </c>
    </row>
    <row r="294" spans="1:11">
      <c r="A294" s="14">
        <v>46146</v>
      </c>
      <c r="B294" s="15">
        <v>0</v>
      </c>
      <c r="C294" s="5">
        <f>IF('96 Werte'!B9="","",'96 Werte'!B9)</f>
        <v/>
      </c>
      <c r="D294" t="str">
        <f>IF(IF(Eingaben!$B$21&lt;Eingaben!$B$22,AND(B294&gt;=Eingaben!$B$21,B294&lt;Eingaben!$B$22),OR(B294&gt;=Eingaben!$B$21,B294&lt;Eingaben!$B$22)),"GO",IF(AND(ISNUMBER(Eingaben!$B$23),ISNUMBER(Eingaben!$B$24),IF(Eingaben!$B$23&lt;Eingaben!$B$24,AND(B294&gt;=Eingaben!$B$23,B294&lt;Eingaben!$B$24),OR(B294&gt;=Eingaben!$B$23,B294&lt;Eingaben!$B$24))),"HEAT","STANDARD"))</f>
        <v>GO</v>
      </c>
      <c r="E294" s="9"/>
      <c r="F294" t="str">
        <f>IF(E294="",D294,E294)</f>
        <v>GO</v>
      </c>
      <c r="G294" t="str">
        <f>INDEX(Netzzeiten!$B$6:$B$29,HOUR(B294)+1)</f>
        <v>NT</v>
      </c>
      <c r="H294" s="6">
        <f>IF(F294="GO",Eingaben!$B$11,IF(F294="STANDARD",Eingaben!$B$12,IF(AND(F294="HEAT",ISNUMBER(Eingaben!$B$13)),Eingaben!$B$13,"")))</f>
        <v>15.0654</v>
      </c>
      <c r="I294" s="6">
        <f>INDEX(Netzzeiten!$C$6:$C$29,HOUR(B294)+1)</f>
        <v>1.64</v>
      </c>
      <c r="J294" t="str">
        <f>IF(C294="","FEHLT",IF(NOT(ISNUMBER(C294)),"MESSWERT UNGUELTIG",IF(C294&lt;0,"MESSWERT UNGUELTIG",IF(H294="","TARIFPREIS FEHLT","OK"))))</f>
        <v>FEHLT</v>
      </c>
      <c r="K294" s="7">
        <f>IF(J294&lt;&gt;"OK","",C294*I294/100)</f>
        <v/>
      </c>
    </row>
    <row r="295" spans="1:11">
      <c r="A295" s="14">
        <v>46146</v>
      </c>
      <c r="B295" s="15">
        <v>0.01041666666666667</v>
      </c>
      <c r="C295" s="5">
        <f>IF('96 Werte'!C9="","",'96 Werte'!C9)</f>
        <v/>
      </c>
      <c r="D295" t="str">
        <f>IF(IF(Eingaben!$B$21&lt;Eingaben!$B$22,AND(B295&gt;=Eingaben!$B$21,B295&lt;Eingaben!$B$22),OR(B295&gt;=Eingaben!$B$21,B295&lt;Eingaben!$B$22)),"GO",IF(AND(ISNUMBER(Eingaben!$B$23),ISNUMBER(Eingaben!$B$24),IF(Eingaben!$B$23&lt;Eingaben!$B$24,AND(B295&gt;=Eingaben!$B$23,B295&lt;Eingaben!$B$24),OR(B295&gt;=Eingaben!$B$23,B295&lt;Eingaben!$B$24))),"HEAT","STANDARD"))</f>
        <v>GO</v>
      </c>
      <c r="E295" s="9"/>
      <c r="F295" t="str">
        <f>IF(E295="",D295,E295)</f>
        <v>GO</v>
      </c>
      <c r="G295" t="str">
        <f>INDEX(Netzzeiten!$B$6:$B$29,HOUR(B295)+1)</f>
        <v>NT</v>
      </c>
      <c r="H295" s="6">
        <f>IF(F295="GO",Eingaben!$B$11,IF(F295="STANDARD",Eingaben!$B$12,IF(AND(F295="HEAT",ISNUMBER(Eingaben!$B$13)),Eingaben!$B$13,"")))</f>
        <v>15.0654</v>
      </c>
      <c r="I295" s="6">
        <f>INDEX(Netzzeiten!$C$6:$C$29,HOUR(B295)+1)</f>
        <v>1.64</v>
      </c>
      <c r="J295" t="str">
        <f>IF(C295="","FEHLT",IF(NOT(ISNUMBER(C295)),"MESSWERT UNGUELTIG",IF(C295&lt;0,"MESSWERT UNGUELTIG",IF(H295="","TARIFPREIS FEHLT","OK"))))</f>
        <v>FEHLT</v>
      </c>
      <c r="K295" s="7">
        <f>IF(J295&lt;&gt;"OK","",C295*I295/100)</f>
        <v/>
      </c>
    </row>
    <row r="296" spans="1:11">
      <c r="A296" s="14">
        <v>46146</v>
      </c>
      <c r="B296" s="15">
        <v>0.02083333333333333</v>
      </c>
      <c r="C296" s="5">
        <f>IF('96 Werte'!D9="","",'96 Werte'!D9)</f>
        <v/>
      </c>
      <c r="D296" t="str">
        <f>IF(IF(Eingaben!$B$21&lt;Eingaben!$B$22,AND(B296&gt;=Eingaben!$B$21,B296&lt;Eingaben!$B$22),OR(B296&gt;=Eingaben!$B$21,B296&lt;Eingaben!$B$22)),"GO",IF(AND(ISNUMBER(Eingaben!$B$23),ISNUMBER(Eingaben!$B$24),IF(Eingaben!$B$23&lt;Eingaben!$B$24,AND(B296&gt;=Eingaben!$B$23,B296&lt;Eingaben!$B$24),OR(B296&gt;=Eingaben!$B$23,B296&lt;Eingaben!$B$24))),"HEAT","STANDARD"))</f>
        <v>GO</v>
      </c>
      <c r="E296" s="9"/>
      <c r="F296" t="str">
        <f>IF(E296="",D296,E296)</f>
        <v>GO</v>
      </c>
      <c r="G296" t="str">
        <f>INDEX(Netzzeiten!$B$6:$B$29,HOUR(B296)+1)</f>
        <v>NT</v>
      </c>
      <c r="H296" s="6">
        <f>IF(F296="GO",Eingaben!$B$11,IF(F296="STANDARD",Eingaben!$B$12,IF(AND(F296="HEAT",ISNUMBER(Eingaben!$B$13)),Eingaben!$B$13,"")))</f>
        <v>15.0654</v>
      </c>
      <c r="I296" s="6">
        <f>INDEX(Netzzeiten!$C$6:$C$29,HOUR(B296)+1)</f>
        <v>1.64</v>
      </c>
      <c r="J296" t="str">
        <f>IF(C296="","FEHLT",IF(NOT(ISNUMBER(C296)),"MESSWERT UNGUELTIG",IF(C296&lt;0,"MESSWERT UNGUELTIG",IF(H296="","TARIFPREIS FEHLT","OK"))))</f>
        <v>FEHLT</v>
      </c>
      <c r="K296" s="7">
        <f>IF(J296&lt;&gt;"OK","",C296*I296/100)</f>
        <v/>
      </c>
    </row>
    <row r="297" spans="1:11">
      <c r="A297" s="14">
        <v>46146</v>
      </c>
      <c r="B297" s="15">
        <v>0.03125</v>
      </c>
      <c r="C297" s="5">
        <f>IF('96 Werte'!E9="","",'96 Werte'!E9)</f>
        <v/>
      </c>
      <c r="D297" t="str">
        <f>IF(IF(Eingaben!$B$21&lt;Eingaben!$B$22,AND(B297&gt;=Eingaben!$B$21,B297&lt;Eingaben!$B$22),OR(B297&gt;=Eingaben!$B$21,B297&lt;Eingaben!$B$22)),"GO",IF(AND(ISNUMBER(Eingaben!$B$23),ISNUMBER(Eingaben!$B$24),IF(Eingaben!$B$23&lt;Eingaben!$B$24,AND(B297&gt;=Eingaben!$B$23,B297&lt;Eingaben!$B$24),OR(B297&gt;=Eingaben!$B$23,B297&lt;Eingaben!$B$24))),"HEAT","STANDARD"))</f>
        <v>GO</v>
      </c>
      <c r="E297" s="9"/>
      <c r="F297" t="str">
        <f>IF(E297="",D297,E297)</f>
        <v>GO</v>
      </c>
      <c r="G297" t="str">
        <f>INDEX(Netzzeiten!$B$6:$B$29,HOUR(B297)+1)</f>
        <v>NT</v>
      </c>
      <c r="H297" s="6">
        <f>IF(F297="GO",Eingaben!$B$11,IF(F297="STANDARD",Eingaben!$B$12,IF(AND(F297="HEAT",ISNUMBER(Eingaben!$B$13)),Eingaben!$B$13,"")))</f>
        <v>15.0654</v>
      </c>
      <c r="I297" s="6">
        <f>INDEX(Netzzeiten!$C$6:$C$29,HOUR(B297)+1)</f>
        <v>1.64</v>
      </c>
      <c r="J297" t="str">
        <f>IF(C297="","FEHLT",IF(NOT(ISNUMBER(C297)),"MESSWERT UNGUELTIG",IF(C297&lt;0,"MESSWERT UNGUELTIG",IF(H297="","TARIFPREIS FEHLT","OK"))))</f>
        <v>FEHLT</v>
      </c>
      <c r="K297" s="7">
        <f>IF(J297&lt;&gt;"OK","",C297*I297/100)</f>
        <v/>
      </c>
    </row>
    <row r="298" spans="1:11">
      <c r="A298" s="14">
        <v>46146</v>
      </c>
      <c r="B298" s="15">
        <v>0.04166666666666666</v>
      </c>
      <c r="C298" s="5">
        <f>IF('96 Werte'!F9="","",'96 Werte'!F9)</f>
        <v/>
      </c>
      <c r="D298" t="str">
        <f>IF(IF(Eingaben!$B$21&lt;Eingaben!$B$22,AND(B298&gt;=Eingaben!$B$21,B298&lt;Eingaben!$B$22),OR(B298&gt;=Eingaben!$B$21,B298&lt;Eingaben!$B$22)),"GO",IF(AND(ISNUMBER(Eingaben!$B$23),ISNUMBER(Eingaben!$B$24),IF(Eingaben!$B$23&lt;Eingaben!$B$24,AND(B298&gt;=Eingaben!$B$23,B298&lt;Eingaben!$B$24),OR(B298&gt;=Eingaben!$B$23,B298&lt;Eingaben!$B$24))),"HEAT","STANDARD"))</f>
        <v>GO</v>
      </c>
      <c r="E298" s="9"/>
      <c r="F298" t="str">
        <f>IF(E298="",D298,E298)</f>
        <v>GO</v>
      </c>
      <c r="G298" t="str">
        <f>INDEX(Netzzeiten!$B$6:$B$29,HOUR(B298)+1)</f>
        <v>NT</v>
      </c>
      <c r="H298" s="6">
        <f>IF(F298="GO",Eingaben!$B$11,IF(F298="STANDARD",Eingaben!$B$12,IF(AND(F298="HEAT",ISNUMBER(Eingaben!$B$13)),Eingaben!$B$13,"")))</f>
        <v>15.0654</v>
      </c>
      <c r="I298" s="6">
        <f>INDEX(Netzzeiten!$C$6:$C$29,HOUR(B298)+1)</f>
        <v>1.64</v>
      </c>
      <c r="J298" t="str">
        <f>IF(C298="","FEHLT",IF(NOT(ISNUMBER(C298)),"MESSWERT UNGUELTIG",IF(C298&lt;0,"MESSWERT UNGUELTIG",IF(H298="","TARIFPREIS FEHLT","OK"))))</f>
        <v>FEHLT</v>
      </c>
      <c r="K298" s="7">
        <f>IF(J298&lt;&gt;"OK","",C298*I298/100)</f>
        <v/>
      </c>
    </row>
    <row r="299" spans="1:11">
      <c r="A299" s="14">
        <v>46146</v>
      </c>
      <c r="B299" s="15">
        <v>0.05208333333333334</v>
      </c>
      <c r="C299" s="5">
        <f>IF('96 Werte'!G9="","",'96 Werte'!G9)</f>
        <v/>
      </c>
      <c r="D299" t="str">
        <f>IF(IF(Eingaben!$B$21&lt;Eingaben!$B$22,AND(B299&gt;=Eingaben!$B$21,B299&lt;Eingaben!$B$22),OR(B299&gt;=Eingaben!$B$21,B299&lt;Eingaben!$B$22)),"GO",IF(AND(ISNUMBER(Eingaben!$B$23),ISNUMBER(Eingaben!$B$24),IF(Eingaben!$B$23&lt;Eingaben!$B$24,AND(B299&gt;=Eingaben!$B$23,B299&lt;Eingaben!$B$24),OR(B299&gt;=Eingaben!$B$23,B299&lt;Eingaben!$B$24))),"HEAT","STANDARD"))</f>
        <v>GO</v>
      </c>
      <c r="E299" s="9"/>
      <c r="F299" t="str">
        <f>IF(E299="",D299,E299)</f>
        <v>GO</v>
      </c>
      <c r="G299" t="str">
        <f>INDEX(Netzzeiten!$B$6:$B$29,HOUR(B299)+1)</f>
        <v>NT</v>
      </c>
      <c r="H299" s="6">
        <f>IF(F299="GO",Eingaben!$B$11,IF(F299="STANDARD",Eingaben!$B$12,IF(AND(F299="HEAT",ISNUMBER(Eingaben!$B$13)),Eingaben!$B$13,"")))</f>
        <v>15.0654</v>
      </c>
      <c r="I299" s="6">
        <f>INDEX(Netzzeiten!$C$6:$C$29,HOUR(B299)+1)</f>
        <v>1.64</v>
      </c>
      <c r="J299" t="str">
        <f>IF(C299="","FEHLT",IF(NOT(ISNUMBER(C299)),"MESSWERT UNGUELTIG",IF(C299&lt;0,"MESSWERT UNGUELTIG",IF(H299="","TARIFPREIS FEHLT","OK"))))</f>
        <v>FEHLT</v>
      </c>
      <c r="K299" s="7">
        <f>IF(J299&lt;&gt;"OK","",C299*I299/100)</f>
        <v/>
      </c>
    </row>
    <row r="300" spans="1:11">
      <c r="A300" s="14">
        <v>46146</v>
      </c>
      <c r="B300" s="15">
        <v>0.0625</v>
      </c>
      <c r="C300" s="5">
        <f>IF('96 Werte'!H9="","",'96 Werte'!H9)</f>
        <v/>
      </c>
      <c r="D300" t="str">
        <f>IF(IF(Eingaben!$B$21&lt;Eingaben!$B$22,AND(B300&gt;=Eingaben!$B$21,B300&lt;Eingaben!$B$22),OR(B300&gt;=Eingaben!$B$21,B300&lt;Eingaben!$B$22)),"GO",IF(AND(ISNUMBER(Eingaben!$B$23),ISNUMBER(Eingaben!$B$24),IF(Eingaben!$B$23&lt;Eingaben!$B$24,AND(B300&gt;=Eingaben!$B$23,B300&lt;Eingaben!$B$24),OR(B300&gt;=Eingaben!$B$23,B300&lt;Eingaben!$B$24))),"HEAT","STANDARD"))</f>
        <v>GO</v>
      </c>
      <c r="E300" s="9"/>
      <c r="F300" t="str">
        <f>IF(E300="",D300,E300)</f>
        <v>GO</v>
      </c>
      <c r="G300" t="str">
        <f>INDEX(Netzzeiten!$B$6:$B$29,HOUR(B300)+1)</f>
        <v>NT</v>
      </c>
      <c r="H300" s="6">
        <f>IF(F300="GO",Eingaben!$B$11,IF(F300="STANDARD",Eingaben!$B$12,IF(AND(F300="HEAT",ISNUMBER(Eingaben!$B$13)),Eingaben!$B$13,"")))</f>
        <v>15.0654</v>
      </c>
      <c r="I300" s="6">
        <f>INDEX(Netzzeiten!$C$6:$C$29,HOUR(B300)+1)</f>
        <v>1.64</v>
      </c>
      <c r="J300" t="str">
        <f>IF(C300="","FEHLT",IF(NOT(ISNUMBER(C300)),"MESSWERT UNGUELTIG",IF(C300&lt;0,"MESSWERT UNGUELTIG",IF(H300="","TARIFPREIS FEHLT","OK"))))</f>
        <v>FEHLT</v>
      </c>
      <c r="K300" s="7">
        <f>IF(J300&lt;&gt;"OK","",C300*I300/100)</f>
        <v/>
      </c>
    </row>
    <row r="301" spans="1:11">
      <c r="A301" s="14">
        <v>46146</v>
      </c>
      <c r="B301" s="15">
        <v>0.07291666666666667</v>
      </c>
      <c r="C301" s="5">
        <f>IF('96 Werte'!I9="","",'96 Werte'!I9)</f>
        <v/>
      </c>
      <c r="D301" t="str">
        <f>IF(IF(Eingaben!$B$21&lt;Eingaben!$B$22,AND(B301&gt;=Eingaben!$B$21,B301&lt;Eingaben!$B$22),OR(B301&gt;=Eingaben!$B$21,B301&lt;Eingaben!$B$22)),"GO",IF(AND(ISNUMBER(Eingaben!$B$23),ISNUMBER(Eingaben!$B$24),IF(Eingaben!$B$23&lt;Eingaben!$B$24,AND(B301&gt;=Eingaben!$B$23,B301&lt;Eingaben!$B$24),OR(B301&gt;=Eingaben!$B$23,B301&lt;Eingaben!$B$24))),"HEAT","STANDARD"))</f>
        <v>GO</v>
      </c>
      <c r="E301" s="9"/>
      <c r="F301" t="str">
        <f>IF(E301="",D301,E301)</f>
        <v>GO</v>
      </c>
      <c r="G301" t="str">
        <f>INDEX(Netzzeiten!$B$6:$B$29,HOUR(B301)+1)</f>
        <v>NT</v>
      </c>
      <c r="H301" s="6">
        <f>IF(F301="GO",Eingaben!$B$11,IF(F301="STANDARD",Eingaben!$B$12,IF(AND(F301="HEAT",ISNUMBER(Eingaben!$B$13)),Eingaben!$B$13,"")))</f>
        <v>15.0654</v>
      </c>
      <c r="I301" s="6">
        <f>INDEX(Netzzeiten!$C$6:$C$29,HOUR(B301)+1)</f>
        <v>1.64</v>
      </c>
      <c r="J301" t="str">
        <f>IF(C301="","FEHLT",IF(NOT(ISNUMBER(C301)),"MESSWERT UNGUELTIG",IF(C301&lt;0,"MESSWERT UNGUELTIG",IF(H301="","TARIFPREIS FEHLT","OK"))))</f>
        <v>FEHLT</v>
      </c>
      <c r="K301" s="7">
        <f>IF(J301&lt;&gt;"OK","",C301*I301/100)</f>
        <v/>
      </c>
    </row>
    <row r="302" spans="1:11">
      <c r="A302" s="14">
        <v>46146</v>
      </c>
      <c r="B302" s="15">
        <v>0.08333333333333333</v>
      </c>
      <c r="C302" s="5">
        <f>IF('96 Werte'!J9="","",'96 Werte'!J9)</f>
        <v/>
      </c>
      <c r="D302" t="str">
        <f>IF(IF(Eingaben!$B$21&lt;Eingaben!$B$22,AND(B302&gt;=Eingaben!$B$21,B302&lt;Eingaben!$B$22),OR(B302&gt;=Eingaben!$B$21,B302&lt;Eingaben!$B$22)),"GO",IF(AND(ISNUMBER(Eingaben!$B$23),ISNUMBER(Eingaben!$B$24),IF(Eingaben!$B$23&lt;Eingaben!$B$24,AND(B302&gt;=Eingaben!$B$23,B302&lt;Eingaben!$B$24),OR(B302&gt;=Eingaben!$B$23,B302&lt;Eingaben!$B$24))),"HEAT","STANDARD"))</f>
        <v>GO</v>
      </c>
      <c r="E302" s="9"/>
      <c r="F302" t="str">
        <f>IF(E302="",D302,E302)</f>
        <v>GO</v>
      </c>
      <c r="G302" t="str">
        <f>INDEX(Netzzeiten!$B$6:$B$29,HOUR(B302)+1)</f>
        <v>NT</v>
      </c>
      <c r="H302" s="6">
        <f>IF(F302="GO",Eingaben!$B$11,IF(F302="STANDARD",Eingaben!$B$12,IF(AND(F302="HEAT",ISNUMBER(Eingaben!$B$13)),Eingaben!$B$13,"")))</f>
        <v>15.0654</v>
      </c>
      <c r="I302" s="6">
        <f>INDEX(Netzzeiten!$C$6:$C$29,HOUR(B302)+1)</f>
        <v>1.64</v>
      </c>
      <c r="J302" t="str">
        <f>IF(C302="","FEHLT",IF(NOT(ISNUMBER(C302)),"MESSWERT UNGUELTIG",IF(C302&lt;0,"MESSWERT UNGUELTIG",IF(H302="","TARIFPREIS FEHLT","OK"))))</f>
        <v>FEHLT</v>
      </c>
      <c r="K302" s="7">
        <f>IF(J302&lt;&gt;"OK","",C302*I302/100)</f>
        <v/>
      </c>
    </row>
    <row r="303" spans="1:11">
      <c r="A303" s="14">
        <v>46146</v>
      </c>
      <c r="B303" s="15">
        <v>0.09375</v>
      </c>
      <c r="C303" s="5">
        <f>IF('96 Werte'!K9="","",'96 Werte'!K9)</f>
        <v/>
      </c>
      <c r="D303" t="str">
        <f>IF(IF(Eingaben!$B$21&lt;Eingaben!$B$22,AND(B303&gt;=Eingaben!$B$21,B303&lt;Eingaben!$B$22),OR(B303&gt;=Eingaben!$B$21,B303&lt;Eingaben!$B$22)),"GO",IF(AND(ISNUMBER(Eingaben!$B$23),ISNUMBER(Eingaben!$B$24),IF(Eingaben!$B$23&lt;Eingaben!$B$24,AND(B303&gt;=Eingaben!$B$23,B303&lt;Eingaben!$B$24),OR(B303&gt;=Eingaben!$B$23,B303&lt;Eingaben!$B$24))),"HEAT","STANDARD"))</f>
        <v>GO</v>
      </c>
      <c r="E303" s="9"/>
      <c r="F303" t="str">
        <f>IF(E303="",D303,E303)</f>
        <v>GO</v>
      </c>
      <c r="G303" t="str">
        <f>INDEX(Netzzeiten!$B$6:$B$29,HOUR(B303)+1)</f>
        <v>NT</v>
      </c>
      <c r="H303" s="6">
        <f>IF(F303="GO",Eingaben!$B$11,IF(F303="STANDARD",Eingaben!$B$12,IF(AND(F303="HEAT",ISNUMBER(Eingaben!$B$13)),Eingaben!$B$13,"")))</f>
        <v>15.0654</v>
      </c>
      <c r="I303" s="6">
        <f>INDEX(Netzzeiten!$C$6:$C$29,HOUR(B303)+1)</f>
        <v>1.64</v>
      </c>
      <c r="J303" t="str">
        <f>IF(C303="","FEHLT",IF(NOT(ISNUMBER(C303)),"MESSWERT UNGUELTIG",IF(C303&lt;0,"MESSWERT UNGUELTIG",IF(H303="","TARIFPREIS FEHLT","OK"))))</f>
        <v>FEHLT</v>
      </c>
      <c r="K303" s="7">
        <f>IF(J303&lt;&gt;"OK","",C303*I303/100)</f>
        <v/>
      </c>
    </row>
    <row r="304" spans="1:11">
      <c r="A304" s="14">
        <v>46146</v>
      </c>
      <c r="B304" s="15">
        <v>0.1041666666666667</v>
      </c>
      <c r="C304" s="5">
        <f>IF('96 Werte'!L9="","",'96 Werte'!L9)</f>
        <v/>
      </c>
      <c r="D304" t="str">
        <f>IF(IF(Eingaben!$B$21&lt;Eingaben!$B$22,AND(B304&gt;=Eingaben!$B$21,B304&lt;Eingaben!$B$22),OR(B304&gt;=Eingaben!$B$21,B304&lt;Eingaben!$B$22)),"GO",IF(AND(ISNUMBER(Eingaben!$B$23),ISNUMBER(Eingaben!$B$24),IF(Eingaben!$B$23&lt;Eingaben!$B$24,AND(B304&gt;=Eingaben!$B$23,B304&lt;Eingaben!$B$24),OR(B304&gt;=Eingaben!$B$23,B304&lt;Eingaben!$B$24))),"HEAT","STANDARD"))</f>
        <v>GO</v>
      </c>
      <c r="E304" s="9"/>
      <c r="F304" t="str">
        <f>IF(E304="",D304,E304)</f>
        <v>GO</v>
      </c>
      <c r="G304" t="str">
        <f>INDEX(Netzzeiten!$B$6:$B$29,HOUR(B304)+1)</f>
        <v>NT</v>
      </c>
      <c r="H304" s="6">
        <f>IF(F304="GO",Eingaben!$B$11,IF(F304="STANDARD",Eingaben!$B$12,IF(AND(F304="HEAT",ISNUMBER(Eingaben!$B$13)),Eingaben!$B$13,"")))</f>
        <v>15.0654</v>
      </c>
      <c r="I304" s="6">
        <f>INDEX(Netzzeiten!$C$6:$C$29,HOUR(B304)+1)</f>
        <v>1.64</v>
      </c>
      <c r="J304" t="str">
        <f>IF(C304="","FEHLT",IF(NOT(ISNUMBER(C304)),"MESSWERT UNGUELTIG",IF(C304&lt;0,"MESSWERT UNGUELTIG",IF(H304="","TARIFPREIS FEHLT","OK"))))</f>
        <v>FEHLT</v>
      </c>
      <c r="K304" s="7">
        <f>IF(J304&lt;&gt;"OK","",C304*I304/100)</f>
        <v/>
      </c>
    </row>
    <row r="305" spans="1:11">
      <c r="A305" s="14">
        <v>46146</v>
      </c>
      <c r="B305" s="15">
        <v>0.1145833333333333</v>
      </c>
      <c r="C305" s="5">
        <f>IF('96 Werte'!M9="","",'96 Werte'!M9)</f>
        <v/>
      </c>
      <c r="D305" t="str">
        <f>IF(IF(Eingaben!$B$21&lt;Eingaben!$B$22,AND(B305&gt;=Eingaben!$B$21,B305&lt;Eingaben!$B$22),OR(B305&gt;=Eingaben!$B$21,B305&lt;Eingaben!$B$22)),"GO",IF(AND(ISNUMBER(Eingaben!$B$23),ISNUMBER(Eingaben!$B$24),IF(Eingaben!$B$23&lt;Eingaben!$B$24,AND(B305&gt;=Eingaben!$B$23,B305&lt;Eingaben!$B$24),OR(B305&gt;=Eingaben!$B$23,B305&lt;Eingaben!$B$24))),"HEAT","STANDARD"))</f>
        <v>GO</v>
      </c>
      <c r="E305" s="9"/>
      <c r="F305" t="str">
        <f>IF(E305="",D305,E305)</f>
        <v>GO</v>
      </c>
      <c r="G305" t="str">
        <f>INDEX(Netzzeiten!$B$6:$B$29,HOUR(B305)+1)</f>
        <v>NT</v>
      </c>
      <c r="H305" s="6">
        <f>IF(F305="GO",Eingaben!$B$11,IF(F305="STANDARD",Eingaben!$B$12,IF(AND(F305="HEAT",ISNUMBER(Eingaben!$B$13)),Eingaben!$B$13,"")))</f>
        <v>15.0654</v>
      </c>
      <c r="I305" s="6">
        <f>INDEX(Netzzeiten!$C$6:$C$29,HOUR(B305)+1)</f>
        <v>1.64</v>
      </c>
      <c r="J305" t="str">
        <f>IF(C305="","FEHLT",IF(NOT(ISNUMBER(C305)),"MESSWERT UNGUELTIG",IF(C305&lt;0,"MESSWERT UNGUELTIG",IF(H305="","TARIFPREIS FEHLT","OK"))))</f>
        <v>FEHLT</v>
      </c>
      <c r="K305" s="7">
        <f>IF(J305&lt;&gt;"OK","",C305*I305/100)</f>
        <v/>
      </c>
    </row>
    <row r="306" spans="1:11">
      <c r="A306" s="14">
        <v>46146</v>
      </c>
      <c r="B306" s="15">
        <v>0.125</v>
      </c>
      <c r="C306" s="5">
        <f>IF('96 Werte'!N9="","",'96 Werte'!N9)</f>
        <v/>
      </c>
      <c r="D306" t="str">
        <f>IF(IF(Eingaben!$B$21&lt;Eingaben!$B$22,AND(B306&gt;=Eingaben!$B$21,B306&lt;Eingaben!$B$22),OR(B306&gt;=Eingaben!$B$21,B306&lt;Eingaben!$B$22)),"GO",IF(AND(ISNUMBER(Eingaben!$B$23),ISNUMBER(Eingaben!$B$24),IF(Eingaben!$B$23&lt;Eingaben!$B$24,AND(B306&gt;=Eingaben!$B$23,B306&lt;Eingaben!$B$24),OR(B306&gt;=Eingaben!$B$23,B306&lt;Eingaben!$B$24))),"HEAT","STANDARD"))</f>
        <v>GO</v>
      </c>
      <c r="E306" s="9"/>
      <c r="F306" t="str">
        <f>IF(E306="",D306,E306)</f>
        <v>GO</v>
      </c>
      <c r="G306" t="str">
        <f>INDEX(Netzzeiten!$B$6:$B$29,HOUR(B306)+1)</f>
        <v>NT</v>
      </c>
      <c r="H306" s="6">
        <f>IF(F306="GO",Eingaben!$B$11,IF(F306="STANDARD",Eingaben!$B$12,IF(AND(F306="HEAT",ISNUMBER(Eingaben!$B$13)),Eingaben!$B$13,"")))</f>
        <v>15.0654</v>
      </c>
      <c r="I306" s="6">
        <f>INDEX(Netzzeiten!$C$6:$C$29,HOUR(B306)+1)</f>
        <v>1.64</v>
      </c>
      <c r="J306" t="str">
        <f>IF(C306="","FEHLT",IF(NOT(ISNUMBER(C306)),"MESSWERT UNGUELTIG",IF(C306&lt;0,"MESSWERT UNGUELTIG",IF(H306="","TARIFPREIS FEHLT","OK"))))</f>
        <v>FEHLT</v>
      </c>
      <c r="K306" s="7">
        <f>IF(J306&lt;&gt;"OK","",C306*I306/100)</f>
        <v/>
      </c>
    </row>
    <row r="307" spans="1:11">
      <c r="A307" s="14">
        <v>46146</v>
      </c>
      <c r="B307" s="15">
        <v>0.1354166666666667</v>
      </c>
      <c r="C307" s="5">
        <f>IF('96 Werte'!O9="","",'96 Werte'!O9)</f>
        <v/>
      </c>
      <c r="D307" t="str">
        <f>IF(IF(Eingaben!$B$21&lt;Eingaben!$B$22,AND(B307&gt;=Eingaben!$B$21,B307&lt;Eingaben!$B$22),OR(B307&gt;=Eingaben!$B$21,B307&lt;Eingaben!$B$22)),"GO",IF(AND(ISNUMBER(Eingaben!$B$23),ISNUMBER(Eingaben!$B$24),IF(Eingaben!$B$23&lt;Eingaben!$B$24,AND(B307&gt;=Eingaben!$B$23,B307&lt;Eingaben!$B$24),OR(B307&gt;=Eingaben!$B$23,B307&lt;Eingaben!$B$24))),"HEAT","STANDARD"))</f>
        <v>GO</v>
      </c>
      <c r="E307" s="9"/>
      <c r="F307" t="str">
        <f>IF(E307="",D307,E307)</f>
        <v>GO</v>
      </c>
      <c r="G307" t="str">
        <f>INDEX(Netzzeiten!$B$6:$B$29,HOUR(B307)+1)</f>
        <v>NT</v>
      </c>
      <c r="H307" s="6">
        <f>IF(F307="GO",Eingaben!$B$11,IF(F307="STANDARD",Eingaben!$B$12,IF(AND(F307="HEAT",ISNUMBER(Eingaben!$B$13)),Eingaben!$B$13,"")))</f>
        <v>15.0654</v>
      </c>
      <c r="I307" s="6">
        <f>INDEX(Netzzeiten!$C$6:$C$29,HOUR(B307)+1)</f>
        <v>1.64</v>
      </c>
      <c r="J307" t="str">
        <f>IF(C307="","FEHLT",IF(NOT(ISNUMBER(C307)),"MESSWERT UNGUELTIG",IF(C307&lt;0,"MESSWERT UNGUELTIG",IF(H307="","TARIFPREIS FEHLT","OK"))))</f>
        <v>FEHLT</v>
      </c>
      <c r="K307" s="7">
        <f>IF(J307&lt;&gt;"OK","",C307*I307/100)</f>
        <v/>
      </c>
    </row>
    <row r="308" spans="1:11">
      <c r="A308" s="14">
        <v>46146</v>
      </c>
      <c r="B308" s="15">
        <v>0.1458333333333333</v>
      </c>
      <c r="C308" s="5">
        <f>IF('96 Werte'!P9="","",'96 Werte'!P9)</f>
        <v/>
      </c>
      <c r="D308" t="str">
        <f>IF(IF(Eingaben!$B$21&lt;Eingaben!$B$22,AND(B308&gt;=Eingaben!$B$21,B308&lt;Eingaben!$B$22),OR(B308&gt;=Eingaben!$B$21,B308&lt;Eingaben!$B$22)),"GO",IF(AND(ISNUMBER(Eingaben!$B$23),ISNUMBER(Eingaben!$B$24),IF(Eingaben!$B$23&lt;Eingaben!$B$24,AND(B308&gt;=Eingaben!$B$23,B308&lt;Eingaben!$B$24),OR(B308&gt;=Eingaben!$B$23,B308&lt;Eingaben!$B$24))),"HEAT","STANDARD"))</f>
        <v>GO</v>
      </c>
      <c r="E308" s="9"/>
      <c r="F308" t="str">
        <f>IF(E308="",D308,E308)</f>
        <v>GO</v>
      </c>
      <c r="G308" t="str">
        <f>INDEX(Netzzeiten!$B$6:$B$29,HOUR(B308)+1)</f>
        <v>NT</v>
      </c>
      <c r="H308" s="6">
        <f>IF(F308="GO",Eingaben!$B$11,IF(F308="STANDARD",Eingaben!$B$12,IF(AND(F308="HEAT",ISNUMBER(Eingaben!$B$13)),Eingaben!$B$13,"")))</f>
        <v>15.0654</v>
      </c>
      <c r="I308" s="6">
        <f>INDEX(Netzzeiten!$C$6:$C$29,HOUR(B308)+1)</f>
        <v>1.64</v>
      </c>
      <c r="J308" t="str">
        <f>IF(C308="","FEHLT",IF(NOT(ISNUMBER(C308)),"MESSWERT UNGUELTIG",IF(C308&lt;0,"MESSWERT UNGUELTIG",IF(H308="","TARIFPREIS FEHLT","OK"))))</f>
        <v>FEHLT</v>
      </c>
      <c r="K308" s="7">
        <f>IF(J308&lt;&gt;"OK","",C308*I308/100)</f>
        <v/>
      </c>
    </row>
    <row r="309" spans="1:11">
      <c r="A309" s="14">
        <v>46146</v>
      </c>
      <c r="B309" s="15">
        <v>0.15625</v>
      </c>
      <c r="C309" s="5">
        <f>IF('96 Werte'!Q9="","",'96 Werte'!Q9)</f>
        <v/>
      </c>
      <c r="D309" t="str">
        <f>IF(IF(Eingaben!$B$21&lt;Eingaben!$B$22,AND(B309&gt;=Eingaben!$B$21,B309&lt;Eingaben!$B$22),OR(B309&gt;=Eingaben!$B$21,B309&lt;Eingaben!$B$22)),"GO",IF(AND(ISNUMBER(Eingaben!$B$23),ISNUMBER(Eingaben!$B$24),IF(Eingaben!$B$23&lt;Eingaben!$B$24,AND(B309&gt;=Eingaben!$B$23,B309&lt;Eingaben!$B$24),OR(B309&gt;=Eingaben!$B$23,B309&lt;Eingaben!$B$24))),"HEAT","STANDARD"))</f>
        <v>GO</v>
      </c>
      <c r="E309" s="9"/>
      <c r="F309" t="str">
        <f>IF(E309="",D309,E309)</f>
        <v>GO</v>
      </c>
      <c r="G309" t="str">
        <f>INDEX(Netzzeiten!$B$6:$B$29,HOUR(B309)+1)</f>
        <v>NT</v>
      </c>
      <c r="H309" s="6">
        <f>IF(F309="GO",Eingaben!$B$11,IF(F309="STANDARD",Eingaben!$B$12,IF(AND(F309="HEAT",ISNUMBER(Eingaben!$B$13)),Eingaben!$B$13,"")))</f>
        <v>15.0654</v>
      </c>
      <c r="I309" s="6">
        <f>INDEX(Netzzeiten!$C$6:$C$29,HOUR(B309)+1)</f>
        <v>1.64</v>
      </c>
      <c r="J309" t="str">
        <f>IF(C309="","FEHLT",IF(NOT(ISNUMBER(C309)),"MESSWERT UNGUELTIG",IF(C309&lt;0,"MESSWERT UNGUELTIG",IF(H309="","TARIFPREIS FEHLT","OK"))))</f>
        <v>FEHLT</v>
      </c>
      <c r="K309" s="7">
        <f>IF(J309&lt;&gt;"OK","",C309*I309/100)</f>
        <v/>
      </c>
    </row>
    <row r="310" spans="1:11">
      <c r="A310" s="14">
        <v>46146</v>
      </c>
      <c r="B310" s="15">
        <v>0.1666666666666667</v>
      </c>
      <c r="C310" s="5">
        <f>IF('96 Werte'!R9="","",'96 Werte'!R9)</f>
        <v/>
      </c>
      <c r="D310" t="str">
        <f>IF(IF(Eingaben!$B$21&lt;Eingaben!$B$22,AND(B310&gt;=Eingaben!$B$21,B310&lt;Eingaben!$B$22),OR(B310&gt;=Eingaben!$B$21,B310&lt;Eingaben!$B$22)),"GO",IF(AND(ISNUMBER(Eingaben!$B$23),ISNUMBER(Eingaben!$B$24),IF(Eingaben!$B$23&lt;Eingaben!$B$24,AND(B310&gt;=Eingaben!$B$23,B310&lt;Eingaben!$B$24),OR(B310&gt;=Eingaben!$B$23,B310&lt;Eingaben!$B$24))),"HEAT","STANDARD"))</f>
        <v>GO</v>
      </c>
      <c r="E310" s="9"/>
      <c r="F310" t="str">
        <f>IF(E310="",D310,E310)</f>
        <v>GO</v>
      </c>
      <c r="G310" t="str">
        <f>INDEX(Netzzeiten!$B$6:$B$29,HOUR(B310)+1)</f>
        <v>NT</v>
      </c>
      <c r="H310" s="6">
        <f>IF(F310="GO",Eingaben!$B$11,IF(F310="STANDARD",Eingaben!$B$12,IF(AND(F310="HEAT",ISNUMBER(Eingaben!$B$13)),Eingaben!$B$13,"")))</f>
        <v>15.0654</v>
      </c>
      <c r="I310" s="6">
        <f>INDEX(Netzzeiten!$C$6:$C$29,HOUR(B310)+1)</f>
        <v>1.64</v>
      </c>
      <c r="J310" t="str">
        <f>IF(C310="","FEHLT",IF(NOT(ISNUMBER(C310)),"MESSWERT UNGUELTIG",IF(C310&lt;0,"MESSWERT UNGUELTIG",IF(H310="","TARIFPREIS FEHLT","OK"))))</f>
        <v>FEHLT</v>
      </c>
      <c r="K310" s="7">
        <f>IF(J310&lt;&gt;"OK","",C310*I310/100)</f>
        <v/>
      </c>
    </row>
    <row r="311" spans="1:11">
      <c r="A311" s="14">
        <v>46146</v>
      </c>
      <c r="B311" s="15">
        <v>0.1770833333333333</v>
      </c>
      <c r="C311" s="5">
        <f>IF('96 Werte'!S9="","",'96 Werte'!S9)</f>
        <v/>
      </c>
      <c r="D311" t="str">
        <f>IF(IF(Eingaben!$B$21&lt;Eingaben!$B$22,AND(B311&gt;=Eingaben!$B$21,B311&lt;Eingaben!$B$22),OR(B311&gt;=Eingaben!$B$21,B311&lt;Eingaben!$B$22)),"GO",IF(AND(ISNUMBER(Eingaben!$B$23),ISNUMBER(Eingaben!$B$24),IF(Eingaben!$B$23&lt;Eingaben!$B$24,AND(B311&gt;=Eingaben!$B$23,B311&lt;Eingaben!$B$24),OR(B311&gt;=Eingaben!$B$23,B311&lt;Eingaben!$B$24))),"HEAT","STANDARD"))</f>
        <v>GO</v>
      </c>
      <c r="E311" s="9"/>
      <c r="F311" t="str">
        <f>IF(E311="",D311,E311)</f>
        <v>GO</v>
      </c>
      <c r="G311" t="str">
        <f>INDEX(Netzzeiten!$B$6:$B$29,HOUR(B311)+1)</f>
        <v>NT</v>
      </c>
      <c r="H311" s="6">
        <f>IF(F311="GO",Eingaben!$B$11,IF(F311="STANDARD",Eingaben!$B$12,IF(AND(F311="HEAT",ISNUMBER(Eingaben!$B$13)),Eingaben!$B$13,"")))</f>
        <v>15.0654</v>
      </c>
      <c r="I311" s="6">
        <f>INDEX(Netzzeiten!$C$6:$C$29,HOUR(B311)+1)</f>
        <v>1.64</v>
      </c>
      <c r="J311" t="str">
        <f>IF(C311="","FEHLT",IF(NOT(ISNUMBER(C311)),"MESSWERT UNGUELTIG",IF(C311&lt;0,"MESSWERT UNGUELTIG",IF(H311="","TARIFPREIS FEHLT","OK"))))</f>
        <v>FEHLT</v>
      </c>
      <c r="K311" s="7">
        <f>IF(J311&lt;&gt;"OK","",C311*I311/100)</f>
        <v/>
      </c>
    </row>
    <row r="312" spans="1:11">
      <c r="A312" s="14">
        <v>46146</v>
      </c>
      <c r="B312" s="15">
        <v>0.1875</v>
      </c>
      <c r="C312" s="5">
        <f>IF('96 Werte'!T9="","",'96 Werte'!T9)</f>
        <v/>
      </c>
      <c r="D312" t="str">
        <f>IF(IF(Eingaben!$B$21&lt;Eingaben!$B$22,AND(B312&gt;=Eingaben!$B$21,B312&lt;Eingaben!$B$22),OR(B312&gt;=Eingaben!$B$21,B312&lt;Eingaben!$B$22)),"GO",IF(AND(ISNUMBER(Eingaben!$B$23),ISNUMBER(Eingaben!$B$24),IF(Eingaben!$B$23&lt;Eingaben!$B$24,AND(B312&gt;=Eingaben!$B$23,B312&lt;Eingaben!$B$24),OR(B312&gt;=Eingaben!$B$23,B312&lt;Eingaben!$B$24))),"HEAT","STANDARD"))</f>
        <v>GO</v>
      </c>
      <c r="E312" s="9"/>
      <c r="F312" t="str">
        <f>IF(E312="",D312,E312)</f>
        <v>GO</v>
      </c>
      <c r="G312" t="str">
        <f>INDEX(Netzzeiten!$B$6:$B$29,HOUR(B312)+1)</f>
        <v>NT</v>
      </c>
      <c r="H312" s="6">
        <f>IF(F312="GO",Eingaben!$B$11,IF(F312="STANDARD",Eingaben!$B$12,IF(AND(F312="HEAT",ISNUMBER(Eingaben!$B$13)),Eingaben!$B$13,"")))</f>
        <v>15.0654</v>
      </c>
      <c r="I312" s="6">
        <f>INDEX(Netzzeiten!$C$6:$C$29,HOUR(B312)+1)</f>
        <v>1.64</v>
      </c>
      <c r="J312" t="str">
        <f>IF(C312="","FEHLT",IF(NOT(ISNUMBER(C312)),"MESSWERT UNGUELTIG",IF(C312&lt;0,"MESSWERT UNGUELTIG",IF(H312="","TARIFPREIS FEHLT","OK"))))</f>
        <v>FEHLT</v>
      </c>
      <c r="K312" s="7">
        <f>IF(J312&lt;&gt;"OK","",C312*I312/100)</f>
        <v/>
      </c>
    </row>
    <row r="313" spans="1:11">
      <c r="A313" s="14">
        <v>46146</v>
      </c>
      <c r="B313" s="15">
        <v>0.1979166666666667</v>
      </c>
      <c r="C313" s="5">
        <f>IF('96 Werte'!U9="","",'96 Werte'!U9)</f>
        <v/>
      </c>
      <c r="D313" t="str">
        <f>IF(IF(Eingaben!$B$21&lt;Eingaben!$B$22,AND(B313&gt;=Eingaben!$B$21,B313&lt;Eingaben!$B$22),OR(B313&gt;=Eingaben!$B$21,B313&lt;Eingaben!$B$22)),"GO",IF(AND(ISNUMBER(Eingaben!$B$23),ISNUMBER(Eingaben!$B$24),IF(Eingaben!$B$23&lt;Eingaben!$B$24,AND(B313&gt;=Eingaben!$B$23,B313&lt;Eingaben!$B$24),OR(B313&gt;=Eingaben!$B$23,B313&lt;Eingaben!$B$24))),"HEAT","STANDARD"))</f>
        <v>GO</v>
      </c>
      <c r="E313" s="9"/>
      <c r="F313" t="str">
        <f>IF(E313="",D313,E313)</f>
        <v>GO</v>
      </c>
      <c r="G313" t="str">
        <f>INDEX(Netzzeiten!$B$6:$B$29,HOUR(B313)+1)</f>
        <v>NT</v>
      </c>
      <c r="H313" s="6">
        <f>IF(F313="GO",Eingaben!$B$11,IF(F313="STANDARD",Eingaben!$B$12,IF(AND(F313="HEAT",ISNUMBER(Eingaben!$B$13)),Eingaben!$B$13,"")))</f>
        <v>15.0654</v>
      </c>
      <c r="I313" s="6">
        <f>INDEX(Netzzeiten!$C$6:$C$29,HOUR(B313)+1)</f>
        <v>1.64</v>
      </c>
      <c r="J313" t="str">
        <f>IF(C313="","FEHLT",IF(NOT(ISNUMBER(C313)),"MESSWERT UNGUELTIG",IF(C313&lt;0,"MESSWERT UNGUELTIG",IF(H313="","TARIFPREIS FEHLT","OK"))))</f>
        <v>FEHLT</v>
      </c>
      <c r="K313" s="7">
        <f>IF(J313&lt;&gt;"OK","",C313*I313/100)</f>
        <v/>
      </c>
    </row>
    <row r="314" spans="1:11">
      <c r="A314" s="14">
        <v>46146</v>
      </c>
      <c r="B314" s="15">
        <v>0.2083333333333333</v>
      </c>
      <c r="C314" s="5">
        <f>IF('96 Werte'!V9="","",'96 Werte'!V9)</f>
        <v/>
      </c>
      <c r="D314" t="str">
        <f>IF(IF(Eingaben!$B$21&lt;Eingaben!$B$22,AND(B314&gt;=Eingaben!$B$21,B314&lt;Eingaben!$B$22),OR(B314&gt;=Eingaben!$B$21,B314&lt;Eingaben!$B$22)),"GO",IF(AND(ISNUMBER(Eingaben!$B$23),ISNUMBER(Eingaben!$B$24),IF(Eingaben!$B$23&lt;Eingaben!$B$24,AND(B314&gt;=Eingaben!$B$23,B314&lt;Eingaben!$B$24),OR(B314&gt;=Eingaben!$B$23,B314&lt;Eingaben!$B$24))),"HEAT","STANDARD"))</f>
        <v>STANDARD</v>
      </c>
      <c r="E314" s="9"/>
      <c r="F314" t="str">
        <f>IF(E314="",D314,E314)</f>
        <v>STANDARD</v>
      </c>
      <c r="G314" t="str">
        <f>INDEX(Netzzeiten!$B$6:$B$29,HOUR(B314)+1)</f>
        <v>NT</v>
      </c>
      <c r="H314" s="6">
        <f>IF(F314="GO",Eingaben!$B$11,IF(F314="STANDARD",Eingaben!$B$12,IF(AND(F314="HEAT",ISNUMBER(Eingaben!$B$13)),Eingaben!$B$13,"")))</f>
        <v>28.2744</v>
      </c>
      <c r="I314" s="6">
        <f>INDEX(Netzzeiten!$C$6:$C$29,HOUR(B314)+1)</f>
        <v>1.64</v>
      </c>
      <c r="J314" t="str">
        <f>IF(C314="","FEHLT",IF(NOT(ISNUMBER(C314)),"MESSWERT UNGUELTIG",IF(C314&lt;0,"MESSWERT UNGUELTIG",IF(H314="","TARIFPREIS FEHLT","OK"))))</f>
        <v>FEHLT</v>
      </c>
      <c r="K314" s="7">
        <f>IF(J314&lt;&gt;"OK","",C314*I314/100)</f>
        <v/>
      </c>
    </row>
    <row r="315" spans="1:11">
      <c r="A315" s="14">
        <v>46146</v>
      </c>
      <c r="B315" s="15">
        <v>0.21875</v>
      </c>
      <c r="C315" s="5">
        <f>IF('96 Werte'!W9="","",'96 Werte'!W9)</f>
        <v/>
      </c>
      <c r="D315" t="str">
        <f>IF(IF(Eingaben!$B$21&lt;Eingaben!$B$22,AND(B315&gt;=Eingaben!$B$21,B315&lt;Eingaben!$B$22),OR(B315&gt;=Eingaben!$B$21,B315&lt;Eingaben!$B$22)),"GO",IF(AND(ISNUMBER(Eingaben!$B$23),ISNUMBER(Eingaben!$B$24),IF(Eingaben!$B$23&lt;Eingaben!$B$24,AND(B315&gt;=Eingaben!$B$23,B315&lt;Eingaben!$B$24),OR(B315&gt;=Eingaben!$B$23,B315&lt;Eingaben!$B$24))),"HEAT","STANDARD"))</f>
        <v>STANDARD</v>
      </c>
      <c r="E315" s="9"/>
      <c r="F315" t="str">
        <f>IF(E315="",D315,E315)</f>
        <v>STANDARD</v>
      </c>
      <c r="G315" t="str">
        <f>INDEX(Netzzeiten!$B$6:$B$29,HOUR(B315)+1)</f>
        <v>NT</v>
      </c>
      <c r="H315" s="6">
        <f>IF(F315="GO",Eingaben!$B$11,IF(F315="STANDARD",Eingaben!$B$12,IF(AND(F315="HEAT",ISNUMBER(Eingaben!$B$13)),Eingaben!$B$13,"")))</f>
        <v>28.2744</v>
      </c>
      <c r="I315" s="6">
        <f>INDEX(Netzzeiten!$C$6:$C$29,HOUR(B315)+1)</f>
        <v>1.64</v>
      </c>
      <c r="J315" t="str">
        <f>IF(C315="","FEHLT",IF(NOT(ISNUMBER(C315)),"MESSWERT UNGUELTIG",IF(C315&lt;0,"MESSWERT UNGUELTIG",IF(H315="","TARIFPREIS FEHLT","OK"))))</f>
        <v>FEHLT</v>
      </c>
      <c r="K315" s="7">
        <f>IF(J315&lt;&gt;"OK","",C315*I315/100)</f>
        <v/>
      </c>
    </row>
    <row r="316" spans="1:11">
      <c r="A316" s="14">
        <v>46146</v>
      </c>
      <c r="B316" s="15">
        <v>0.2291666666666667</v>
      </c>
      <c r="C316" s="5">
        <f>IF('96 Werte'!X9="","",'96 Werte'!X9)</f>
        <v/>
      </c>
      <c r="D316" t="str">
        <f>IF(IF(Eingaben!$B$21&lt;Eingaben!$B$22,AND(B316&gt;=Eingaben!$B$21,B316&lt;Eingaben!$B$22),OR(B316&gt;=Eingaben!$B$21,B316&lt;Eingaben!$B$22)),"GO",IF(AND(ISNUMBER(Eingaben!$B$23),ISNUMBER(Eingaben!$B$24),IF(Eingaben!$B$23&lt;Eingaben!$B$24,AND(B316&gt;=Eingaben!$B$23,B316&lt;Eingaben!$B$24),OR(B316&gt;=Eingaben!$B$23,B316&lt;Eingaben!$B$24))),"HEAT","STANDARD"))</f>
        <v>STANDARD</v>
      </c>
      <c r="E316" s="9"/>
      <c r="F316" t="str">
        <f>IF(E316="",D316,E316)</f>
        <v>STANDARD</v>
      </c>
      <c r="G316" t="str">
        <f>INDEX(Netzzeiten!$B$6:$B$29,HOUR(B316)+1)</f>
        <v>NT</v>
      </c>
      <c r="H316" s="6">
        <f>IF(F316="GO",Eingaben!$B$11,IF(F316="STANDARD",Eingaben!$B$12,IF(AND(F316="HEAT",ISNUMBER(Eingaben!$B$13)),Eingaben!$B$13,"")))</f>
        <v>28.2744</v>
      </c>
      <c r="I316" s="6">
        <f>INDEX(Netzzeiten!$C$6:$C$29,HOUR(B316)+1)</f>
        <v>1.64</v>
      </c>
      <c r="J316" t="str">
        <f>IF(C316="","FEHLT",IF(NOT(ISNUMBER(C316)),"MESSWERT UNGUELTIG",IF(C316&lt;0,"MESSWERT UNGUELTIG",IF(H316="","TARIFPREIS FEHLT","OK"))))</f>
        <v>FEHLT</v>
      </c>
      <c r="K316" s="7">
        <f>IF(J316&lt;&gt;"OK","",C316*I316/100)</f>
        <v/>
      </c>
    </row>
    <row r="317" spans="1:11">
      <c r="A317" s="14">
        <v>46146</v>
      </c>
      <c r="B317" s="15">
        <v>0.2395833333333333</v>
      </c>
      <c r="C317" s="5">
        <f>IF('96 Werte'!Y9="","",'96 Werte'!Y9)</f>
        <v/>
      </c>
      <c r="D317" t="str">
        <f>IF(IF(Eingaben!$B$21&lt;Eingaben!$B$22,AND(B317&gt;=Eingaben!$B$21,B317&lt;Eingaben!$B$22),OR(B317&gt;=Eingaben!$B$21,B317&lt;Eingaben!$B$22)),"GO",IF(AND(ISNUMBER(Eingaben!$B$23),ISNUMBER(Eingaben!$B$24),IF(Eingaben!$B$23&lt;Eingaben!$B$24,AND(B317&gt;=Eingaben!$B$23,B317&lt;Eingaben!$B$24),OR(B317&gt;=Eingaben!$B$23,B317&lt;Eingaben!$B$24))),"HEAT","STANDARD"))</f>
        <v>STANDARD</v>
      </c>
      <c r="E317" s="9"/>
      <c r="F317" t="str">
        <f>IF(E317="",D317,E317)</f>
        <v>STANDARD</v>
      </c>
      <c r="G317" t="str">
        <f>INDEX(Netzzeiten!$B$6:$B$29,HOUR(B317)+1)</f>
        <v>NT</v>
      </c>
      <c r="H317" s="6">
        <f>IF(F317="GO",Eingaben!$B$11,IF(F317="STANDARD",Eingaben!$B$12,IF(AND(F317="HEAT",ISNUMBER(Eingaben!$B$13)),Eingaben!$B$13,"")))</f>
        <v>28.2744</v>
      </c>
      <c r="I317" s="6">
        <f>INDEX(Netzzeiten!$C$6:$C$29,HOUR(B317)+1)</f>
        <v>1.64</v>
      </c>
      <c r="J317" t="str">
        <f>IF(C317="","FEHLT",IF(NOT(ISNUMBER(C317)),"MESSWERT UNGUELTIG",IF(C317&lt;0,"MESSWERT UNGUELTIG",IF(H317="","TARIFPREIS FEHLT","OK"))))</f>
        <v>FEHLT</v>
      </c>
      <c r="K317" s="7">
        <f>IF(J317&lt;&gt;"OK","",C317*I317/100)</f>
        <v/>
      </c>
    </row>
    <row r="318" spans="1:11">
      <c r="A318" s="14">
        <v>46146</v>
      </c>
      <c r="B318" s="15">
        <v>0.25</v>
      </c>
      <c r="C318" s="5">
        <f>IF('96 Werte'!Z9="","",'96 Werte'!Z9)</f>
        <v/>
      </c>
      <c r="D318" t="str">
        <f>IF(IF(Eingaben!$B$21&lt;Eingaben!$B$22,AND(B318&gt;=Eingaben!$B$21,B318&lt;Eingaben!$B$22),OR(B318&gt;=Eingaben!$B$21,B318&lt;Eingaben!$B$22)),"GO",IF(AND(ISNUMBER(Eingaben!$B$23),ISNUMBER(Eingaben!$B$24),IF(Eingaben!$B$23&lt;Eingaben!$B$24,AND(B318&gt;=Eingaben!$B$23,B318&lt;Eingaben!$B$24),OR(B318&gt;=Eingaben!$B$23,B318&lt;Eingaben!$B$24))),"HEAT","STANDARD"))</f>
        <v>STANDARD</v>
      </c>
      <c r="E318" s="9"/>
      <c r="F318" t="str">
        <f>IF(E318="",D318,E318)</f>
        <v>STANDARD</v>
      </c>
      <c r="G318" t="str">
        <f>INDEX(Netzzeiten!$B$6:$B$29,HOUR(B318)+1)</f>
        <v>ST</v>
      </c>
      <c r="H318" s="6">
        <f>IF(F318="GO",Eingaben!$B$11,IF(F318="STANDARD",Eingaben!$B$12,IF(AND(F318="HEAT",ISNUMBER(Eingaben!$B$13)),Eingaben!$B$13,"")))</f>
        <v>28.2744</v>
      </c>
      <c r="I318" s="6">
        <f>INDEX(Netzzeiten!$C$6:$C$29,HOUR(B318)+1)</f>
        <v>5.48</v>
      </c>
      <c r="J318" t="str">
        <f>IF(C318="","FEHLT",IF(NOT(ISNUMBER(C318)),"MESSWERT UNGUELTIG",IF(C318&lt;0,"MESSWERT UNGUELTIG",IF(H318="","TARIFPREIS FEHLT","OK"))))</f>
        <v>FEHLT</v>
      </c>
      <c r="K318" s="7">
        <f>IF(J318&lt;&gt;"OK","",C318*I318/100)</f>
        <v/>
      </c>
    </row>
    <row r="319" spans="1:11">
      <c r="A319" s="14">
        <v>46146</v>
      </c>
      <c r="B319" s="15">
        <v>0.2604166666666667</v>
      </c>
      <c r="C319" s="5">
        <f>IF('96 Werte'!AA9="","",'96 Werte'!AA9)</f>
        <v/>
      </c>
      <c r="D319" t="str">
        <f>IF(IF(Eingaben!$B$21&lt;Eingaben!$B$22,AND(B319&gt;=Eingaben!$B$21,B319&lt;Eingaben!$B$22),OR(B319&gt;=Eingaben!$B$21,B319&lt;Eingaben!$B$22)),"GO",IF(AND(ISNUMBER(Eingaben!$B$23),ISNUMBER(Eingaben!$B$24),IF(Eingaben!$B$23&lt;Eingaben!$B$24,AND(B319&gt;=Eingaben!$B$23,B319&lt;Eingaben!$B$24),OR(B319&gt;=Eingaben!$B$23,B319&lt;Eingaben!$B$24))),"HEAT","STANDARD"))</f>
        <v>STANDARD</v>
      </c>
      <c r="E319" s="9"/>
      <c r="F319" t="str">
        <f>IF(E319="",D319,E319)</f>
        <v>STANDARD</v>
      </c>
      <c r="G319" t="str">
        <f>INDEX(Netzzeiten!$B$6:$B$29,HOUR(B319)+1)</f>
        <v>ST</v>
      </c>
      <c r="H319" s="6">
        <f>IF(F319="GO",Eingaben!$B$11,IF(F319="STANDARD",Eingaben!$B$12,IF(AND(F319="HEAT",ISNUMBER(Eingaben!$B$13)),Eingaben!$B$13,"")))</f>
        <v>28.2744</v>
      </c>
      <c r="I319" s="6">
        <f>INDEX(Netzzeiten!$C$6:$C$29,HOUR(B319)+1)</f>
        <v>5.48</v>
      </c>
      <c r="J319" t="str">
        <f>IF(C319="","FEHLT",IF(NOT(ISNUMBER(C319)),"MESSWERT UNGUELTIG",IF(C319&lt;0,"MESSWERT UNGUELTIG",IF(H319="","TARIFPREIS FEHLT","OK"))))</f>
        <v>FEHLT</v>
      </c>
      <c r="K319" s="7">
        <f>IF(J319&lt;&gt;"OK","",C319*I319/100)</f>
        <v/>
      </c>
    </row>
    <row r="320" spans="1:11">
      <c r="A320" s="14">
        <v>46146</v>
      </c>
      <c r="B320" s="15">
        <v>0.2708333333333333</v>
      </c>
      <c r="C320" s="5">
        <f>IF('96 Werte'!AB9="","",'96 Werte'!AB9)</f>
        <v/>
      </c>
      <c r="D320" t="str">
        <f>IF(IF(Eingaben!$B$21&lt;Eingaben!$B$22,AND(B320&gt;=Eingaben!$B$21,B320&lt;Eingaben!$B$22),OR(B320&gt;=Eingaben!$B$21,B320&lt;Eingaben!$B$22)),"GO",IF(AND(ISNUMBER(Eingaben!$B$23),ISNUMBER(Eingaben!$B$24),IF(Eingaben!$B$23&lt;Eingaben!$B$24,AND(B320&gt;=Eingaben!$B$23,B320&lt;Eingaben!$B$24),OR(B320&gt;=Eingaben!$B$23,B320&lt;Eingaben!$B$24))),"HEAT","STANDARD"))</f>
        <v>STANDARD</v>
      </c>
      <c r="E320" s="9"/>
      <c r="F320" t="str">
        <f>IF(E320="",D320,E320)</f>
        <v>STANDARD</v>
      </c>
      <c r="G320" t="str">
        <f>INDEX(Netzzeiten!$B$6:$B$29,HOUR(B320)+1)</f>
        <v>ST</v>
      </c>
      <c r="H320" s="6">
        <f>IF(F320="GO",Eingaben!$B$11,IF(F320="STANDARD",Eingaben!$B$12,IF(AND(F320="HEAT",ISNUMBER(Eingaben!$B$13)),Eingaben!$B$13,"")))</f>
        <v>28.2744</v>
      </c>
      <c r="I320" s="6">
        <f>INDEX(Netzzeiten!$C$6:$C$29,HOUR(B320)+1)</f>
        <v>5.48</v>
      </c>
      <c r="J320" t="str">
        <f>IF(C320="","FEHLT",IF(NOT(ISNUMBER(C320)),"MESSWERT UNGUELTIG",IF(C320&lt;0,"MESSWERT UNGUELTIG",IF(H320="","TARIFPREIS FEHLT","OK"))))</f>
        <v>FEHLT</v>
      </c>
      <c r="K320" s="7">
        <f>IF(J320&lt;&gt;"OK","",C320*I320/100)</f>
        <v/>
      </c>
    </row>
    <row r="321" spans="1:11">
      <c r="A321" s="14">
        <v>46146</v>
      </c>
      <c r="B321" s="15">
        <v>0.28125</v>
      </c>
      <c r="C321" s="5">
        <f>IF('96 Werte'!AC9="","",'96 Werte'!AC9)</f>
        <v/>
      </c>
      <c r="D321" t="str">
        <f>IF(IF(Eingaben!$B$21&lt;Eingaben!$B$22,AND(B321&gt;=Eingaben!$B$21,B321&lt;Eingaben!$B$22),OR(B321&gt;=Eingaben!$B$21,B321&lt;Eingaben!$B$22)),"GO",IF(AND(ISNUMBER(Eingaben!$B$23),ISNUMBER(Eingaben!$B$24),IF(Eingaben!$B$23&lt;Eingaben!$B$24,AND(B321&gt;=Eingaben!$B$23,B321&lt;Eingaben!$B$24),OR(B321&gt;=Eingaben!$B$23,B321&lt;Eingaben!$B$24))),"HEAT","STANDARD"))</f>
        <v>STANDARD</v>
      </c>
      <c r="E321" s="9"/>
      <c r="F321" t="str">
        <f>IF(E321="",D321,E321)</f>
        <v>STANDARD</v>
      </c>
      <c r="G321" t="str">
        <f>INDEX(Netzzeiten!$B$6:$B$29,HOUR(B321)+1)</f>
        <v>ST</v>
      </c>
      <c r="H321" s="6">
        <f>IF(F321="GO",Eingaben!$B$11,IF(F321="STANDARD",Eingaben!$B$12,IF(AND(F321="HEAT",ISNUMBER(Eingaben!$B$13)),Eingaben!$B$13,"")))</f>
        <v>28.2744</v>
      </c>
      <c r="I321" s="6">
        <f>INDEX(Netzzeiten!$C$6:$C$29,HOUR(B321)+1)</f>
        <v>5.48</v>
      </c>
      <c r="J321" t="str">
        <f>IF(C321="","FEHLT",IF(NOT(ISNUMBER(C321)),"MESSWERT UNGUELTIG",IF(C321&lt;0,"MESSWERT UNGUELTIG",IF(H321="","TARIFPREIS FEHLT","OK"))))</f>
        <v>FEHLT</v>
      </c>
      <c r="K321" s="7">
        <f>IF(J321&lt;&gt;"OK","",C321*I321/100)</f>
        <v/>
      </c>
    </row>
    <row r="322" spans="1:11">
      <c r="A322" s="14">
        <v>46146</v>
      </c>
      <c r="B322" s="15">
        <v>0.2916666666666667</v>
      </c>
      <c r="C322" s="5">
        <f>IF('96 Werte'!AD9="","",'96 Werte'!AD9)</f>
        <v/>
      </c>
      <c r="D322" t="str">
        <f>IF(IF(Eingaben!$B$21&lt;Eingaben!$B$22,AND(B322&gt;=Eingaben!$B$21,B322&lt;Eingaben!$B$22),OR(B322&gt;=Eingaben!$B$21,B322&lt;Eingaben!$B$22)),"GO",IF(AND(ISNUMBER(Eingaben!$B$23),ISNUMBER(Eingaben!$B$24),IF(Eingaben!$B$23&lt;Eingaben!$B$24,AND(B322&gt;=Eingaben!$B$23,B322&lt;Eingaben!$B$24),OR(B322&gt;=Eingaben!$B$23,B322&lt;Eingaben!$B$24))),"HEAT","STANDARD"))</f>
        <v>STANDARD</v>
      </c>
      <c r="E322" s="9"/>
      <c r="F322" t="str">
        <f>IF(E322="",D322,E322)</f>
        <v>STANDARD</v>
      </c>
      <c r="G322" t="str">
        <f>INDEX(Netzzeiten!$B$6:$B$29,HOUR(B322)+1)</f>
        <v>ST</v>
      </c>
      <c r="H322" s="6">
        <f>IF(F322="GO",Eingaben!$B$11,IF(F322="STANDARD",Eingaben!$B$12,IF(AND(F322="HEAT",ISNUMBER(Eingaben!$B$13)),Eingaben!$B$13,"")))</f>
        <v>28.2744</v>
      </c>
      <c r="I322" s="6">
        <f>INDEX(Netzzeiten!$C$6:$C$29,HOUR(B322)+1)</f>
        <v>5.48</v>
      </c>
      <c r="J322" t="str">
        <f>IF(C322="","FEHLT",IF(NOT(ISNUMBER(C322)),"MESSWERT UNGUELTIG",IF(C322&lt;0,"MESSWERT UNGUELTIG",IF(H322="","TARIFPREIS FEHLT","OK"))))</f>
        <v>FEHLT</v>
      </c>
      <c r="K322" s="7">
        <f>IF(J322&lt;&gt;"OK","",C322*I322/100)</f>
        <v/>
      </c>
    </row>
    <row r="323" spans="1:11">
      <c r="A323" s="14">
        <v>46146</v>
      </c>
      <c r="B323" s="15">
        <v>0.3020833333333333</v>
      </c>
      <c r="C323" s="5">
        <f>IF('96 Werte'!AE9="","",'96 Werte'!AE9)</f>
        <v/>
      </c>
      <c r="D323" t="str">
        <f>IF(IF(Eingaben!$B$21&lt;Eingaben!$B$22,AND(B323&gt;=Eingaben!$B$21,B323&lt;Eingaben!$B$22),OR(B323&gt;=Eingaben!$B$21,B323&lt;Eingaben!$B$22)),"GO",IF(AND(ISNUMBER(Eingaben!$B$23),ISNUMBER(Eingaben!$B$24),IF(Eingaben!$B$23&lt;Eingaben!$B$24,AND(B323&gt;=Eingaben!$B$23,B323&lt;Eingaben!$B$24),OR(B323&gt;=Eingaben!$B$23,B323&lt;Eingaben!$B$24))),"HEAT","STANDARD"))</f>
        <v>STANDARD</v>
      </c>
      <c r="E323" s="9"/>
      <c r="F323" t="str">
        <f>IF(E323="",D323,E323)</f>
        <v>STANDARD</v>
      </c>
      <c r="G323" t="str">
        <f>INDEX(Netzzeiten!$B$6:$B$29,HOUR(B323)+1)</f>
        <v>ST</v>
      </c>
      <c r="H323" s="6">
        <f>IF(F323="GO",Eingaben!$B$11,IF(F323="STANDARD",Eingaben!$B$12,IF(AND(F323="HEAT",ISNUMBER(Eingaben!$B$13)),Eingaben!$B$13,"")))</f>
        <v>28.2744</v>
      </c>
      <c r="I323" s="6">
        <f>INDEX(Netzzeiten!$C$6:$C$29,HOUR(B323)+1)</f>
        <v>5.48</v>
      </c>
      <c r="J323" t="str">
        <f>IF(C323="","FEHLT",IF(NOT(ISNUMBER(C323)),"MESSWERT UNGUELTIG",IF(C323&lt;0,"MESSWERT UNGUELTIG",IF(H323="","TARIFPREIS FEHLT","OK"))))</f>
        <v>FEHLT</v>
      </c>
      <c r="K323" s="7">
        <f>IF(J323&lt;&gt;"OK","",C323*I323/100)</f>
        <v/>
      </c>
    </row>
    <row r="324" spans="1:11">
      <c r="A324" s="14">
        <v>46146</v>
      </c>
      <c r="B324" s="15">
        <v>0.3125</v>
      </c>
      <c r="C324" s="5">
        <f>IF('96 Werte'!AF9="","",'96 Werte'!AF9)</f>
        <v/>
      </c>
      <c r="D324" t="str">
        <f>IF(IF(Eingaben!$B$21&lt;Eingaben!$B$22,AND(B324&gt;=Eingaben!$B$21,B324&lt;Eingaben!$B$22),OR(B324&gt;=Eingaben!$B$21,B324&lt;Eingaben!$B$22)),"GO",IF(AND(ISNUMBER(Eingaben!$B$23),ISNUMBER(Eingaben!$B$24),IF(Eingaben!$B$23&lt;Eingaben!$B$24,AND(B324&gt;=Eingaben!$B$23,B324&lt;Eingaben!$B$24),OR(B324&gt;=Eingaben!$B$23,B324&lt;Eingaben!$B$24))),"HEAT","STANDARD"))</f>
        <v>STANDARD</v>
      </c>
      <c r="E324" s="9"/>
      <c r="F324" t="str">
        <f>IF(E324="",D324,E324)</f>
        <v>STANDARD</v>
      </c>
      <c r="G324" t="str">
        <f>INDEX(Netzzeiten!$B$6:$B$29,HOUR(B324)+1)</f>
        <v>ST</v>
      </c>
      <c r="H324" s="6">
        <f>IF(F324="GO",Eingaben!$B$11,IF(F324="STANDARD",Eingaben!$B$12,IF(AND(F324="HEAT",ISNUMBER(Eingaben!$B$13)),Eingaben!$B$13,"")))</f>
        <v>28.2744</v>
      </c>
      <c r="I324" s="6">
        <f>INDEX(Netzzeiten!$C$6:$C$29,HOUR(B324)+1)</f>
        <v>5.48</v>
      </c>
      <c r="J324" t="str">
        <f>IF(C324="","FEHLT",IF(NOT(ISNUMBER(C324)),"MESSWERT UNGUELTIG",IF(C324&lt;0,"MESSWERT UNGUELTIG",IF(H324="","TARIFPREIS FEHLT","OK"))))</f>
        <v>FEHLT</v>
      </c>
      <c r="K324" s="7">
        <f>IF(J324&lt;&gt;"OK","",C324*I324/100)</f>
        <v/>
      </c>
    </row>
    <row r="325" spans="1:11">
      <c r="A325" s="14">
        <v>46146</v>
      </c>
      <c r="B325" s="15">
        <v>0.3229166666666667</v>
      </c>
      <c r="C325" s="5">
        <f>IF('96 Werte'!AG9="","",'96 Werte'!AG9)</f>
        <v/>
      </c>
      <c r="D325" t="str">
        <f>IF(IF(Eingaben!$B$21&lt;Eingaben!$B$22,AND(B325&gt;=Eingaben!$B$21,B325&lt;Eingaben!$B$22),OR(B325&gt;=Eingaben!$B$21,B325&lt;Eingaben!$B$22)),"GO",IF(AND(ISNUMBER(Eingaben!$B$23),ISNUMBER(Eingaben!$B$24),IF(Eingaben!$B$23&lt;Eingaben!$B$24,AND(B325&gt;=Eingaben!$B$23,B325&lt;Eingaben!$B$24),OR(B325&gt;=Eingaben!$B$23,B325&lt;Eingaben!$B$24))),"HEAT","STANDARD"))</f>
        <v>STANDARD</v>
      </c>
      <c r="E325" s="9"/>
      <c r="F325" t="str">
        <f>IF(E325="",D325,E325)</f>
        <v>STANDARD</v>
      </c>
      <c r="G325" t="str">
        <f>INDEX(Netzzeiten!$B$6:$B$29,HOUR(B325)+1)</f>
        <v>ST</v>
      </c>
      <c r="H325" s="6">
        <f>IF(F325="GO",Eingaben!$B$11,IF(F325="STANDARD",Eingaben!$B$12,IF(AND(F325="HEAT",ISNUMBER(Eingaben!$B$13)),Eingaben!$B$13,"")))</f>
        <v>28.2744</v>
      </c>
      <c r="I325" s="6">
        <f>INDEX(Netzzeiten!$C$6:$C$29,HOUR(B325)+1)</f>
        <v>5.48</v>
      </c>
      <c r="J325" t="str">
        <f>IF(C325="","FEHLT",IF(NOT(ISNUMBER(C325)),"MESSWERT UNGUELTIG",IF(C325&lt;0,"MESSWERT UNGUELTIG",IF(H325="","TARIFPREIS FEHLT","OK"))))</f>
        <v>FEHLT</v>
      </c>
      <c r="K325" s="7">
        <f>IF(J325&lt;&gt;"OK","",C325*I325/100)</f>
        <v/>
      </c>
    </row>
    <row r="326" spans="1:11">
      <c r="A326" s="14">
        <v>46146</v>
      </c>
      <c r="B326" s="15">
        <v>0.3333333333333333</v>
      </c>
      <c r="C326" s="5">
        <f>IF('96 Werte'!AH9="","",'96 Werte'!AH9)</f>
        <v/>
      </c>
      <c r="D326" t="str">
        <f>IF(IF(Eingaben!$B$21&lt;Eingaben!$B$22,AND(B326&gt;=Eingaben!$B$21,B326&lt;Eingaben!$B$22),OR(B326&gt;=Eingaben!$B$21,B326&lt;Eingaben!$B$22)),"GO",IF(AND(ISNUMBER(Eingaben!$B$23),ISNUMBER(Eingaben!$B$24),IF(Eingaben!$B$23&lt;Eingaben!$B$24,AND(B326&gt;=Eingaben!$B$23,B326&lt;Eingaben!$B$24),OR(B326&gt;=Eingaben!$B$23,B326&lt;Eingaben!$B$24))),"HEAT","STANDARD"))</f>
        <v>STANDARD</v>
      </c>
      <c r="E326" s="9"/>
      <c r="F326" t="str">
        <f>IF(E326="",D326,E326)</f>
        <v>STANDARD</v>
      </c>
      <c r="G326" t="str">
        <f>INDEX(Netzzeiten!$B$6:$B$29,HOUR(B326)+1)</f>
        <v>ST</v>
      </c>
      <c r="H326" s="6">
        <f>IF(F326="GO",Eingaben!$B$11,IF(F326="STANDARD",Eingaben!$B$12,IF(AND(F326="HEAT",ISNUMBER(Eingaben!$B$13)),Eingaben!$B$13,"")))</f>
        <v>28.2744</v>
      </c>
      <c r="I326" s="6">
        <f>INDEX(Netzzeiten!$C$6:$C$29,HOUR(B326)+1)</f>
        <v>5.48</v>
      </c>
      <c r="J326" t="str">
        <f>IF(C326="","FEHLT",IF(NOT(ISNUMBER(C326)),"MESSWERT UNGUELTIG",IF(C326&lt;0,"MESSWERT UNGUELTIG",IF(H326="","TARIFPREIS FEHLT","OK"))))</f>
        <v>FEHLT</v>
      </c>
      <c r="K326" s="7">
        <f>IF(J326&lt;&gt;"OK","",C326*I326/100)</f>
        <v/>
      </c>
    </row>
    <row r="327" spans="1:11">
      <c r="A327" s="14">
        <v>46146</v>
      </c>
      <c r="B327" s="15">
        <v>0.34375</v>
      </c>
      <c r="C327" s="5">
        <f>IF('96 Werte'!AI9="","",'96 Werte'!AI9)</f>
        <v/>
      </c>
      <c r="D327" t="str">
        <f>IF(IF(Eingaben!$B$21&lt;Eingaben!$B$22,AND(B327&gt;=Eingaben!$B$21,B327&lt;Eingaben!$B$22),OR(B327&gt;=Eingaben!$B$21,B327&lt;Eingaben!$B$22)),"GO",IF(AND(ISNUMBER(Eingaben!$B$23),ISNUMBER(Eingaben!$B$24),IF(Eingaben!$B$23&lt;Eingaben!$B$24,AND(B327&gt;=Eingaben!$B$23,B327&lt;Eingaben!$B$24),OR(B327&gt;=Eingaben!$B$23,B327&lt;Eingaben!$B$24))),"HEAT","STANDARD"))</f>
        <v>STANDARD</v>
      </c>
      <c r="E327" s="9"/>
      <c r="F327" t="str">
        <f>IF(E327="",D327,E327)</f>
        <v>STANDARD</v>
      </c>
      <c r="G327" t="str">
        <f>INDEX(Netzzeiten!$B$6:$B$29,HOUR(B327)+1)</f>
        <v>ST</v>
      </c>
      <c r="H327" s="6">
        <f>IF(F327="GO",Eingaben!$B$11,IF(F327="STANDARD",Eingaben!$B$12,IF(AND(F327="HEAT",ISNUMBER(Eingaben!$B$13)),Eingaben!$B$13,"")))</f>
        <v>28.2744</v>
      </c>
      <c r="I327" s="6">
        <f>INDEX(Netzzeiten!$C$6:$C$29,HOUR(B327)+1)</f>
        <v>5.48</v>
      </c>
      <c r="J327" t="str">
        <f>IF(C327="","FEHLT",IF(NOT(ISNUMBER(C327)),"MESSWERT UNGUELTIG",IF(C327&lt;0,"MESSWERT UNGUELTIG",IF(H327="","TARIFPREIS FEHLT","OK"))))</f>
        <v>FEHLT</v>
      </c>
      <c r="K327" s="7">
        <f>IF(J327&lt;&gt;"OK","",C327*I327/100)</f>
        <v/>
      </c>
    </row>
    <row r="328" spans="1:11">
      <c r="A328" s="14">
        <v>46146</v>
      </c>
      <c r="B328" s="15">
        <v>0.3541666666666667</v>
      </c>
      <c r="C328" s="5">
        <f>IF('96 Werte'!AJ9="","",'96 Werte'!AJ9)</f>
        <v/>
      </c>
      <c r="D328" t="str">
        <f>IF(IF(Eingaben!$B$21&lt;Eingaben!$B$22,AND(B328&gt;=Eingaben!$B$21,B328&lt;Eingaben!$B$22),OR(B328&gt;=Eingaben!$B$21,B328&lt;Eingaben!$B$22)),"GO",IF(AND(ISNUMBER(Eingaben!$B$23),ISNUMBER(Eingaben!$B$24),IF(Eingaben!$B$23&lt;Eingaben!$B$24,AND(B328&gt;=Eingaben!$B$23,B328&lt;Eingaben!$B$24),OR(B328&gt;=Eingaben!$B$23,B328&lt;Eingaben!$B$24))),"HEAT","STANDARD"))</f>
        <v>STANDARD</v>
      </c>
      <c r="E328" s="9"/>
      <c r="F328" t="str">
        <f>IF(E328="",D328,E328)</f>
        <v>STANDARD</v>
      </c>
      <c r="G328" t="str">
        <f>INDEX(Netzzeiten!$B$6:$B$29,HOUR(B328)+1)</f>
        <v>ST</v>
      </c>
      <c r="H328" s="6">
        <f>IF(F328="GO",Eingaben!$B$11,IF(F328="STANDARD",Eingaben!$B$12,IF(AND(F328="HEAT",ISNUMBER(Eingaben!$B$13)),Eingaben!$B$13,"")))</f>
        <v>28.2744</v>
      </c>
      <c r="I328" s="6">
        <f>INDEX(Netzzeiten!$C$6:$C$29,HOUR(B328)+1)</f>
        <v>5.48</v>
      </c>
      <c r="J328" t="str">
        <f>IF(C328="","FEHLT",IF(NOT(ISNUMBER(C328)),"MESSWERT UNGUELTIG",IF(C328&lt;0,"MESSWERT UNGUELTIG",IF(H328="","TARIFPREIS FEHLT","OK"))))</f>
        <v>FEHLT</v>
      </c>
      <c r="K328" s="7">
        <f>IF(J328&lt;&gt;"OK","",C328*I328/100)</f>
        <v/>
      </c>
    </row>
    <row r="329" spans="1:11">
      <c r="A329" s="14">
        <v>46146</v>
      </c>
      <c r="B329" s="15">
        <v>0.3645833333333333</v>
      </c>
      <c r="C329" s="5">
        <f>IF('96 Werte'!AK9="","",'96 Werte'!AK9)</f>
        <v/>
      </c>
      <c r="D329" t="str">
        <f>IF(IF(Eingaben!$B$21&lt;Eingaben!$B$22,AND(B329&gt;=Eingaben!$B$21,B329&lt;Eingaben!$B$22),OR(B329&gt;=Eingaben!$B$21,B329&lt;Eingaben!$B$22)),"GO",IF(AND(ISNUMBER(Eingaben!$B$23),ISNUMBER(Eingaben!$B$24),IF(Eingaben!$B$23&lt;Eingaben!$B$24,AND(B329&gt;=Eingaben!$B$23,B329&lt;Eingaben!$B$24),OR(B329&gt;=Eingaben!$B$23,B329&lt;Eingaben!$B$24))),"HEAT","STANDARD"))</f>
        <v>STANDARD</v>
      </c>
      <c r="E329" s="9"/>
      <c r="F329" t="str">
        <f>IF(E329="",D329,E329)</f>
        <v>STANDARD</v>
      </c>
      <c r="G329" t="str">
        <f>INDEX(Netzzeiten!$B$6:$B$29,HOUR(B329)+1)</f>
        <v>ST</v>
      </c>
      <c r="H329" s="6">
        <f>IF(F329="GO",Eingaben!$B$11,IF(F329="STANDARD",Eingaben!$B$12,IF(AND(F329="HEAT",ISNUMBER(Eingaben!$B$13)),Eingaben!$B$13,"")))</f>
        <v>28.2744</v>
      </c>
      <c r="I329" s="6">
        <f>INDEX(Netzzeiten!$C$6:$C$29,HOUR(B329)+1)</f>
        <v>5.48</v>
      </c>
      <c r="J329" t="str">
        <f>IF(C329="","FEHLT",IF(NOT(ISNUMBER(C329)),"MESSWERT UNGUELTIG",IF(C329&lt;0,"MESSWERT UNGUELTIG",IF(H329="","TARIFPREIS FEHLT","OK"))))</f>
        <v>FEHLT</v>
      </c>
      <c r="K329" s="7">
        <f>IF(J329&lt;&gt;"OK","",C329*I329/100)</f>
        <v/>
      </c>
    </row>
    <row r="330" spans="1:11">
      <c r="A330" s="14">
        <v>46146</v>
      </c>
      <c r="B330" s="15">
        <v>0.375</v>
      </c>
      <c r="C330" s="5">
        <f>IF('96 Werte'!AL9="","",'96 Werte'!AL9)</f>
        <v/>
      </c>
      <c r="D330" t="str">
        <f>IF(IF(Eingaben!$B$21&lt;Eingaben!$B$22,AND(B330&gt;=Eingaben!$B$21,B330&lt;Eingaben!$B$22),OR(B330&gt;=Eingaben!$B$21,B330&lt;Eingaben!$B$22)),"GO",IF(AND(ISNUMBER(Eingaben!$B$23),ISNUMBER(Eingaben!$B$24),IF(Eingaben!$B$23&lt;Eingaben!$B$24,AND(B330&gt;=Eingaben!$B$23,B330&lt;Eingaben!$B$24),OR(B330&gt;=Eingaben!$B$23,B330&lt;Eingaben!$B$24))),"HEAT","STANDARD"))</f>
        <v>STANDARD</v>
      </c>
      <c r="E330" s="9"/>
      <c r="F330" t="str">
        <f>IF(E330="",D330,E330)</f>
        <v>STANDARD</v>
      </c>
      <c r="G330" t="str">
        <f>INDEX(Netzzeiten!$B$6:$B$29,HOUR(B330)+1)</f>
        <v>ST</v>
      </c>
      <c r="H330" s="6">
        <f>IF(F330="GO",Eingaben!$B$11,IF(F330="STANDARD",Eingaben!$B$12,IF(AND(F330="HEAT",ISNUMBER(Eingaben!$B$13)),Eingaben!$B$13,"")))</f>
        <v>28.2744</v>
      </c>
      <c r="I330" s="6">
        <f>INDEX(Netzzeiten!$C$6:$C$29,HOUR(B330)+1)</f>
        <v>5.48</v>
      </c>
      <c r="J330" t="str">
        <f>IF(C330="","FEHLT",IF(NOT(ISNUMBER(C330)),"MESSWERT UNGUELTIG",IF(C330&lt;0,"MESSWERT UNGUELTIG",IF(H330="","TARIFPREIS FEHLT","OK"))))</f>
        <v>FEHLT</v>
      </c>
      <c r="K330" s="7">
        <f>IF(J330&lt;&gt;"OK","",C330*I330/100)</f>
        <v/>
      </c>
    </row>
    <row r="331" spans="1:11">
      <c r="A331" s="14">
        <v>46146</v>
      </c>
      <c r="B331" s="15">
        <v>0.3854166666666667</v>
      </c>
      <c r="C331" s="5">
        <f>IF('96 Werte'!AM9="","",'96 Werte'!AM9)</f>
        <v/>
      </c>
      <c r="D331" t="str">
        <f>IF(IF(Eingaben!$B$21&lt;Eingaben!$B$22,AND(B331&gt;=Eingaben!$B$21,B331&lt;Eingaben!$B$22),OR(B331&gt;=Eingaben!$B$21,B331&lt;Eingaben!$B$22)),"GO",IF(AND(ISNUMBER(Eingaben!$B$23),ISNUMBER(Eingaben!$B$24),IF(Eingaben!$B$23&lt;Eingaben!$B$24,AND(B331&gt;=Eingaben!$B$23,B331&lt;Eingaben!$B$24),OR(B331&gt;=Eingaben!$B$23,B331&lt;Eingaben!$B$24))),"HEAT","STANDARD"))</f>
        <v>STANDARD</v>
      </c>
      <c r="E331" s="9"/>
      <c r="F331" t="str">
        <f>IF(E331="",D331,E331)</f>
        <v>STANDARD</v>
      </c>
      <c r="G331" t="str">
        <f>INDEX(Netzzeiten!$B$6:$B$29,HOUR(B331)+1)</f>
        <v>ST</v>
      </c>
      <c r="H331" s="6">
        <f>IF(F331="GO",Eingaben!$B$11,IF(F331="STANDARD",Eingaben!$B$12,IF(AND(F331="HEAT",ISNUMBER(Eingaben!$B$13)),Eingaben!$B$13,"")))</f>
        <v>28.2744</v>
      </c>
      <c r="I331" s="6">
        <f>INDEX(Netzzeiten!$C$6:$C$29,HOUR(B331)+1)</f>
        <v>5.48</v>
      </c>
      <c r="J331" t="str">
        <f>IF(C331="","FEHLT",IF(NOT(ISNUMBER(C331)),"MESSWERT UNGUELTIG",IF(C331&lt;0,"MESSWERT UNGUELTIG",IF(H331="","TARIFPREIS FEHLT","OK"))))</f>
        <v>FEHLT</v>
      </c>
      <c r="K331" s="7">
        <f>IF(J331&lt;&gt;"OK","",C331*I331/100)</f>
        <v/>
      </c>
    </row>
    <row r="332" spans="1:11">
      <c r="A332" s="14">
        <v>46146</v>
      </c>
      <c r="B332" s="15">
        <v>0.3958333333333333</v>
      </c>
      <c r="C332" s="5">
        <f>IF('96 Werte'!AN9="","",'96 Werte'!AN9)</f>
        <v/>
      </c>
      <c r="D332" t="str">
        <f>IF(IF(Eingaben!$B$21&lt;Eingaben!$B$22,AND(B332&gt;=Eingaben!$B$21,B332&lt;Eingaben!$B$22),OR(B332&gt;=Eingaben!$B$21,B332&lt;Eingaben!$B$22)),"GO",IF(AND(ISNUMBER(Eingaben!$B$23),ISNUMBER(Eingaben!$B$24),IF(Eingaben!$B$23&lt;Eingaben!$B$24,AND(B332&gt;=Eingaben!$B$23,B332&lt;Eingaben!$B$24),OR(B332&gt;=Eingaben!$B$23,B332&lt;Eingaben!$B$24))),"HEAT","STANDARD"))</f>
        <v>STANDARD</v>
      </c>
      <c r="E332" s="9"/>
      <c r="F332" t="str">
        <f>IF(E332="",D332,E332)</f>
        <v>STANDARD</v>
      </c>
      <c r="G332" t="str">
        <f>INDEX(Netzzeiten!$B$6:$B$29,HOUR(B332)+1)</f>
        <v>ST</v>
      </c>
      <c r="H332" s="6">
        <f>IF(F332="GO",Eingaben!$B$11,IF(F332="STANDARD",Eingaben!$B$12,IF(AND(F332="HEAT",ISNUMBER(Eingaben!$B$13)),Eingaben!$B$13,"")))</f>
        <v>28.2744</v>
      </c>
      <c r="I332" s="6">
        <f>INDEX(Netzzeiten!$C$6:$C$29,HOUR(B332)+1)</f>
        <v>5.48</v>
      </c>
      <c r="J332" t="str">
        <f>IF(C332="","FEHLT",IF(NOT(ISNUMBER(C332)),"MESSWERT UNGUELTIG",IF(C332&lt;0,"MESSWERT UNGUELTIG",IF(H332="","TARIFPREIS FEHLT","OK"))))</f>
        <v>FEHLT</v>
      </c>
      <c r="K332" s="7">
        <f>IF(J332&lt;&gt;"OK","",C332*I332/100)</f>
        <v/>
      </c>
    </row>
    <row r="333" spans="1:11">
      <c r="A333" s="14">
        <v>46146</v>
      </c>
      <c r="B333" s="15">
        <v>0.40625</v>
      </c>
      <c r="C333" s="5">
        <f>IF('96 Werte'!AO9="","",'96 Werte'!AO9)</f>
        <v/>
      </c>
      <c r="D333" t="str">
        <f>IF(IF(Eingaben!$B$21&lt;Eingaben!$B$22,AND(B333&gt;=Eingaben!$B$21,B333&lt;Eingaben!$B$22),OR(B333&gt;=Eingaben!$B$21,B333&lt;Eingaben!$B$22)),"GO",IF(AND(ISNUMBER(Eingaben!$B$23),ISNUMBER(Eingaben!$B$24),IF(Eingaben!$B$23&lt;Eingaben!$B$24,AND(B333&gt;=Eingaben!$B$23,B333&lt;Eingaben!$B$24),OR(B333&gt;=Eingaben!$B$23,B333&lt;Eingaben!$B$24))),"HEAT","STANDARD"))</f>
        <v>STANDARD</v>
      </c>
      <c r="E333" s="9"/>
      <c r="F333" t="str">
        <f>IF(E333="",D333,E333)</f>
        <v>STANDARD</v>
      </c>
      <c r="G333" t="str">
        <f>INDEX(Netzzeiten!$B$6:$B$29,HOUR(B333)+1)</f>
        <v>ST</v>
      </c>
      <c r="H333" s="6">
        <f>IF(F333="GO",Eingaben!$B$11,IF(F333="STANDARD",Eingaben!$B$12,IF(AND(F333="HEAT",ISNUMBER(Eingaben!$B$13)),Eingaben!$B$13,"")))</f>
        <v>28.2744</v>
      </c>
      <c r="I333" s="6">
        <f>INDEX(Netzzeiten!$C$6:$C$29,HOUR(B333)+1)</f>
        <v>5.48</v>
      </c>
      <c r="J333" t="str">
        <f>IF(C333="","FEHLT",IF(NOT(ISNUMBER(C333)),"MESSWERT UNGUELTIG",IF(C333&lt;0,"MESSWERT UNGUELTIG",IF(H333="","TARIFPREIS FEHLT","OK"))))</f>
        <v>FEHLT</v>
      </c>
      <c r="K333" s="7">
        <f>IF(J333&lt;&gt;"OK","",C333*I333/100)</f>
        <v/>
      </c>
    </row>
    <row r="334" spans="1:11">
      <c r="A334" s="14">
        <v>46146</v>
      </c>
      <c r="B334" s="15">
        <v>0.4166666666666667</v>
      </c>
      <c r="C334" s="5">
        <f>IF('96 Werte'!AP9="","",'96 Werte'!AP9)</f>
        <v/>
      </c>
      <c r="D334" t="str">
        <f>IF(IF(Eingaben!$B$21&lt;Eingaben!$B$22,AND(B334&gt;=Eingaben!$B$21,B334&lt;Eingaben!$B$22),OR(B334&gt;=Eingaben!$B$21,B334&lt;Eingaben!$B$22)),"GO",IF(AND(ISNUMBER(Eingaben!$B$23),ISNUMBER(Eingaben!$B$24),IF(Eingaben!$B$23&lt;Eingaben!$B$24,AND(B334&gt;=Eingaben!$B$23,B334&lt;Eingaben!$B$24),OR(B334&gt;=Eingaben!$B$23,B334&lt;Eingaben!$B$24))),"HEAT","STANDARD"))</f>
        <v>STANDARD</v>
      </c>
      <c r="E334" s="9"/>
      <c r="F334" t="str">
        <f>IF(E334="",D334,E334)</f>
        <v>STANDARD</v>
      </c>
      <c r="G334" t="str">
        <f>INDEX(Netzzeiten!$B$6:$B$29,HOUR(B334)+1)</f>
        <v>ST</v>
      </c>
      <c r="H334" s="6">
        <f>IF(F334="GO",Eingaben!$B$11,IF(F334="STANDARD",Eingaben!$B$12,IF(AND(F334="HEAT",ISNUMBER(Eingaben!$B$13)),Eingaben!$B$13,"")))</f>
        <v>28.2744</v>
      </c>
      <c r="I334" s="6">
        <f>INDEX(Netzzeiten!$C$6:$C$29,HOUR(B334)+1)</f>
        <v>5.48</v>
      </c>
      <c r="J334" t="str">
        <f>IF(C334="","FEHLT",IF(NOT(ISNUMBER(C334)),"MESSWERT UNGUELTIG",IF(C334&lt;0,"MESSWERT UNGUELTIG",IF(H334="","TARIFPREIS FEHLT","OK"))))</f>
        <v>FEHLT</v>
      </c>
      <c r="K334" s="7">
        <f>IF(J334&lt;&gt;"OK","",C334*I334/100)</f>
        <v/>
      </c>
    </row>
    <row r="335" spans="1:11">
      <c r="A335" s="14">
        <v>46146</v>
      </c>
      <c r="B335" s="15">
        <v>0.4270833333333333</v>
      </c>
      <c r="C335" s="5">
        <f>IF('96 Werte'!AQ9="","",'96 Werte'!AQ9)</f>
        <v/>
      </c>
      <c r="D335" t="str">
        <f>IF(IF(Eingaben!$B$21&lt;Eingaben!$B$22,AND(B335&gt;=Eingaben!$B$21,B335&lt;Eingaben!$B$22),OR(B335&gt;=Eingaben!$B$21,B335&lt;Eingaben!$B$22)),"GO",IF(AND(ISNUMBER(Eingaben!$B$23),ISNUMBER(Eingaben!$B$24),IF(Eingaben!$B$23&lt;Eingaben!$B$24,AND(B335&gt;=Eingaben!$B$23,B335&lt;Eingaben!$B$24),OR(B335&gt;=Eingaben!$B$23,B335&lt;Eingaben!$B$24))),"HEAT","STANDARD"))</f>
        <v>STANDARD</v>
      </c>
      <c r="E335" s="9"/>
      <c r="F335" t="str">
        <f>IF(E335="",D335,E335)</f>
        <v>STANDARD</v>
      </c>
      <c r="G335" t="str">
        <f>INDEX(Netzzeiten!$B$6:$B$29,HOUR(B335)+1)</f>
        <v>ST</v>
      </c>
      <c r="H335" s="6">
        <f>IF(F335="GO",Eingaben!$B$11,IF(F335="STANDARD",Eingaben!$B$12,IF(AND(F335="HEAT",ISNUMBER(Eingaben!$B$13)),Eingaben!$B$13,"")))</f>
        <v>28.2744</v>
      </c>
      <c r="I335" s="6">
        <f>INDEX(Netzzeiten!$C$6:$C$29,HOUR(B335)+1)</f>
        <v>5.48</v>
      </c>
      <c r="J335" t="str">
        <f>IF(C335="","FEHLT",IF(NOT(ISNUMBER(C335)),"MESSWERT UNGUELTIG",IF(C335&lt;0,"MESSWERT UNGUELTIG",IF(H335="","TARIFPREIS FEHLT","OK"))))</f>
        <v>FEHLT</v>
      </c>
      <c r="K335" s="7">
        <f>IF(J335&lt;&gt;"OK","",C335*I335/100)</f>
        <v/>
      </c>
    </row>
    <row r="336" spans="1:11">
      <c r="A336" s="14">
        <v>46146</v>
      </c>
      <c r="B336" s="15">
        <v>0.4375</v>
      </c>
      <c r="C336" s="5">
        <f>IF('96 Werte'!AR9="","",'96 Werte'!AR9)</f>
        <v/>
      </c>
      <c r="D336" t="str">
        <f>IF(IF(Eingaben!$B$21&lt;Eingaben!$B$22,AND(B336&gt;=Eingaben!$B$21,B336&lt;Eingaben!$B$22),OR(B336&gt;=Eingaben!$B$21,B336&lt;Eingaben!$B$22)),"GO",IF(AND(ISNUMBER(Eingaben!$B$23),ISNUMBER(Eingaben!$B$24),IF(Eingaben!$B$23&lt;Eingaben!$B$24,AND(B336&gt;=Eingaben!$B$23,B336&lt;Eingaben!$B$24),OR(B336&gt;=Eingaben!$B$23,B336&lt;Eingaben!$B$24))),"HEAT","STANDARD"))</f>
        <v>STANDARD</v>
      </c>
      <c r="E336" s="9"/>
      <c r="F336" t="str">
        <f>IF(E336="",D336,E336)</f>
        <v>STANDARD</v>
      </c>
      <c r="G336" t="str">
        <f>INDEX(Netzzeiten!$B$6:$B$29,HOUR(B336)+1)</f>
        <v>ST</v>
      </c>
      <c r="H336" s="6">
        <f>IF(F336="GO",Eingaben!$B$11,IF(F336="STANDARD",Eingaben!$B$12,IF(AND(F336="HEAT",ISNUMBER(Eingaben!$B$13)),Eingaben!$B$13,"")))</f>
        <v>28.2744</v>
      </c>
      <c r="I336" s="6">
        <f>INDEX(Netzzeiten!$C$6:$C$29,HOUR(B336)+1)</f>
        <v>5.48</v>
      </c>
      <c r="J336" t="str">
        <f>IF(C336="","FEHLT",IF(NOT(ISNUMBER(C336)),"MESSWERT UNGUELTIG",IF(C336&lt;0,"MESSWERT UNGUELTIG",IF(H336="","TARIFPREIS FEHLT","OK"))))</f>
        <v>FEHLT</v>
      </c>
      <c r="K336" s="7">
        <f>IF(J336&lt;&gt;"OK","",C336*I336/100)</f>
        <v/>
      </c>
    </row>
    <row r="337" spans="1:11">
      <c r="A337" s="14">
        <v>46146</v>
      </c>
      <c r="B337" s="15">
        <v>0.4479166666666667</v>
      </c>
      <c r="C337" s="5">
        <f>IF('96 Werte'!AS9="","",'96 Werte'!AS9)</f>
        <v/>
      </c>
      <c r="D337" t="str">
        <f>IF(IF(Eingaben!$B$21&lt;Eingaben!$B$22,AND(B337&gt;=Eingaben!$B$21,B337&lt;Eingaben!$B$22),OR(B337&gt;=Eingaben!$B$21,B337&lt;Eingaben!$B$22)),"GO",IF(AND(ISNUMBER(Eingaben!$B$23),ISNUMBER(Eingaben!$B$24),IF(Eingaben!$B$23&lt;Eingaben!$B$24,AND(B337&gt;=Eingaben!$B$23,B337&lt;Eingaben!$B$24),OR(B337&gt;=Eingaben!$B$23,B337&lt;Eingaben!$B$24))),"HEAT","STANDARD"))</f>
        <v>STANDARD</v>
      </c>
      <c r="E337" s="9"/>
      <c r="F337" t="str">
        <f>IF(E337="",D337,E337)</f>
        <v>STANDARD</v>
      </c>
      <c r="G337" t="str">
        <f>INDEX(Netzzeiten!$B$6:$B$29,HOUR(B337)+1)</f>
        <v>ST</v>
      </c>
      <c r="H337" s="6">
        <f>IF(F337="GO",Eingaben!$B$11,IF(F337="STANDARD",Eingaben!$B$12,IF(AND(F337="HEAT",ISNUMBER(Eingaben!$B$13)),Eingaben!$B$13,"")))</f>
        <v>28.2744</v>
      </c>
      <c r="I337" s="6">
        <f>INDEX(Netzzeiten!$C$6:$C$29,HOUR(B337)+1)</f>
        <v>5.48</v>
      </c>
      <c r="J337" t="str">
        <f>IF(C337="","FEHLT",IF(NOT(ISNUMBER(C337)),"MESSWERT UNGUELTIG",IF(C337&lt;0,"MESSWERT UNGUELTIG",IF(H337="","TARIFPREIS FEHLT","OK"))))</f>
        <v>FEHLT</v>
      </c>
      <c r="K337" s="7">
        <f>IF(J337&lt;&gt;"OK","",C337*I337/100)</f>
        <v/>
      </c>
    </row>
    <row r="338" spans="1:11">
      <c r="A338" s="14">
        <v>46146</v>
      </c>
      <c r="B338" s="15">
        <v>0.4583333333333333</v>
      </c>
      <c r="C338" s="5">
        <f>IF('96 Werte'!AT9="","",'96 Werte'!AT9)</f>
        <v/>
      </c>
      <c r="D338" t="str">
        <f>IF(IF(Eingaben!$B$21&lt;Eingaben!$B$22,AND(B338&gt;=Eingaben!$B$21,B338&lt;Eingaben!$B$22),OR(B338&gt;=Eingaben!$B$21,B338&lt;Eingaben!$B$22)),"GO",IF(AND(ISNUMBER(Eingaben!$B$23),ISNUMBER(Eingaben!$B$24),IF(Eingaben!$B$23&lt;Eingaben!$B$24,AND(B338&gt;=Eingaben!$B$23,B338&lt;Eingaben!$B$24),OR(B338&gt;=Eingaben!$B$23,B338&lt;Eingaben!$B$24))),"HEAT","STANDARD"))</f>
        <v>STANDARD</v>
      </c>
      <c r="E338" s="9"/>
      <c r="F338" t="str">
        <f>IF(E338="",D338,E338)</f>
        <v>STANDARD</v>
      </c>
      <c r="G338" t="str">
        <f>INDEX(Netzzeiten!$B$6:$B$29,HOUR(B338)+1)</f>
        <v>NT</v>
      </c>
      <c r="H338" s="6">
        <f>IF(F338="GO",Eingaben!$B$11,IF(F338="STANDARD",Eingaben!$B$12,IF(AND(F338="HEAT",ISNUMBER(Eingaben!$B$13)),Eingaben!$B$13,"")))</f>
        <v>28.2744</v>
      </c>
      <c r="I338" s="6">
        <f>INDEX(Netzzeiten!$C$6:$C$29,HOUR(B338)+1)</f>
        <v>1.64</v>
      </c>
      <c r="J338" t="str">
        <f>IF(C338="","FEHLT",IF(NOT(ISNUMBER(C338)),"MESSWERT UNGUELTIG",IF(C338&lt;0,"MESSWERT UNGUELTIG",IF(H338="","TARIFPREIS FEHLT","OK"))))</f>
        <v>FEHLT</v>
      </c>
      <c r="K338" s="7">
        <f>IF(J338&lt;&gt;"OK","",C338*I338/100)</f>
        <v/>
      </c>
    </row>
    <row r="339" spans="1:11">
      <c r="A339" s="14">
        <v>46146</v>
      </c>
      <c r="B339" s="15">
        <v>0.46875</v>
      </c>
      <c r="C339" s="5">
        <f>IF('96 Werte'!AU9="","",'96 Werte'!AU9)</f>
        <v/>
      </c>
      <c r="D339" t="str">
        <f>IF(IF(Eingaben!$B$21&lt;Eingaben!$B$22,AND(B339&gt;=Eingaben!$B$21,B339&lt;Eingaben!$B$22),OR(B339&gt;=Eingaben!$B$21,B339&lt;Eingaben!$B$22)),"GO",IF(AND(ISNUMBER(Eingaben!$B$23),ISNUMBER(Eingaben!$B$24),IF(Eingaben!$B$23&lt;Eingaben!$B$24,AND(B339&gt;=Eingaben!$B$23,B339&lt;Eingaben!$B$24),OR(B339&gt;=Eingaben!$B$23,B339&lt;Eingaben!$B$24))),"HEAT","STANDARD"))</f>
        <v>STANDARD</v>
      </c>
      <c r="E339" s="9"/>
      <c r="F339" t="str">
        <f>IF(E339="",D339,E339)</f>
        <v>STANDARD</v>
      </c>
      <c r="G339" t="str">
        <f>INDEX(Netzzeiten!$B$6:$B$29,HOUR(B339)+1)</f>
        <v>NT</v>
      </c>
      <c r="H339" s="6">
        <f>IF(F339="GO",Eingaben!$B$11,IF(F339="STANDARD",Eingaben!$B$12,IF(AND(F339="HEAT",ISNUMBER(Eingaben!$B$13)),Eingaben!$B$13,"")))</f>
        <v>28.2744</v>
      </c>
      <c r="I339" s="6">
        <f>INDEX(Netzzeiten!$C$6:$C$29,HOUR(B339)+1)</f>
        <v>1.64</v>
      </c>
      <c r="J339" t="str">
        <f>IF(C339="","FEHLT",IF(NOT(ISNUMBER(C339)),"MESSWERT UNGUELTIG",IF(C339&lt;0,"MESSWERT UNGUELTIG",IF(H339="","TARIFPREIS FEHLT","OK"))))</f>
        <v>FEHLT</v>
      </c>
      <c r="K339" s="7">
        <f>IF(J339&lt;&gt;"OK","",C339*I339/100)</f>
        <v/>
      </c>
    </row>
    <row r="340" spans="1:11">
      <c r="A340" s="14">
        <v>46146</v>
      </c>
      <c r="B340" s="15">
        <v>0.4791666666666667</v>
      </c>
      <c r="C340" s="5">
        <f>IF('96 Werte'!AV9="","",'96 Werte'!AV9)</f>
        <v/>
      </c>
      <c r="D340" t="str">
        <f>IF(IF(Eingaben!$B$21&lt;Eingaben!$B$22,AND(B340&gt;=Eingaben!$B$21,B340&lt;Eingaben!$B$22),OR(B340&gt;=Eingaben!$B$21,B340&lt;Eingaben!$B$22)),"GO",IF(AND(ISNUMBER(Eingaben!$B$23),ISNUMBER(Eingaben!$B$24),IF(Eingaben!$B$23&lt;Eingaben!$B$24,AND(B340&gt;=Eingaben!$B$23,B340&lt;Eingaben!$B$24),OR(B340&gt;=Eingaben!$B$23,B340&lt;Eingaben!$B$24))),"HEAT","STANDARD"))</f>
        <v>STANDARD</v>
      </c>
      <c r="E340" s="9"/>
      <c r="F340" t="str">
        <f>IF(E340="",D340,E340)</f>
        <v>STANDARD</v>
      </c>
      <c r="G340" t="str">
        <f>INDEX(Netzzeiten!$B$6:$B$29,HOUR(B340)+1)</f>
        <v>NT</v>
      </c>
      <c r="H340" s="6">
        <f>IF(F340="GO",Eingaben!$B$11,IF(F340="STANDARD",Eingaben!$B$12,IF(AND(F340="HEAT",ISNUMBER(Eingaben!$B$13)),Eingaben!$B$13,"")))</f>
        <v>28.2744</v>
      </c>
      <c r="I340" s="6">
        <f>INDEX(Netzzeiten!$C$6:$C$29,HOUR(B340)+1)</f>
        <v>1.64</v>
      </c>
      <c r="J340" t="str">
        <f>IF(C340="","FEHLT",IF(NOT(ISNUMBER(C340)),"MESSWERT UNGUELTIG",IF(C340&lt;0,"MESSWERT UNGUELTIG",IF(H340="","TARIFPREIS FEHLT","OK"))))</f>
        <v>FEHLT</v>
      </c>
      <c r="K340" s="7">
        <f>IF(J340&lt;&gt;"OK","",C340*I340/100)</f>
        <v/>
      </c>
    </row>
    <row r="341" spans="1:11">
      <c r="A341" s="14">
        <v>46146</v>
      </c>
      <c r="B341" s="15">
        <v>0.4895833333333333</v>
      </c>
      <c r="C341" s="5">
        <f>IF('96 Werte'!AW9="","",'96 Werte'!AW9)</f>
        <v/>
      </c>
      <c r="D341" t="str">
        <f>IF(IF(Eingaben!$B$21&lt;Eingaben!$B$22,AND(B341&gt;=Eingaben!$B$21,B341&lt;Eingaben!$B$22),OR(B341&gt;=Eingaben!$B$21,B341&lt;Eingaben!$B$22)),"GO",IF(AND(ISNUMBER(Eingaben!$B$23),ISNUMBER(Eingaben!$B$24),IF(Eingaben!$B$23&lt;Eingaben!$B$24,AND(B341&gt;=Eingaben!$B$23,B341&lt;Eingaben!$B$24),OR(B341&gt;=Eingaben!$B$23,B341&lt;Eingaben!$B$24))),"HEAT","STANDARD"))</f>
        <v>STANDARD</v>
      </c>
      <c r="E341" s="9"/>
      <c r="F341" t="str">
        <f>IF(E341="",D341,E341)</f>
        <v>STANDARD</v>
      </c>
      <c r="G341" t="str">
        <f>INDEX(Netzzeiten!$B$6:$B$29,HOUR(B341)+1)</f>
        <v>NT</v>
      </c>
      <c r="H341" s="6">
        <f>IF(F341="GO",Eingaben!$B$11,IF(F341="STANDARD",Eingaben!$B$12,IF(AND(F341="HEAT",ISNUMBER(Eingaben!$B$13)),Eingaben!$B$13,"")))</f>
        <v>28.2744</v>
      </c>
      <c r="I341" s="6">
        <f>INDEX(Netzzeiten!$C$6:$C$29,HOUR(B341)+1)</f>
        <v>1.64</v>
      </c>
      <c r="J341" t="str">
        <f>IF(C341="","FEHLT",IF(NOT(ISNUMBER(C341)),"MESSWERT UNGUELTIG",IF(C341&lt;0,"MESSWERT UNGUELTIG",IF(H341="","TARIFPREIS FEHLT","OK"))))</f>
        <v>FEHLT</v>
      </c>
      <c r="K341" s="7">
        <f>IF(J341&lt;&gt;"OK","",C341*I341/100)</f>
        <v/>
      </c>
    </row>
    <row r="342" spans="1:11">
      <c r="A342" s="14">
        <v>46146</v>
      </c>
      <c r="B342" s="15">
        <v>0.5</v>
      </c>
      <c r="C342" s="5">
        <f>IF('96 Werte'!AX9="","",'96 Werte'!AX9)</f>
        <v/>
      </c>
      <c r="D342" t="str">
        <f>IF(IF(Eingaben!$B$21&lt;Eingaben!$B$22,AND(B342&gt;=Eingaben!$B$21,B342&lt;Eingaben!$B$22),OR(B342&gt;=Eingaben!$B$21,B342&lt;Eingaben!$B$22)),"GO",IF(AND(ISNUMBER(Eingaben!$B$23),ISNUMBER(Eingaben!$B$24),IF(Eingaben!$B$23&lt;Eingaben!$B$24,AND(B342&gt;=Eingaben!$B$23,B342&lt;Eingaben!$B$24),OR(B342&gt;=Eingaben!$B$23,B342&lt;Eingaben!$B$24))),"HEAT","STANDARD"))</f>
        <v>STANDARD</v>
      </c>
      <c r="E342" s="9"/>
      <c r="F342" t="str">
        <f>IF(E342="",D342,E342)</f>
        <v>STANDARD</v>
      </c>
      <c r="G342" t="str">
        <f>INDEX(Netzzeiten!$B$6:$B$29,HOUR(B342)+1)</f>
        <v>NT</v>
      </c>
      <c r="H342" s="6">
        <f>IF(F342="GO",Eingaben!$B$11,IF(F342="STANDARD",Eingaben!$B$12,IF(AND(F342="HEAT",ISNUMBER(Eingaben!$B$13)),Eingaben!$B$13,"")))</f>
        <v>28.2744</v>
      </c>
      <c r="I342" s="6">
        <f>INDEX(Netzzeiten!$C$6:$C$29,HOUR(B342)+1)</f>
        <v>1.64</v>
      </c>
      <c r="J342" t="str">
        <f>IF(C342="","FEHLT",IF(NOT(ISNUMBER(C342)),"MESSWERT UNGUELTIG",IF(C342&lt;0,"MESSWERT UNGUELTIG",IF(H342="","TARIFPREIS FEHLT","OK"))))</f>
        <v>FEHLT</v>
      </c>
      <c r="K342" s="7">
        <f>IF(J342&lt;&gt;"OK","",C342*I342/100)</f>
        <v/>
      </c>
    </row>
    <row r="343" spans="1:11">
      <c r="A343" s="14">
        <v>46146</v>
      </c>
      <c r="B343" s="15">
        <v>0.5104166666666666</v>
      </c>
      <c r="C343" s="5">
        <f>IF('96 Werte'!AY9="","",'96 Werte'!AY9)</f>
        <v/>
      </c>
      <c r="D343" t="str">
        <f>IF(IF(Eingaben!$B$21&lt;Eingaben!$B$22,AND(B343&gt;=Eingaben!$B$21,B343&lt;Eingaben!$B$22),OR(B343&gt;=Eingaben!$B$21,B343&lt;Eingaben!$B$22)),"GO",IF(AND(ISNUMBER(Eingaben!$B$23),ISNUMBER(Eingaben!$B$24),IF(Eingaben!$B$23&lt;Eingaben!$B$24,AND(B343&gt;=Eingaben!$B$23,B343&lt;Eingaben!$B$24),OR(B343&gt;=Eingaben!$B$23,B343&lt;Eingaben!$B$24))),"HEAT","STANDARD"))</f>
        <v>STANDARD</v>
      </c>
      <c r="E343" s="9"/>
      <c r="F343" t="str">
        <f>IF(E343="",D343,E343)</f>
        <v>STANDARD</v>
      </c>
      <c r="G343" t="str">
        <f>INDEX(Netzzeiten!$B$6:$B$29,HOUR(B343)+1)</f>
        <v>NT</v>
      </c>
      <c r="H343" s="6">
        <f>IF(F343="GO",Eingaben!$B$11,IF(F343="STANDARD",Eingaben!$B$12,IF(AND(F343="HEAT",ISNUMBER(Eingaben!$B$13)),Eingaben!$B$13,"")))</f>
        <v>28.2744</v>
      </c>
      <c r="I343" s="6">
        <f>INDEX(Netzzeiten!$C$6:$C$29,HOUR(B343)+1)</f>
        <v>1.64</v>
      </c>
      <c r="J343" t="str">
        <f>IF(C343="","FEHLT",IF(NOT(ISNUMBER(C343)),"MESSWERT UNGUELTIG",IF(C343&lt;0,"MESSWERT UNGUELTIG",IF(H343="","TARIFPREIS FEHLT","OK"))))</f>
        <v>FEHLT</v>
      </c>
      <c r="K343" s="7">
        <f>IF(J343&lt;&gt;"OK","",C343*I343/100)</f>
        <v/>
      </c>
    </row>
    <row r="344" spans="1:11">
      <c r="A344" s="14">
        <v>46146</v>
      </c>
      <c r="B344" s="15">
        <v>0.5208333333333334</v>
      </c>
      <c r="C344" s="5">
        <f>IF('96 Werte'!AZ9="","",'96 Werte'!AZ9)</f>
        <v/>
      </c>
      <c r="D344" t="str">
        <f>IF(IF(Eingaben!$B$21&lt;Eingaben!$B$22,AND(B344&gt;=Eingaben!$B$21,B344&lt;Eingaben!$B$22),OR(B344&gt;=Eingaben!$B$21,B344&lt;Eingaben!$B$22)),"GO",IF(AND(ISNUMBER(Eingaben!$B$23),ISNUMBER(Eingaben!$B$24),IF(Eingaben!$B$23&lt;Eingaben!$B$24,AND(B344&gt;=Eingaben!$B$23,B344&lt;Eingaben!$B$24),OR(B344&gt;=Eingaben!$B$23,B344&lt;Eingaben!$B$24))),"HEAT","STANDARD"))</f>
        <v>STANDARD</v>
      </c>
      <c r="E344" s="9"/>
      <c r="F344" t="str">
        <f>IF(E344="",D344,E344)</f>
        <v>STANDARD</v>
      </c>
      <c r="G344" t="str">
        <f>INDEX(Netzzeiten!$B$6:$B$29,HOUR(B344)+1)</f>
        <v>NT</v>
      </c>
      <c r="H344" s="6">
        <f>IF(F344="GO",Eingaben!$B$11,IF(F344="STANDARD",Eingaben!$B$12,IF(AND(F344="HEAT",ISNUMBER(Eingaben!$B$13)),Eingaben!$B$13,"")))</f>
        <v>28.2744</v>
      </c>
      <c r="I344" s="6">
        <f>INDEX(Netzzeiten!$C$6:$C$29,HOUR(B344)+1)</f>
        <v>1.64</v>
      </c>
      <c r="J344" t="str">
        <f>IF(C344="","FEHLT",IF(NOT(ISNUMBER(C344)),"MESSWERT UNGUELTIG",IF(C344&lt;0,"MESSWERT UNGUELTIG",IF(H344="","TARIFPREIS FEHLT","OK"))))</f>
        <v>FEHLT</v>
      </c>
      <c r="K344" s="7">
        <f>IF(J344&lt;&gt;"OK","",C344*I344/100)</f>
        <v/>
      </c>
    </row>
    <row r="345" spans="1:11">
      <c r="A345" s="14">
        <v>46146</v>
      </c>
      <c r="B345" s="15">
        <v>0.53125</v>
      </c>
      <c r="C345" s="5">
        <f>IF('96 Werte'!BA9="","",'96 Werte'!BA9)</f>
        <v/>
      </c>
      <c r="D345" t="str">
        <f>IF(IF(Eingaben!$B$21&lt;Eingaben!$B$22,AND(B345&gt;=Eingaben!$B$21,B345&lt;Eingaben!$B$22),OR(B345&gt;=Eingaben!$B$21,B345&lt;Eingaben!$B$22)),"GO",IF(AND(ISNUMBER(Eingaben!$B$23),ISNUMBER(Eingaben!$B$24),IF(Eingaben!$B$23&lt;Eingaben!$B$24,AND(B345&gt;=Eingaben!$B$23,B345&lt;Eingaben!$B$24),OR(B345&gt;=Eingaben!$B$23,B345&lt;Eingaben!$B$24))),"HEAT","STANDARD"))</f>
        <v>STANDARD</v>
      </c>
      <c r="E345" s="9"/>
      <c r="F345" t="str">
        <f>IF(E345="",D345,E345)</f>
        <v>STANDARD</v>
      </c>
      <c r="G345" t="str">
        <f>INDEX(Netzzeiten!$B$6:$B$29,HOUR(B345)+1)</f>
        <v>NT</v>
      </c>
      <c r="H345" s="6">
        <f>IF(F345="GO",Eingaben!$B$11,IF(F345="STANDARD",Eingaben!$B$12,IF(AND(F345="HEAT",ISNUMBER(Eingaben!$B$13)),Eingaben!$B$13,"")))</f>
        <v>28.2744</v>
      </c>
      <c r="I345" s="6">
        <f>INDEX(Netzzeiten!$C$6:$C$29,HOUR(B345)+1)</f>
        <v>1.64</v>
      </c>
      <c r="J345" t="str">
        <f>IF(C345="","FEHLT",IF(NOT(ISNUMBER(C345)),"MESSWERT UNGUELTIG",IF(C345&lt;0,"MESSWERT UNGUELTIG",IF(H345="","TARIFPREIS FEHLT","OK"))))</f>
        <v>FEHLT</v>
      </c>
      <c r="K345" s="7">
        <f>IF(J345&lt;&gt;"OK","",C345*I345/100)</f>
        <v/>
      </c>
    </row>
    <row r="346" spans="1:11">
      <c r="A346" s="14">
        <v>46146</v>
      </c>
      <c r="B346" s="15">
        <v>0.5416666666666666</v>
      </c>
      <c r="C346" s="5">
        <f>IF('96 Werte'!BB9="","",'96 Werte'!BB9)</f>
        <v/>
      </c>
      <c r="D346" t="str">
        <f>IF(IF(Eingaben!$B$21&lt;Eingaben!$B$22,AND(B346&gt;=Eingaben!$B$21,B346&lt;Eingaben!$B$22),OR(B346&gt;=Eingaben!$B$21,B346&lt;Eingaben!$B$22)),"GO",IF(AND(ISNUMBER(Eingaben!$B$23),ISNUMBER(Eingaben!$B$24),IF(Eingaben!$B$23&lt;Eingaben!$B$24,AND(B346&gt;=Eingaben!$B$23,B346&lt;Eingaben!$B$24),OR(B346&gt;=Eingaben!$B$23,B346&lt;Eingaben!$B$24))),"HEAT","STANDARD"))</f>
        <v>STANDARD</v>
      </c>
      <c r="E346" s="9"/>
      <c r="F346" t="str">
        <f>IF(E346="",D346,E346)</f>
        <v>STANDARD</v>
      </c>
      <c r="G346" t="str">
        <f>INDEX(Netzzeiten!$B$6:$B$29,HOUR(B346)+1)</f>
        <v>NT</v>
      </c>
      <c r="H346" s="6">
        <f>IF(F346="GO",Eingaben!$B$11,IF(F346="STANDARD",Eingaben!$B$12,IF(AND(F346="HEAT",ISNUMBER(Eingaben!$B$13)),Eingaben!$B$13,"")))</f>
        <v>28.2744</v>
      </c>
      <c r="I346" s="6">
        <f>INDEX(Netzzeiten!$C$6:$C$29,HOUR(B346)+1)</f>
        <v>1.64</v>
      </c>
      <c r="J346" t="str">
        <f>IF(C346="","FEHLT",IF(NOT(ISNUMBER(C346)),"MESSWERT UNGUELTIG",IF(C346&lt;0,"MESSWERT UNGUELTIG",IF(H346="","TARIFPREIS FEHLT","OK"))))</f>
        <v>FEHLT</v>
      </c>
      <c r="K346" s="7">
        <f>IF(J346&lt;&gt;"OK","",C346*I346/100)</f>
        <v/>
      </c>
    </row>
    <row r="347" spans="1:11">
      <c r="A347" s="14">
        <v>46146</v>
      </c>
      <c r="B347" s="15">
        <v>0.5520833333333334</v>
      </c>
      <c r="C347" s="5">
        <f>IF('96 Werte'!BC9="","",'96 Werte'!BC9)</f>
        <v/>
      </c>
      <c r="D347" t="str">
        <f>IF(IF(Eingaben!$B$21&lt;Eingaben!$B$22,AND(B347&gt;=Eingaben!$B$21,B347&lt;Eingaben!$B$22),OR(B347&gt;=Eingaben!$B$21,B347&lt;Eingaben!$B$22)),"GO",IF(AND(ISNUMBER(Eingaben!$B$23),ISNUMBER(Eingaben!$B$24),IF(Eingaben!$B$23&lt;Eingaben!$B$24,AND(B347&gt;=Eingaben!$B$23,B347&lt;Eingaben!$B$24),OR(B347&gt;=Eingaben!$B$23,B347&lt;Eingaben!$B$24))),"HEAT","STANDARD"))</f>
        <v>STANDARD</v>
      </c>
      <c r="E347" s="9"/>
      <c r="F347" t="str">
        <f>IF(E347="",D347,E347)</f>
        <v>STANDARD</v>
      </c>
      <c r="G347" t="str">
        <f>INDEX(Netzzeiten!$B$6:$B$29,HOUR(B347)+1)</f>
        <v>NT</v>
      </c>
      <c r="H347" s="6">
        <f>IF(F347="GO",Eingaben!$B$11,IF(F347="STANDARD",Eingaben!$B$12,IF(AND(F347="HEAT",ISNUMBER(Eingaben!$B$13)),Eingaben!$B$13,"")))</f>
        <v>28.2744</v>
      </c>
      <c r="I347" s="6">
        <f>INDEX(Netzzeiten!$C$6:$C$29,HOUR(B347)+1)</f>
        <v>1.64</v>
      </c>
      <c r="J347" t="str">
        <f>IF(C347="","FEHLT",IF(NOT(ISNUMBER(C347)),"MESSWERT UNGUELTIG",IF(C347&lt;0,"MESSWERT UNGUELTIG",IF(H347="","TARIFPREIS FEHLT","OK"))))</f>
        <v>FEHLT</v>
      </c>
      <c r="K347" s="7">
        <f>IF(J347&lt;&gt;"OK","",C347*I347/100)</f>
        <v/>
      </c>
    </row>
    <row r="348" spans="1:11">
      <c r="A348" s="14">
        <v>46146</v>
      </c>
      <c r="B348" s="15">
        <v>0.5625</v>
      </c>
      <c r="C348" s="5">
        <f>IF('96 Werte'!BD9="","",'96 Werte'!BD9)</f>
        <v/>
      </c>
      <c r="D348" t="str">
        <f>IF(IF(Eingaben!$B$21&lt;Eingaben!$B$22,AND(B348&gt;=Eingaben!$B$21,B348&lt;Eingaben!$B$22),OR(B348&gt;=Eingaben!$B$21,B348&lt;Eingaben!$B$22)),"GO",IF(AND(ISNUMBER(Eingaben!$B$23),ISNUMBER(Eingaben!$B$24),IF(Eingaben!$B$23&lt;Eingaben!$B$24,AND(B348&gt;=Eingaben!$B$23,B348&lt;Eingaben!$B$24),OR(B348&gt;=Eingaben!$B$23,B348&lt;Eingaben!$B$24))),"HEAT","STANDARD"))</f>
        <v>STANDARD</v>
      </c>
      <c r="E348" s="9"/>
      <c r="F348" t="str">
        <f>IF(E348="",D348,E348)</f>
        <v>STANDARD</v>
      </c>
      <c r="G348" t="str">
        <f>INDEX(Netzzeiten!$B$6:$B$29,HOUR(B348)+1)</f>
        <v>NT</v>
      </c>
      <c r="H348" s="6">
        <f>IF(F348="GO",Eingaben!$B$11,IF(F348="STANDARD",Eingaben!$B$12,IF(AND(F348="HEAT",ISNUMBER(Eingaben!$B$13)),Eingaben!$B$13,"")))</f>
        <v>28.2744</v>
      </c>
      <c r="I348" s="6">
        <f>INDEX(Netzzeiten!$C$6:$C$29,HOUR(B348)+1)</f>
        <v>1.64</v>
      </c>
      <c r="J348" t="str">
        <f>IF(C348="","FEHLT",IF(NOT(ISNUMBER(C348)),"MESSWERT UNGUELTIG",IF(C348&lt;0,"MESSWERT UNGUELTIG",IF(H348="","TARIFPREIS FEHLT","OK"))))</f>
        <v>FEHLT</v>
      </c>
      <c r="K348" s="7">
        <f>IF(J348&lt;&gt;"OK","",C348*I348/100)</f>
        <v/>
      </c>
    </row>
    <row r="349" spans="1:11">
      <c r="A349" s="14">
        <v>46146</v>
      </c>
      <c r="B349" s="15">
        <v>0.5729166666666666</v>
      </c>
      <c r="C349" s="5">
        <f>IF('96 Werte'!BE9="","",'96 Werte'!BE9)</f>
        <v/>
      </c>
      <c r="D349" t="str">
        <f>IF(IF(Eingaben!$B$21&lt;Eingaben!$B$22,AND(B349&gt;=Eingaben!$B$21,B349&lt;Eingaben!$B$22),OR(B349&gt;=Eingaben!$B$21,B349&lt;Eingaben!$B$22)),"GO",IF(AND(ISNUMBER(Eingaben!$B$23),ISNUMBER(Eingaben!$B$24),IF(Eingaben!$B$23&lt;Eingaben!$B$24,AND(B349&gt;=Eingaben!$B$23,B349&lt;Eingaben!$B$24),OR(B349&gt;=Eingaben!$B$23,B349&lt;Eingaben!$B$24))),"HEAT","STANDARD"))</f>
        <v>STANDARD</v>
      </c>
      <c r="E349" s="9"/>
      <c r="F349" t="str">
        <f>IF(E349="",D349,E349)</f>
        <v>STANDARD</v>
      </c>
      <c r="G349" t="str">
        <f>INDEX(Netzzeiten!$B$6:$B$29,HOUR(B349)+1)</f>
        <v>NT</v>
      </c>
      <c r="H349" s="6">
        <f>IF(F349="GO",Eingaben!$B$11,IF(F349="STANDARD",Eingaben!$B$12,IF(AND(F349="HEAT",ISNUMBER(Eingaben!$B$13)),Eingaben!$B$13,"")))</f>
        <v>28.2744</v>
      </c>
      <c r="I349" s="6">
        <f>INDEX(Netzzeiten!$C$6:$C$29,HOUR(B349)+1)</f>
        <v>1.64</v>
      </c>
      <c r="J349" t="str">
        <f>IF(C349="","FEHLT",IF(NOT(ISNUMBER(C349)),"MESSWERT UNGUELTIG",IF(C349&lt;0,"MESSWERT UNGUELTIG",IF(H349="","TARIFPREIS FEHLT","OK"))))</f>
        <v>FEHLT</v>
      </c>
      <c r="K349" s="7">
        <f>IF(J349&lt;&gt;"OK","",C349*I349/100)</f>
        <v/>
      </c>
    </row>
    <row r="350" spans="1:11">
      <c r="A350" s="14">
        <v>46146</v>
      </c>
      <c r="B350" s="15">
        <v>0.5833333333333334</v>
      </c>
      <c r="C350" s="5">
        <f>IF('96 Werte'!BF9="","",'96 Werte'!BF9)</f>
        <v/>
      </c>
      <c r="D350" t="str">
        <f>IF(IF(Eingaben!$B$21&lt;Eingaben!$B$22,AND(B350&gt;=Eingaben!$B$21,B350&lt;Eingaben!$B$22),OR(B350&gt;=Eingaben!$B$21,B350&lt;Eingaben!$B$22)),"GO",IF(AND(ISNUMBER(Eingaben!$B$23),ISNUMBER(Eingaben!$B$24),IF(Eingaben!$B$23&lt;Eingaben!$B$24,AND(B350&gt;=Eingaben!$B$23,B350&lt;Eingaben!$B$24),OR(B350&gt;=Eingaben!$B$23,B350&lt;Eingaben!$B$24))),"HEAT","STANDARD"))</f>
        <v>STANDARD</v>
      </c>
      <c r="E350" s="9"/>
      <c r="F350" t="str">
        <f>IF(E350="",D350,E350)</f>
        <v>STANDARD</v>
      </c>
      <c r="G350" t="str">
        <f>INDEX(Netzzeiten!$B$6:$B$29,HOUR(B350)+1)</f>
        <v>NT</v>
      </c>
      <c r="H350" s="6">
        <f>IF(F350="GO",Eingaben!$B$11,IF(F350="STANDARD",Eingaben!$B$12,IF(AND(F350="HEAT",ISNUMBER(Eingaben!$B$13)),Eingaben!$B$13,"")))</f>
        <v>28.2744</v>
      </c>
      <c r="I350" s="6">
        <f>INDEX(Netzzeiten!$C$6:$C$29,HOUR(B350)+1)</f>
        <v>1.64</v>
      </c>
      <c r="J350" t="str">
        <f>IF(C350="","FEHLT",IF(NOT(ISNUMBER(C350)),"MESSWERT UNGUELTIG",IF(C350&lt;0,"MESSWERT UNGUELTIG",IF(H350="","TARIFPREIS FEHLT","OK"))))</f>
        <v>FEHLT</v>
      </c>
      <c r="K350" s="7">
        <f>IF(J350&lt;&gt;"OK","",C350*I350/100)</f>
        <v/>
      </c>
    </row>
    <row r="351" spans="1:11">
      <c r="A351" s="14">
        <v>46146</v>
      </c>
      <c r="B351" s="15">
        <v>0.59375</v>
      </c>
      <c r="C351" s="5">
        <f>IF('96 Werte'!BG9="","",'96 Werte'!BG9)</f>
        <v/>
      </c>
      <c r="D351" t="str">
        <f>IF(IF(Eingaben!$B$21&lt;Eingaben!$B$22,AND(B351&gt;=Eingaben!$B$21,B351&lt;Eingaben!$B$22),OR(B351&gt;=Eingaben!$B$21,B351&lt;Eingaben!$B$22)),"GO",IF(AND(ISNUMBER(Eingaben!$B$23),ISNUMBER(Eingaben!$B$24),IF(Eingaben!$B$23&lt;Eingaben!$B$24,AND(B351&gt;=Eingaben!$B$23,B351&lt;Eingaben!$B$24),OR(B351&gt;=Eingaben!$B$23,B351&lt;Eingaben!$B$24))),"HEAT","STANDARD"))</f>
        <v>STANDARD</v>
      </c>
      <c r="E351" s="9"/>
      <c r="F351" t="str">
        <f>IF(E351="",D351,E351)</f>
        <v>STANDARD</v>
      </c>
      <c r="G351" t="str">
        <f>INDEX(Netzzeiten!$B$6:$B$29,HOUR(B351)+1)</f>
        <v>NT</v>
      </c>
      <c r="H351" s="6">
        <f>IF(F351="GO",Eingaben!$B$11,IF(F351="STANDARD",Eingaben!$B$12,IF(AND(F351="HEAT",ISNUMBER(Eingaben!$B$13)),Eingaben!$B$13,"")))</f>
        <v>28.2744</v>
      </c>
      <c r="I351" s="6">
        <f>INDEX(Netzzeiten!$C$6:$C$29,HOUR(B351)+1)</f>
        <v>1.64</v>
      </c>
      <c r="J351" t="str">
        <f>IF(C351="","FEHLT",IF(NOT(ISNUMBER(C351)),"MESSWERT UNGUELTIG",IF(C351&lt;0,"MESSWERT UNGUELTIG",IF(H351="","TARIFPREIS FEHLT","OK"))))</f>
        <v>FEHLT</v>
      </c>
      <c r="K351" s="7">
        <f>IF(J351&lt;&gt;"OK","",C351*I351/100)</f>
        <v/>
      </c>
    </row>
    <row r="352" spans="1:11">
      <c r="A352" s="14">
        <v>46146</v>
      </c>
      <c r="B352" s="15">
        <v>0.6041666666666666</v>
      </c>
      <c r="C352" s="5">
        <f>IF('96 Werte'!BH9="","",'96 Werte'!BH9)</f>
        <v/>
      </c>
      <c r="D352" t="str">
        <f>IF(IF(Eingaben!$B$21&lt;Eingaben!$B$22,AND(B352&gt;=Eingaben!$B$21,B352&lt;Eingaben!$B$22),OR(B352&gt;=Eingaben!$B$21,B352&lt;Eingaben!$B$22)),"GO",IF(AND(ISNUMBER(Eingaben!$B$23),ISNUMBER(Eingaben!$B$24),IF(Eingaben!$B$23&lt;Eingaben!$B$24,AND(B352&gt;=Eingaben!$B$23,B352&lt;Eingaben!$B$24),OR(B352&gt;=Eingaben!$B$23,B352&lt;Eingaben!$B$24))),"HEAT","STANDARD"))</f>
        <v>STANDARD</v>
      </c>
      <c r="E352" s="9"/>
      <c r="F352" t="str">
        <f>IF(E352="",D352,E352)</f>
        <v>STANDARD</v>
      </c>
      <c r="G352" t="str">
        <f>INDEX(Netzzeiten!$B$6:$B$29,HOUR(B352)+1)</f>
        <v>NT</v>
      </c>
      <c r="H352" s="6">
        <f>IF(F352="GO",Eingaben!$B$11,IF(F352="STANDARD",Eingaben!$B$12,IF(AND(F352="HEAT",ISNUMBER(Eingaben!$B$13)),Eingaben!$B$13,"")))</f>
        <v>28.2744</v>
      </c>
      <c r="I352" s="6">
        <f>INDEX(Netzzeiten!$C$6:$C$29,HOUR(B352)+1)</f>
        <v>1.64</v>
      </c>
      <c r="J352" t="str">
        <f>IF(C352="","FEHLT",IF(NOT(ISNUMBER(C352)),"MESSWERT UNGUELTIG",IF(C352&lt;0,"MESSWERT UNGUELTIG",IF(H352="","TARIFPREIS FEHLT","OK"))))</f>
        <v>FEHLT</v>
      </c>
      <c r="K352" s="7">
        <f>IF(J352&lt;&gt;"OK","",C352*I352/100)</f>
        <v/>
      </c>
    </row>
    <row r="353" spans="1:11">
      <c r="A353" s="14">
        <v>46146</v>
      </c>
      <c r="B353" s="15">
        <v>0.6145833333333334</v>
      </c>
      <c r="C353" s="5">
        <f>IF('96 Werte'!BI9="","",'96 Werte'!BI9)</f>
        <v/>
      </c>
      <c r="D353" t="str">
        <f>IF(IF(Eingaben!$B$21&lt;Eingaben!$B$22,AND(B353&gt;=Eingaben!$B$21,B353&lt;Eingaben!$B$22),OR(B353&gt;=Eingaben!$B$21,B353&lt;Eingaben!$B$22)),"GO",IF(AND(ISNUMBER(Eingaben!$B$23),ISNUMBER(Eingaben!$B$24),IF(Eingaben!$B$23&lt;Eingaben!$B$24,AND(B353&gt;=Eingaben!$B$23,B353&lt;Eingaben!$B$24),OR(B353&gt;=Eingaben!$B$23,B353&lt;Eingaben!$B$24))),"HEAT","STANDARD"))</f>
        <v>STANDARD</v>
      </c>
      <c r="E353" s="9"/>
      <c r="F353" t="str">
        <f>IF(E353="",D353,E353)</f>
        <v>STANDARD</v>
      </c>
      <c r="G353" t="str">
        <f>INDEX(Netzzeiten!$B$6:$B$29,HOUR(B353)+1)</f>
        <v>NT</v>
      </c>
      <c r="H353" s="6">
        <f>IF(F353="GO",Eingaben!$B$11,IF(F353="STANDARD",Eingaben!$B$12,IF(AND(F353="HEAT",ISNUMBER(Eingaben!$B$13)),Eingaben!$B$13,"")))</f>
        <v>28.2744</v>
      </c>
      <c r="I353" s="6">
        <f>INDEX(Netzzeiten!$C$6:$C$29,HOUR(B353)+1)</f>
        <v>1.64</v>
      </c>
      <c r="J353" t="str">
        <f>IF(C353="","FEHLT",IF(NOT(ISNUMBER(C353)),"MESSWERT UNGUELTIG",IF(C353&lt;0,"MESSWERT UNGUELTIG",IF(H353="","TARIFPREIS FEHLT","OK"))))</f>
        <v>FEHLT</v>
      </c>
      <c r="K353" s="7">
        <f>IF(J353&lt;&gt;"OK","",C353*I353/100)</f>
        <v/>
      </c>
    </row>
    <row r="354" spans="1:11">
      <c r="A354" s="14">
        <v>46146</v>
      </c>
      <c r="B354" s="15">
        <v>0.625</v>
      </c>
      <c r="C354" s="5">
        <f>IF('96 Werte'!BJ9="","",'96 Werte'!BJ9)</f>
        <v/>
      </c>
      <c r="D354" t="str">
        <f>IF(IF(Eingaben!$B$21&lt;Eingaben!$B$22,AND(B354&gt;=Eingaben!$B$21,B354&lt;Eingaben!$B$22),OR(B354&gt;=Eingaben!$B$21,B354&lt;Eingaben!$B$22)),"GO",IF(AND(ISNUMBER(Eingaben!$B$23),ISNUMBER(Eingaben!$B$24),IF(Eingaben!$B$23&lt;Eingaben!$B$24,AND(B354&gt;=Eingaben!$B$23,B354&lt;Eingaben!$B$24),OR(B354&gt;=Eingaben!$B$23,B354&lt;Eingaben!$B$24))),"HEAT","STANDARD"))</f>
        <v>STANDARD</v>
      </c>
      <c r="E354" s="9"/>
      <c r="F354" t="str">
        <f>IF(E354="",D354,E354)</f>
        <v>STANDARD</v>
      </c>
      <c r="G354" t="str">
        <f>INDEX(Netzzeiten!$B$6:$B$29,HOUR(B354)+1)</f>
        <v>ST</v>
      </c>
      <c r="H354" s="6">
        <f>IF(F354="GO",Eingaben!$B$11,IF(F354="STANDARD",Eingaben!$B$12,IF(AND(F354="HEAT",ISNUMBER(Eingaben!$B$13)),Eingaben!$B$13,"")))</f>
        <v>28.2744</v>
      </c>
      <c r="I354" s="6">
        <f>INDEX(Netzzeiten!$C$6:$C$29,HOUR(B354)+1)</f>
        <v>5.48</v>
      </c>
      <c r="J354" t="str">
        <f>IF(C354="","FEHLT",IF(NOT(ISNUMBER(C354)),"MESSWERT UNGUELTIG",IF(C354&lt;0,"MESSWERT UNGUELTIG",IF(H354="","TARIFPREIS FEHLT","OK"))))</f>
        <v>FEHLT</v>
      </c>
      <c r="K354" s="7">
        <f>IF(J354&lt;&gt;"OK","",C354*I354/100)</f>
        <v/>
      </c>
    </row>
    <row r="355" spans="1:11">
      <c r="A355" s="14">
        <v>46146</v>
      </c>
      <c r="B355" s="15">
        <v>0.6354166666666666</v>
      </c>
      <c r="C355" s="5">
        <f>IF('96 Werte'!BK9="","",'96 Werte'!BK9)</f>
        <v/>
      </c>
      <c r="D355" t="str">
        <f>IF(IF(Eingaben!$B$21&lt;Eingaben!$B$22,AND(B355&gt;=Eingaben!$B$21,B355&lt;Eingaben!$B$22),OR(B355&gt;=Eingaben!$B$21,B355&lt;Eingaben!$B$22)),"GO",IF(AND(ISNUMBER(Eingaben!$B$23),ISNUMBER(Eingaben!$B$24),IF(Eingaben!$B$23&lt;Eingaben!$B$24,AND(B355&gt;=Eingaben!$B$23,B355&lt;Eingaben!$B$24),OR(B355&gt;=Eingaben!$B$23,B355&lt;Eingaben!$B$24))),"HEAT","STANDARD"))</f>
        <v>STANDARD</v>
      </c>
      <c r="E355" s="9"/>
      <c r="F355" t="str">
        <f>IF(E355="",D355,E355)</f>
        <v>STANDARD</v>
      </c>
      <c r="G355" t="str">
        <f>INDEX(Netzzeiten!$B$6:$B$29,HOUR(B355)+1)</f>
        <v>ST</v>
      </c>
      <c r="H355" s="6">
        <f>IF(F355="GO",Eingaben!$B$11,IF(F355="STANDARD",Eingaben!$B$12,IF(AND(F355="HEAT",ISNUMBER(Eingaben!$B$13)),Eingaben!$B$13,"")))</f>
        <v>28.2744</v>
      </c>
      <c r="I355" s="6">
        <f>INDEX(Netzzeiten!$C$6:$C$29,HOUR(B355)+1)</f>
        <v>5.48</v>
      </c>
      <c r="J355" t="str">
        <f>IF(C355="","FEHLT",IF(NOT(ISNUMBER(C355)),"MESSWERT UNGUELTIG",IF(C355&lt;0,"MESSWERT UNGUELTIG",IF(H355="","TARIFPREIS FEHLT","OK"))))</f>
        <v>FEHLT</v>
      </c>
      <c r="K355" s="7">
        <f>IF(J355&lt;&gt;"OK","",C355*I355/100)</f>
        <v/>
      </c>
    </row>
    <row r="356" spans="1:11">
      <c r="A356" s="14">
        <v>46146</v>
      </c>
      <c r="B356" s="15">
        <v>0.6458333333333334</v>
      </c>
      <c r="C356" s="5">
        <f>IF('96 Werte'!BL9="","",'96 Werte'!BL9)</f>
        <v/>
      </c>
      <c r="D356" t="str">
        <f>IF(IF(Eingaben!$B$21&lt;Eingaben!$B$22,AND(B356&gt;=Eingaben!$B$21,B356&lt;Eingaben!$B$22),OR(B356&gt;=Eingaben!$B$21,B356&lt;Eingaben!$B$22)),"GO",IF(AND(ISNUMBER(Eingaben!$B$23),ISNUMBER(Eingaben!$B$24),IF(Eingaben!$B$23&lt;Eingaben!$B$24,AND(B356&gt;=Eingaben!$B$23,B356&lt;Eingaben!$B$24),OR(B356&gt;=Eingaben!$B$23,B356&lt;Eingaben!$B$24))),"HEAT","STANDARD"))</f>
        <v>STANDARD</v>
      </c>
      <c r="E356" s="9"/>
      <c r="F356" t="str">
        <f>IF(E356="",D356,E356)</f>
        <v>STANDARD</v>
      </c>
      <c r="G356" t="str">
        <f>INDEX(Netzzeiten!$B$6:$B$29,HOUR(B356)+1)</f>
        <v>ST</v>
      </c>
      <c r="H356" s="6">
        <f>IF(F356="GO",Eingaben!$B$11,IF(F356="STANDARD",Eingaben!$B$12,IF(AND(F356="HEAT",ISNUMBER(Eingaben!$B$13)),Eingaben!$B$13,"")))</f>
        <v>28.2744</v>
      </c>
      <c r="I356" s="6">
        <f>INDEX(Netzzeiten!$C$6:$C$29,HOUR(B356)+1)</f>
        <v>5.48</v>
      </c>
      <c r="J356" t="str">
        <f>IF(C356="","FEHLT",IF(NOT(ISNUMBER(C356)),"MESSWERT UNGUELTIG",IF(C356&lt;0,"MESSWERT UNGUELTIG",IF(H356="","TARIFPREIS FEHLT","OK"))))</f>
        <v>FEHLT</v>
      </c>
      <c r="K356" s="7">
        <f>IF(J356&lt;&gt;"OK","",C356*I356/100)</f>
        <v/>
      </c>
    </row>
    <row r="357" spans="1:11">
      <c r="A357" s="14">
        <v>46146</v>
      </c>
      <c r="B357" s="15">
        <v>0.65625</v>
      </c>
      <c r="C357" s="5">
        <f>IF('96 Werte'!BM9="","",'96 Werte'!BM9)</f>
        <v/>
      </c>
      <c r="D357" t="str">
        <f>IF(IF(Eingaben!$B$21&lt;Eingaben!$B$22,AND(B357&gt;=Eingaben!$B$21,B357&lt;Eingaben!$B$22),OR(B357&gt;=Eingaben!$B$21,B357&lt;Eingaben!$B$22)),"GO",IF(AND(ISNUMBER(Eingaben!$B$23),ISNUMBER(Eingaben!$B$24),IF(Eingaben!$B$23&lt;Eingaben!$B$24,AND(B357&gt;=Eingaben!$B$23,B357&lt;Eingaben!$B$24),OR(B357&gt;=Eingaben!$B$23,B357&lt;Eingaben!$B$24))),"HEAT","STANDARD"))</f>
        <v>STANDARD</v>
      </c>
      <c r="E357" s="9"/>
      <c r="F357" t="str">
        <f>IF(E357="",D357,E357)</f>
        <v>STANDARD</v>
      </c>
      <c r="G357" t="str">
        <f>INDEX(Netzzeiten!$B$6:$B$29,HOUR(B357)+1)</f>
        <v>ST</v>
      </c>
      <c r="H357" s="6">
        <f>IF(F357="GO",Eingaben!$B$11,IF(F357="STANDARD",Eingaben!$B$12,IF(AND(F357="HEAT",ISNUMBER(Eingaben!$B$13)),Eingaben!$B$13,"")))</f>
        <v>28.2744</v>
      </c>
      <c r="I357" s="6">
        <f>INDEX(Netzzeiten!$C$6:$C$29,HOUR(B357)+1)</f>
        <v>5.48</v>
      </c>
      <c r="J357" t="str">
        <f>IF(C357="","FEHLT",IF(NOT(ISNUMBER(C357)),"MESSWERT UNGUELTIG",IF(C357&lt;0,"MESSWERT UNGUELTIG",IF(H357="","TARIFPREIS FEHLT","OK"))))</f>
        <v>FEHLT</v>
      </c>
      <c r="K357" s="7">
        <f>IF(J357&lt;&gt;"OK","",C357*I357/100)</f>
        <v/>
      </c>
    </row>
    <row r="358" spans="1:11">
      <c r="A358" s="14">
        <v>46146</v>
      </c>
      <c r="B358" s="15">
        <v>0.6666666666666666</v>
      </c>
      <c r="C358" s="5">
        <f>IF('96 Werte'!BN9="","",'96 Werte'!BN9)</f>
        <v/>
      </c>
      <c r="D358" t="str">
        <f>IF(IF(Eingaben!$B$21&lt;Eingaben!$B$22,AND(B358&gt;=Eingaben!$B$21,B358&lt;Eingaben!$B$22),OR(B358&gt;=Eingaben!$B$21,B358&lt;Eingaben!$B$22)),"GO",IF(AND(ISNUMBER(Eingaben!$B$23),ISNUMBER(Eingaben!$B$24),IF(Eingaben!$B$23&lt;Eingaben!$B$24,AND(B358&gt;=Eingaben!$B$23,B358&lt;Eingaben!$B$24),OR(B358&gt;=Eingaben!$B$23,B358&lt;Eingaben!$B$24))),"HEAT","STANDARD"))</f>
        <v>STANDARD</v>
      </c>
      <c r="E358" s="9"/>
      <c r="F358" t="str">
        <f>IF(E358="",D358,E358)</f>
        <v>STANDARD</v>
      </c>
      <c r="G358" t="str">
        <f>INDEX(Netzzeiten!$B$6:$B$29,HOUR(B358)+1)</f>
        <v>ST</v>
      </c>
      <c r="H358" s="6">
        <f>IF(F358="GO",Eingaben!$B$11,IF(F358="STANDARD",Eingaben!$B$12,IF(AND(F358="HEAT",ISNUMBER(Eingaben!$B$13)),Eingaben!$B$13,"")))</f>
        <v>28.2744</v>
      </c>
      <c r="I358" s="6">
        <f>INDEX(Netzzeiten!$C$6:$C$29,HOUR(B358)+1)</f>
        <v>5.48</v>
      </c>
      <c r="J358" t="str">
        <f>IF(C358="","FEHLT",IF(NOT(ISNUMBER(C358)),"MESSWERT UNGUELTIG",IF(C358&lt;0,"MESSWERT UNGUELTIG",IF(H358="","TARIFPREIS FEHLT","OK"))))</f>
        <v>FEHLT</v>
      </c>
      <c r="K358" s="7">
        <f>IF(J358&lt;&gt;"OK","",C358*I358/100)</f>
        <v/>
      </c>
    </row>
    <row r="359" spans="1:11">
      <c r="A359" s="14">
        <v>46146</v>
      </c>
      <c r="B359" s="15">
        <v>0.6770833333333334</v>
      </c>
      <c r="C359" s="5">
        <f>IF('96 Werte'!BO9="","",'96 Werte'!BO9)</f>
        <v/>
      </c>
      <c r="D359" t="str">
        <f>IF(IF(Eingaben!$B$21&lt;Eingaben!$B$22,AND(B359&gt;=Eingaben!$B$21,B359&lt;Eingaben!$B$22),OR(B359&gt;=Eingaben!$B$21,B359&lt;Eingaben!$B$22)),"GO",IF(AND(ISNUMBER(Eingaben!$B$23),ISNUMBER(Eingaben!$B$24),IF(Eingaben!$B$23&lt;Eingaben!$B$24,AND(B359&gt;=Eingaben!$B$23,B359&lt;Eingaben!$B$24),OR(B359&gt;=Eingaben!$B$23,B359&lt;Eingaben!$B$24))),"HEAT","STANDARD"))</f>
        <v>STANDARD</v>
      </c>
      <c r="E359" s="9"/>
      <c r="F359" t="str">
        <f>IF(E359="",D359,E359)</f>
        <v>STANDARD</v>
      </c>
      <c r="G359" t="str">
        <f>INDEX(Netzzeiten!$B$6:$B$29,HOUR(B359)+1)</f>
        <v>ST</v>
      </c>
      <c r="H359" s="6">
        <f>IF(F359="GO",Eingaben!$B$11,IF(F359="STANDARD",Eingaben!$B$12,IF(AND(F359="HEAT",ISNUMBER(Eingaben!$B$13)),Eingaben!$B$13,"")))</f>
        <v>28.2744</v>
      </c>
      <c r="I359" s="6">
        <f>INDEX(Netzzeiten!$C$6:$C$29,HOUR(B359)+1)</f>
        <v>5.48</v>
      </c>
      <c r="J359" t="str">
        <f>IF(C359="","FEHLT",IF(NOT(ISNUMBER(C359)),"MESSWERT UNGUELTIG",IF(C359&lt;0,"MESSWERT UNGUELTIG",IF(H359="","TARIFPREIS FEHLT","OK"))))</f>
        <v>FEHLT</v>
      </c>
      <c r="K359" s="7">
        <f>IF(J359&lt;&gt;"OK","",C359*I359/100)</f>
        <v/>
      </c>
    </row>
    <row r="360" spans="1:11">
      <c r="A360" s="14">
        <v>46146</v>
      </c>
      <c r="B360" s="15">
        <v>0.6875</v>
      </c>
      <c r="C360" s="5">
        <f>IF('96 Werte'!BP9="","",'96 Werte'!BP9)</f>
        <v/>
      </c>
      <c r="D360" t="str">
        <f>IF(IF(Eingaben!$B$21&lt;Eingaben!$B$22,AND(B360&gt;=Eingaben!$B$21,B360&lt;Eingaben!$B$22),OR(B360&gt;=Eingaben!$B$21,B360&lt;Eingaben!$B$22)),"GO",IF(AND(ISNUMBER(Eingaben!$B$23),ISNUMBER(Eingaben!$B$24),IF(Eingaben!$B$23&lt;Eingaben!$B$24,AND(B360&gt;=Eingaben!$B$23,B360&lt;Eingaben!$B$24),OR(B360&gt;=Eingaben!$B$23,B360&lt;Eingaben!$B$24))),"HEAT","STANDARD"))</f>
        <v>STANDARD</v>
      </c>
      <c r="E360" s="9"/>
      <c r="F360" t="str">
        <f>IF(E360="",D360,E360)</f>
        <v>STANDARD</v>
      </c>
      <c r="G360" t="str">
        <f>INDEX(Netzzeiten!$B$6:$B$29,HOUR(B360)+1)</f>
        <v>ST</v>
      </c>
      <c r="H360" s="6">
        <f>IF(F360="GO",Eingaben!$B$11,IF(F360="STANDARD",Eingaben!$B$12,IF(AND(F360="HEAT",ISNUMBER(Eingaben!$B$13)),Eingaben!$B$13,"")))</f>
        <v>28.2744</v>
      </c>
      <c r="I360" s="6">
        <f>INDEX(Netzzeiten!$C$6:$C$29,HOUR(B360)+1)</f>
        <v>5.48</v>
      </c>
      <c r="J360" t="str">
        <f>IF(C360="","FEHLT",IF(NOT(ISNUMBER(C360)),"MESSWERT UNGUELTIG",IF(C360&lt;0,"MESSWERT UNGUELTIG",IF(H360="","TARIFPREIS FEHLT","OK"))))</f>
        <v>FEHLT</v>
      </c>
      <c r="K360" s="7">
        <f>IF(J360&lt;&gt;"OK","",C360*I360/100)</f>
        <v/>
      </c>
    </row>
    <row r="361" spans="1:11">
      <c r="A361" s="14">
        <v>46146</v>
      </c>
      <c r="B361" s="15">
        <v>0.6979166666666666</v>
      </c>
      <c r="C361" s="5">
        <f>IF('96 Werte'!BQ9="","",'96 Werte'!BQ9)</f>
        <v/>
      </c>
      <c r="D361" t="str">
        <f>IF(IF(Eingaben!$B$21&lt;Eingaben!$B$22,AND(B361&gt;=Eingaben!$B$21,B361&lt;Eingaben!$B$22),OR(B361&gt;=Eingaben!$B$21,B361&lt;Eingaben!$B$22)),"GO",IF(AND(ISNUMBER(Eingaben!$B$23),ISNUMBER(Eingaben!$B$24),IF(Eingaben!$B$23&lt;Eingaben!$B$24,AND(B361&gt;=Eingaben!$B$23,B361&lt;Eingaben!$B$24),OR(B361&gt;=Eingaben!$B$23,B361&lt;Eingaben!$B$24))),"HEAT","STANDARD"))</f>
        <v>STANDARD</v>
      </c>
      <c r="E361" s="9"/>
      <c r="F361" t="str">
        <f>IF(E361="",D361,E361)</f>
        <v>STANDARD</v>
      </c>
      <c r="G361" t="str">
        <f>INDEX(Netzzeiten!$B$6:$B$29,HOUR(B361)+1)</f>
        <v>ST</v>
      </c>
      <c r="H361" s="6">
        <f>IF(F361="GO",Eingaben!$B$11,IF(F361="STANDARD",Eingaben!$B$12,IF(AND(F361="HEAT",ISNUMBER(Eingaben!$B$13)),Eingaben!$B$13,"")))</f>
        <v>28.2744</v>
      </c>
      <c r="I361" s="6">
        <f>INDEX(Netzzeiten!$C$6:$C$29,HOUR(B361)+1)</f>
        <v>5.48</v>
      </c>
      <c r="J361" t="str">
        <f>IF(C361="","FEHLT",IF(NOT(ISNUMBER(C361)),"MESSWERT UNGUELTIG",IF(C361&lt;0,"MESSWERT UNGUELTIG",IF(H361="","TARIFPREIS FEHLT","OK"))))</f>
        <v>FEHLT</v>
      </c>
      <c r="K361" s="7">
        <f>IF(J361&lt;&gt;"OK","",C361*I361/100)</f>
        <v/>
      </c>
    </row>
    <row r="362" spans="1:11">
      <c r="A362" s="14">
        <v>46146</v>
      </c>
      <c r="B362" s="15">
        <v>0.7083333333333334</v>
      </c>
      <c r="C362" s="5">
        <f>IF('96 Werte'!BR9="","",'96 Werte'!BR9)</f>
        <v/>
      </c>
      <c r="D362" t="str">
        <f>IF(IF(Eingaben!$B$21&lt;Eingaben!$B$22,AND(B362&gt;=Eingaben!$B$21,B362&lt;Eingaben!$B$22),OR(B362&gt;=Eingaben!$B$21,B362&lt;Eingaben!$B$22)),"GO",IF(AND(ISNUMBER(Eingaben!$B$23),ISNUMBER(Eingaben!$B$24),IF(Eingaben!$B$23&lt;Eingaben!$B$24,AND(B362&gt;=Eingaben!$B$23,B362&lt;Eingaben!$B$24),OR(B362&gt;=Eingaben!$B$23,B362&lt;Eingaben!$B$24))),"HEAT","STANDARD"))</f>
        <v>STANDARD</v>
      </c>
      <c r="E362" s="9"/>
      <c r="F362" t="str">
        <f>IF(E362="",D362,E362)</f>
        <v>STANDARD</v>
      </c>
      <c r="G362" t="str">
        <f>INDEX(Netzzeiten!$B$6:$B$29,HOUR(B362)+1)</f>
        <v>HT</v>
      </c>
      <c r="H362" s="6">
        <f>IF(F362="GO",Eingaben!$B$11,IF(F362="STANDARD",Eingaben!$B$12,IF(AND(F362="HEAT",ISNUMBER(Eingaben!$B$13)),Eingaben!$B$13,"")))</f>
        <v>28.2744</v>
      </c>
      <c r="I362" s="6">
        <f>INDEX(Netzzeiten!$C$6:$C$29,HOUR(B362)+1)</f>
        <v>10.52</v>
      </c>
      <c r="J362" t="str">
        <f>IF(C362="","FEHLT",IF(NOT(ISNUMBER(C362)),"MESSWERT UNGUELTIG",IF(C362&lt;0,"MESSWERT UNGUELTIG",IF(H362="","TARIFPREIS FEHLT","OK"))))</f>
        <v>FEHLT</v>
      </c>
      <c r="K362" s="7">
        <f>IF(J362&lt;&gt;"OK","",C362*I362/100)</f>
        <v/>
      </c>
    </row>
    <row r="363" spans="1:11">
      <c r="A363" s="14">
        <v>46146</v>
      </c>
      <c r="B363" s="15">
        <v>0.71875</v>
      </c>
      <c r="C363" s="5">
        <f>IF('96 Werte'!BS9="","",'96 Werte'!BS9)</f>
        <v/>
      </c>
      <c r="D363" t="str">
        <f>IF(IF(Eingaben!$B$21&lt;Eingaben!$B$22,AND(B363&gt;=Eingaben!$B$21,B363&lt;Eingaben!$B$22),OR(B363&gt;=Eingaben!$B$21,B363&lt;Eingaben!$B$22)),"GO",IF(AND(ISNUMBER(Eingaben!$B$23),ISNUMBER(Eingaben!$B$24),IF(Eingaben!$B$23&lt;Eingaben!$B$24,AND(B363&gt;=Eingaben!$B$23,B363&lt;Eingaben!$B$24),OR(B363&gt;=Eingaben!$B$23,B363&lt;Eingaben!$B$24))),"HEAT","STANDARD"))</f>
        <v>STANDARD</v>
      </c>
      <c r="E363" s="9"/>
      <c r="F363" t="str">
        <f>IF(E363="",D363,E363)</f>
        <v>STANDARD</v>
      </c>
      <c r="G363" t="str">
        <f>INDEX(Netzzeiten!$B$6:$B$29,HOUR(B363)+1)</f>
        <v>HT</v>
      </c>
      <c r="H363" s="6">
        <f>IF(F363="GO",Eingaben!$B$11,IF(F363="STANDARD",Eingaben!$B$12,IF(AND(F363="HEAT",ISNUMBER(Eingaben!$B$13)),Eingaben!$B$13,"")))</f>
        <v>28.2744</v>
      </c>
      <c r="I363" s="6">
        <f>INDEX(Netzzeiten!$C$6:$C$29,HOUR(B363)+1)</f>
        <v>10.52</v>
      </c>
      <c r="J363" t="str">
        <f>IF(C363="","FEHLT",IF(NOT(ISNUMBER(C363)),"MESSWERT UNGUELTIG",IF(C363&lt;0,"MESSWERT UNGUELTIG",IF(H363="","TARIFPREIS FEHLT","OK"))))</f>
        <v>FEHLT</v>
      </c>
      <c r="K363" s="7">
        <f>IF(J363&lt;&gt;"OK","",C363*I363/100)</f>
        <v/>
      </c>
    </row>
    <row r="364" spans="1:11">
      <c r="A364" s="14">
        <v>46146</v>
      </c>
      <c r="B364" s="15">
        <v>0.7291666666666666</v>
      </c>
      <c r="C364" s="5">
        <f>IF('96 Werte'!BT9="","",'96 Werte'!BT9)</f>
        <v/>
      </c>
      <c r="D364" t="str">
        <f>IF(IF(Eingaben!$B$21&lt;Eingaben!$B$22,AND(B364&gt;=Eingaben!$B$21,B364&lt;Eingaben!$B$22),OR(B364&gt;=Eingaben!$B$21,B364&lt;Eingaben!$B$22)),"GO",IF(AND(ISNUMBER(Eingaben!$B$23),ISNUMBER(Eingaben!$B$24),IF(Eingaben!$B$23&lt;Eingaben!$B$24,AND(B364&gt;=Eingaben!$B$23,B364&lt;Eingaben!$B$24),OR(B364&gt;=Eingaben!$B$23,B364&lt;Eingaben!$B$24))),"HEAT","STANDARD"))</f>
        <v>STANDARD</v>
      </c>
      <c r="E364" s="9"/>
      <c r="F364" t="str">
        <f>IF(E364="",D364,E364)</f>
        <v>STANDARD</v>
      </c>
      <c r="G364" t="str">
        <f>INDEX(Netzzeiten!$B$6:$B$29,HOUR(B364)+1)</f>
        <v>HT</v>
      </c>
      <c r="H364" s="6">
        <f>IF(F364="GO",Eingaben!$B$11,IF(F364="STANDARD",Eingaben!$B$12,IF(AND(F364="HEAT",ISNUMBER(Eingaben!$B$13)),Eingaben!$B$13,"")))</f>
        <v>28.2744</v>
      </c>
      <c r="I364" s="6">
        <f>INDEX(Netzzeiten!$C$6:$C$29,HOUR(B364)+1)</f>
        <v>10.52</v>
      </c>
      <c r="J364" t="str">
        <f>IF(C364="","FEHLT",IF(NOT(ISNUMBER(C364)),"MESSWERT UNGUELTIG",IF(C364&lt;0,"MESSWERT UNGUELTIG",IF(H364="","TARIFPREIS FEHLT","OK"))))</f>
        <v>FEHLT</v>
      </c>
      <c r="K364" s="7">
        <f>IF(J364&lt;&gt;"OK","",C364*I364/100)</f>
        <v/>
      </c>
    </row>
    <row r="365" spans="1:11">
      <c r="A365" s="14">
        <v>46146</v>
      </c>
      <c r="B365" s="15">
        <v>0.7395833333333334</v>
      </c>
      <c r="C365" s="5">
        <f>IF('96 Werte'!BU9="","",'96 Werte'!BU9)</f>
        <v/>
      </c>
      <c r="D365" t="str">
        <f>IF(IF(Eingaben!$B$21&lt;Eingaben!$B$22,AND(B365&gt;=Eingaben!$B$21,B365&lt;Eingaben!$B$22),OR(B365&gt;=Eingaben!$B$21,B365&lt;Eingaben!$B$22)),"GO",IF(AND(ISNUMBER(Eingaben!$B$23),ISNUMBER(Eingaben!$B$24),IF(Eingaben!$B$23&lt;Eingaben!$B$24,AND(B365&gt;=Eingaben!$B$23,B365&lt;Eingaben!$B$24),OR(B365&gt;=Eingaben!$B$23,B365&lt;Eingaben!$B$24))),"HEAT","STANDARD"))</f>
        <v>STANDARD</v>
      </c>
      <c r="E365" s="9"/>
      <c r="F365" t="str">
        <f>IF(E365="",D365,E365)</f>
        <v>STANDARD</v>
      </c>
      <c r="G365" t="str">
        <f>INDEX(Netzzeiten!$B$6:$B$29,HOUR(B365)+1)</f>
        <v>HT</v>
      </c>
      <c r="H365" s="6">
        <f>IF(F365="GO",Eingaben!$B$11,IF(F365="STANDARD",Eingaben!$B$12,IF(AND(F365="HEAT",ISNUMBER(Eingaben!$B$13)),Eingaben!$B$13,"")))</f>
        <v>28.2744</v>
      </c>
      <c r="I365" s="6">
        <f>INDEX(Netzzeiten!$C$6:$C$29,HOUR(B365)+1)</f>
        <v>10.52</v>
      </c>
      <c r="J365" t="str">
        <f>IF(C365="","FEHLT",IF(NOT(ISNUMBER(C365)),"MESSWERT UNGUELTIG",IF(C365&lt;0,"MESSWERT UNGUELTIG",IF(H365="","TARIFPREIS FEHLT","OK"))))</f>
        <v>FEHLT</v>
      </c>
      <c r="K365" s="7">
        <f>IF(J365&lt;&gt;"OK","",C365*I365/100)</f>
        <v/>
      </c>
    </row>
    <row r="366" spans="1:11">
      <c r="A366" s="14">
        <v>46146</v>
      </c>
      <c r="B366" s="15">
        <v>0.75</v>
      </c>
      <c r="C366" s="5">
        <f>IF('96 Werte'!BV9="","",'96 Werte'!BV9)</f>
        <v/>
      </c>
      <c r="D366" t="str">
        <f>IF(IF(Eingaben!$B$21&lt;Eingaben!$B$22,AND(B366&gt;=Eingaben!$B$21,B366&lt;Eingaben!$B$22),OR(B366&gt;=Eingaben!$B$21,B366&lt;Eingaben!$B$22)),"GO",IF(AND(ISNUMBER(Eingaben!$B$23),ISNUMBER(Eingaben!$B$24),IF(Eingaben!$B$23&lt;Eingaben!$B$24,AND(B366&gt;=Eingaben!$B$23,B366&lt;Eingaben!$B$24),OR(B366&gt;=Eingaben!$B$23,B366&lt;Eingaben!$B$24))),"HEAT","STANDARD"))</f>
        <v>STANDARD</v>
      </c>
      <c r="E366" s="9"/>
      <c r="F366" t="str">
        <f>IF(E366="",D366,E366)</f>
        <v>STANDARD</v>
      </c>
      <c r="G366" t="str">
        <f>INDEX(Netzzeiten!$B$6:$B$29,HOUR(B366)+1)</f>
        <v>HT</v>
      </c>
      <c r="H366" s="6">
        <f>IF(F366="GO",Eingaben!$B$11,IF(F366="STANDARD",Eingaben!$B$12,IF(AND(F366="HEAT",ISNUMBER(Eingaben!$B$13)),Eingaben!$B$13,"")))</f>
        <v>28.2744</v>
      </c>
      <c r="I366" s="6">
        <f>INDEX(Netzzeiten!$C$6:$C$29,HOUR(B366)+1)</f>
        <v>10.52</v>
      </c>
      <c r="J366" t="str">
        <f>IF(C366="","FEHLT",IF(NOT(ISNUMBER(C366)),"MESSWERT UNGUELTIG",IF(C366&lt;0,"MESSWERT UNGUELTIG",IF(H366="","TARIFPREIS FEHLT","OK"))))</f>
        <v>FEHLT</v>
      </c>
      <c r="K366" s="7">
        <f>IF(J366&lt;&gt;"OK","",C366*I366/100)</f>
        <v/>
      </c>
    </row>
    <row r="367" spans="1:11">
      <c r="A367" s="14">
        <v>46146</v>
      </c>
      <c r="B367" s="15">
        <v>0.7604166666666666</v>
      </c>
      <c r="C367" s="5">
        <f>IF('96 Werte'!BW9="","",'96 Werte'!BW9)</f>
        <v/>
      </c>
      <c r="D367" t="str">
        <f>IF(IF(Eingaben!$B$21&lt;Eingaben!$B$22,AND(B367&gt;=Eingaben!$B$21,B367&lt;Eingaben!$B$22),OR(B367&gt;=Eingaben!$B$21,B367&lt;Eingaben!$B$22)),"GO",IF(AND(ISNUMBER(Eingaben!$B$23),ISNUMBER(Eingaben!$B$24),IF(Eingaben!$B$23&lt;Eingaben!$B$24,AND(B367&gt;=Eingaben!$B$23,B367&lt;Eingaben!$B$24),OR(B367&gt;=Eingaben!$B$23,B367&lt;Eingaben!$B$24))),"HEAT","STANDARD"))</f>
        <v>STANDARD</v>
      </c>
      <c r="E367" s="9"/>
      <c r="F367" t="str">
        <f>IF(E367="",D367,E367)</f>
        <v>STANDARD</v>
      </c>
      <c r="G367" t="str">
        <f>INDEX(Netzzeiten!$B$6:$B$29,HOUR(B367)+1)</f>
        <v>HT</v>
      </c>
      <c r="H367" s="6">
        <f>IF(F367="GO",Eingaben!$B$11,IF(F367="STANDARD",Eingaben!$B$12,IF(AND(F367="HEAT",ISNUMBER(Eingaben!$B$13)),Eingaben!$B$13,"")))</f>
        <v>28.2744</v>
      </c>
      <c r="I367" s="6">
        <f>INDEX(Netzzeiten!$C$6:$C$29,HOUR(B367)+1)</f>
        <v>10.52</v>
      </c>
      <c r="J367" t="str">
        <f>IF(C367="","FEHLT",IF(NOT(ISNUMBER(C367)),"MESSWERT UNGUELTIG",IF(C367&lt;0,"MESSWERT UNGUELTIG",IF(H367="","TARIFPREIS FEHLT","OK"))))</f>
        <v>FEHLT</v>
      </c>
      <c r="K367" s="7">
        <f>IF(J367&lt;&gt;"OK","",C367*I367/100)</f>
        <v/>
      </c>
    </row>
    <row r="368" spans="1:11">
      <c r="A368" s="14">
        <v>46146</v>
      </c>
      <c r="B368" s="15">
        <v>0.7708333333333334</v>
      </c>
      <c r="C368" s="5">
        <f>IF('96 Werte'!BX9="","",'96 Werte'!BX9)</f>
        <v/>
      </c>
      <c r="D368" t="str">
        <f>IF(IF(Eingaben!$B$21&lt;Eingaben!$B$22,AND(B368&gt;=Eingaben!$B$21,B368&lt;Eingaben!$B$22),OR(B368&gt;=Eingaben!$B$21,B368&lt;Eingaben!$B$22)),"GO",IF(AND(ISNUMBER(Eingaben!$B$23),ISNUMBER(Eingaben!$B$24),IF(Eingaben!$B$23&lt;Eingaben!$B$24,AND(B368&gt;=Eingaben!$B$23,B368&lt;Eingaben!$B$24),OR(B368&gt;=Eingaben!$B$23,B368&lt;Eingaben!$B$24))),"HEAT","STANDARD"))</f>
        <v>STANDARD</v>
      </c>
      <c r="E368" s="9"/>
      <c r="F368" t="str">
        <f>IF(E368="",D368,E368)</f>
        <v>STANDARD</v>
      </c>
      <c r="G368" t="str">
        <f>INDEX(Netzzeiten!$B$6:$B$29,HOUR(B368)+1)</f>
        <v>HT</v>
      </c>
      <c r="H368" s="6">
        <f>IF(F368="GO",Eingaben!$B$11,IF(F368="STANDARD",Eingaben!$B$12,IF(AND(F368="HEAT",ISNUMBER(Eingaben!$B$13)),Eingaben!$B$13,"")))</f>
        <v>28.2744</v>
      </c>
      <c r="I368" s="6">
        <f>INDEX(Netzzeiten!$C$6:$C$29,HOUR(B368)+1)</f>
        <v>10.52</v>
      </c>
      <c r="J368" t="str">
        <f>IF(C368="","FEHLT",IF(NOT(ISNUMBER(C368)),"MESSWERT UNGUELTIG",IF(C368&lt;0,"MESSWERT UNGUELTIG",IF(H368="","TARIFPREIS FEHLT","OK"))))</f>
        <v>FEHLT</v>
      </c>
      <c r="K368" s="7">
        <f>IF(J368&lt;&gt;"OK","",C368*I368/100)</f>
        <v/>
      </c>
    </row>
    <row r="369" spans="1:11">
      <c r="A369" s="14">
        <v>46146</v>
      </c>
      <c r="B369" s="15">
        <v>0.78125</v>
      </c>
      <c r="C369" s="5">
        <f>IF('96 Werte'!BY9="","",'96 Werte'!BY9)</f>
        <v/>
      </c>
      <c r="D369" t="str">
        <f>IF(IF(Eingaben!$B$21&lt;Eingaben!$B$22,AND(B369&gt;=Eingaben!$B$21,B369&lt;Eingaben!$B$22),OR(B369&gt;=Eingaben!$B$21,B369&lt;Eingaben!$B$22)),"GO",IF(AND(ISNUMBER(Eingaben!$B$23),ISNUMBER(Eingaben!$B$24),IF(Eingaben!$B$23&lt;Eingaben!$B$24,AND(B369&gt;=Eingaben!$B$23,B369&lt;Eingaben!$B$24),OR(B369&gt;=Eingaben!$B$23,B369&lt;Eingaben!$B$24))),"HEAT","STANDARD"))</f>
        <v>STANDARD</v>
      </c>
      <c r="E369" s="9"/>
      <c r="F369" t="str">
        <f>IF(E369="",D369,E369)</f>
        <v>STANDARD</v>
      </c>
      <c r="G369" t="str">
        <f>INDEX(Netzzeiten!$B$6:$B$29,HOUR(B369)+1)</f>
        <v>HT</v>
      </c>
      <c r="H369" s="6">
        <f>IF(F369="GO",Eingaben!$B$11,IF(F369="STANDARD",Eingaben!$B$12,IF(AND(F369="HEAT",ISNUMBER(Eingaben!$B$13)),Eingaben!$B$13,"")))</f>
        <v>28.2744</v>
      </c>
      <c r="I369" s="6">
        <f>INDEX(Netzzeiten!$C$6:$C$29,HOUR(B369)+1)</f>
        <v>10.52</v>
      </c>
      <c r="J369" t="str">
        <f>IF(C369="","FEHLT",IF(NOT(ISNUMBER(C369)),"MESSWERT UNGUELTIG",IF(C369&lt;0,"MESSWERT UNGUELTIG",IF(H369="","TARIFPREIS FEHLT","OK"))))</f>
        <v>FEHLT</v>
      </c>
      <c r="K369" s="7">
        <f>IF(J369&lt;&gt;"OK","",C369*I369/100)</f>
        <v/>
      </c>
    </row>
    <row r="370" spans="1:11">
      <c r="A370" s="14">
        <v>46146</v>
      </c>
      <c r="B370" s="15">
        <v>0.7916666666666666</v>
      </c>
      <c r="C370" s="5">
        <f>IF('96 Werte'!BZ9="","",'96 Werte'!BZ9)</f>
        <v/>
      </c>
      <c r="D370" t="str">
        <f>IF(IF(Eingaben!$B$21&lt;Eingaben!$B$22,AND(B370&gt;=Eingaben!$B$21,B370&lt;Eingaben!$B$22),OR(B370&gt;=Eingaben!$B$21,B370&lt;Eingaben!$B$22)),"GO",IF(AND(ISNUMBER(Eingaben!$B$23),ISNUMBER(Eingaben!$B$24),IF(Eingaben!$B$23&lt;Eingaben!$B$24,AND(B370&gt;=Eingaben!$B$23,B370&lt;Eingaben!$B$24),OR(B370&gt;=Eingaben!$B$23,B370&lt;Eingaben!$B$24))),"HEAT","STANDARD"))</f>
        <v>STANDARD</v>
      </c>
      <c r="E370" s="9"/>
      <c r="F370" t="str">
        <f>IF(E370="",D370,E370)</f>
        <v>STANDARD</v>
      </c>
      <c r="G370" t="str">
        <f>INDEX(Netzzeiten!$B$6:$B$29,HOUR(B370)+1)</f>
        <v>HT</v>
      </c>
      <c r="H370" s="6">
        <f>IF(F370="GO",Eingaben!$B$11,IF(F370="STANDARD",Eingaben!$B$12,IF(AND(F370="HEAT",ISNUMBER(Eingaben!$B$13)),Eingaben!$B$13,"")))</f>
        <v>28.2744</v>
      </c>
      <c r="I370" s="6">
        <f>INDEX(Netzzeiten!$C$6:$C$29,HOUR(B370)+1)</f>
        <v>10.52</v>
      </c>
      <c r="J370" t="str">
        <f>IF(C370="","FEHLT",IF(NOT(ISNUMBER(C370)),"MESSWERT UNGUELTIG",IF(C370&lt;0,"MESSWERT UNGUELTIG",IF(H370="","TARIFPREIS FEHLT","OK"))))</f>
        <v>FEHLT</v>
      </c>
      <c r="K370" s="7">
        <f>IF(J370&lt;&gt;"OK","",C370*I370/100)</f>
        <v/>
      </c>
    </row>
    <row r="371" spans="1:11">
      <c r="A371" s="14">
        <v>46146</v>
      </c>
      <c r="B371" s="15">
        <v>0.8020833333333334</v>
      </c>
      <c r="C371" s="5">
        <f>IF('96 Werte'!CA9="","",'96 Werte'!CA9)</f>
        <v/>
      </c>
      <c r="D371" t="str">
        <f>IF(IF(Eingaben!$B$21&lt;Eingaben!$B$22,AND(B371&gt;=Eingaben!$B$21,B371&lt;Eingaben!$B$22),OR(B371&gt;=Eingaben!$B$21,B371&lt;Eingaben!$B$22)),"GO",IF(AND(ISNUMBER(Eingaben!$B$23),ISNUMBER(Eingaben!$B$24),IF(Eingaben!$B$23&lt;Eingaben!$B$24,AND(B371&gt;=Eingaben!$B$23,B371&lt;Eingaben!$B$24),OR(B371&gt;=Eingaben!$B$23,B371&lt;Eingaben!$B$24))),"HEAT","STANDARD"))</f>
        <v>STANDARD</v>
      </c>
      <c r="E371" s="9"/>
      <c r="F371" t="str">
        <f>IF(E371="",D371,E371)</f>
        <v>STANDARD</v>
      </c>
      <c r="G371" t="str">
        <f>INDEX(Netzzeiten!$B$6:$B$29,HOUR(B371)+1)</f>
        <v>HT</v>
      </c>
      <c r="H371" s="6">
        <f>IF(F371="GO",Eingaben!$B$11,IF(F371="STANDARD",Eingaben!$B$12,IF(AND(F371="HEAT",ISNUMBER(Eingaben!$B$13)),Eingaben!$B$13,"")))</f>
        <v>28.2744</v>
      </c>
      <c r="I371" s="6">
        <f>INDEX(Netzzeiten!$C$6:$C$29,HOUR(B371)+1)</f>
        <v>10.52</v>
      </c>
      <c r="J371" t="str">
        <f>IF(C371="","FEHLT",IF(NOT(ISNUMBER(C371)),"MESSWERT UNGUELTIG",IF(C371&lt;0,"MESSWERT UNGUELTIG",IF(H371="","TARIFPREIS FEHLT","OK"))))</f>
        <v>FEHLT</v>
      </c>
      <c r="K371" s="7">
        <f>IF(J371&lt;&gt;"OK","",C371*I371/100)</f>
        <v/>
      </c>
    </row>
    <row r="372" spans="1:11">
      <c r="A372" s="14">
        <v>46146</v>
      </c>
      <c r="B372" s="15">
        <v>0.8125</v>
      </c>
      <c r="C372" s="5">
        <f>IF('96 Werte'!CB9="","",'96 Werte'!CB9)</f>
        <v/>
      </c>
      <c r="D372" t="str">
        <f>IF(IF(Eingaben!$B$21&lt;Eingaben!$B$22,AND(B372&gt;=Eingaben!$B$21,B372&lt;Eingaben!$B$22),OR(B372&gt;=Eingaben!$B$21,B372&lt;Eingaben!$B$22)),"GO",IF(AND(ISNUMBER(Eingaben!$B$23),ISNUMBER(Eingaben!$B$24),IF(Eingaben!$B$23&lt;Eingaben!$B$24,AND(B372&gt;=Eingaben!$B$23,B372&lt;Eingaben!$B$24),OR(B372&gt;=Eingaben!$B$23,B372&lt;Eingaben!$B$24))),"HEAT","STANDARD"))</f>
        <v>STANDARD</v>
      </c>
      <c r="E372" s="9"/>
      <c r="F372" t="str">
        <f>IF(E372="",D372,E372)</f>
        <v>STANDARD</v>
      </c>
      <c r="G372" t="str">
        <f>INDEX(Netzzeiten!$B$6:$B$29,HOUR(B372)+1)</f>
        <v>HT</v>
      </c>
      <c r="H372" s="6">
        <f>IF(F372="GO",Eingaben!$B$11,IF(F372="STANDARD",Eingaben!$B$12,IF(AND(F372="HEAT",ISNUMBER(Eingaben!$B$13)),Eingaben!$B$13,"")))</f>
        <v>28.2744</v>
      </c>
      <c r="I372" s="6">
        <f>INDEX(Netzzeiten!$C$6:$C$29,HOUR(B372)+1)</f>
        <v>10.52</v>
      </c>
      <c r="J372" t="str">
        <f>IF(C372="","FEHLT",IF(NOT(ISNUMBER(C372)),"MESSWERT UNGUELTIG",IF(C372&lt;0,"MESSWERT UNGUELTIG",IF(H372="","TARIFPREIS FEHLT","OK"))))</f>
        <v>FEHLT</v>
      </c>
      <c r="K372" s="7">
        <f>IF(J372&lt;&gt;"OK","",C372*I372/100)</f>
        <v/>
      </c>
    </row>
    <row r="373" spans="1:11">
      <c r="A373" s="14">
        <v>46146</v>
      </c>
      <c r="B373" s="15">
        <v>0.8229166666666666</v>
      </c>
      <c r="C373" s="5">
        <f>IF('96 Werte'!CC9="","",'96 Werte'!CC9)</f>
        <v/>
      </c>
      <c r="D373" t="str">
        <f>IF(IF(Eingaben!$B$21&lt;Eingaben!$B$22,AND(B373&gt;=Eingaben!$B$21,B373&lt;Eingaben!$B$22),OR(B373&gt;=Eingaben!$B$21,B373&lt;Eingaben!$B$22)),"GO",IF(AND(ISNUMBER(Eingaben!$B$23),ISNUMBER(Eingaben!$B$24),IF(Eingaben!$B$23&lt;Eingaben!$B$24,AND(B373&gt;=Eingaben!$B$23,B373&lt;Eingaben!$B$24),OR(B373&gt;=Eingaben!$B$23,B373&lt;Eingaben!$B$24))),"HEAT","STANDARD"))</f>
        <v>STANDARD</v>
      </c>
      <c r="E373" s="9"/>
      <c r="F373" t="str">
        <f>IF(E373="",D373,E373)</f>
        <v>STANDARD</v>
      </c>
      <c r="G373" t="str">
        <f>INDEX(Netzzeiten!$B$6:$B$29,HOUR(B373)+1)</f>
        <v>HT</v>
      </c>
      <c r="H373" s="6">
        <f>IF(F373="GO",Eingaben!$B$11,IF(F373="STANDARD",Eingaben!$B$12,IF(AND(F373="HEAT",ISNUMBER(Eingaben!$B$13)),Eingaben!$B$13,"")))</f>
        <v>28.2744</v>
      </c>
      <c r="I373" s="6">
        <f>INDEX(Netzzeiten!$C$6:$C$29,HOUR(B373)+1)</f>
        <v>10.52</v>
      </c>
      <c r="J373" t="str">
        <f>IF(C373="","FEHLT",IF(NOT(ISNUMBER(C373)),"MESSWERT UNGUELTIG",IF(C373&lt;0,"MESSWERT UNGUELTIG",IF(H373="","TARIFPREIS FEHLT","OK"))))</f>
        <v>FEHLT</v>
      </c>
      <c r="K373" s="7">
        <f>IF(J373&lt;&gt;"OK","",C373*I373/100)</f>
        <v/>
      </c>
    </row>
    <row r="374" spans="1:11">
      <c r="A374" s="14">
        <v>46146</v>
      </c>
      <c r="B374" s="15">
        <v>0.8333333333333334</v>
      </c>
      <c r="C374" s="5">
        <f>IF('96 Werte'!CD9="","",'96 Werte'!CD9)</f>
        <v/>
      </c>
      <c r="D374" t="str">
        <f>IF(IF(Eingaben!$B$21&lt;Eingaben!$B$22,AND(B374&gt;=Eingaben!$B$21,B374&lt;Eingaben!$B$22),OR(B374&gt;=Eingaben!$B$21,B374&lt;Eingaben!$B$22)),"GO",IF(AND(ISNUMBER(Eingaben!$B$23),ISNUMBER(Eingaben!$B$24),IF(Eingaben!$B$23&lt;Eingaben!$B$24,AND(B374&gt;=Eingaben!$B$23,B374&lt;Eingaben!$B$24),OR(B374&gt;=Eingaben!$B$23,B374&lt;Eingaben!$B$24))),"HEAT","STANDARD"))</f>
        <v>STANDARD</v>
      </c>
      <c r="E374" s="9"/>
      <c r="F374" t="str">
        <f>IF(E374="",D374,E374)</f>
        <v>STANDARD</v>
      </c>
      <c r="G374" t="str">
        <f>INDEX(Netzzeiten!$B$6:$B$29,HOUR(B374)+1)</f>
        <v>HT</v>
      </c>
      <c r="H374" s="6">
        <f>IF(F374="GO",Eingaben!$B$11,IF(F374="STANDARD",Eingaben!$B$12,IF(AND(F374="HEAT",ISNUMBER(Eingaben!$B$13)),Eingaben!$B$13,"")))</f>
        <v>28.2744</v>
      </c>
      <c r="I374" s="6">
        <f>INDEX(Netzzeiten!$C$6:$C$29,HOUR(B374)+1)</f>
        <v>10.52</v>
      </c>
      <c r="J374" t="str">
        <f>IF(C374="","FEHLT",IF(NOT(ISNUMBER(C374)),"MESSWERT UNGUELTIG",IF(C374&lt;0,"MESSWERT UNGUELTIG",IF(H374="","TARIFPREIS FEHLT","OK"))))</f>
        <v>FEHLT</v>
      </c>
      <c r="K374" s="7">
        <f>IF(J374&lt;&gt;"OK","",C374*I374/100)</f>
        <v/>
      </c>
    </row>
    <row r="375" spans="1:11">
      <c r="A375" s="14">
        <v>46146</v>
      </c>
      <c r="B375" s="15">
        <v>0.84375</v>
      </c>
      <c r="C375" s="5">
        <f>IF('96 Werte'!CE9="","",'96 Werte'!CE9)</f>
        <v/>
      </c>
      <c r="D375" t="str">
        <f>IF(IF(Eingaben!$B$21&lt;Eingaben!$B$22,AND(B375&gt;=Eingaben!$B$21,B375&lt;Eingaben!$B$22),OR(B375&gt;=Eingaben!$B$21,B375&lt;Eingaben!$B$22)),"GO",IF(AND(ISNUMBER(Eingaben!$B$23),ISNUMBER(Eingaben!$B$24),IF(Eingaben!$B$23&lt;Eingaben!$B$24,AND(B375&gt;=Eingaben!$B$23,B375&lt;Eingaben!$B$24),OR(B375&gt;=Eingaben!$B$23,B375&lt;Eingaben!$B$24))),"HEAT","STANDARD"))</f>
        <v>STANDARD</v>
      </c>
      <c r="E375" s="9"/>
      <c r="F375" t="str">
        <f>IF(E375="",D375,E375)</f>
        <v>STANDARD</v>
      </c>
      <c r="G375" t="str">
        <f>INDEX(Netzzeiten!$B$6:$B$29,HOUR(B375)+1)</f>
        <v>HT</v>
      </c>
      <c r="H375" s="6">
        <f>IF(F375="GO",Eingaben!$B$11,IF(F375="STANDARD",Eingaben!$B$12,IF(AND(F375="HEAT",ISNUMBER(Eingaben!$B$13)),Eingaben!$B$13,"")))</f>
        <v>28.2744</v>
      </c>
      <c r="I375" s="6">
        <f>INDEX(Netzzeiten!$C$6:$C$29,HOUR(B375)+1)</f>
        <v>10.52</v>
      </c>
      <c r="J375" t="str">
        <f>IF(C375="","FEHLT",IF(NOT(ISNUMBER(C375)),"MESSWERT UNGUELTIG",IF(C375&lt;0,"MESSWERT UNGUELTIG",IF(H375="","TARIFPREIS FEHLT","OK"))))</f>
        <v>FEHLT</v>
      </c>
      <c r="K375" s="7">
        <f>IF(J375&lt;&gt;"OK","",C375*I375/100)</f>
        <v/>
      </c>
    </row>
    <row r="376" spans="1:11">
      <c r="A376" s="14">
        <v>46146</v>
      </c>
      <c r="B376" s="15">
        <v>0.8541666666666666</v>
      </c>
      <c r="C376" s="5">
        <f>IF('96 Werte'!CF9="","",'96 Werte'!CF9)</f>
        <v/>
      </c>
      <c r="D376" t="str">
        <f>IF(IF(Eingaben!$B$21&lt;Eingaben!$B$22,AND(B376&gt;=Eingaben!$B$21,B376&lt;Eingaben!$B$22),OR(B376&gt;=Eingaben!$B$21,B376&lt;Eingaben!$B$22)),"GO",IF(AND(ISNUMBER(Eingaben!$B$23),ISNUMBER(Eingaben!$B$24),IF(Eingaben!$B$23&lt;Eingaben!$B$24,AND(B376&gt;=Eingaben!$B$23,B376&lt;Eingaben!$B$24),OR(B376&gt;=Eingaben!$B$23,B376&lt;Eingaben!$B$24))),"HEAT","STANDARD"))</f>
        <v>STANDARD</v>
      </c>
      <c r="E376" s="9"/>
      <c r="F376" t="str">
        <f>IF(E376="",D376,E376)</f>
        <v>STANDARD</v>
      </c>
      <c r="G376" t="str">
        <f>INDEX(Netzzeiten!$B$6:$B$29,HOUR(B376)+1)</f>
        <v>HT</v>
      </c>
      <c r="H376" s="6">
        <f>IF(F376="GO",Eingaben!$B$11,IF(F376="STANDARD",Eingaben!$B$12,IF(AND(F376="HEAT",ISNUMBER(Eingaben!$B$13)),Eingaben!$B$13,"")))</f>
        <v>28.2744</v>
      </c>
      <c r="I376" s="6">
        <f>INDEX(Netzzeiten!$C$6:$C$29,HOUR(B376)+1)</f>
        <v>10.52</v>
      </c>
      <c r="J376" t="str">
        <f>IF(C376="","FEHLT",IF(NOT(ISNUMBER(C376)),"MESSWERT UNGUELTIG",IF(C376&lt;0,"MESSWERT UNGUELTIG",IF(H376="","TARIFPREIS FEHLT","OK"))))</f>
        <v>FEHLT</v>
      </c>
      <c r="K376" s="7">
        <f>IF(J376&lt;&gt;"OK","",C376*I376/100)</f>
        <v/>
      </c>
    </row>
    <row r="377" spans="1:11">
      <c r="A377" s="14">
        <v>46146</v>
      </c>
      <c r="B377" s="15">
        <v>0.8645833333333334</v>
      </c>
      <c r="C377" s="5">
        <f>IF('96 Werte'!CG9="","",'96 Werte'!CG9)</f>
        <v/>
      </c>
      <c r="D377" t="str">
        <f>IF(IF(Eingaben!$B$21&lt;Eingaben!$B$22,AND(B377&gt;=Eingaben!$B$21,B377&lt;Eingaben!$B$22),OR(B377&gt;=Eingaben!$B$21,B377&lt;Eingaben!$B$22)),"GO",IF(AND(ISNUMBER(Eingaben!$B$23),ISNUMBER(Eingaben!$B$24),IF(Eingaben!$B$23&lt;Eingaben!$B$24,AND(B377&gt;=Eingaben!$B$23,B377&lt;Eingaben!$B$24),OR(B377&gt;=Eingaben!$B$23,B377&lt;Eingaben!$B$24))),"HEAT","STANDARD"))</f>
        <v>STANDARD</v>
      </c>
      <c r="E377" s="9"/>
      <c r="F377" t="str">
        <f>IF(E377="",D377,E377)</f>
        <v>STANDARD</v>
      </c>
      <c r="G377" t="str">
        <f>INDEX(Netzzeiten!$B$6:$B$29,HOUR(B377)+1)</f>
        <v>HT</v>
      </c>
      <c r="H377" s="6">
        <f>IF(F377="GO",Eingaben!$B$11,IF(F377="STANDARD",Eingaben!$B$12,IF(AND(F377="HEAT",ISNUMBER(Eingaben!$B$13)),Eingaben!$B$13,"")))</f>
        <v>28.2744</v>
      </c>
      <c r="I377" s="6">
        <f>INDEX(Netzzeiten!$C$6:$C$29,HOUR(B377)+1)</f>
        <v>10.52</v>
      </c>
      <c r="J377" t="str">
        <f>IF(C377="","FEHLT",IF(NOT(ISNUMBER(C377)),"MESSWERT UNGUELTIG",IF(C377&lt;0,"MESSWERT UNGUELTIG",IF(H377="","TARIFPREIS FEHLT","OK"))))</f>
        <v>FEHLT</v>
      </c>
      <c r="K377" s="7">
        <f>IF(J377&lt;&gt;"OK","",C377*I377/100)</f>
        <v/>
      </c>
    </row>
    <row r="378" spans="1:11">
      <c r="A378" s="14">
        <v>46146</v>
      </c>
      <c r="B378" s="15">
        <v>0.875</v>
      </c>
      <c r="C378" s="5">
        <f>IF('96 Werte'!CH9="","",'96 Werte'!CH9)</f>
        <v/>
      </c>
      <c r="D378" t="str">
        <f>IF(IF(Eingaben!$B$21&lt;Eingaben!$B$22,AND(B378&gt;=Eingaben!$B$21,B378&lt;Eingaben!$B$22),OR(B378&gt;=Eingaben!$B$21,B378&lt;Eingaben!$B$22)),"GO",IF(AND(ISNUMBER(Eingaben!$B$23),ISNUMBER(Eingaben!$B$24),IF(Eingaben!$B$23&lt;Eingaben!$B$24,AND(B378&gt;=Eingaben!$B$23,B378&lt;Eingaben!$B$24),OR(B378&gt;=Eingaben!$B$23,B378&lt;Eingaben!$B$24))),"HEAT","STANDARD"))</f>
        <v>STANDARD</v>
      </c>
      <c r="E378" s="9"/>
      <c r="F378" t="str">
        <f>IF(E378="",D378,E378)</f>
        <v>STANDARD</v>
      </c>
      <c r="G378" t="str">
        <f>INDEX(Netzzeiten!$B$6:$B$29,HOUR(B378)+1)</f>
        <v>HT</v>
      </c>
      <c r="H378" s="6">
        <f>IF(F378="GO",Eingaben!$B$11,IF(F378="STANDARD",Eingaben!$B$12,IF(AND(F378="HEAT",ISNUMBER(Eingaben!$B$13)),Eingaben!$B$13,"")))</f>
        <v>28.2744</v>
      </c>
      <c r="I378" s="6">
        <f>INDEX(Netzzeiten!$C$6:$C$29,HOUR(B378)+1)</f>
        <v>10.52</v>
      </c>
      <c r="J378" t="str">
        <f>IF(C378="","FEHLT",IF(NOT(ISNUMBER(C378)),"MESSWERT UNGUELTIG",IF(C378&lt;0,"MESSWERT UNGUELTIG",IF(H378="","TARIFPREIS FEHLT","OK"))))</f>
        <v>FEHLT</v>
      </c>
      <c r="K378" s="7">
        <f>IF(J378&lt;&gt;"OK","",C378*I378/100)</f>
        <v/>
      </c>
    </row>
    <row r="379" spans="1:11">
      <c r="A379" s="14">
        <v>46146</v>
      </c>
      <c r="B379" s="15">
        <v>0.8854166666666666</v>
      </c>
      <c r="C379" s="5">
        <f>IF('96 Werte'!CI9="","",'96 Werte'!CI9)</f>
        <v/>
      </c>
      <c r="D379" t="str">
        <f>IF(IF(Eingaben!$B$21&lt;Eingaben!$B$22,AND(B379&gt;=Eingaben!$B$21,B379&lt;Eingaben!$B$22),OR(B379&gt;=Eingaben!$B$21,B379&lt;Eingaben!$B$22)),"GO",IF(AND(ISNUMBER(Eingaben!$B$23),ISNUMBER(Eingaben!$B$24),IF(Eingaben!$B$23&lt;Eingaben!$B$24,AND(B379&gt;=Eingaben!$B$23,B379&lt;Eingaben!$B$24),OR(B379&gt;=Eingaben!$B$23,B379&lt;Eingaben!$B$24))),"HEAT","STANDARD"))</f>
        <v>STANDARD</v>
      </c>
      <c r="E379" s="9"/>
      <c r="F379" t="str">
        <f>IF(E379="",D379,E379)</f>
        <v>STANDARD</v>
      </c>
      <c r="G379" t="str">
        <f>INDEX(Netzzeiten!$B$6:$B$29,HOUR(B379)+1)</f>
        <v>HT</v>
      </c>
      <c r="H379" s="6">
        <f>IF(F379="GO",Eingaben!$B$11,IF(F379="STANDARD",Eingaben!$B$12,IF(AND(F379="HEAT",ISNUMBER(Eingaben!$B$13)),Eingaben!$B$13,"")))</f>
        <v>28.2744</v>
      </c>
      <c r="I379" s="6">
        <f>INDEX(Netzzeiten!$C$6:$C$29,HOUR(B379)+1)</f>
        <v>10.52</v>
      </c>
      <c r="J379" t="str">
        <f>IF(C379="","FEHLT",IF(NOT(ISNUMBER(C379)),"MESSWERT UNGUELTIG",IF(C379&lt;0,"MESSWERT UNGUELTIG",IF(H379="","TARIFPREIS FEHLT","OK"))))</f>
        <v>FEHLT</v>
      </c>
      <c r="K379" s="7">
        <f>IF(J379&lt;&gt;"OK","",C379*I379/100)</f>
        <v/>
      </c>
    </row>
    <row r="380" spans="1:11">
      <c r="A380" s="14">
        <v>46146</v>
      </c>
      <c r="B380" s="15">
        <v>0.8958333333333334</v>
      </c>
      <c r="C380" s="5">
        <f>IF('96 Werte'!CJ9="","",'96 Werte'!CJ9)</f>
        <v/>
      </c>
      <c r="D380" t="str">
        <f>IF(IF(Eingaben!$B$21&lt;Eingaben!$B$22,AND(B380&gt;=Eingaben!$B$21,B380&lt;Eingaben!$B$22),OR(B380&gt;=Eingaben!$B$21,B380&lt;Eingaben!$B$22)),"GO",IF(AND(ISNUMBER(Eingaben!$B$23),ISNUMBER(Eingaben!$B$24),IF(Eingaben!$B$23&lt;Eingaben!$B$24,AND(B380&gt;=Eingaben!$B$23,B380&lt;Eingaben!$B$24),OR(B380&gt;=Eingaben!$B$23,B380&lt;Eingaben!$B$24))),"HEAT","STANDARD"))</f>
        <v>STANDARD</v>
      </c>
      <c r="E380" s="9"/>
      <c r="F380" t="str">
        <f>IF(E380="",D380,E380)</f>
        <v>STANDARD</v>
      </c>
      <c r="G380" t="str">
        <f>INDEX(Netzzeiten!$B$6:$B$29,HOUR(B380)+1)</f>
        <v>HT</v>
      </c>
      <c r="H380" s="6">
        <f>IF(F380="GO",Eingaben!$B$11,IF(F380="STANDARD",Eingaben!$B$12,IF(AND(F380="HEAT",ISNUMBER(Eingaben!$B$13)),Eingaben!$B$13,"")))</f>
        <v>28.2744</v>
      </c>
      <c r="I380" s="6">
        <f>INDEX(Netzzeiten!$C$6:$C$29,HOUR(B380)+1)</f>
        <v>10.52</v>
      </c>
      <c r="J380" t="str">
        <f>IF(C380="","FEHLT",IF(NOT(ISNUMBER(C380)),"MESSWERT UNGUELTIG",IF(C380&lt;0,"MESSWERT UNGUELTIG",IF(H380="","TARIFPREIS FEHLT","OK"))))</f>
        <v>FEHLT</v>
      </c>
      <c r="K380" s="7">
        <f>IF(J380&lt;&gt;"OK","",C380*I380/100)</f>
        <v/>
      </c>
    </row>
    <row r="381" spans="1:11">
      <c r="A381" s="14">
        <v>46146</v>
      </c>
      <c r="B381" s="15">
        <v>0.90625</v>
      </c>
      <c r="C381" s="5">
        <f>IF('96 Werte'!CK9="","",'96 Werte'!CK9)</f>
        <v/>
      </c>
      <c r="D381" t="str">
        <f>IF(IF(Eingaben!$B$21&lt;Eingaben!$B$22,AND(B381&gt;=Eingaben!$B$21,B381&lt;Eingaben!$B$22),OR(B381&gt;=Eingaben!$B$21,B381&lt;Eingaben!$B$22)),"GO",IF(AND(ISNUMBER(Eingaben!$B$23),ISNUMBER(Eingaben!$B$24),IF(Eingaben!$B$23&lt;Eingaben!$B$24,AND(B381&gt;=Eingaben!$B$23,B381&lt;Eingaben!$B$24),OR(B381&gt;=Eingaben!$B$23,B381&lt;Eingaben!$B$24))),"HEAT","STANDARD"))</f>
        <v>STANDARD</v>
      </c>
      <c r="E381" s="9"/>
      <c r="F381" t="str">
        <f>IF(E381="",D381,E381)</f>
        <v>STANDARD</v>
      </c>
      <c r="G381" t="str">
        <f>INDEX(Netzzeiten!$B$6:$B$29,HOUR(B381)+1)</f>
        <v>HT</v>
      </c>
      <c r="H381" s="6">
        <f>IF(F381="GO",Eingaben!$B$11,IF(F381="STANDARD",Eingaben!$B$12,IF(AND(F381="HEAT",ISNUMBER(Eingaben!$B$13)),Eingaben!$B$13,"")))</f>
        <v>28.2744</v>
      </c>
      <c r="I381" s="6">
        <f>INDEX(Netzzeiten!$C$6:$C$29,HOUR(B381)+1)</f>
        <v>10.52</v>
      </c>
      <c r="J381" t="str">
        <f>IF(C381="","FEHLT",IF(NOT(ISNUMBER(C381)),"MESSWERT UNGUELTIG",IF(C381&lt;0,"MESSWERT UNGUELTIG",IF(H381="","TARIFPREIS FEHLT","OK"))))</f>
        <v>FEHLT</v>
      </c>
      <c r="K381" s="7">
        <f>IF(J381&lt;&gt;"OK","",C381*I381/100)</f>
        <v/>
      </c>
    </row>
    <row r="382" spans="1:11">
      <c r="A382" s="14">
        <v>46146</v>
      </c>
      <c r="B382" s="15">
        <v>0.9166666666666666</v>
      </c>
      <c r="C382" s="5">
        <f>IF('96 Werte'!CL9="","",'96 Werte'!CL9)</f>
        <v/>
      </c>
      <c r="D382" t="str">
        <f>IF(IF(Eingaben!$B$21&lt;Eingaben!$B$22,AND(B382&gt;=Eingaben!$B$21,B382&lt;Eingaben!$B$22),OR(B382&gt;=Eingaben!$B$21,B382&lt;Eingaben!$B$22)),"GO",IF(AND(ISNUMBER(Eingaben!$B$23),ISNUMBER(Eingaben!$B$24),IF(Eingaben!$B$23&lt;Eingaben!$B$24,AND(B382&gt;=Eingaben!$B$23,B382&lt;Eingaben!$B$24),OR(B382&gt;=Eingaben!$B$23,B382&lt;Eingaben!$B$24))),"HEAT","STANDARD"))</f>
        <v>STANDARD</v>
      </c>
      <c r="E382" s="9"/>
      <c r="F382" t="str">
        <f>IF(E382="",D382,E382)</f>
        <v>STANDARD</v>
      </c>
      <c r="G382" t="str">
        <f>INDEX(Netzzeiten!$B$6:$B$29,HOUR(B382)+1)</f>
        <v>ST</v>
      </c>
      <c r="H382" s="6">
        <f>IF(F382="GO",Eingaben!$B$11,IF(F382="STANDARD",Eingaben!$B$12,IF(AND(F382="HEAT",ISNUMBER(Eingaben!$B$13)),Eingaben!$B$13,"")))</f>
        <v>28.2744</v>
      </c>
      <c r="I382" s="6">
        <f>INDEX(Netzzeiten!$C$6:$C$29,HOUR(B382)+1)</f>
        <v>5.48</v>
      </c>
      <c r="J382" t="str">
        <f>IF(C382="","FEHLT",IF(NOT(ISNUMBER(C382)),"MESSWERT UNGUELTIG",IF(C382&lt;0,"MESSWERT UNGUELTIG",IF(H382="","TARIFPREIS FEHLT","OK"))))</f>
        <v>FEHLT</v>
      </c>
      <c r="K382" s="7">
        <f>IF(J382&lt;&gt;"OK","",C382*I382/100)</f>
        <v/>
      </c>
    </row>
    <row r="383" spans="1:11">
      <c r="A383" s="14">
        <v>46146</v>
      </c>
      <c r="B383" s="15">
        <v>0.9270833333333334</v>
      </c>
      <c r="C383" s="5">
        <f>IF('96 Werte'!CM9="","",'96 Werte'!CM9)</f>
        <v/>
      </c>
      <c r="D383" t="str">
        <f>IF(IF(Eingaben!$B$21&lt;Eingaben!$B$22,AND(B383&gt;=Eingaben!$B$21,B383&lt;Eingaben!$B$22),OR(B383&gt;=Eingaben!$B$21,B383&lt;Eingaben!$B$22)),"GO",IF(AND(ISNUMBER(Eingaben!$B$23),ISNUMBER(Eingaben!$B$24),IF(Eingaben!$B$23&lt;Eingaben!$B$24,AND(B383&gt;=Eingaben!$B$23,B383&lt;Eingaben!$B$24),OR(B383&gt;=Eingaben!$B$23,B383&lt;Eingaben!$B$24))),"HEAT","STANDARD"))</f>
        <v>STANDARD</v>
      </c>
      <c r="E383" s="9"/>
      <c r="F383" t="str">
        <f>IF(E383="",D383,E383)</f>
        <v>STANDARD</v>
      </c>
      <c r="G383" t="str">
        <f>INDEX(Netzzeiten!$B$6:$B$29,HOUR(B383)+1)</f>
        <v>ST</v>
      </c>
      <c r="H383" s="6">
        <f>IF(F383="GO",Eingaben!$B$11,IF(F383="STANDARD",Eingaben!$B$12,IF(AND(F383="HEAT",ISNUMBER(Eingaben!$B$13)),Eingaben!$B$13,"")))</f>
        <v>28.2744</v>
      </c>
      <c r="I383" s="6">
        <f>INDEX(Netzzeiten!$C$6:$C$29,HOUR(B383)+1)</f>
        <v>5.48</v>
      </c>
      <c r="J383" t="str">
        <f>IF(C383="","FEHLT",IF(NOT(ISNUMBER(C383)),"MESSWERT UNGUELTIG",IF(C383&lt;0,"MESSWERT UNGUELTIG",IF(H383="","TARIFPREIS FEHLT","OK"))))</f>
        <v>FEHLT</v>
      </c>
      <c r="K383" s="7">
        <f>IF(J383&lt;&gt;"OK","",C383*I383/100)</f>
        <v/>
      </c>
    </row>
    <row r="384" spans="1:11">
      <c r="A384" s="14">
        <v>46146</v>
      </c>
      <c r="B384" s="15">
        <v>0.9375</v>
      </c>
      <c r="C384" s="5">
        <f>IF('96 Werte'!CN9="","",'96 Werte'!CN9)</f>
        <v/>
      </c>
      <c r="D384" t="str">
        <f>IF(IF(Eingaben!$B$21&lt;Eingaben!$B$22,AND(B384&gt;=Eingaben!$B$21,B384&lt;Eingaben!$B$22),OR(B384&gt;=Eingaben!$B$21,B384&lt;Eingaben!$B$22)),"GO",IF(AND(ISNUMBER(Eingaben!$B$23),ISNUMBER(Eingaben!$B$24),IF(Eingaben!$B$23&lt;Eingaben!$B$24,AND(B384&gt;=Eingaben!$B$23,B384&lt;Eingaben!$B$24),OR(B384&gt;=Eingaben!$B$23,B384&lt;Eingaben!$B$24))),"HEAT","STANDARD"))</f>
        <v>STANDARD</v>
      </c>
      <c r="E384" s="9"/>
      <c r="F384" t="str">
        <f>IF(E384="",D384,E384)</f>
        <v>STANDARD</v>
      </c>
      <c r="G384" t="str">
        <f>INDEX(Netzzeiten!$B$6:$B$29,HOUR(B384)+1)</f>
        <v>ST</v>
      </c>
      <c r="H384" s="6">
        <f>IF(F384="GO",Eingaben!$B$11,IF(F384="STANDARD",Eingaben!$B$12,IF(AND(F384="HEAT",ISNUMBER(Eingaben!$B$13)),Eingaben!$B$13,"")))</f>
        <v>28.2744</v>
      </c>
      <c r="I384" s="6">
        <f>INDEX(Netzzeiten!$C$6:$C$29,HOUR(B384)+1)</f>
        <v>5.48</v>
      </c>
      <c r="J384" t="str">
        <f>IF(C384="","FEHLT",IF(NOT(ISNUMBER(C384)),"MESSWERT UNGUELTIG",IF(C384&lt;0,"MESSWERT UNGUELTIG",IF(H384="","TARIFPREIS FEHLT","OK"))))</f>
        <v>FEHLT</v>
      </c>
      <c r="K384" s="7">
        <f>IF(J384&lt;&gt;"OK","",C384*I384/100)</f>
        <v/>
      </c>
    </row>
    <row r="385" spans="1:11">
      <c r="A385" s="14">
        <v>46146</v>
      </c>
      <c r="B385" s="15">
        <v>0.9479166666666666</v>
      </c>
      <c r="C385" s="5">
        <f>IF('96 Werte'!CO9="","",'96 Werte'!CO9)</f>
        <v/>
      </c>
      <c r="D385" t="str">
        <f>IF(IF(Eingaben!$B$21&lt;Eingaben!$B$22,AND(B385&gt;=Eingaben!$B$21,B385&lt;Eingaben!$B$22),OR(B385&gt;=Eingaben!$B$21,B385&lt;Eingaben!$B$22)),"GO",IF(AND(ISNUMBER(Eingaben!$B$23),ISNUMBER(Eingaben!$B$24),IF(Eingaben!$B$23&lt;Eingaben!$B$24,AND(B385&gt;=Eingaben!$B$23,B385&lt;Eingaben!$B$24),OR(B385&gt;=Eingaben!$B$23,B385&lt;Eingaben!$B$24))),"HEAT","STANDARD"))</f>
        <v>STANDARD</v>
      </c>
      <c r="E385" s="9"/>
      <c r="F385" t="str">
        <f>IF(E385="",D385,E385)</f>
        <v>STANDARD</v>
      </c>
      <c r="G385" t="str">
        <f>INDEX(Netzzeiten!$B$6:$B$29,HOUR(B385)+1)</f>
        <v>ST</v>
      </c>
      <c r="H385" s="6">
        <f>IF(F385="GO",Eingaben!$B$11,IF(F385="STANDARD",Eingaben!$B$12,IF(AND(F385="HEAT",ISNUMBER(Eingaben!$B$13)),Eingaben!$B$13,"")))</f>
        <v>28.2744</v>
      </c>
      <c r="I385" s="6">
        <f>INDEX(Netzzeiten!$C$6:$C$29,HOUR(B385)+1)</f>
        <v>5.48</v>
      </c>
      <c r="J385" t="str">
        <f>IF(C385="","FEHLT",IF(NOT(ISNUMBER(C385)),"MESSWERT UNGUELTIG",IF(C385&lt;0,"MESSWERT UNGUELTIG",IF(H385="","TARIFPREIS FEHLT","OK"))))</f>
        <v>FEHLT</v>
      </c>
      <c r="K385" s="7">
        <f>IF(J385&lt;&gt;"OK","",C385*I385/100)</f>
        <v/>
      </c>
    </row>
    <row r="386" spans="1:11">
      <c r="A386" s="14">
        <v>46146</v>
      </c>
      <c r="B386" s="15">
        <v>0.9583333333333334</v>
      </c>
      <c r="C386" s="5">
        <f>IF('96 Werte'!CP9="","",'96 Werte'!CP9)</f>
        <v/>
      </c>
      <c r="D386" t="str">
        <f>IF(IF(Eingaben!$B$21&lt;Eingaben!$B$22,AND(B386&gt;=Eingaben!$B$21,B386&lt;Eingaben!$B$22),OR(B386&gt;=Eingaben!$B$21,B386&lt;Eingaben!$B$22)),"GO",IF(AND(ISNUMBER(Eingaben!$B$23),ISNUMBER(Eingaben!$B$24),IF(Eingaben!$B$23&lt;Eingaben!$B$24,AND(B386&gt;=Eingaben!$B$23,B386&lt;Eingaben!$B$24),OR(B386&gt;=Eingaben!$B$23,B386&lt;Eingaben!$B$24))),"HEAT","STANDARD"))</f>
        <v>STANDARD</v>
      </c>
      <c r="E386" s="9"/>
      <c r="F386" t="str">
        <f>IF(E386="",D386,E386)</f>
        <v>STANDARD</v>
      </c>
      <c r="G386" t="str">
        <f>INDEX(Netzzeiten!$B$6:$B$29,HOUR(B386)+1)</f>
        <v>NT</v>
      </c>
      <c r="H386" s="6">
        <f>IF(F386="GO",Eingaben!$B$11,IF(F386="STANDARD",Eingaben!$B$12,IF(AND(F386="HEAT",ISNUMBER(Eingaben!$B$13)),Eingaben!$B$13,"")))</f>
        <v>28.2744</v>
      </c>
      <c r="I386" s="6">
        <f>INDEX(Netzzeiten!$C$6:$C$29,HOUR(B386)+1)</f>
        <v>1.64</v>
      </c>
      <c r="J386" t="str">
        <f>IF(C386="","FEHLT",IF(NOT(ISNUMBER(C386)),"MESSWERT UNGUELTIG",IF(C386&lt;0,"MESSWERT UNGUELTIG",IF(H386="","TARIFPREIS FEHLT","OK"))))</f>
        <v>FEHLT</v>
      </c>
      <c r="K386" s="7">
        <f>IF(J386&lt;&gt;"OK","",C386*I386/100)</f>
        <v/>
      </c>
    </row>
    <row r="387" spans="1:11">
      <c r="A387" s="14">
        <v>46146</v>
      </c>
      <c r="B387" s="15">
        <v>0.96875</v>
      </c>
      <c r="C387" s="5">
        <f>IF('96 Werte'!CQ9="","",'96 Werte'!CQ9)</f>
        <v/>
      </c>
      <c r="D387" t="str">
        <f>IF(IF(Eingaben!$B$21&lt;Eingaben!$B$22,AND(B387&gt;=Eingaben!$B$21,B387&lt;Eingaben!$B$22),OR(B387&gt;=Eingaben!$B$21,B387&lt;Eingaben!$B$22)),"GO",IF(AND(ISNUMBER(Eingaben!$B$23),ISNUMBER(Eingaben!$B$24),IF(Eingaben!$B$23&lt;Eingaben!$B$24,AND(B387&gt;=Eingaben!$B$23,B387&lt;Eingaben!$B$24),OR(B387&gt;=Eingaben!$B$23,B387&lt;Eingaben!$B$24))),"HEAT","STANDARD"))</f>
        <v>STANDARD</v>
      </c>
      <c r="E387" s="9"/>
      <c r="F387" t="str">
        <f>IF(E387="",D387,E387)</f>
        <v>STANDARD</v>
      </c>
      <c r="G387" t="str">
        <f>INDEX(Netzzeiten!$B$6:$B$29,HOUR(B387)+1)</f>
        <v>NT</v>
      </c>
      <c r="H387" s="6">
        <f>IF(F387="GO",Eingaben!$B$11,IF(F387="STANDARD",Eingaben!$B$12,IF(AND(F387="HEAT",ISNUMBER(Eingaben!$B$13)),Eingaben!$B$13,"")))</f>
        <v>28.2744</v>
      </c>
      <c r="I387" s="6">
        <f>INDEX(Netzzeiten!$C$6:$C$29,HOUR(B387)+1)</f>
        <v>1.64</v>
      </c>
      <c r="J387" t="str">
        <f>IF(C387="","FEHLT",IF(NOT(ISNUMBER(C387)),"MESSWERT UNGUELTIG",IF(C387&lt;0,"MESSWERT UNGUELTIG",IF(H387="","TARIFPREIS FEHLT","OK"))))</f>
        <v>FEHLT</v>
      </c>
      <c r="K387" s="7">
        <f>IF(J387&lt;&gt;"OK","",C387*I387/100)</f>
        <v/>
      </c>
    </row>
    <row r="388" spans="1:11">
      <c r="A388" s="14">
        <v>46146</v>
      </c>
      <c r="B388" s="15">
        <v>0.9791666666666666</v>
      </c>
      <c r="C388" s="5">
        <f>IF('96 Werte'!CR9="","",'96 Werte'!CR9)</f>
        <v/>
      </c>
      <c r="D388" t="str">
        <f>IF(IF(Eingaben!$B$21&lt;Eingaben!$B$22,AND(B388&gt;=Eingaben!$B$21,B388&lt;Eingaben!$B$22),OR(B388&gt;=Eingaben!$B$21,B388&lt;Eingaben!$B$22)),"GO",IF(AND(ISNUMBER(Eingaben!$B$23),ISNUMBER(Eingaben!$B$24),IF(Eingaben!$B$23&lt;Eingaben!$B$24,AND(B388&gt;=Eingaben!$B$23,B388&lt;Eingaben!$B$24),OR(B388&gt;=Eingaben!$B$23,B388&lt;Eingaben!$B$24))),"HEAT","STANDARD"))</f>
        <v>STANDARD</v>
      </c>
      <c r="E388" s="9"/>
      <c r="F388" t="str">
        <f>IF(E388="",D388,E388)</f>
        <v>STANDARD</v>
      </c>
      <c r="G388" t="str">
        <f>INDEX(Netzzeiten!$B$6:$B$29,HOUR(B388)+1)</f>
        <v>NT</v>
      </c>
      <c r="H388" s="6">
        <f>IF(F388="GO",Eingaben!$B$11,IF(F388="STANDARD",Eingaben!$B$12,IF(AND(F388="HEAT",ISNUMBER(Eingaben!$B$13)),Eingaben!$B$13,"")))</f>
        <v>28.2744</v>
      </c>
      <c r="I388" s="6">
        <f>INDEX(Netzzeiten!$C$6:$C$29,HOUR(B388)+1)</f>
        <v>1.64</v>
      </c>
      <c r="J388" t="str">
        <f>IF(C388="","FEHLT",IF(NOT(ISNUMBER(C388)),"MESSWERT UNGUELTIG",IF(C388&lt;0,"MESSWERT UNGUELTIG",IF(H388="","TARIFPREIS FEHLT","OK"))))</f>
        <v>FEHLT</v>
      </c>
      <c r="K388" s="7">
        <f>IF(J388&lt;&gt;"OK","",C388*I388/100)</f>
        <v/>
      </c>
    </row>
    <row r="389" spans="1:11">
      <c r="A389" s="14">
        <v>46146</v>
      </c>
      <c r="B389" s="15">
        <v>0.9895833333333334</v>
      </c>
      <c r="C389" s="5">
        <f>IF('96 Werte'!CS9="","",'96 Werte'!CS9)</f>
        <v/>
      </c>
      <c r="D389" t="str">
        <f>IF(IF(Eingaben!$B$21&lt;Eingaben!$B$22,AND(B389&gt;=Eingaben!$B$21,B389&lt;Eingaben!$B$22),OR(B389&gt;=Eingaben!$B$21,B389&lt;Eingaben!$B$22)),"GO",IF(AND(ISNUMBER(Eingaben!$B$23),ISNUMBER(Eingaben!$B$24),IF(Eingaben!$B$23&lt;Eingaben!$B$24,AND(B389&gt;=Eingaben!$B$23,B389&lt;Eingaben!$B$24),OR(B389&gt;=Eingaben!$B$23,B389&lt;Eingaben!$B$24))),"HEAT","STANDARD"))</f>
        <v>STANDARD</v>
      </c>
      <c r="E389" s="9"/>
      <c r="F389" t="str">
        <f>IF(E389="",D389,E389)</f>
        <v>STANDARD</v>
      </c>
      <c r="G389" t="str">
        <f>INDEX(Netzzeiten!$B$6:$B$29,HOUR(B389)+1)</f>
        <v>NT</v>
      </c>
      <c r="H389" s="6">
        <f>IF(F389="GO",Eingaben!$B$11,IF(F389="STANDARD",Eingaben!$B$12,IF(AND(F389="HEAT",ISNUMBER(Eingaben!$B$13)),Eingaben!$B$13,"")))</f>
        <v>28.2744</v>
      </c>
      <c r="I389" s="6">
        <f>INDEX(Netzzeiten!$C$6:$C$29,HOUR(B389)+1)</f>
        <v>1.64</v>
      </c>
      <c r="J389" t="str">
        <f>IF(C389="","FEHLT",IF(NOT(ISNUMBER(C389)),"MESSWERT UNGUELTIG",IF(C389&lt;0,"MESSWERT UNGUELTIG",IF(H389="","TARIFPREIS FEHLT","OK"))))</f>
        <v>FEHLT</v>
      </c>
      <c r="K389" s="7">
        <f>IF(J389&lt;&gt;"OK","",C389*I389/100)</f>
        <v/>
      </c>
    </row>
    <row r="390" spans="1:11">
      <c r="A390" s="14">
        <v>46147</v>
      </c>
      <c r="B390" s="15">
        <v>0</v>
      </c>
      <c r="C390" s="5">
        <f>IF('96 Werte'!B10="","",'96 Werte'!B10)</f>
        <v/>
      </c>
      <c r="D390" t="str">
        <f>IF(IF(Eingaben!$B$21&lt;Eingaben!$B$22,AND(B390&gt;=Eingaben!$B$21,B390&lt;Eingaben!$B$22),OR(B390&gt;=Eingaben!$B$21,B390&lt;Eingaben!$B$22)),"GO",IF(AND(ISNUMBER(Eingaben!$B$23),ISNUMBER(Eingaben!$B$24),IF(Eingaben!$B$23&lt;Eingaben!$B$24,AND(B390&gt;=Eingaben!$B$23,B390&lt;Eingaben!$B$24),OR(B390&gt;=Eingaben!$B$23,B390&lt;Eingaben!$B$24))),"HEAT","STANDARD"))</f>
        <v>GO</v>
      </c>
      <c r="E390" s="9"/>
      <c r="F390" t="str">
        <f>IF(E390="",D390,E390)</f>
        <v>GO</v>
      </c>
      <c r="G390" t="str">
        <f>INDEX(Netzzeiten!$B$6:$B$29,HOUR(B390)+1)</f>
        <v>NT</v>
      </c>
      <c r="H390" s="6">
        <f>IF(F390="GO",Eingaben!$B$11,IF(F390="STANDARD",Eingaben!$B$12,IF(AND(F390="HEAT",ISNUMBER(Eingaben!$B$13)),Eingaben!$B$13,"")))</f>
        <v>15.0654</v>
      </c>
      <c r="I390" s="6">
        <f>INDEX(Netzzeiten!$C$6:$C$29,HOUR(B390)+1)</f>
        <v>1.64</v>
      </c>
      <c r="J390" t="str">
        <f>IF(C390="","FEHLT",IF(NOT(ISNUMBER(C390)),"MESSWERT UNGUELTIG",IF(C390&lt;0,"MESSWERT UNGUELTIG",IF(H390="","TARIFPREIS FEHLT","OK"))))</f>
        <v>FEHLT</v>
      </c>
      <c r="K390" s="7">
        <f>IF(J390&lt;&gt;"OK","",C390*I390/100)</f>
        <v/>
      </c>
    </row>
    <row r="391" spans="1:11">
      <c r="A391" s="14">
        <v>46147</v>
      </c>
      <c r="B391" s="15">
        <v>0.01041666666666667</v>
      </c>
      <c r="C391" s="5">
        <f>IF('96 Werte'!C10="","",'96 Werte'!C10)</f>
        <v/>
      </c>
      <c r="D391" t="str">
        <f>IF(IF(Eingaben!$B$21&lt;Eingaben!$B$22,AND(B391&gt;=Eingaben!$B$21,B391&lt;Eingaben!$B$22),OR(B391&gt;=Eingaben!$B$21,B391&lt;Eingaben!$B$22)),"GO",IF(AND(ISNUMBER(Eingaben!$B$23),ISNUMBER(Eingaben!$B$24),IF(Eingaben!$B$23&lt;Eingaben!$B$24,AND(B391&gt;=Eingaben!$B$23,B391&lt;Eingaben!$B$24),OR(B391&gt;=Eingaben!$B$23,B391&lt;Eingaben!$B$24))),"HEAT","STANDARD"))</f>
        <v>GO</v>
      </c>
      <c r="E391" s="9"/>
      <c r="F391" t="str">
        <f>IF(E391="",D391,E391)</f>
        <v>GO</v>
      </c>
      <c r="G391" t="str">
        <f>INDEX(Netzzeiten!$B$6:$B$29,HOUR(B391)+1)</f>
        <v>NT</v>
      </c>
      <c r="H391" s="6">
        <f>IF(F391="GO",Eingaben!$B$11,IF(F391="STANDARD",Eingaben!$B$12,IF(AND(F391="HEAT",ISNUMBER(Eingaben!$B$13)),Eingaben!$B$13,"")))</f>
        <v>15.0654</v>
      </c>
      <c r="I391" s="6">
        <f>INDEX(Netzzeiten!$C$6:$C$29,HOUR(B391)+1)</f>
        <v>1.64</v>
      </c>
      <c r="J391" t="str">
        <f>IF(C391="","FEHLT",IF(NOT(ISNUMBER(C391)),"MESSWERT UNGUELTIG",IF(C391&lt;0,"MESSWERT UNGUELTIG",IF(H391="","TARIFPREIS FEHLT","OK"))))</f>
        <v>FEHLT</v>
      </c>
      <c r="K391" s="7">
        <f>IF(J391&lt;&gt;"OK","",C391*I391/100)</f>
        <v/>
      </c>
    </row>
    <row r="392" spans="1:11">
      <c r="A392" s="14">
        <v>46147</v>
      </c>
      <c r="B392" s="15">
        <v>0.02083333333333333</v>
      </c>
      <c r="C392" s="5">
        <f>IF('96 Werte'!D10="","",'96 Werte'!D10)</f>
        <v/>
      </c>
      <c r="D392" t="str">
        <f>IF(IF(Eingaben!$B$21&lt;Eingaben!$B$22,AND(B392&gt;=Eingaben!$B$21,B392&lt;Eingaben!$B$22),OR(B392&gt;=Eingaben!$B$21,B392&lt;Eingaben!$B$22)),"GO",IF(AND(ISNUMBER(Eingaben!$B$23),ISNUMBER(Eingaben!$B$24),IF(Eingaben!$B$23&lt;Eingaben!$B$24,AND(B392&gt;=Eingaben!$B$23,B392&lt;Eingaben!$B$24),OR(B392&gt;=Eingaben!$B$23,B392&lt;Eingaben!$B$24))),"HEAT","STANDARD"))</f>
        <v>GO</v>
      </c>
      <c r="E392" s="9"/>
      <c r="F392" t="str">
        <f>IF(E392="",D392,E392)</f>
        <v>GO</v>
      </c>
      <c r="G392" t="str">
        <f>INDEX(Netzzeiten!$B$6:$B$29,HOUR(B392)+1)</f>
        <v>NT</v>
      </c>
      <c r="H392" s="6">
        <f>IF(F392="GO",Eingaben!$B$11,IF(F392="STANDARD",Eingaben!$B$12,IF(AND(F392="HEAT",ISNUMBER(Eingaben!$B$13)),Eingaben!$B$13,"")))</f>
        <v>15.0654</v>
      </c>
      <c r="I392" s="6">
        <f>INDEX(Netzzeiten!$C$6:$C$29,HOUR(B392)+1)</f>
        <v>1.64</v>
      </c>
      <c r="J392" t="str">
        <f>IF(C392="","FEHLT",IF(NOT(ISNUMBER(C392)),"MESSWERT UNGUELTIG",IF(C392&lt;0,"MESSWERT UNGUELTIG",IF(H392="","TARIFPREIS FEHLT","OK"))))</f>
        <v>FEHLT</v>
      </c>
      <c r="K392" s="7">
        <f>IF(J392&lt;&gt;"OK","",C392*I392/100)</f>
        <v/>
      </c>
    </row>
    <row r="393" spans="1:11">
      <c r="A393" s="14">
        <v>46147</v>
      </c>
      <c r="B393" s="15">
        <v>0.03125</v>
      </c>
      <c r="C393" s="5">
        <f>IF('96 Werte'!E10="","",'96 Werte'!E10)</f>
        <v/>
      </c>
      <c r="D393" t="str">
        <f>IF(IF(Eingaben!$B$21&lt;Eingaben!$B$22,AND(B393&gt;=Eingaben!$B$21,B393&lt;Eingaben!$B$22),OR(B393&gt;=Eingaben!$B$21,B393&lt;Eingaben!$B$22)),"GO",IF(AND(ISNUMBER(Eingaben!$B$23),ISNUMBER(Eingaben!$B$24),IF(Eingaben!$B$23&lt;Eingaben!$B$24,AND(B393&gt;=Eingaben!$B$23,B393&lt;Eingaben!$B$24),OR(B393&gt;=Eingaben!$B$23,B393&lt;Eingaben!$B$24))),"HEAT","STANDARD"))</f>
        <v>GO</v>
      </c>
      <c r="E393" s="9"/>
      <c r="F393" t="str">
        <f>IF(E393="",D393,E393)</f>
        <v>GO</v>
      </c>
      <c r="G393" t="str">
        <f>INDEX(Netzzeiten!$B$6:$B$29,HOUR(B393)+1)</f>
        <v>NT</v>
      </c>
      <c r="H393" s="6">
        <f>IF(F393="GO",Eingaben!$B$11,IF(F393="STANDARD",Eingaben!$B$12,IF(AND(F393="HEAT",ISNUMBER(Eingaben!$B$13)),Eingaben!$B$13,"")))</f>
        <v>15.0654</v>
      </c>
      <c r="I393" s="6">
        <f>INDEX(Netzzeiten!$C$6:$C$29,HOUR(B393)+1)</f>
        <v>1.64</v>
      </c>
      <c r="J393" t="str">
        <f>IF(C393="","FEHLT",IF(NOT(ISNUMBER(C393)),"MESSWERT UNGUELTIG",IF(C393&lt;0,"MESSWERT UNGUELTIG",IF(H393="","TARIFPREIS FEHLT","OK"))))</f>
        <v>FEHLT</v>
      </c>
      <c r="K393" s="7">
        <f>IF(J393&lt;&gt;"OK","",C393*I393/100)</f>
        <v/>
      </c>
    </row>
    <row r="394" spans="1:11">
      <c r="A394" s="14">
        <v>46147</v>
      </c>
      <c r="B394" s="15">
        <v>0.04166666666666666</v>
      </c>
      <c r="C394" s="5">
        <f>IF('96 Werte'!F10="","",'96 Werte'!F10)</f>
        <v/>
      </c>
      <c r="D394" t="str">
        <f>IF(IF(Eingaben!$B$21&lt;Eingaben!$B$22,AND(B394&gt;=Eingaben!$B$21,B394&lt;Eingaben!$B$22),OR(B394&gt;=Eingaben!$B$21,B394&lt;Eingaben!$B$22)),"GO",IF(AND(ISNUMBER(Eingaben!$B$23),ISNUMBER(Eingaben!$B$24),IF(Eingaben!$B$23&lt;Eingaben!$B$24,AND(B394&gt;=Eingaben!$B$23,B394&lt;Eingaben!$B$24),OR(B394&gt;=Eingaben!$B$23,B394&lt;Eingaben!$B$24))),"HEAT","STANDARD"))</f>
        <v>GO</v>
      </c>
      <c r="E394" s="9"/>
      <c r="F394" t="str">
        <f>IF(E394="",D394,E394)</f>
        <v>GO</v>
      </c>
      <c r="G394" t="str">
        <f>INDEX(Netzzeiten!$B$6:$B$29,HOUR(B394)+1)</f>
        <v>NT</v>
      </c>
      <c r="H394" s="6">
        <f>IF(F394="GO",Eingaben!$B$11,IF(F394="STANDARD",Eingaben!$B$12,IF(AND(F394="HEAT",ISNUMBER(Eingaben!$B$13)),Eingaben!$B$13,"")))</f>
        <v>15.0654</v>
      </c>
      <c r="I394" s="6">
        <f>INDEX(Netzzeiten!$C$6:$C$29,HOUR(B394)+1)</f>
        <v>1.64</v>
      </c>
      <c r="J394" t="str">
        <f>IF(C394="","FEHLT",IF(NOT(ISNUMBER(C394)),"MESSWERT UNGUELTIG",IF(C394&lt;0,"MESSWERT UNGUELTIG",IF(H394="","TARIFPREIS FEHLT","OK"))))</f>
        <v>FEHLT</v>
      </c>
      <c r="K394" s="7">
        <f>IF(J394&lt;&gt;"OK","",C394*I394/100)</f>
        <v/>
      </c>
    </row>
    <row r="395" spans="1:11">
      <c r="A395" s="14">
        <v>46147</v>
      </c>
      <c r="B395" s="15">
        <v>0.05208333333333334</v>
      </c>
      <c r="C395" s="5">
        <f>IF('96 Werte'!G10="","",'96 Werte'!G10)</f>
        <v/>
      </c>
      <c r="D395" t="str">
        <f>IF(IF(Eingaben!$B$21&lt;Eingaben!$B$22,AND(B395&gt;=Eingaben!$B$21,B395&lt;Eingaben!$B$22),OR(B395&gt;=Eingaben!$B$21,B395&lt;Eingaben!$B$22)),"GO",IF(AND(ISNUMBER(Eingaben!$B$23),ISNUMBER(Eingaben!$B$24),IF(Eingaben!$B$23&lt;Eingaben!$B$24,AND(B395&gt;=Eingaben!$B$23,B395&lt;Eingaben!$B$24),OR(B395&gt;=Eingaben!$B$23,B395&lt;Eingaben!$B$24))),"HEAT","STANDARD"))</f>
        <v>GO</v>
      </c>
      <c r="E395" s="9"/>
      <c r="F395" t="str">
        <f>IF(E395="",D395,E395)</f>
        <v>GO</v>
      </c>
      <c r="G395" t="str">
        <f>INDEX(Netzzeiten!$B$6:$B$29,HOUR(B395)+1)</f>
        <v>NT</v>
      </c>
      <c r="H395" s="6">
        <f>IF(F395="GO",Eingaben!$B$11,IF(F395="STANDARD",Eingaben!$B$12,IF(AND(F395="HEAT",ISNUMBER(Eingaben!$B$13)),Eingaben!$B$13,"")))</f>
        <v>15.0654</v>
      </c>
      <c r="I395" s="6">
        <f>INDEX(Netzzeiten!$C$6:$C$29,HOUR(B395)+1)</f>
        <v>1.64</v>
      </c>
      <c r="J395" t="str">
        <f>IF(C395="","FEHLT",IF(NOT(ISNUMBER(C395)),"MESSWERT UNGUELTIG",IF(C395&lt;0,"MESSWERT UNGUELTIG",IF(H395="","TARIFPREIS FEHLT","OK"))))</f>
        <v>FEHLT</v>
      </c>
      <c r="K395" s="7">
        <f>IF(J395&lt;&gt;"OK","",C395*I395/100)</f>
        <v/>
      </c>
    </row>
    <row r="396" spans="1:11">
      <c r="A396" s="14">
        <v>46147</v>
      </c>
      <c r="B396" s="15">
        <v>0.0625</v>
      </c>
      <c r="C396" s="5">
        <f>IF('96 Werte'!H10="","",'96 Werte'!H10)</f>
        <v/>
      </c>
      <c r="D396" t="str">
        <f>IF(IF(Eingaben!$B$21&lt;Eingaben!$B$22,AND(B396&gt;=Eingaben!$B$21,B396&lt;Eingaben!$B$22),OR(B396&gt;=Eingaben!$B$21,B396&lt;Eingaben!$B$22)),"GO",IF(AND(ISNUMBER(Eingaben!$B$23),ISNUMBER(Eingaben!$B$24),IF(Eingaben!$B$23&lt;Eingaben!$B$24,AND(B396&gt;=Eingaben!$B$23,B396&lt;Eingaben!$B$24),OR(B396&gt;=Eingaben!$B$23,B396&lt;Eingaben!$B$24))),"HEAT","STANDARD"))</f>
        <v>GO</v>
      </c>
      <c r="E396" s="9"/>
      <c r="F396" t="str">
        <f>IF(E396="",D396,E396)</f>
        <v>GO</v>
      </c>
      <c r="G396" t="str">
        <f>INDEX(Netzzeiten!$B$6:$B$29,HOUR(B396)+1)</f>
        <v>NT</v>
      </c>
      <c r="H396" s="6">
        <f>IF(F396="GO",Eingaben!$B$11,IF(F396="STANDARD",Eingaben!$B$12,IF(AND(F396="HEAT",ISNUMBER(Eingaben!$B$13)),Eingaben!$B$13,"")))</f>
        <v>15.0654</v>
      </c>
      <c r="I396" s="6">
        <f>INDEX(Netzzeiten!$C$6:$C$29,HOUR(B396)+1)</f>
        <v>1.64</v>
      </c>
      <c r="J396" t="str">
        <f>IF(C396="","FEHLT",IF(NOT(ISNUMBER(C396)),"MESSWERT UNGUELTIG",IF(C396&lt;0,"MESSWERT UNGUELTIG",IF(H396="","TARIFPREIS FEHLT","OK"))))</f>
        <v>FEHLT</v>
      </c>
      <c r="K396" s="7">
        <f>IF(J396&lt;&gt;"OK","",C396*I396/100)</f>
        <v/>
      </c>
    </row>
    <row r="397" spans="1:11">
      <c r="A397" s="14">
        <v>46147</v>
      </c>
      <c r="B397" s="15">
        <v>0.07291666666666667</v>
      </c>
      <c r="C397" s="5">
        <f>IF('96 Werte'!I10="","",'96 Werte'!I10)</f>
        <v/>
      </c>
      <c r="D397" t="str">
        <f>IF(IF(Eingaben!$B$21&lt;Eingaben!$B$22,AND(B397&gt;=Eingaben!$B$21,B397&lt;Eingaben!$B$22),OR(B397&gt;=Eingaben!$B$21,B397&lt;Eingaben!$B$22)),"GO",IF(AND(ISNUMBER(Eingaben!$B$23),ISNUMBER(Eingaben!$B$24),IF(Eingaben!$B$23&lt;Eingaben!$B$24,AND(B397&gt;=Eingaben!$B$23,B397&lt;Eingaben!$B$24),OR(B397&gt;=Eingaben!$B$23,B397&lt;Eingaben!$B$24))),"HEAT","STANDARD"))</f>
        <v>GO</v>
      </c>
      <c r="E397" s="9"/>
      <c r="F397" t="str">
        <f>IF(E397="",D397,E397)</f>
        <v>GO</v>
      </c>
      <c r="G397" t="str">
        <f>INDEX(Netzzeiten!$B$6:$B$29,HOUR(B397)+1)</f>
        <v>NT</v>
      </c>
      <c r="H397" s="6">
        <f>IF(F397="GO",Eingaben!$B$11,IF(F397="STANDARD",Eingaben!$B$12,IF(AND(F397="HEAT",ISNUMBER(Eingaben!$B$13)),Eingaben!$B$13,"")))</f>
        <v>15.0654</v>
      </c>
      <c r="I397" s="6">
        <f>INDEX(Netzzeiten!$C$6:$C$29,HOUR(B397)+1)</f>
        <v>1.64</v>
      </c>
      <c r="J397" t="str">
        <f>IF(C397="","FEHLT",IF(NOT(ISNUMBER(C397)),"MESSWERT UNGUELTIG",IF(C397&lt;0,"MESSWERT UNGUELTIG",IF(H397="","TARIFPREIS FEHLT","OK"))))</f>
        <v>FEHLT</v>
      </c>
      <c r="K397" s="7">
        <f>IF(J397&lt;&gt;"OK","",C397*I397/100)</f>
        <v/>
      </c>
    </row>
    <row r="398" spans="1:11">
      <c r="A398" s="14">
        <v>46147</v>
      </c>
      <c r="B398" s="15">
        <v>0.08333333333333333</v>
      </c>
      <c r="C398" s="5">
        <f>IF('96 Werte'!J10="","",'96 Werte'!J10)</f>
        <v/>
      </c>
      <c r="D398" t="str">
        <f>IF(IF(Eingaben!$B$21&lt;Eingaben!$B$22,AND(B398&gt;=Eingaben!$B$21,B398&lt;Eingaben!$B$22),OR(B398&gt;=Eingaben!$B$21,B398&lt;Eingaben!$B$22)),"GO",IF(AND(ISNUMBER(Eingaben!$B$23),ISNUMBER(Eingaben!$B$24),IF(Eingaben!$B$23&lt;Eingaben!$B$24,AND(B398&gt;=Eingaben!$B$23,B398&lt;Eingaben!$B$24),OR(B398&gt;=Eingaben!$B$23,B398&lt;Eingaben!$B$24))),"HEAT","STANDARD"))</f>
        <v>GO</v>
      </c>
      <c r="E398" s="9"/>
      <c r="F398" t="str">
        <f>IF(E398="",D398,E398)</f>
        <v>GO</v>
      </c>
      <c r="G398" t="str">
        <f>INDEX(Netzzeiten!$B$6:$B$29,HOUR(B398)+1)</f>
        <v>NT</v>
      </c>
      <c r="H398" s="6">
        <f>IF(F398="GO",Eingaben!$B$11,IF(F398="STANDARD",Eingaben!$B$12,IF(AND(F398="HEAT",ISNUMBER(Eingaben!$B$13)),Eingaben!$B$13,"")))</f>
        <v>15.0654</v>
      </c>
      <c r="I398" s="6">
        <f>INDEX(Netzzeiten!$C$6:$C$29,HOUR(B398)+1)</f>
        <v>1.64</v>
      </c>
      <c r="J398" t="str">
        <f>IF(C398="","FEHLT",IF(NOT(ISNUMBER(C398)),"MESSWERT UNGUELTIG",IF(C398&lt;0,"MESSWERT UNGUELTIG",IF(H398="","TARIFPREIS FEHLT","OK"))))</f>
        <v>FEHLT</v>
      </c>
      <c r="K398" s="7">
        <f>IF(J398&lt;&gt;"OK","",C398*I398/100)</f>
        <v/>
      </c>
    </row>
    <row r="399" spans="1:11">
      <c r="A399" s="14">
        <v>46147</v>
      </c>
      <c r="B399" s="15">
        <v>0.09375</v>
      </c>
      <c r="C399" s="5">
        <f>IF('96 Werte'!K10="","",'96 Werte'!K10)</f>
        <v/>
      </c>
      <c r="D399" t="str">
        <f>IF(IF(Eingaben!$B$21&lt;Eingaben!$B$22,AND(B399&gt;=Eingaben!$B$21,B399&lt;Eingaben!$B$22),OR(B399&gt;=Eingaben!$B$21,B399&lt;Eingaben!$B$22)),"GO",IF(AND(ISNUMBER(Eingaben!$B$23),ISNUMBER(Eingaben!$B$24),IF(Eingaben!$B$23&lt;Eingaben!$B$24,AND(B399&gt;=Eingaben!$B$23,B399&lt;Eingaben!$B$24),OR(B399&gt;=Eingaben!$B$23,B399&lt;Eingaben!$B$24))),"HEAT","STANDARD"))</f>
        <v>GO</v>
      </c>
      <c r="E399" s="9"/>
      <c r="F399" t="str">
        <f>IF(E399="",D399,E399)</f>
        <v>GO</v>
      </c>
      <c r="G399" t="str">
        <f>INDEX(Netzzeiten!$B$6:$B$29,HOUR(B399)+1)</f>
        <v>NT</v>
      </c>
      <c r="H399" s="6">
        <f>IF(F399="GO",Eingaben!$B$11,IF(F399="STANDARD",Eingaben!$B$12,IF(AND(F399="HEAT",ISNUMBER(Eingaben!$B$13)),Eingaben!$B$13,"")))</f>
        <v>15.0654</v>
      </c>
      <c r="I399" s="6">
        <f>INDEX(Netzzeiten!$C$6:$C$29,HOUR(B399)+1)</f>
        <v>1.64</v>
      </c>
      <c r="J399" t="str">
        <f>IF(C399="","FEHLT",IF(NOT(ISNUMBER(C399)),"MESSWERT UNGUELTIG",IF(C399&lt;0,"MESSWERT UNGUELTIG",IF(H399="","TARIFPREIS FEHLT","OK"))))</f>
        <v>FEHLT</v>
      </c>
      <c r="K399" s="7">
        <f>IF(J399&lt;&gt;"OK","",C399*I399/100)</f>
        <v/>
      </c>
    </row>
    <row r="400" spans="1:11">
      <c r="A400" s="14">
        <v>46147</v>
      </c>
      <c r="B400" s="15">
        <v>0.1041666666666667</v>
      </c>
      <c r="C400" s="5">
        <f>IF('96 Werte'!L10="","",'96 Werte'!L10)</f>
        <v/>
      </c>
      <c r="D400" t="str">
        <f>IF(IF(Eingaben!$B$21&lt;Eingaben!$B$22,AND(B400&gt;=Eingaben!$B$21,B400&lt;Eingaben!$B$22),OR(B400&gt;=Eingaben!$B$21,B400&lt;Eingaben!$B$22)),"GO",IF(AND(ISNUMBER(Eingaben!$B$23),ISNUMBER(Eingaben!$B$24),IF(Eingaben!$B$23&lt;Eingaben!$B$24,AND(B400&gt;=Eingaben!$B$23,B400&lt;Eingaben!$B$24),OR(B400&gt;=Eingaben!$B$23,B400&lt;Eingaben!$B$24))),"HEAT","STANDARD"))</f>
        <v>GO</v>
      </c>
      <c r="E400" s="9"/>
      <c r="F400" t="str">
        <f>IF(E400="",D400,E400)</f>
        <v>GO</v>
      </c>
      <c r="G400" t="str">
        <f>INDEX(Netzzeiten!$B$6:$B$29,HOUR(B400)+1)</f>
        <v>NT</v>
      </c>
      <c r="H400" s="6">
        <f>IF(F400="GO",Eingaben!$B$11,IF(F400="STANDARD",Eingaben!$B$12,IF(AND(F400="HEAT",ISNUMBER(Eingaben!$B$13)),Eingaben!$B$13,"")))</f>
        <v>15.0654</v>
      </c>
      <c r="I400" s="6">
        <f>INDEX(Netzzeiten!$C$6:$C$29,HOUR(B400)+1)</f>
        <v>1.64</v>
      </c>
      <c r="J400" t="str">
        <f>IF(C400="","FEHLT",IF(NOT(ISNUMBER(C400)),"MESSWERT UNGUELTIG",IF(C400&lt;0,"MESSWERT UNGUELTIG",IF(H400="","TARIFPREIS FEHLT","OK"))))</f>
        <v>FEHLT</v>
      </c>
      <c r="K400" s="7">
        <f>IF(J400&lt;&gt;"OK","",C400*I400/100)</f>
        <v/>
      </c>
    </row>
    <row r="401" spans="1:11">
      <c r="A401" s="14">
        <v>46147</v>
      </c>
      <c r="B401" s="15">
        <v>0.1145833333333333</v>
      </c>
      <c r="C401" s="5">
        <f>IF('96 Werte'!M10="","",'96 Werte'!M10)</f>
        <v/>
      </c>
      <c r="D401" t="str">
        <f>IF(IF(Eingaben!$B$21&lt;Eingaben!$B$22,AND(B401&gt;=Eingaben!$B$21,B401&lt;Eingaben!$B$22),OR(B401&gt;=Eingaben!$B$21,B401&lt;Eingaben!$B$22)),"GO",IF(AND(ISNUMBER(Eingaben!$B$23),ISNUMBER(Eingaben!$B$24),IF(Eingaben!$B$23&lt;Eingaben!$B$24,AND(B401&gt;=Eingaben!$B$23,B401&lt;Eingaben!$B$24),OR(B401&gt;=Eingaben!$B$23,B401&lt;Eingaben!$B$24))),"HEAT","STANDARD"))</f>
        <v>GO</v>
      </c>
      <c r="E401" s="9"/>
      <c r="F401" t="str">
        <f>IF(E401="",D401,E401)</f>
        <v>GO</v>
      </c>
      <c r="G401" t="str">
        <f>INDEX(Netzzeiten!$B$6:$B$29,HOUR(B401)+1)</f>
        <v>NT</v>
      </c>
      <c r="H401" s="6">
        <f>IF(F401="GO",Eingaben!$B$11,IF(F401="STANDARD",Eingaben!$B$12,IF(AND(F401="HEAT",ISNUMBER(Eingaben!$B$13)),Eingaben!$B$13,"")))</f>
        <v>15.0654</v>
      </c>
      <c r="I401" s="6">
        <f>INDEX(Netzzeiten!$C$6:$C$29,HOUR(B401)+1)</f>
        <v>1.64</v>
      </c>
      <c r="J401" t="str">
        <f>IF(C401="","FEHLT",IF(NOT(ISNUMBER(C401)),"MESSWERT UNGUELTIG",IF(C401&lt;0,"MESSWERT UNGUELTIG",IF(H401="","TARIFPREIS FEHLT","OK"))))</f>
        <v>FEHLT</v>
      </c>
      <c r="K401" s="7">
        <f>IF(J401&lt;&gt;"OK","",C401*I401/100)</f>
        <v/>
      </c>
    </row>
    <row r="402" spans="1:11">
      <c r="A402" s="14">
        <v>46147</v>
      </c>
      <c r="B402" s="15">
        <v>0.125</v>
      </c>
      <c r="C402" s="5">
        <f>IF('96 Werte'!N10="","",'96 Werte'!N10)</f>
        <v/>
      </c>
      <c r="D402" t="str">
        <f>IF(IF(Eingaben!$B$21&lt;Eingaben!$B$22,AND(B402&gt;=Eingaben!$B$21,B402&lt;Eingaben!$B$22),OR(B402&gt;=Eingaben!$B$21,B402&lt;Eingaben!$B$22)),"GO",IF(AND(ISNUMBER(Eingaben!$B$23),ISNUMBER(Eingaben!$B$24),IF(Eingaben!$B$23&lt;Eingaben!$B$24,AND(B402&gt;=Eingaben!$B$23,B402&lt;Eingaben!$B$24),OR(B402&gt;=Eingaben!$B$23,B402&lt;Eingaben!$B$24))),"HEAT","STANDARD"))</f>
        <v>GO</v>
      </c>
      <c r="E402" s="9"/>
      <c r="F402" t="str">
        <f>IF(E402="",D402,E402)</f>
        <v>GO</v>
      </c>
      <c r="G402" t="str">
        <f>INDEX(Netzzeiten!$B$6:$B$29,HOUR(B402)+1)</f>
        <v>NT</v>
      </c>
      <c r="H402" s="6">
        <f>IF(F402="GO",Eingaben!$B$11,IF(F402="STANDARD",Eingaben!$B$12,IF(AND(F402="HEAT",ISNUMBER(Eingaben!$B$13)),Eingaben!$B$13,"")))</f>
        <v>15.0654</v>
      </c>
      <c r="I402" s="6">
        <f>INDEX(Netzzeiten!$C$6:$C$29,HOUR(B402)+1)</f>
        <v>1.64</v>
      </c>
      <c r="J402" t="str">
        <f>IF(C402="","FEHLT",IF(NOT(ISNUMBER(C402)),"MESSWERT UNGUELTIG",IF(C402&lt;0,"MESSWERT UNGUELTIG",IF(H402="","TARIFPREIS FEHLT","OK"))))</f>
        <v>FEHLT</v>
      </c>
      <c r="K402" s="7">
        <f>IF(J402&lt;&gt;"OK","",C402*I402/100)</f>
        <v/>
      </c>
    </row>
    <row r="403" spans="1:11">
      <c r="A403" s="14">
        <v>46147</v>
      </c>
      <c r="B403" s="15">
        <v>0.1354166666666667</v>
      </c>
      <c r="C403" s="5">
        <f>IF('96 Werte'!O10="","",'96 Werte'!O10)</f>
        <v/>
      </c>
      <c r="D403" t="str">
        <f>IF(IF(Eingaben!$B$21&lt;Eingaben!$B$22,AND(B403&gt;=Eingaben!$B$21,B403&lt;Eingaben!$B$22),OR(B403&gt;=Eingaben!$B$21,B403&lt;Eingaben!$B$22)),"GO",IF(AND(ISNUMBER(Eingaben!$B$23),ISNUMBER(Eingaben!$B$24),IF(Eingaben!$B$23&lt;Eingaben!$B$24,AND(B403&gt;=Eingaben!$B$23,B403&lt;Eingaben!$B$24),OR(B403&gt;=Eingaben!$B$23,B403&lt;Eingaben!$B$24))),"HEAT","STANDARD"))</f>
        <v>GO</v>
      </c>
      <c r="E403" s="9"/>
      <c r="F403" t="str">
        <f>IF(E403="",D403,E403)</f>
        <v>GO</v>
      </c>
      <c r="G403" t="str">
        <f>INDEX(Netzzeiten!$B$6:$B$29,HOUR(B403)+1)</f>
        <v>NT</v>
      </c>
      <c r="H403" s="6">
        <f>IF(F403="GO",Eingaben!$B$11,IF(F403="STANDARD",Eingaben!$B$12,IF(AND(F403="HEAT",ISNUMBER(Eingaben!$B$13)),Eingaben!$B$13,"")))</f>
        <v>15.0654</v>
      </c>
      <c r="I403" s="6">
        <f>INDEX(Netzzeiten!$C$6:$C$29,HOUR(B403)+1)</f>
        <v>1.64</v>
      </c>
      <c r="J403" t="str">
        <f>IF(C403="","FEHLT",IF(NOT(ISNUMBER(C403)),"MESSWERT UNGUELTIG",IF(C403&lt;0,"MESSWERT UNGUELTIG",IF(H403="","TARIFPREIS FEHLT","OK"))))</f>
        <v>FEHLT</v>
      </c>
      <c r="K403" s="7">
        <f>IF(J403&lt;&gt;"OK","",C403*I403/100)</f>
        <v/>
      </c>
    </row>
    <row r="404" spans="1:11">
      <c r="A404" s="14">
        <v>46147</v>
      </c>
      <c r="B404" s="15">
        <v>0.1458333333333333</v>
      </c>
      <c r="C404" s="5">
        <f>IF('96 Werte'!P10="","",'96 Werte'!P10)</f>
        <v/>
      </c>
      <c r="D404" t="str">
        <f>IF(IF(Eingaben!$B$21&lt;Eingaben!$B$22,AND(B404&gt;=Eingaben!$B$21,B404&lt;Eingaben!$B$22),OR(B404&gt;=Eingaben!$B$21,B404&lt;Eingaben!$B$22)),"GO",IF(AND(ISNUMBER(Eingaben!$B$23),ISNUMBER(Eingaben!$B$24),IF(Eingaben!$B$23&lt;Eingaben!$B$24,AND(B404&gt;=Eingaben!$B$23,B404&lt;Eingaben!$B$24),OR(B404&gt;=Eingaben!$B$23,B404&lt;Eingaben!$B$24))),"HEAT","STANDARD"))</f>
        <v>GO</v>
      </c>
      <c r="E404" s="9"/>
      <c r="F404" t="str">
        <f>IF(E404="",D404,E404)</f>
        <v>GO</v>
      </c>
      <c r="G404" t="str">
        <f>INDEX(Netzzeiten!$B$6:$B$29,HOUR(B404)+1)</f>
        <v>NT</v>
      </c>
      <c r="H404" s="6">
        <f>IF(F404="GO",Eingaben!$B$11,IF(F404="STANDARD",Eingaben!$B$12,IF(AND(F404="HEAT",ISNUMBER(Eingaben!$B$13)),Eingaben!$B$13,"")))</f>
        <v>15.0654</v>
      </c>
      <c r="I404" s="6">
        <f>INDEX(Netzzeiten!$C$6:$C$29,HOUR(B404)+1)</f>
        <v>1.64</v>
      </c>
      <c r="J404" t="str">
        <f>IF(C404="","FEHLT",IF(NOT(ISNUMBER(C404)),"MESSWERT UNGUELTIG",IF(C404&lt;0,"MESSWERT UNGUELTIG",IF(H404="","TARIFPREIS FEHLT","OK"))))</f>
        <v>FEHLT</v>
      </c>
      <c r="K404" s="7">
        <f>IF(J404&lt;&gt;"OK","",C404*I404/100)</f>
        <v/>
      </c>
    </row>
    <row r="405" spans="1:11">
      <c r="A405" s="14">
        <v>46147</v>
      </c>
      <c r="B405" s="15">
        <v>0.15625</v>
      </c>
      <c r="C405" s="5">
        <f>IF('96 Werte'!Q10="","",'96 Werte'!Q10)</f>
        <v/>
      </c>
      <c r="D405" t="str">
        <f>IF(IF(Eingaben!$B$21&lt;Eingaben!$B$22,AND(B405&gt;=Eingaben!$B$21,B405&lt;Eingaben!$B$22),OR(B405&gt;=Eingaben!$B$21,B405&lt;Eingaben!$B$22)),"GO",IF(AND(ISNUMBER(Eingaben!$B$23),ISNUMBER(Eingaben!$B$24),IF(Eingaben!$B$23&lt;Eingaben!$B$24,AND(B405&gt;=Eingaben!$B$23,B405&lt;Eingaben!$B$24),OR(B405&gt;=Eingaben!$B$23,B405&lt;Eingaben!$B$24))),"HEAT","STANDARD"))</f>
        <v>GO</v>
      </c>
      <c r="E405" s="9"/>
      <c r="F405" t="str">
        <f>IF(E405="",D405,E405)</f>
        <v>GO</v>
      </c>
      <c r="G405" t="str">
        <f>INDEX(Netzzeiten!$B$6:$B$29,HOUR(B405)+1)</f>
        <v>NT</v>
      </c>
      <c r="H405" s="6">
        <f>IF(F405="GO",Eingaben!$B$11,IF(F405="STANDARD",Eingaben!$B$12,IF(AND(F405="HEAT",ISNUMBER(Eingaben!$B$13)),Eingaben!$B$13,"")))</f>
        <v>15.0654</v>
      </c>
      <c r="I405" s="6">
        <f>INDEX(Netzzeiten!$C$6:$C$29,HOUR(B405)+1)</f>
        <v>1.64</v>
      </c>
      <c r="J405" t="str">
        <f>IF(C405="","FEHLT",IF(NOT(ISNUMBER(C405)),"MESSWERT UNGUELTIG",IF(C405&lt;0,"MESSWERT UNGUELTIG",IF(H405="","TARIFPREIS FEHLT","OK"))))</f>
        <v>FEHLT</v>
      </c>
      <c r="K405" s="7">
        <f>IF(J405&lt;&gt;"OK","",C405*I405/100)</f>
        <v/>
      </c>
    </row>
    <row r="406" spans="1:11">
      <c r="A406" s="14">
        <v>46147</v>
      </c>
      <c r="B406" s="15">
        <v>0.1666666666666667</v>
      </c>
      <c r="C406" s="5">
        <f>IF('96 Werte'!R10="","",'96 Werte'!R10)</f>
        <v/>
      </c>
      <c r="D406" t="str">
        <f>IF(IF(Eingaben!$B$21&lt;Eingaben!$B$22,AND(B406&gt;=Eingaben!$B$21,B406&lt;Eingaben!$B$22),OR(B406&gt;=Eingaben!$B$21,B406&lt;Eingaben!$B$22)),"GO",IF(AND(ISNUMBER(Eingaben!$B$23),ISNUMBER(Eingaben!$B$24),IF(Eingaben!$B$23&lt;Eingaben!$B$24,AND(B406&gt;=Eingaben!$B$23,B406&lt;Eingaben!$B$24),OR(B406&gt;=Eingaben!$B$23,B406&lt;Eingaben!$B$24))),"HEAT","STANDARD"))</f>
        <v>GO</v>
      </c>
      <c r="E406" s="9"/>
      <c r="F406" t="str">
        <f>IF(E406="",D406,E406)</f>
        <v>GO</v>
      </c>
      <c r="G406" t="str">
        <f>INDEX(Netzzeiten!$B$6:$B$29,HOUR(B406)+1)</f>
        <v>NT</v>
      </c>
      <c r="H406" s="6">
        <f>IF(F406="GO",Eingaben!$B$11,IF(F406="STANDARD",Eingaben!$B$12,IF(AND(F406="HEAT",ISNUMBER(Eingaben!$B$13)),Eingaben!$B$13,"")))</f>
        <v>15.0654</v>
      </c>
      <c r="I406" s="6">
        <f>INDEX(Netzzeiten!$C$6:$C$29,HOUR(B406)+1)</f>
        <v>1.64</v>
      </c>
      <c r="J406" t="str">
        <f>IF(C406="","FEHLT",IF(NOT(ISNUMBER(C406)),"MESSWERT UNGUELTIG",IF(C406&lt;0,"MESSWERT UNGUELTIG",IF(H406="","TARIFPREIS FEHLT","OK"))))</f>
        <v>FEHLT</v>
      </c>
      <c r="K406" s="7">
        <f>IF(J406&lt;&gt;"OK","",C406*I406/100)</f>
        <v/>
      </c>
    </row>
    <row r="407" spans="1:11">
      <c r="A407" s="14">
        <v>46147</v>
      </c>
      <c r="B407" s="15">
        <v>0.1770833333333333</v>
      </c>
      <c r="C407" s="5">
        <f>IF('96 Werte'!S10="","",'96 Werte'!S10)</f>
        <v/>
      </c>
      <c r="D407" t="str">
        <f>IF(IF(Eingaben!$B$21&lt;Eingaben!$B$22,AND(B407&gt;=Eingaben!$B$21,B407&lt;Eingaben!$B$22),OR(B407&gt;=Eingaben!$B$21,B407&lt;Eingaben!$B$22)),"GO",IF(AND(ISNUMBER(Eingaben!$B$23),ISNUMBER(Eingaben!$B$24),IF(Eingaben!$B$23&lt;Eingaben!$B$24,AND(B407&gt;=Eingaben!$B$23,B407&lt;Eingaben!$B$24),OR(B407&gt;=Eingaben!$B$23,B407&lt;Eingaben!$B$24))),"HEAT","STANDARD"))</f>
        <v>GO</v>
      </c>
      <c r="E407" s="9"/>
      <c r="F407" t="str">
        <f>IF(E407="",D407,E407)</f>
        <v>GO</v>
      </c>
      <c r="G407" t="str">
        <f>INDEX(Netzzeiten!$B$6:$B$29,HOUR(B407)+1)</f>
        <v>NT</v>
      </c>
      <c r="H407" s="6">
        <f>IF(F407="GO",Eingaben!$B$11,IF(F407="STANDARD",Eingaben!$B$12,IF(AND(F407="HEAT",ISNUMBER(Eingaben!$B$13)),Eingaben!$B$13,"")))</f>
        <v>15.0654</v>
      </c>
      <c r="I407" s="6">
        <f>INDEX(Netzzeiten!$C$6:$C$29,HOUR(B407)+1)</f>
        <v>1.64</v>
      </c>
      <c r="J407" t="str">
        <f>IF(C407="","FEHLT",IF(NOT(ISNUMBER(C407)),"MESSWERT UNGUELTIG",IF(C407&lt;0,"MESSWERT UNGUELTIG",IF(H407="","TARIFPREIS FEHLT","OK"))))</f>
        <v>FEHLT</v>
      </c>
      <c r="K407" s="7">
        <f>IF(J407&lt;&gt;"OK","",C407*I407/100)</f>
        <v/>
      </c>
    </row>
    <row r="408" spans="1:11">
      <c r="A408" s="14">
        <v>46147</v>
      </c>
      <c r="B408" s="15">
        <v>0.1875</v>
      </c>
      <c r="C408" s="5">
        <f>IF('96 Werte'!T10="","",'96 Werte'!T10)</f>
        <v/>
      </c>
      <c r="D408" t="str">
        <f>IF(IF(Eingaben!$B$21&lt;Eingaben!$B$22,AND(B408&gt;=Eingaben!$B$21,B408&lt;Eingaben!$B$22),OR(B408&gt;=Eingaben!$B$21,B408&lt;Eingaben!$B$22)),"GO",IF(AND(ISNUMBER(Eingaben!$B$23),ISNUMBER(Eingaben!$B$24),IF(Eingaben!$B$23&lt;Eingaben!$B$24,AND(B408&gt;=Eingaben!$B$23,B408&lt;Eingaben!$B$24),OR(B408&gt;=Eingaben!$B$23,B408&lt;Eingaben!$B$24))),"HEAT","STANDARD"))</f>
        <v>GO</v>
      </c>
      <c r="E408" s="9"/>
      <c r="F408" t="str">
        <f>IF(E408="",D408,E408)</f>
        <v>GO</v>
      </c>
      <c r="G408" t="str">
        <f>INDEX(Netzzeiten!$B$6:$B$29,HOUR(B408)+1)</f>
        <v>NT</v>
      </c>
      <c r="H408" s="6">
        <f>IF(F408="GO",Eingaben!$B$11,IF(F408="STANDARD",Eingaben!$B$12,IF(AND(F408="HEAT",ISNUMBER(Eingaben!$B$13)),Eingaben!$B$13,"")))</f>
        <v>15.0654</v>
      </c>
      <c r="I408" s="6">
        <f>INDEX(Netzzeiten!$C$6:$C$29,HOUR(B408)+1)</f>
        <v>1.64</v>
      </c>
      <c r="J408" t="str">
        <f>IF(C408="","FEHLT",IF(NOT(ISNUMBER(C408)),"MESSWERT UNGUELTIG",IF(C408&lt;0,"MESSWERT UNGUELTIG",IF(H408="","TARIFPREIS FEHLT","OK"))))</f>
        <v>FEHLT</v>
      </c>
      <c r="K408" s="7">
        <f>IF(J408&lt;&gt;"OK","",C408*I408/100)</f>
        <v/>
      </c>
    </row>
    <row r="409" spans="1:11">
      <c r="A409" s="14">
        <v>46147</v>
      </c>
      <c r="B409" s="15">
        <v>0.1979166666666667</v>
      </c>
      <c r="C409" s="5">
        <f>IF('96 Werte'!U10="","",'96 Werte'!U10)</f>
        <v/>
      </c>
      <c r="D409" t="str">
        <f>IF(IF(Eingaben!$B$21&lt;Eingaben!$B$22,AND(B409&gt;=Eingaben!$B$21,B409&lt;Eingaben!$B$22),OR(B409&gt;=Eingaben!$B$21,B409&lt;Eingaben!$B$22)),"GO",IF(AND(ISNUMBER(Eingaben!$B$23),ISNUMBER(Eingaben!$B$24),IF(Eingaben!$B$23&lt;Eingaben!$B$24,AND(B409&gt;=Eingaben!$B$23,B409&lt;Eingaben!$B$24),OR(B409&gt;=Eingaben!$B$23,B409&lt;Eingaben!$B$24))),"HEAT","STANDARD"))</f>
        <v>GO</v>
      </c>
      <c r="E409" s="9"/>
      <c r="F409" t="str">
        <f>IF(E409="",D409,E409)</f>
        <v>GO</v>
      </c>
      <c r="G409" t="str">
        <f>INDEX(Netzzeiten!$B$6:$B$29,HOUR(B409)+1)</f>
        <v>NT</v>
      </c>
      <c r="H409" s="6">
        <f>IF(F409="GO",Eingaben!$B$11,IF(F409="STANDARD",Eingaben!$B$12,IF(AND(F409="HEAT",ISNUMBER(Eingaben!$B$13)),Eingaben!$B$13,"")))</f>
        <v>15.0654</v>
      </c>
      <c r="I409" s="6">
        <f>INDEX(Netzzeiten!$C$6:$C$29,HOUR(B409)+1)</f>
        <v>1.64</v>
      </c>
      <c r="J409" t="str">
        <f>IF(C409="","FEHLT",IF(NOT(ISNUMBER(C409)),"MESSWERT UNGUELTIG",IF(C409&lt;0,"MESSWERT UNGUELTIG",IF(H409="","TARIFPREIS FEHLT","OK"))))</f>
        <v>FEHLT</v>
      </c>
      <c r="K409" s="7">
        <f>IF(J409&lt;&gt;"OK","",C409*I409/100)</f>
        <v/>
      </c>
    </row>
    <row r="410" spans="1:11">
      <c r="A410" s="14">
        <v>46147</v>
      </c>
      <c r="B410" s="15">
        <v>0.2083333333333333</v>
      </c>
      <c r="C410" s="5">
        <f>IF('96 Werte'!V10="","",'96 Werte'!V10)</f>
        <v/>
      </c>
      <c r="D410" t="str">
        <f>IF(IF(Eingaben!$B$21&lt;Eingaben!$B$22,AND(B410&gt;=Eingaben!$B$21,B410&lt;Eingaben!$B$22),OR(B410&gt;=Eingaben!$B$21,B410&lt;Eingaben!$B$22)),"GO",IF(AND(ISNUMBER(Eingaben!$B$23),ISNUMBER(Eingaben!$B$24),IF(Eingaben!$B$23&lt;Eingaben!$B$24,AND(B410&gt;=Eingaben!$B$23,B410&lt;Eingaben!$B$24),OR(B410&gt;=Eingaben!$B$23,B410&lt;Eingaben!$B$24))),"HEAT","STANDARD"))</f>
        <v>STANDARD</v>
      </c>
      <c r="E410" s="9"/>
      <c r="F410" t="str">
        <f>IF(E410="",D410,E410)</f>
        <v>STANDARD</v>
      </c>
      <c r="G410" t="str">
        <f>INDEX(Netzzeiten!$B$6:$B$29,HOUR(B410)+1)</f>
        <v>NT</v>
      </c>
      <c r="H410" s="6">
        <f>IF(F410="GO",Eingaben!$B$11,IF(F410="STANDARD",Eingaben!$B$12,IF(AND(F410="HEAT",ISNUMBER(Eingaben!$B$13)),Eingaben!$B$13,"")))</f>
        <v>28.2744</v>
      </c>
      <c r="I410" s="6">
        <f>INDEX(Netzzeiten!$C$6:$C$29,HOUR(B410)+1)</f>
        <v>1.64</v>
      </c>
      <c r="J410" t="str">
        <f>IF(C410="","FEHLT",IF(NOT(ISNUMBER(C410)),"MESSWERT UNGUELTIG",IF(C410&lt;0,"MESSWERT UNGUELTIG",IF(H410="","TARIFPREIS FEHLT","OK"))))</f>
        <v>FEHLT</v>
      </c>
      <c r="K410" s="7">
        <f>IF(J410&lt;&gt;"OK","",C410*I410/100)</f>
        <v/>
      </c>
    </row>
    <row r="411" spans="1:11">
      <c r="A411" s="14">
        <v>46147</v>
      </c>
      <c r="B411" s="15">
        <v>0.21875</v>
      </c>
      <c r="C411" s="5">
        <f>IF('96 Werte'!W10="","",'96 Werte'!W10)</f>
        <v/>
      </c>
      <c r="D411" t="str">
        <f>IF(IF(Eingaben!$B$21&lt;Eingaben!$B$22,AND(B411&gt;=Eingaben!$B$21,B411&lt;Eingaben!$B$22),OR(B411&gt;=Eingaben!$B$21,B411&lt;Eingaben!$B$22)),"GO",IF(AND(ISNUMBER(Eingaben!$B$23),ISNUMBER(Eingaben!$B$24),IF(Eingaben!$B$23&lt;Eingaben!$B$24,AND(B411&gt;=Eingaben!$B$23,B411&lt;Eingaben!$B$24),OR(B411&gt;=Eingaben!$B$23,B411&lt;Eingaben!$B$24))),"HEAT","STANDARD"))</f>
        <v>STANDARD</v>
      </c>
      <c r="E411" s="9"/>
      <c r="F411" t="str">
        <f>IF(E411="",D411,E411)</f>
        <v>STANDARD</v>
      </c>
      <c r="G411" t="str">
        <f>INDEX(Netzzeiten!$B$6:$B$29,HOUR(B411)+1)</f>
        <v>NT</v>
      </c>
      <c r="H411" s="6">
        <f>IF(F411="GO",Eingaben!$B$11,IF(F411="STANDARD",Eingaben!$B$12,IF(AND(F411="HEAT",ISNUMBER(Eingaben!$B$13)),Eingaben!$B$13,"")))</f>
        <v>28.2744</v>
      </c>
      <c r="I411" s="6">
        <f>INDEX(Netzzeiten!$C$6:$C$29,HOUR(B411)+1)</f>
        <v>1.64</v>
      </c>
      <c r="J411" t="str">
        <f>IF(C411="","FEHLT",IF(NOT(ISNUMBER(C411)),"MESSWERT UNGUELTIG",IF(C411&lt;0,"MESSWERT UNGUELTIG",IF(H411="","TARIFPREIS FEHLT","OK"))))</f>
        <v>FEHLT</v>
      </c>
      <c r="K411" s="7">
        <f>IF(J411&lt;&gt;"OK","",C411*I411/100)</f>
        <v/>
      </c>
    </row>
    <row r="412" spans="1:11">
      <c r="A412" s="14">
        <v>46147</v>
      </c>
      <c r="B412" s="15">
        <v>0.2291666666666667</v>
      </c>
      <c r="C412" s="5">
        <f>IF('96 Werte'!X10="","",'96 Werte'!X10)</f>
        <v/>
      </c>
      <c r="D412" t="str">
        <f>IF(IF(Eingaben!$B$21&lt;Eingaben!$B$22,AND(B412&gt;=Eingaben!$B$21,B412&lt;Eingaben!$B$22),OR(B412&gt;=Eingaben!$B$21,B412&lt;Eingaben!$B$22)),"GO",IF(AND(ISNUMBER(Eingaben!$B$23),ISNUMBER(Eingaben!$B$24),IF(Eingaben!$B$23&lt;Eingaben!$B$24,AND(B412&gt;=Eingaben!$B$23,B412&lt;Eingaben!$B$24),OR(B412&gt;=Eingaben!$B$23,B412&lt;Eingaben!$B$24))),"HEAT","STANDARD"))</f>
        <v>STANDARD</v>
      </c>
      <c r="E412" s="9"/>
      <c r="F412" t="str">
        <f>IF(E412="",D412,E412)</f>
        <v>STANDARD</v>
      </c>
      <c r="G412" t="str">
        <f>INDEX(Netzzeiten!$B$6:$B$29,HOUR(B412)+1)</f>
        <v>NT</v>
      </c>
      <c r="H412" s="6">
        <f>IF(F412="GO",Eingaben!$B$11,IF(F412="STANDARD",Eingaben!$B$12,IF(AND(F412="HEAT",ISNUMBER(Eingaben!$B$13)),Eingaben!$B$13,"")))</f>
        <v>28.2744</v>
      </c>
      <c r="I412" s="6">
        <f>INDEX(Netzzeiten!$C$6:$C$29,HOUR(B412)+1)</f>
        <v>1.64</v>
      </c>
      <c r="J412" t="str">
        <f>IF(C412="","FEHLT",IF(NOT(ISNUMBER(C412)),"MESSWERT UNGUELTIG",IF(C412&lt;0,"MESSWERT UNGUELTIG",IF(H412="","TARIFPREIS FEHLT","OK"))))</f>
        <v>FEHLT</v>
      </c>
      <c r="K412" s="7">
        <f>IF(J412&lt;&gt;"OK","",C412*I412/100)</f>
        <v/>
      </c>
    </row>
    <row r="413" spans="1:11">
      <c r="A413" s="14">
        <v>46147</v>
      </c>
      <c r="B413" s="15">
        <v>0.2395833333333333</v>
      </c>
      <c r="C413" s="5">
        <f>IF('96 Werte'!Y10="","",'96 Werte'!Y10)</f>
        <v/>
      </c>
      <c r="D413" t="str">
        <f>IF(IF(Eingaben!$B$21&lt;Eingaben!$B$22,AND(B413&gt;=Eingaben!$B$21,B413&lt;Eingaben!$B$22),OR(B413&gt;=Eingaben!$B$21,B413&lt;Eingaben!$B$22)),"GO",IF(AND(ISNUMBER(Eingaben!$B$23),ISNUMBER(Eingaben!$B$24),IF(Eingaben!$B$23&lt;Eingaben!$B$24,AND(B413&gt;=Eingaben!$B$23,B413&lt;Eingaben!$B$24),OR(B413&gt;=Eingaben!$B$23,B413&lt;Eingaben!$B$24))),"HEAT","STANDARD"))</f>
        <v>STANDARD</v>
      </c>
      <c r="E413" s="9"/>
      <c r="F413" t="str">
        <f>IF(E413="",D413,E413)</f>
        <v>STANDARD</v>
      </c>
      <c r="G413" t="str">
        <f>INDEX(Netzzeiten!$B$6:$B$29,HOUR(B413)+1)</f>
        <v>NT</v>
      </c>
      <c r="H413" s="6">
        <f>IF(F413="GO",Eingaben!$B$11,IF(F413="STANDARD",Eingaben!$B$12,IF(AND(F413="HEAT",ISNUMBER(Eingaben!$B$13)),Eingaben!$B$13,"")))</f>
        <v>28.2744</v>
      </c>
      <c r="I413" s="6">
        <f>INDEX(Netzzeiten!$C$6:$C$29,HOUR(B413)+1)</f>
        <v>1.64</v>
      </c>
      <c r="J413" t="str">
        <f>IF(C413="","FEHLT",IF(NOT(ISNUMBER(C413)),"MESSWERT UNGUELTIG",IF(C413&lt;0,"MESSWERT UNGUELTIG",IF(H413="","TARIFPREIS FEHLT","OK"))))</f>
        <v>FEHLT</v>
      </c>
      <c r="K413" s="7">
        <f>IF(J413&lt;&gt;"OK","",C413*I413/100)</f>
        <v/>
      </c>
    </row>
    <row r="414" spans="1:11">
      <c r="A414" s="14">
        <v>46147</v>
      </c>
      <c r="B414" s="15">
        <v>0.25</v>
      </c>
      <c r="C414" s="5">
        <f>IF('96 Werte'!Z10="","",'96 Werte'!Z10)</f>
        <v/>
      </c>
      <c r="D414" t="str">
        <f>IF(IF(Eingaben!$B$21&lt;Eingaben!$B$22,AND(B414&gt;=Eingaben!$B$21,B414&lt;Eingaben!$B$22),OR(B414&gt;=Eingaben!$B$21,B414&lt;Eingaben!$B$22)),"GO",IF(AND(ISNUMBER(Eingaben!$B$23),ISNUMBER(Eingaben!$B$24),IF(Eingaben!$B$23&lt;Eingaben!$B$24,AND(B414&gt;=Eingaben!$B$23,B414&lt;Eingaben!$B$24),OR(B414&gt;=Eingaben!$B$23,B414&lt;Eingaben!$B$24))),"HEAT","STANDARD"))</f>
        <v>STANDARD</v>
      </c>
      <c r="E414" s="9"/>
      <c r="F414" t="str">
        <f>IF(E414="",D414,E414)</f>
        <v>STANDARD</v>
      </c>
      <c r="G414" t="str">
        <f>INDEX(Netzzeiten!$B$6:$B$29,HOUR(B414)+1)</f>
        <v>ST</v>
      </c>
      <c r="H414" s="6">
        <f>IF(F414="GO",Eingaben!$B$11,IF(F414="STANDARD",Eingaben!$B$12,IF(AND(F414="HEAT",ISNUMBER(Eingaben!$B$13)),Eingaben!$B$13,"")))</f>
        <v>28.2744</v>
      </c>
      <c r="I414" s="6">
        <f>INDEX(Netzzeiten!$C$6:$C$29,HOUR(B414)+1)</f>
        <v>5.48</v>
      </c>
      <c r="J414" t="str">
        <f>IF(C414="","FEHLT",IF(NOT(ISNUMBER(C414)),"MESSWERT UNGUELTIG",IF(C414&lt;0,"MESSWERT UNGUELTIG",IF(H414="","TARIFPREIS FEHLT","OK"))))</f>
        <v>FEHLT</v>
      </c>
      <c r="K414" s="7">
        <f>IF(J414&lt;&gt;"OK","",C414*I414/100)</f>
        <v/>
      </c>
    </row>
    <row r="415" spans="1:11">
      <c r="A415" s="14">
        <v>46147</v>
      </c>
      <c r="B415" s="15">
        <v>0.2604166666666667</v>
      </c>
      <c r="C415" s="5">
        <f>IF('96 Werte'!AA10="","",'96 Werte'!AA10)</f>
        <v/>
      </c>
      <c r="D415" t="str">
        <f>IF(IF(Eingaben!$B$21&lt;Eingaben!$B$22,AND(B415&gt;=Eingaben!$B$21,B415&lt;Eingaben!$B$22),OR(B415&gt;=Eingaben!$B$21,B415&lt;Eingaben!$B$22)),"GO",IF(AND(ISNUMBER(Eingaben!$B$23),ISNUMBER(Eingaben!$B$24),IF(Eingaben!$B$23&lt;Eingaben!$B$24,AND(B415&gt;=Eingaben!$B$23,B415&lt;Eingaben!$B$24),OR(B415&gt;=Eingaben!$B$23,B415&lt;Eingaben!$B$24))),"HEAT","STANDARD"))</f>
        <v>STANDARD</v>
      </c>
      <c r="E415" s="9"/>
      <c r="F415" t="str">
        <f>IF(E415="",D415,E415)</f>
        <v>STANDARD</v>
      </c>
      <c r="G415" t="str">
        <f>INDEX(Netzzeiten!$B$6:$B$29,HOUR(B415)+1)</f>
        <v>ST</v>
      </c>
      <c r="H415" s="6">
        <f>IF(F415="GO",Eingaben!$B$11,IF(F415="STANDARD",Eingaben!$B$12,IF(AND(F415="HEAT",ISNUMBER(Eingaben!$B$13)),Eingaben!$B$13,"")))</f>
        <v>28.2744</v>
      </c>
      <c r="I415" s="6">
        <f>INDEX(Netzzeiten!$C$6:$C$29,HOUR(B415)+1)</f>
        <v>5.48</v>
      </c>
      <c r="J415" t="str">
        <f>IF(C415="","FEHLT",IF(NOT(ISNUMBER(C415)),"MESSWERT UNGUELTIG",IF(C415&lt;0,"MESSWERT UNGUELTIG",IF(H415="","TARIFPREIS FEHLT","OK"))))</f>
        <v>FEHLT</v>
      </c>
      <c r="K415" s="7">
        <f>IF(J415&lt;&gt;"OK","",C415*I415/100)</f>
        <v/>
      </c>
    </row>
    <row r="416" spans="1:11">
      <c r="A416" s="14">
        <v>46147</v>
      </c>
      <c r="B416" s="15">
        <v>0.2708333333333333</v>
      </c>
      <c r="C416" s="5">
        <f>IF('96 Werte'!AB10="","",'96 Werte'!AB10)</f>
        <v/>
      </c>
      <c r="D416" t="str">
        <f>IF(IF(Eingaben!$B$21&lt;Eingaben!$B$22,AND(B416&gt;=Eingaben!$B$21,B416&lt;Eingaben!$B$22),OR(B416&gt;=Eingaben!$B$21,B416&lt;Eingaben!$B$22)),"GO",IF(AND(ISNUMBER(Eingaben!$B$23),ISNUMBER(Eingaben!$B$24),IF(Eingaben!$B$23&lt;Eingaben!$B$24,AND(B416&gt;=Eingaben!$B$23,B416&lt;Eingaben!$B$24),OR(B416&gt;=Eingaben!$B$23,B416&lt;Eingaben!$B$24))),"HEAT","STANDARD"))</f>
        <v>STANDARD</v>
      </c>
      <c r="E416" s="9"/>
      <c r="F416" t="str">
        <f>IF(E416="",D416,E416)</f>
        <v>STANDARD</v>
      </c>
      <c r="G416" t="str">
        <f>INDEX(Netzzeiten!$B$6:$B$29,HOUR(B416)+1)</f>
        <v>ST</v>
      </c>
      <c r="H416" s="6">
        <f>IF(F416="GO",Eingaben!$B$11,IF(F416="STANDARD",Eingaben!$B$12,IF(AND(F416="HEAT",ISNUMBER(Eingaben!$B$13)),Eingaben!$B$13,"")))</f>
        <v>28.2744</v>
      </c>
      <c r="I416" s="6">
        <f>INDEX(Netzzeiten!$C$6:$C$29,HOUR(B416)+1)</f>
        <v>5.48</v>
      </c>
      <c r="J416" t="str">
        <f>IF(C416="","FEHLT",IF(NOT(ISNUMBER(C416)),"MESSWERT UNGUELTIG",IF(C416&lt;0,"MESSWERT UNGUELTIG",IF(H416="","TARIFPREIS FEHLT","OK"))))</f>
        <v>FEHLT</v>
      </c>
      <c r="K416" s="7">
        <f>IF(J416&lt;&gt;"OK","",C416*I416/100)</f>
        <v/>
      </c>
    </row>
    <row r="417" spans="1:11">
      <c r="A417" s="14">
        <v>46147</v>
      </c>
      <c r="B417" s="15">
        <v>0.28125</v>
      </c>
      <c r="C417" s="5">
        <f>IF('96 Werte'!AC10="","",'96 Werte'!AC10)</f>
        <v/>
      </c>
      <c r="D417" t="str">
        <f>IF(IF(Eingaben!$B$21&lt;Eingaben!$B$22,AND(B417&gt;=Eingaben!$B$21,B417&lt;Eingaben!$B$22),OR(B417&gt;=Eingaben!$B$21,B417&lt;Eingaben!$B$22)),"GO",IF(AND(ISNUMBER(Eingaben!$B$23),ISNUMBER(Eingaben!$B$24),IF(Eingaben!$B$23&lt;Eingaben!$B$24,AND(B417&gt;=Eingaben!$B$23,B417&lt;Eingaben!$B$24),OR(B417&gt;=Eingaben!$B$23,B417&lt;Eingaben!$B$24))),"HEAT","STANDARD"))</f>
        <v>STANDARD</v>
      </c>
      <c r="E417" s="9"/>
      <c r="F417" t="str">
        <f>IF(E417="",D417,E417)</f>
        <v>STANDARD</v>
      </c>
      <c r="G417" t="str">
        <f>INDEX(Netzzeiten!$B$6:$B$29,HOUR(B417)+1)</f>
        <v>ST</v>
      </c>
      <c r="H417" s="6">
        <f>IF(F417="GO",Eingaben!$B$11,IF(F417="STANDARD",Eingaben!$B$12,IF(AND(F417="HEAT",ISNUMBER(Eingaben!$B$13)),Eingaben!$B$13,"")))</f>
        <v>28.2744</v>
      </c>
      <c r="I417" s="6">
        <f>INDEX(Netzzeiten!$C$6:$C$29,HOUR(B417)+1)</f>
        <v>5.48</v>
      </c>
      <c r="J417" t="str">
        <f>IF(C417="","FEHLT",IF(NOT(ISNUMBER(C417)),"MESSWERT UNGUELTIG",IF(C417&lt;0,"MESSWERT UNGUELTIG",IF(H417="","TARIFPREIS FEHLT","OK"))))</f>
        <v>FEHLT</v>
      </c>
      <c r="K417" s="7">
        <f>IF(J417&lt;&gt;"OK","",C417*I417/100)</f>
        <v/>
      </c>
    </row>
    <row r="418" spans="1:11">
      <c r="A418" s="14">
        <v>46147</v>
      </c>
      <c r="B418" s="15">
        <v>0.2916666666666667</v>
      </c>
      <c r="C418" s="5">
        <f>IF('96 Werte'!AD10="","",'96 Werte'!AD10)</f>
        <v/>
      </c>
      <c r="D418" t="str">
        <f>IF(IF(Eingaben!$B$21&lt;Eingaben!$B$22,AND(B418&gt;=Eingaben!$B$21,B418&lt;Eingaben!$B$22),OR(B418&gt;=Eingaben!$B$21,B418&lt;Eingaben!$B$22)),"GO",IF(AND(ISNUMBER(Eingaben!$B$23),ISNUMBER(Eingaben!$B$24),IF(Eingaben!$B$23&lt;Eingaben!$B$24,AND(B418&gt;=Eingaben!$B$23,B418&lt;Eingaben!$B$24),OR(B418&gt;=Eingaben!$B$23,B418&lt;Eingaben!$B$24))),"HEAT","STANDARD"))</f>
        <v>STANDARD</v>
      </c>
      <c r="E418" s="9"/>
      <c r="F418" t="str">
        <f>IF(E418="",D418,E418)</f>
        <v>STANDARD</v>
      </c>
      <c r="G418" t="str">
        <f>INDEX(Netzzeiten!$B$6:$B$29,HOUR(B418)+1)</f>
        <v>ST</v>
      </c>
      <c r="H418" s="6">
        <f>IF(F418="GO",Eingaben!$B$11,IF(F418="STANDARD",Eingaben!$B$12,IF(AND(F418="HEAT",ISNUMBER(Eingaben!$B$13)),Eingaben!$B$13,"")))</f>
        <v>28.2744</v>
      </c>
      <c r="I418" s="6">
        <f>INDEX(Netzzeiten!$C$6:$C$29,HOUR(B418)+1)</f>
        <v>5.48</v>
      </c>
      <c r="J418" t="str">
        <f>IF(C418="","FEHLT",IF(NOT(ISNUMBER(C418)),"MESSWERT UNGUELTIG",IF(C418&lt;0,"MESSWERT UNGUELTIG",IF(H418="","TARIFPREIS FEHLT","OK"))))</f>
        <v>FEHLT</v>
      </c>
      <c r="K418" s="7">
        <f>IF(J418&lt;&gt;"OK","",C418*I418/100)</f>
        <v/>
      </c>
    </row>
    <row r="419" spans="1:11">
      <c r="A419" s="14">
        <v>46147</v>
      </c>
      <c r="B419" s="15">
        <v>0.3020833333333333</v>
      </c>
      <c r="C419" s="5">
        <f>IF('96 Werte'!AE10="","",'96 Werte'!AE10)</f>
        <v/>
      </c>
      <c r="D419" t="str">
        <f>IF(IF(Eingaben!$B$21&lt;Eingaben!$B$22,AND(B419&gt;=Eingaben!$B$21,B419&lt;Eingaben!$B$22),OR(B419&gt;=Eingaben!$B$21,B419&lt;Eingaben!$B$22)),"GO",IF(AND(ISNUMBER(Eingaben!$B$23),ISNUMBER(Eingaben!$B$24),IF(Eingaben!$B$23&lt;Eingaben!$B$24,AND(B419&gt;=Eingaben!$B$23,B419&lt;Eingaben!$B$24),OR(B419&gt;=Eingaben!$B$23,B419&lt;Eingaben!$B$24))),"HEAT","STANDARD"))</f>
        <v>STANDARD</v>
      </c>
      <c r="E419" s="9"/>
      <c r="F419" t="str">
        <f>IF(E419="",D419,E419)</f>
        <v>STANDARD</v>
      </c>
      <c r="G419" t="str">
        <f>INDEX(Netzzeiten!$B$6:$B$29,HOUR(B419)+1)</f>
        <v>ST</v>
      </c>
      <c r="H419" s="6">
        <f>IF(F419="GO",Eingaben!$B$11,IF(F419="STANDARD",Eingaben!$B$12,IF(AND(F419="HEAT",ISNUMBER(Eingaben!$B$13)),Eingaben!$B$13,"")))</f>
        <v>28.2744</v>
      </c>
      <c r="I419" s="6">
        <f>INDEX(Netzzeiten!$C$6:$C$29,HOUR(B419)+1)</f>
        <v>5.48</v>
      </c>
      <c r="J419" t="str">
        <f>IF(C419="","FEHLT",IF(NOT(ISNUMBER(C419)),"MESSWERT UNGUELTIG",IF(C419&lt;0,"MESSWERT UNGUELTIG",IF(H419="","TARIFPREIS FEHLT","OK"))))</f>
        <v>FEHLT</v>
      </c>
      <c r="K419" s="7">
        <f>IF(J419&lt;&gt;"OK","",C419*I419/100)</f>
        <v/>
      </c>
    </row>
    <row r="420" spans="1:11">
      <c r="A420" s="14">
        <v>46147</v>
      </c>
      <c r="B420" s="15">
        <v>0.3125</v>
      </c>
      <c r="C420" s="5">
        <f>IF('96 Werte'!AF10="","",'96 Werte'!AF10)</f>
        <v/>
      </c>
      <c r="D420" t="str">
        <f>IF(IF(Eingaben!$B$21&lt;Eingaben!$B$22,AND(B420&gt;=Eingaben!$B$21,B420&lt;Eingaben!$B$22),OR(B420&gt;=Eingaben!$B$21,B420&lt;Eingaben!$B$22)),"GO",IF(AND(ISNUMBER(Eingaben!$B$23),ISNUMBER(Eingaben!$B$24),IF(Eingaben!$B$23&lt;Eingaben!$B$24,AND(B420&gt;=Eingaben!$B$23,B420&lt;Eingaben!$B$24),OR(B420&gt;=Eingaben!$B$23,B420&lt;Eingaben!$B$24))),"HEAT","STANDARD"))</f>
        <v>STANDARD</v>
      </c>
      <c r="E420" s="9"/>
      <c r="F420" t="str">
        <f>IF(E420="",D420,E420)</f>
        <v>STANDARD</v>
      </c>
      <c r="G420" t="str">
        <f>INDEX(Netzzeiten!$B$6:$B$29,HOUR(B420)+1)</f>
        <v>ST</v>
      </c>
      <c r="H420" s="6">
        <f>IF(F420="GO",Eingaben!$B$11,IF(F420="STANDARD",Eingaben!$B$12,IF(AND(F420="HEAT",ISNUMBER(Eingaben!$B$13)),Eingaben!$B$13,"")))</f>
        <v>28.2744</v>
      </c>
      <c r="I420" s="6">
        <f>INDEX(Netzzeiten!$C$6:$C$29,HOUR(B420)+1)</f>
        <v>5.48</v>
      </c>
      <c r="J420" t="str">
        <f>IF(C420="","FEHLT",IF(NOT(ISNUMBER(C420)),"MESSWERT UNGUELTIG",IF(C420&lt;0,"MESSWERT UNGUELTIG",IF(H420="","TARIFPREIS FEHLT","OK"))))</f>
        <v>FEHLT</v>
      </c>
      <c r="K420" s="7">
        <f>IF(J420&lt;&gt;"OK","",C420*I420/100)</f>
        <v/>
      </c>
    </row>
    <row r="421" spans="1:11">
      <c r="A421" s="14">
        <v>46147</v>
      </c>
      <c r="B421" s="15">
        <v>0.3229166666666667</v>
      </c>
      <c r="C421" s="5">
        <f>IF('96 Werte'!AG10="","",'96 Werte'!AG10)</f>
        <v/>
      </c>
      <c r="D421" t="str">
        <f>IF(IF(Eingaben!$B$21&lt;Eingaben!$B$22,AND(B421&gt;=Eingaben!$B$21,B421&lt;Eingaben!$B$22),OR(B421&gt;=Eingaben!$B$21,B421&lt;Eingaben!$B$22)),"GO",IF(AND(ISNUMBER(Eingaben!$B$23),ISNUMBER(Eingaben!$B$24),IF(Eingaben!$B$23&lt;Eingaben!$B$24,AND(B421&gt;=Eingaben!$B$23,B421&lt;Eingaben!$B$24),OR(B421&gt;=Eingaben!$B$23,B421&lt;Eingaben!$B$24))),"HEAT","STANDARD"))</f>
        <v>STANDARD</v>
      </c>
      <c r="E421" s="9"/>
      <c r="F421" t="str">
        <f>IF(E421="",D421,E421)</f>
        <v>STANDARD</v>
      </c>
      <c r="G421" t="str">
        <f>INDEX(Netzzeiten!$B$6:$B$29,HOUR(B421)+1)</f>
        <v>ST</v>
      </c>
      <c r="H421" s="6">
        <f>IF(F421="GO",Eingaben!$B$11,IF(F421="STANDARD",Eingaben!$B$12,IF(AND(F421="HEAT",ISNUMBER(Eingaben!$B$13)),Eingaben!$B$13,"")))</f>
        <v>28.2744</v>
      </c>
      <c r="I421" s="6">
        <f>INDEX(Netzzeiten!$C$6:$C$29,HOUR(B421)+1)</f>
        <v>5.48</v>
      </c>
      <c r="J421" t="str">
        <f>IF(C421="","FEHLT",IF(NOT(ISNUMBER(C421)),"MESSWERT UNGUELTIG",IF(C421&lt;0,"MESSWERT UNGUELTIG",IF(H421="","TARIFPREIS FEHLT","OK"))))</f>
        <v>FEHLT</v>
      </c>
      <c r="K421" s="7">
        <f>IF(J421&lt;&gt;"OK","",C421*I421/100)</f>
        <v/>
      </c>
    </row>
    <row r="422" spans="1:11">
      <c r="A422" s="14">
        <v>46147</v>
      </c>
      <c r="B422" s="15">
        <v>0.3333333333333333</v>
      </c>
      <c r="C422" s="5">
        <f>IF('96 Werte'!AH10="","",'96 Werte'!AH10)</f>
        <v/>
      </c>
      <c r="D422" t="str">
        <f>IF(IF(Eingaben!$B$21&lt;Eingaben!$B$22,AND(B422&gt;=Eingaben!$B$21,B422&lt;Eingaben!$B$22),OR(B422&gt;=Eingaben!$B$21,B422&lt;Eingaben!$B$22)),"GO",IF(AND(ISNUMBER(Eingaben!$B$23),ISNUMBER(Eingaben!$B$24),IF(Eingaben!$B$23&lt;Eingaben!$B$24,AND(B422&gt;=Eingaben!$B$23,B422&lt;Eingaben!$B$24),OR(B422&gt;=Eingaben!$B$23,B422&lt;Eingaben!$B$24))),"HEAT","STANDARD"))</f>
        <v>STANDARD</v>
      </c>
      <c r="E422" s="9"/>
      <c r="F422" t="str">
        <f>IF(E422="",D422,E422)</f>
        <v>STANDARD</v>
      </c>
      <c r="G422" t="str">
        <f>INDEX(Netzzeiten!$B$6:$B$29,HOUR(B422)+1)</f>
        <v>ST</v>
      </c>
      <c r="H422" s="6">
        <f>IF(F422="GO",Eingaben!$B$11,IF(F422="STANDARD",Eingaben!$B$12,IF(AND(F422="HEAT",ISNUMBER(Eingaben!$B$13)),Eingaben!$B$13,"")))</f>
        <v>28.2744</v>
      </c>
      <c r="I422" s="6">
        <f>INDEX(Netzzeiten!$C$6:$C$29,HOUR(B422)+1)</f>
        <v>5.48</v>
      </c>
      <c r="J422" t="str">
        <f>IF(C422="","FEHLT",IF(NOT(ISNUMBER(C422)),"MESSWERT UNGUELTIG",IF(C422&lt;0,"MESSWERT UNGUELTIG",IF(H422="","TARIFPREIS FEHLT","OK"))))</f>
        <v>FEHLT</v>
      </c>
      <c r="K422" s="7">
        <f>IF(J422&lt;&gt;"OK","",C422*I422/100)</f>
        <v/>
      </c>
    </row>
    <row r="423" spans="1:11">
      <c r="A423" s="14">
        <v>46147</v>
      </c>
      <c r="B423" s="15">
        <v>0.34375</v>
      </c>
      <c r="C423" s="5">
        <f>IF('96 Werte'!AI10="","",'96 Werte'!AI10)</f>
        <v/>
      </c>
      <c r="D423" t="str">
        <f>IF(IF(Eingaben!$B$21&lt;Eingaben!$B$22,AND(B423&gt;=Eingaben!$B$21,B423&lt;Eingaben!$B$22),OR(B423&gt;=Eingaben!$B$21,B423&lt;Eingaben!$B$22)),"GO",IF(AND(ISNUMBER(Eingaben!$B$23),ISNUMBER(Eingaben!$B$24),IF(Eingaben!$B$23&lt;Eingaben!$B$24,AND(B423&gt;=Eingaben!$B$23,B423&lt;Eingaben!$B$24),OR(B423&gt;=Eingaben!$B$23,B423&lt;Eingaben!$B$24))),"HEAT","STANDARD"))</f>
        <v>STANDARD</v>
      </c>
      <c r="E423" s="9"/>
      <c r="F423" t="str">
        <f>IF(E423="",D423,E423)</f>
        <v>STANDARD</v>
      </c>
      <c r="G423" t="str">
        <f>INDEX(Netzzeiten!$B$6:$B$29,HOUR(B423)+1)</f>
        <v>ST</v>
      </c>
      <c r="H423" s="6">
        <f>IF(F423="GO",Eingaben!$B$11,IF(F423="STANDARD",Eingaben!$B$12,IF(AND(F423="HEAT",ISNUMBER(Eingaben!$B$13)),Eingaben!$B$13,"")))</f>
        <v>28.2744</v>
      </c>
      <c r="I423" s="6">
        <f>INDEX(Netzzeiten!$C$6:$C$29,HOUR(B423)+1)</f>
        <v>5.48</v>
      </c>
      <c r="J423" t="str">
        <f>IF(C423="","FEHLT",IF(NOT(ISNUMBER(C423)),"MESSWERT UNGUELTIG",IF(C423&lt;0,"MESSWERT UNGUELTIG",IF(H423="","TARIFPREIS FEHLT","OK"))))</f>
        <v>FEHLT</v>
      </c>
      <c r="K423" s="7">
        <f>IF(J423&lt;&gt;"OK","",C423*I423/100)</f>
        <v/>
      </c>
    </row>
    <row r="424" spans="1:11">
      <c r="A424" s="14">
        <v>46147</v>
      </c>
      <c r="B424" s="15">
        <v>0.3541666666666667</v>
      </c>
      <c r="C424" s="5">
        <f>IF('96 Werte'!AJ10="","",'96 Werte'!AJ10)</f>
        <v/>
      </c>
      <c r="D424" t="str">
        <f>IF(IF(Eingaben!$B$21&lt;Eingaben!$B$22,AND(B424&gt;=Eingaben!$B$21,B424&lt;Eingaben!$B$22),OR(B424&gt;=Eingaben!$B$21,B424&lt;Eingaben!$B$22)),"GO",IF(AND(ISNUMBER(Eingaben!$B$23),ISNUMBER(Eingaben!$B$24),IF(Eingaben!$B$23&lt;Eingaben!$B$24,AND(B424&gt;=Eingaben!$B$23,B424&lt;Eingaben!$B$24),OR(B424&gt;=Eingaben!$B$23,B424&lt;Eingaben!$B$24))),"HEAT","STANDARD"))</f>
        <v>STANDARD</v>
      </c>
      <c r="E424" s="9"/>
      <c r="F424" t="str">
        <f>IF(E424="",D424,E424)</f>
        <v>STANDARD</v>
      </c>
      <c r="G424" t="str">
        <f>INDEX(Netzzeiten!$B$6:$B$29,HOUR(B424)+1)</f>
        <v>ST</v>
      </c>
      <c r="H424" s="6">
        <f>IF(F424="GO",Eingaben!$B$11,IF(F424="STANDARD",Eingaben!$B$12,IF(AND(F424="HEAT",ISNUMBER(Eingaben!$B$13)),Eingaben!$B$13,"")))</f>
        <v>28.2744</v>
      </c>
      <c r="I424" s="6">
        <f>INDEX(Netzzeiten!$C$6:$C$29,HOUR(B424)+1)</f>
        <v>5.48</v>
      </c>
      <c r="J424" t="str">
        <f>IF(C424="","FEHLT",IF(NOT(ISNUMBER(C424)),"MESSWERT UNGUELTIG",IF(C424&lt;0,"MESSWERT UNGUELTIG",IF(H424="","TARIFPREIS FEHLT","OK"))))</f>
        <v>FEHLT</v>
      </c>
      <c r="K424" s="7">
        <f>IF(J424&lt;&gt;"OK","",C424*I424/100)</f>
        <v/>
      </c>
    </row>
    <row r="425" spans="1:11">
      <c r="A425" s="14">
        <v>46147</v>
      </c>
      <c r="B425" s="15">
        <v>0.3645833333333333</v>
      </c>
      <c r="C425" s="5">
        <f>IF('96 Werte'!AK10="","",'96 Werte'!AK10)</f>
        <v/>
      </c>
      <c r="D425" t="str">
        <f>IF(IF(Eingaben!$B$21&lt;Eingaben!$B$22,AND(B425&gt;=Eingaben!$B$21,B425&lt;Eingaben!$B$22),OR(B425&gt;=Eingaben!$B$21,B425&lt;Eingaben!$B$22)),"GO",IF(AND(ISNUMBER(Eingaben!$B$23),ISNUMBER(Eingaben!$B$24),IF(Eingaben!$B$23&lt;Eingaben!$B$24,AND(B425&gt;=Eingaben!$B$23,B425&lt;Eingaben!$B$24),OR(B425&gt;=Eingaben!$B$23,B425&lt;Eingaben!$B$24))),"HEAT","STANDARD"))</f>
        <v>STANDARD</v>
      </c>
      <c r="E425" s="9"/>
      <c r="F425" t="str">
        <f>IF(E425="",D425,E425)</f>
        <v>STANDARD</v>
      </c>
      <c r="G425" t="str">
        <f>INDEX(Netzzeiten!$B$6:$B$29,HOUR(B425)+1)</f>
        <v>ST</v>
      </c>
      <c r="H425" s="6">
        <f>IF(F425="GO",Eingaben!$B$11,IF(F425="STANDARD",Eingaben!$B$12,IF(AND(F425="HEAT",ISNUMBER(Eingaben!$B$13)),Eingaben!$B$13,"")))</f>
        <v>28.2744</v>
      </c>
      <c r="I425" s="6">
        <f>INDEX(Netzzeiten!$C$6:$C$29,HOUR(B425)+1)</f>
        <v>5.48</v>
      </c>
      <c r="J425" t="str">
        <f>IF(C425="","FEHLT",IF(NOT(ISNUMBER(C425)),"MESSWERT UNGUELTIG",IF(C425&lt;0,"MESSWERT UNGUELTIG",IF(H425="","TARIFPREIS FEHLT","OK"))))</f>
        <v>FEHLT</v>
      </c>
      <c r="K425" s="7">
        <f>IF(J425&lt;&gt;"OK","",C425*I425/100)</f>
        <v/>
      </c>
    </row>
    <row r="426" spans="1:11">
      <c r="A426" s="14">
        <v>46147</v>
      </c>
      <c r="B426" s="15">
        <v>0.375</v>
      </c>
      <c r="C426" s="5">
        <f>IF('96 Werte'!AL10="","",'96 Werte'!AL10)</f>
        <v/>
      </c>
      <c r="D426" t="str">
        <f>IF(IF(Eingaben!$B$21&lt;Eingaben!$B$22,AND(B426&gt;=Eingaben!$B$21,B426&lt;Eingaben!$B$22),OR(B426&gt;=Eingaben!$B$21,B426&lt;Eingaben!$B$22)),"GO",IF(AND(ISNUMBER(Eingaben!$B$23),ISNUMBER(Eingaben!$B$24),IF(Eingaben!$B$23&lt;Eingaben!$B$24,AND(B426&gt;=Eingaben!$B$23,B426&lt;Eingaben!$B$24),OR(B426&gt;=Eingaben!$B$23,B426&lt;Eingaben!$B$24))),"HEAT","STANDARD"))</f>
        <v>STANDARD</v>
      </c>
      <c r="E426" s="9"/>
      <c r="F426" t="str">
        <f>IF(E426="",D426,E426)</f>
        <v>STANDARD</v>
      </c>
      <c r="G426" t="str">
        <f>INDEX(Netzzeiten!$B$6:$B$29,HOUR(B426)+1)</f>
        <v>ST</v>
      </c>
      <c r="H426" s="6">
        <f>IF(F426="GO",Eingaben!$B$11,IF(F426="STANDARD",Eingaben!$B$12,IF(AND(F426="HEAT",ISNUMBER(Eingaben!$B$13)),Eingaben!$B$13,"")))</f>
        <v>28.2744</v>
      </c>
      <c r="I426" s="6">
        <f>INDEX(Netzzeiten!$C$6:$C$29,HOUR(B426)+1)</f>
        <v>5.48</v>
      </c>
      <c r="J426" t="str">
        <f>IF(C426="","FEHLT",IF(NOT(ISNUMBER(C426)),"MESSWERT UNGUELTIG",IF(C426&lt;0,"MESSWERT UNGUELTIG",IF(H426="","TARIFPREIS FEHLT","OK"))))</f>
        <v>FEHLT</v>
      </c>
      <c r="K426" s="7">
        <f>IF(J426&lt;&gt;"OK","",C426*I426/100)</f>
        <v/>
      </c>
    </row>
    <row r="427" spans="1:11">
      <c r="A427" s="14">
        <v>46147</v>
      </c>
      <c r="B427" s="15">
        <v>0.3854166666666667</v>
      </c>
      <c r="C427" s="5">
        <f>IF('96 Werte'!AM10="","",'96 Werte'!AM10)</f>
        <v/>
      </c>
      <c r="D427" t="str">
        <f>IF(IF(Eingaben!$B$21&lt;Eingaben!$B$22,AND(B427&gt;=Eingaben!$B$21,B427&lt;Eingaben!$B$22),OR(B427&gt;=Eingaben!$B$21,B427&lt;Eingaben!$B$22)),"GO",IF(AND(ISNUMBER(Eingaben!$B$23),ISNUMBER(Eingaben!$B$24),IF(Eingaben!$B$23&lt;Eingaben!$B$24,AND(B427&gt;=Eingaben!$B$23,B427&lt;Eingaben!$B$24),OR(B427&gt;=Eingaben!$B$23,B427&lt;Eingaben!$B$24))),"HEAT","STANDARD"))</f>
        <v>STANDARD</v>
      </c>
      <c r="E427" s="9"/>
      <c r="F427" t="str">
        <f>IF(E427="",D427,E427)</f>
        <v>STANDARD</v>
      </c>
      <c r="G427" t="str">
        <f>INDEX(Netzzeiten!$B$6:$B$29,HOUR(B427)+1)</f>
        <v>ST</v>
      </c>
      <c r="H427" s="6">
        <f>IF(F427="GO",Eingaben!$B$11,IF(F427="STANDARD",Eingaben!$B$12,IF(AND(F427="HEAT",ISNUMBER(Eingaben!$B$13)),Eingaben!$B$13,"")))</f>
        <v>28.2744</v>
      </c>
      <c r="I427" s="6">
        <f>INDEX(Netzzeiten!$C$6:$C$29,HOUR(B427)+1)</f>
        <v>5.48</v>
      </c>
      <c r="J427" t="str">
        <f>IF(C427="","FEHLT",IF(NOT(ISNUMBER(C427)),"MESSWERT UNGUELTIG",IF(C427&lt;0,"MESSWERT UNGUELTIG",IF(H427="","TARIFPREIS FEHLT","OK"))))</f>
        <v>FEHLT</v>
      </c>
      <c r="K427" s="7">
        <f>IF(J427&lt;&gt;"OK","",C427*I427/100)</f>
        <v/>
      </c>
    </row>
    <row r="428" spans="1:11">
      <c r="A428" s="14">
        <v>46147</v>
      </c>
      <c r="B428" s="15">
        <v>0.3958333333333333</v>
      </c>
      <c r="C428" s="5">
        <f>IF('96 Werte'!AN10="","",'96 Werte'!AN10)</f>
        <v/>
      </c>
      <c r="D428" t="str">
        <f>IF(IF(Eingaben!$B$21&lt;Eingaben!$B$22,AND(B428&gt;=Eingaben!$B$21,B428&lt;Eingaben!$B$22),OR(B428&gt;=Eingaben!$B$21,B428&lt;Eingaben!$B$22)),"GO",IF(AND(ISNUMBER(Eingaben!$B$23),ISNUMBER(Eingaben!$B$24),IF(Eingaben!$B$23&lt;Eingaben!$B$24,AND(B428&gt;=Eingaben!$B$23,B428&lt;Eingaben!$B$24),OR(B428&gt;=Eingaben!$B$23,B428&lt;Eingaben!$B$24))),"HEAT","STANDARD"))</f>
        <v>STANDARD</v>
      </c>
      <c r="E428" s="9"/>
      <c r="F428" t="str">
        <f>IF(E428="",D428,E428)</f>
        <v>STANDARD</v>
      </c>
      <c r="G428" t="str">
        <f>INDEX(Netzzeiten!$B$6:$B$29,HOUR(B428)+1)</f>
        <v>ST</v>
      </c>
      <c r="H428" s="6">
        <f>IF(F428="GO",Eingaben!$B$11,IF(F428="STANDARD",Eingaben!$B$12,IF(AND(F428="HEAT",ISNUMBER(Eingaben!$B$13)),Eingaben!$B$13,"")))</f>
        <v>28.2744</v>
      </c>
      <c r="I428" s="6">
        <f>INDEX(Netzzeiten!$C$6:$C$29,HOUR(B428)+1)</f>
        <v>5.48</v>
      </c>
      <c r="J428" t="str">
        <f>IF(C428="","FEHLT",IF(NOT(ISNUMBER(C428)),"MESSWERT UNGUELTIG",IF(C428&lt;0,"MESSWERT UNGUELTIG",IF(H428="","TARIFPREIS FEHLT","OK"))))</f>
        <v>FEHLT</v>
      </c>
      <c r="K428" s="7">
        <f>IF(J428&lt;&gt;"OK","",C428*I428/100)</f>
        <v/>
      </c>
    </row>
    <row r="429" spans="1:11">
      <c r="A429" s="14">
        <v>46147</v>
      </c>
      <c r="B429" s="15">
        <v>0.40625</v>
      </c>
      <c r="C429" s="5">
        <f>IF('96 Werte'!AO10="","",'96 Werte'!AO10)</f>
        <v/>
      </c>
      <c r="D429" t="str">
        <f>IF(IF(Eingaben!$B$21&lt;Eingaben!$B$22,AND(B429&gt;=Eingaben!$B$21,B429&lt;Eingaben!$B$22),OR(B429&gt;=Eingaben!$B$21,B429&lt;Eingaben!$B$22)),"GO",IF(AND(ISNUMBER(Eingaben!$B$23),ISNUMBER(Eingaben!$B$24),IF(Eingaben!$B$23&lt;Eingaben!$B$24,AND(B429&gt;=Eingaben!$B$23,B429&lt;Eingaben!$B$24),OR(B429&gt;=Eingaben!$B$23,B429&lt;Eingaben!$B$24))),"HEAT","STANDARD"))</f>
        <v>STANDARD</v>
      </c>
      <c r="E429" s="9"/>
      <c r="F429" t="str">
        <f>IF(E429="",D429,E429)</f>
        <v>STANDARD</v>
      </c>
      <c r="G429" t="str">
        <f>INDEX(Netzzeiten!$B$6:$B$29,HOUR(B429)+1)</f>
        <v>ST</v>
      </c>
      <c r="H429" s="6">
        <f>IF(F429="GO",Eingaben!$B$11,IF(F429="STANDARD",Eingaben!$B$12,IF(AND(F429="HEAT",ISNUMBER(Eingaben!$B$13)),Eingaben!$B$13,"")))</f>
        <v>28.2744</v>
      </c>
      <c r="I429" s="6">
        <f>INDEX(Netzzeiten!$C$6:$C$29,HOUR(B429)+1)</f>
        <v>5.48</v>
      </c>
      <c r="J429" t="str">
        <f>IF(C429="","FEHLT",IF(NOT(ISNUMBER(C429)),"MESSWERT UNGUELTIG",IF(C429&lt;0,"MESSWERT UNGUELTIG",IF(H429="","TARIFPREIS FEHLT","OK"))))</f>
        <v>FEHLT</v>
      </c>
      <c r="K429" s="7">
        <f>IF(J429&lt;&gt;"OK","",C429*I429/100)</f>
        <v/>
      </c>
    </row>
    <row r="430" spans="1:11">
      <c r="A430" s="14">
        <v>46147</v>
      </c>
      <c r="B430" s="15">
        <v>0.4166666666666667</v>
      </c>
      <c r="C430" s="5">
        <f>IF('96 Werte'!AP10="","",'96 Werte'!AP10)</f>
        <v/>
      </c>
      <c r="D430" t="str">
        <f>IF(IF(Eingaben!$B$21&lt;Eingaben!$B$22,AND(B430&gt;=Eingaben!$B$21,B430&lt;Eingaben!$B$22),OR(B430&gt;=Eingaben!$B$21,B430&lt;Eingaben!$B$22)),"GO",IF(AND(ISNUMBER(Eingaben!$B$23),ISNUMBER(Eingaben!$B$24),IF(Eingaben!$B$23&lt;Eingaben!$B$24,AND(B430&gt;=Eingaben!$B$23,B430&lt;Eingaben!$B$24),OR(B430&gt;=Eingaben!$B$23,B430&lt;Eingaben!$B$24))),"HEAT","STANDARD"))</f>
        <v>STANDARD</v>
      </c>
      <c r="E430" s="9"/>
      <c r="F430" t="str">
        <f>IF(E430="",D430,E430)</f>
        <v>STANDARD</v>
      </c>
      <c r="G430" t="str">
        <f>INDEX(Netzzeiten!$B$6:$B$29,HOUR(B430)+1)</f>
        <v>ST</v>
      </c>
      <c r="H430" s="6">
        <f>IF(F430="GO",Eingaben!$B$11,IF(F430="STANDARD",Eingaben!$B$12,IF(AND(F430="HEAT",ISNUMBER(Eingaben!$B$13)),Eingaben!$B$13,"")))</f>
        <v>28.2744</v>
      </c>
      <c r="I430" s="6">
        <f>INDEX(Netzzeiten!$C$6:$C$29,HOUR(B430)+1)</f>
        <v>5.48</v>
      </c>
      <c r="J430" t="str">
        <f>IF(C430="","FEHLT",IF(NOT(ISNUMBER(C430)),"MESSWERT UNGUELTIG",IF(C430&lt;0,"MESSWERT UNGUELTIG",IF(H430="","TARIFPREIS FEHLT","OK"))))</f>
        <v>FEHLT</v>
      </c>
      <c r="K430" s="7">
        <f>IF(J430&lt;&gt;"OK","",C430*I430/100)</f>
        <v/>
      </c>
    </row>
    <row r="431" spans="1:11">
      <c r="A431" s="14">
        <v>46147</v>
      </c>
      <c r="B431" s="15">
        <v>0.4270833333333333</v>
      </c>
      <c r="C431" s="5">
        <f>IF('96 Werte'!AQ10="","",'96 Werte'!AQ10)</f>
        <v/>
      </c>
      <c r="D431" t="str">
        <f>IF(IF(Eingaben!$B$21&lt;Eingaben!$B$22,AND(B431&gt;=Eingaben!$B$21,B431&lt;Eingaben!$B$22),OR(B431&gt;=Eingaben!$B$21,B431&lt;Eingaben!$B$22)),"GO",IF(AND(ISNUMBER(Eingaben!$B$23),ISNUMBER(Eingaben!$B$24),IF(Eingaben!$B$23&lt;Eingaben!$B$24,AND(B431&gt;=Eingaben!$B$23,B431&lt;Eingaben!$B$24),OR(B431&gt;=Eingaben!$B$23,B431&lt;Eingaben!$B$24))),"HEAT","STANDARD"))</f>
        <v>STANDARD</v>
      </c>
      <c r="E431" s="9"/>
      <c r="F431" t="str">
        <f>IF(E431="",D431,E431)</f>
        <v>STANDARD</v>
      </c>
      <c r="G431" t="str">
        <f>INDEX(Netzzeiten!$B$6:$B$29,HOUR(B431)+1)</f>
        <v>ST</v>
      </c>
      <c r="H431" s="6">
        <f>IF(F431="GO",Eingaben!$B$11,IF(F431="STANDARD",Eingaben!$B$12,IF(AND(F431="HEAT",ISNUMBER(Eingaben!$B$13)),Eingaben!$B$13,"")))</f>
        <v>28.2744</v>
      </c>
      <c r="I431" s="6">
        <f>INDEX(Netzzeiten!$C$6:$C$29,HOUR(B431)+1)</f>
        <v>5.48</v>
      </c>
      <c r="J431" t="str">
        <f>IF(C431="","FEHLT",IF(NOT(ISNUMBER(C431)),"MESSWERT UNGUELTIG",IF(C431&lt;0,"MESSWERT UNGUELTIG",IF(H431="","TARIFPREIS FEHLT","OK"))))</f>
        <v>FEHLT</v>
      </c>
      <c r="K431" s="7">
        <f>IF(J431&lt;&gt;"OK","",C431*I431/100)</f>
        <v/>
      </c>
    </row>
    <row r="432" spans="1:11">
      <c r="A432" s="14">
        <v>46147</v>
      </c>
      <c r="B432" s="15">
        <v>0.4375</v>
      </c>
      <c r="C432" s="5">
        <f>IF('96 Werte'!AR10="","",'96 Werte'!AR10)</f>
        <v/>
      </c>
      <c r="D432" t="str">
        <f>IF(IF(Eingaben!$B$21&lt;Eingaben!$B$22,AND(B432&gt;=Eingaben!$B$21,B432&lt;Eingaben!$B$22),OR(B432&gt;=Eingaben!$B$21,B432&lt;Eingaben!$B$22)),"GO",IF(AND(ISNUMBER(Eingaben!$B$23),ISNUMBER(Eingaben!$B$24),IF(Eingaben!$B$23&lt;Eingaben!$B$24,AND(B432&gt;=Eingaben!$B$23,B432&lt;Eingaben!$B$24),OR(B432&gt;=Eingaben!$B$23,B432&lt;Eingaben!$B$24))),"HEAT","STANDARD"))</f>
        <v>STANDARD</v>
      </c>
      <c r="E432" s="9"/>
      <c r="F432" t="str">
        <f>IF(E432="",D432,E432)</f>
        <v>STANDARD</v>
      </c>
      <c r="G432" t="str">
        <f>INDEX(Netzzeiten!$B$6:$B$29,HOUR(B432)+1)</f>
        <v>ST</v>
      </c>
      <c r="H432" s="6">
        <f>IF(F432="GO",Eingaben!$B$11,IF(F432="STANDARD",Eingaben!$B$12,IF(AND(F432="HEAT",ISNUMBER(Eingaben!$B$13)),Eingaben!$B$13,"")))</f>
        <v>28.2744</v>
      </c>
      <c r="I432" s="6">
        <f>INDEX(Netzzeiten!$C$6:$C$29,HOUR(B432)+1)</f>
        <v>5.48</v>
      </c>
      <c r="J432" t="str">
        <f>IF(C432="","FEHLT",IF(NOT(ISNUMBER(C432)),"MESSWERT UNGUELTIG",IF(C432&lt;0,"MESSWERT UNGUELTIG",IF(H432="","TARIFPREIS FEHLT","OK"))))</f>
        <v>FEHLT</v>
      </c>
      <c r="K432" s="7">
        <f>IF(J432&lt;&gt;"OK","",C432*I432/100)</f>
        <v/>
      </c>
    </row>
    <row r="433" spans="1:11">
      <c r="A433" s="14">
        <v>46147</v>
      </c>
      <c r="B433" s="15">
        <v>0.4479166666666667</v>
      </c>
      <c r="C433" s="5">
        <f>IF('96 Werte'!AS10="","",'96 Werte'!AS10)</f>
        <v/>
      </c>
      <c r="D433" t="str">
        <f>IF(IF(Eingaben!$B$21&lt;Eingaben!$B$22,AND(B433&gt;=Eingaben!$B$21,B433&lt;Eingaben!$B$22),OR(B433&gt;=Eingaben!$B$21,B433&lt;Eingaben!$B$22)),"GO",IF(AND(ISNUMBER(Eingaben!$B$23),ISNUMBER(Eingaben!$B$24),IF(Eingaben!$B$23&lt;Eingaben!$B$24,AND(B433&gt;=Eingaben!$B$23,B433&lt;Eingaben!$B$24),OR(B433&gt;=Eingaben!$B$23,B433&lt;Eingaben!$B$24))),"HEAT","STANDARD"))</f>
        <v>STANDARD</v>
      </c>
      <c r="E433" s="9"/>
      <c r="F433" t="str">
        <f>IF(E433="",D433,E433)</f>
        <v>STANDARD</v>
      </c>
      <c r="G433" t="str">
        <f>INDEX(Netzzeiten!$B$6:$B$29,HOUR(B433)+1)</f>
        <v>ST</v>
      </c>
      <c r="H433" s="6">
        <f>IF(F433="GO",Eingaben!$B$11,IF(F433="STANDARD",Eingaben!$B$12,IF(AND(F433="HEAT",ISNUMBER(Eingaben!$B$13)),Eingaben!$B$13,"")))</f>
        <v>28.2744</v>
      </c>
      <c r="I433" s="6">
        <f>INDEX(Netzzeiten!$C$6:$C$29,HOUR(B433)+1)</f>
        <v>5.48</v>
      </c>
      <c r="J433" t="str">
        <f>IF(C433="","FEHLT",IF(NOT(ISNUMBER(C433)),"MESSWERT UNGUELTIG",IF(C433&lt;0,"MESSWERT UNGUELTIG",IF(H433="","TARIFPREIS FEHLT","OK"))))</f>
        <v>FEHLT</v>
      </c>
      <c r="K433" s="7">
        <f>IF(J433&lt;&gt;"OK","",C433*I433/100)</f>
        <v/>
      </c>
    </row>
    <row r="434" spans="1:11">
      <c r="A434" s="14">
        <v>46147</v>
      </c>
      <c r="B434" s="15">
        <v>0.4583333333333333</v>
      </c>
      <c r="C434" s="5">
        <f>IF('96 Werte'!AT10="","",'96 Werte'!AT10)</f>
        <v/>
      </c>
      <c r="D434" t="str">
        <f>IF(IF(Eingaben!$B$21&lt;Eingaben!$B$22,AND(B434&gt;=Eingaben!$B$21,B434&lt;Eingaben!$B$22),OR(B434&gt;=Eingaben!$B$21,B434&lt;Eingaben!$B$22)),"GO",IF(AND(ISNUMBER(Eingaben!$B$23),ISNUMBER(Eingaben!$B$24),IF(Eingaben!$B$23&lt;Eingaben!$B$24,AND(B434&gt;=Eingaben!$B$23,B434&lt;Eingaben!$B$24),OR(B434&gt;=Eingaben!$B$23,B434&lt;Eingaben!$B$24))),"HEAT","STANDARD"))</f>
        <v>STANDARD</v>
      </c>
      <c r="E434" s="9"/>
      <c r="F434" t="str">
        <f>IF(E434="",D434,E434)</f>
        <v>STANDARD</v>
      </c>
      <c r="G434" t="str">
        <f>INDEX(Netzzeiten!$B$6:$B$29,HOUR(B434)+1)</f>
        <v>NT</v>
      </c>
      <c r="H434" s="6">
        <f>IF(F434="GO",Eingaben!$B$11,IF(F434="STANDARD",Eingaben!$B$12,IF(AND(F434="HEAT",ISNUMBER(Eingaben!$B$13)),Eingaben!$B$13,"")))</f>
        <v>28.2744</v>
      </c>
      <c r="I434" s="6">
        <f>INDEX(Netzzeiten!$C$6:$C$29,HOUR(B434)+1)</f>
        <v>1.64</v>
      </c>
      <c r="J434" t="str">
        <f>IF(C434="","FEHLT",IF(NOT(ISNUMBER(C434)),"MESSWERT UNGUELTIG",IF(C434&lt;0,"MESSWERT UNGUELTIG",IF(H434="","TARIFPREIS FEHLT","OK"))))</f>
        <v>FEHLT</v>
      </c>
      <c r="K434" s="7">
        <f>IF(J434&lt;&gt;"OK","",C434*I434/100)</f>
        <v/>
      </c>
    </row>
    <row r="435" spans="1:11">
      <c r="A435" s="14">
        <v>46147</v>
      </c>
      <c r="B435" s="15">
        <v>0.46875</v>
      </c>
      <c r="C435" s="5">
        <f>IF('96 Werte'!AU10="","",'96 Werte'!AU10)</f>
        <v/>
      </c>
      <c r="D435" t="str">
        <f>IF(IF(Eingaben!$B$21&lt;Eingaben!$B$22,AND(B435&gt;=Eingaben!$B$21,B435&lt;Eingaben!$B$22),OR(B435&gt;=Eingaben!$B$21,B435&lt;Eingaben!$B$22)),"GO",IF(AND(ISNUMBER(Eingaben!$B$23),ISNUMBER(Eingaben!$B$24),IF(Eingaben!$B$23&lt;Eingaben!$B$24,AND(B435&gt;=Eingaben!$B$23,B435&lt;Eingaben!$B$24),OR(B435&gt;=Eingaben!$B$23,B435&lt;Eingaben!$B$24))),"HEAT","STANDARD"))</f>
        <v>STANDARD</v>
      </c>
      <c r="E435" s="9"/>
      <c r="F435" t="str">
        <f>IF(E435="",D435,E435)</f>
        <v>STANDARD</v>
      </c>
      <c r="G435" t="str">
        <f>INDEX(Netzzeiten!$B$6:$B$29,HOUR(B435)+1)</f>
        <v>NT</v>
      </c>
      <c r="H435" s="6">
        <f>IF(F435="GO",Eingaben!$B$11,IF(F435="STANDARD",Eingaben!$B$12,IF(AND(F435="HEAT",ISNUMBER(Eingaben!$B$13)),Eingaben!$B$13,"")))</f>
        <v>28.2744</v>
      </c>
      <c r="I435" s="6">
        <f>INDEX(Netzzeiten!$C$6:$C$29,HOUR(B435)+1)</f>
        <v>1.64</v>
      </c>
      <c r="J435" t="str">
        <f>IF(C435="","FEHLT",IF(NOT(ISNUMBER(C435)),"MESSWERT UNGUELTIG",IF(C435&lt;0,"MESSWERT UNGUELTIG",IF(H435="","TARIFPREIS FEHLT","OK"))))</f>
        <v>FEHLT</v>
      </c>
      <c r="K435" s="7">
        <f>IF(J435&lt;&gt;"OK","",C435*I435/100)</f>
        <v/>
      </c>
    </row>
    <row r="436" spans="1:11">
      <c r="A436" s="14">
        <v>46147</v>
      </c>
      <c r="B436" s="15">
        <v>0.4791666666666667</v>
      </c>
      <c r="C436" s="5">
        <f>IF('96 Werte'!AV10="","",'96 Werte'!AV10)</f>
        <v/>
      </c>
      <c r="D436" t="str">
        <f>IF(IF(Eingaben!$B$21&lt;Eingaben!$B$22,AND(B436&gt;=Eingaben!$B$21,B436&lt;Eingaben!$B$22),OR(B436&gt;=Eingaben!$B$21,B436&lt;Eingaben!$B$22)),"GO",IF(AND(ISNUMBER(Eingaben!$B$23),ISNUMBER(Eingaben!$B$24),IF(Eingaben!$B$23&lt;Eingaben!$B$24,AND(B436&gt;=Eingaben!$B$23,B436&lt;Eingaben!$B$24),OR(B436&gt;=Eingaben!$B$23,B436&lt;Eingaben!$B$24))),"HEAT","STANDARD"))</f>
        <v>STANDARD</v>
      </c>
      <c r="E436" s="9"/>
      <c r="F436" t="str">
        <f>IF(E436="",D436,E436)</f>
        <v>STANDARD</v>
      </c>
      <c r="G436" t="str">
        <f>INDEX(Netzzeiten!$B$6:$B$29,HOUR(B436)+1)</f>
        <v>NT</v>
      </c>
      <c r="H436" s="6">
        <f>IF(F436="GO",Eingaben!$B$11,IF(F436="STANDARD",Eingaben!$B$12,IF(AND(F436="HEAT",ISNUMBER(Eingaben!$B$13)),Eingaben!$B$13,"")))</f>
        <v>28.2744</v>
      </c>
      <c r="I436" s="6">
        <f>INDEX(Netzzeiten!$C$6:$C$29,HOUR(B436)+1)</f>
        <v>1.64</v>
      </c>
      <c r="J436" t="str">
        <f>IF(C436="","FEHLT",IF(NOT(ISNUMBER(C436)),"MESSWERT UNGUELTIG",IF(C436&lt;0,"MESSWERT UNGUELTIG",IF(H436="","TARIFPREIS FEHLT","OK"))))</f>
        <v>FEHLT</v>
      </c>
      <c r="K436" s="7">
        <f>IF(J436&lt;&gt;"OK","",C436*I436/100)</f>
        <v/>
      </c>
    </row>
    <row r="437" spans="1:11">
      <c r="A437" s="14">
        <v>46147</v>
      </c>
      <c r="B437" s="15">
        <v>0.4895833333333333</v>
      </c>
      <c r="C437" s="5">
        <f>IF('96 Werte'!AW10="","",'96 Werte'!AW10)</f>
        <v/>
      </c>
      <c r="D437" t="str">
        <f>IF(IF(Eingaben!$B$21&lt;Eingaben!$B$22,AND(B437&gt;=Eingaben!$B$21,B437&lt;Eingaben!$B$22),OR(B437&gt;=Eingaben!$B$21,B437&lt;Eingaben!$B$22)),"GO",IF(AND(ISNUMBER(Eingaben!$B$23),ISNUMBER(Eingaben!$B$24),IF(Eingaben!$B$23&lt;Eingaben!$B$24,AND(B437&gt;=Eingaben!$B$23,B437&lt;Eingaben!$B$24),OR(B437&gt;=Eingaben!$B$23,B437&lt;Eingaben!$B$24))),"HEAT","STANDARD"))</f>
        <v>STANDARD</v>
      </c>
      <c r="E437" s="9"/>
      <c r="F437" t="str">
        <f>IF(E437="",D437,E437)</f>
        <v>STANDARD</v>
      </c>
      <c r="G437" t="str">
        <f>INDEX(Netzzeiten!$B$6:$B$29,HOUR(B437)+1)</f>
        <v>NT</v>
      </c>
      <c r="H437" s="6">
        <f>IF(F437="GO",Eingaben!$B$11,IF(F437="STANDARD",Eingaben!$B$12,IF(AND(F437="HEAT",ISNUMBER(Eingaben!$B$13)),Eingaben!$B$13,"")))</f>
        <v>28.2744</v>
      </c>
      <c r="I437" s="6">
        <f>INDEX(Netzzeiten!$C$6:$C$29,HOUR(B437)+1)</f>
        <v>1.64</v>
      </c>
      <c r="J437" t="str">
        <f>IF(C437="","FEHLT",IF(NOT(ISNUMBER(C437)),"MESSWERT UNGUELTIG",IF(C437&lt;0,"MESSWERT UNGUELTIG",IF(H437="","TARIFPREIS FEHLT","OK"))))</f>
        <v>FEHLT</v>
      </c>
      <c r="K437" s="7">
        <f>IF(J437&lt;&gt;"OK","",C437*I437/100)</f>
        <v/>
      </c>
    </row>
    <row r="438" spans="1:11">
      <c r="A438" s="14">
        <v>46147</v>
      </c>
      <c r="B438" s="15">
        <v>0.5</v>
      </c>
      <c r="C438" s="5">
        <f>IF('96 Werte'!AX10="","",'96 Werte'!AX10)</f>
        <v/>
      </c>
      <c r="D438" t="str">
        <f>IF(IF(Eingaben!$B$21&lt;Eingaben!$B$22,AND(B438&gt;=Eingaben!$B$21,B438&lt;Eingaben!$B$22),OR(B438&gt;=Eingaben!$B$21,B438&lt;Eingaben!$B$22)),"GO",IF(AND(ISNUMBER(Eingaben!$B$23),ISNUMBER(Eingaben!$B$24),IF(Eingaben!$B$23&lt;Eingaben!$B$24,AND(B438&gt;=Eingaben!$B$23,B438&lt;Eingaben!$B$24),OR(B438&gt;=Eingaben!$B$23,B438&lt;Eingaben!$B$24))),"HEAT","STANDARD"))</f>
        <v>STANDARD</v>
      </c>
      <c r="E438" s="9"/>
      <c r="F438" t="str">
        <f>IF(E438="",D438,E438)</f>
        <v>STANDARD</v>
      </c>
      <c r="G438" t="str">
        <f>INDEX(Netzzeiten!$B$6:$B$29,HOUR(B438)+1)</f>
        <v>NT</v>
      </c>
      <c r="H438" s="6">
        <f>IF(F438="GO",Eingaben!$B$11,IF(F438="STANDARD",Eingaben!$B$12,IF(AND(F438="HEAT",ISNUMBER(Eingaben!$B$13)),Eingaben!$B$13,"")))</f>
        <v>28.2744</v>
      </c>
      <c r="I438" s="6">
        <f>INDEX(Netzzeiten!$C$6:$C$29,HOUR(B438)+1)</f>
        <v>1.64</v>
      </c>
      <c r="J438" t="str">
        <f>IF(C438="","FEHLT",IF(NOT(ISNUMBER(C438)),"MESSWERT UNGUELTIG",IF(C438&lt;0,"MESSWERT UNGUELTIG",IF(H438="","TARIFPREIS FEHLT","OK"))))</f>
        <v>FEHLT</v>
      </c>
      <c r="K438" s="7">
        <f>IF(J438&lt;&gt;"OK","",C438*I438/100)</f>
        <v/>
      </c>
    </row>
    <row r="439" spans="1:11">
      <c r="A439" s="14">
        <v>46147</v>
      </c>
      <c r="B439" s="15">
        <v>0.5104166666666666</v>
      </c>
      <c r="C439" s="5">
        <f>IF('96 Werte'!AY10="","",'96 Werte'!AY10)</f>
        <v/>
      </c>
      <c r="D439" t="str">
        <f>IF(IF(Eingaben!$B$21&lt;Eingaben!$B$22,AND(B439&gt;=Eingaben!$B$21,B439&lt;Eingaben!$B$22),OR(B439&gt;=Eingaben!$B$21,B439&lt;Eingaben!$B$22)),"GO",IF(AND(ISNUMBER(Eingaben!$B$23),ISNUMBER(Eingaben!$B$24),IF(Eingaben!$B$23&lt;Eingaben!$B$24,AND(B439&gt;=Eingaben!$B$23,B439&lt;Eingaben!$B$24),OR(B439&gt;=Eingaben!$B$23,B439&lt;Eingaben!$B$24))),"HEAT","STANDARD"))</f>
        <v>STANDARD</v>
      </c>
      <c r="E439" s="9"/>
      <c r="F439" t="str">
        <f>IF(E439="",D439,E439)</f>
        <v>STANDARD</v>
      </c>
      <c r="G439" t="str">
        <f>INDEX(Netzzeiten!$B$6:$B$29,HOUR(B439)+1)</f>
        <v>NT</v>
      </c>
      <c r="H439" s="6">
        <f>IF(F439="GO",Eingaben!$B$11,IF(F439="STANDARD",Eingaben!$B$12,IF(AND(F439="HEAT",ISNUMBER(Eingaben!$B$13)),Eingaben!$B$13,"")))</f>
        <v>28.2744</v>
      </c>
      <c r="I439" s="6">
        <f>INDEX(Netzzeiten!$C$6:$C$29,HOUR(B439)+1)</f>
        <v>1.64</v>
      </c>
      <c r="J439" t="str">
        <f>IF(C439="","FEHLT",IF(NOT(ISNUMBER(C439)),"MESSWERT UNGUELTIG",IF(C439&lt;0,"MESSWERT UNGUELTIG",IF(H439="","TARIFPREIS FEHLT","OK"))))</f>
        <v>FEHLT</v>
      </c>
      <c r="K439" s="7">
        <f>IF(J439&lt;&gt;"OK","",C439*I439/100)</f>
        <v/>
      </c>
    </row>
    <row r="440" spans="1:11">
      <c r="A440" s="14">
        <v>46147</v>
      </c>
      <c r="B440" s="15">
        <v>0.5208333333333334</v>
      </c>
      <c r="C440" s="5">
        <f>IF('96 Werte'!AZ10="","",'96 Werte'!AZ10)</f>
        <v/>
      </c>
      <c r="D440" t="str">
        <f>IF(IF(Eingaben!$B$21&lt;Eingaben!$B$22,AND(B440&gt;=Eingaben!$B$21,B440&lt;Eingaben!$B$22),OR(B440&gt;=Eingaben!$B$21,B440&lt;Eingaben!$B$22)),"GO",IF(AND(ISNUMBER(Eingaben!$B$23),ISNUMBER(Eingaben!$B$24),IF(Eingaben!$B$23&lt;Eingaben!$B$24,AND(B440&gt;=Eingaben!$B$23,B440&lt;Eingaben!$B$24),OR(B440&gt;=Eingaben!$B$23,B440&lt;Eingaben!$B$24))),"HEAT","STANDARD"))</f>
        <v>STANDARD</v>
      </c>
      <c r="E440" s="9"/>
      <c r="F440" t="str">
        <f>IF(E440="",D440,E440)</f>
        <v>STANDARD</v>
      </c>
      <c r="G440" t="str">
        <f>INDEX(Netzzeiten!$B$6:$B$29,HOUR(B440)+1)</f>
        <v>NT</v>
      </c>
      <c r="H440" s="6">
        <f>IF(F440="GO",Eingaben!$B$11,IF(F440="STANDARD",Eingaben!$B$12,IF(AND(F440="HEAT",ISNUMBER(Eingaben!$B$13)),Eingaben!$B$13,"")))</f>
        <v>28.2744</v>
      </c>
      <c r="I440" s="6">
        <f>INDEX(Netzzeiten!$C$6:$C$29,HOUR(B440)+1)</f>
        <v>1.64</v>
      </c>
      <c r="J440" t="str">
        <f>IF(C440="","FEHLT",IF(NOT(ISNUMBER(C440)),"MESSWERT UNGUELTIG",IF(C440&lt;0,"MESSWERT UNGUELTIG",IF(H440="","TARIFPREIS FEHLT","OK"))))</f>
        <v>FEHLT</v>
      </c>
      <c r="K440" s="7">
        <f>IF(J440&lt;&gt;"OK","",C440*I440/100)</f>
        <v/>
      </c>
    </row>
    <row r="441" spans="1:11">
      <c r="A441" s="14">
        <v>46147</v>
      </c>
      <c r="B441" s="15">
        <v>0.53125</v>
      </c>
      <c r="C441" s="5">
        <f>IF('96 Werte'!BA10="","",'96 Werte'!BA10)</f>
        <v/>
      </c>
      <c r="D441" t="str">
        <f>IF(IF(Eingaben!$B$21&lt;Eingaben!$B$22,AND(B441&gt;=Eingaben!$B$21,B441&lt;Eingaben!$B$22),OR(B441&gt;=Eingaben!$B$21,B441&lt;Eingaben!$B$22)),"GO",IF(AND(ISNUMBER(Eingaben!$B$23),ISNUMBER(Eingaben!$B$24),IF(Eingaben!$B$23&lt;Eingaben!$B$24,AND(B441&gt;=Eingaben!$B$23,B441&lt;Eingaben!$B$24),OR(B441&gt;=Eingaben!$B$23,B441&lt;Eingaben!$B$24))),"HEAT","STANDARD"))</f>
        <v>STANDARD</v>
      </c>
      <c r="E441" s="9"/>
      <c r="F441" t="str">
        <f>IF(E441="",D441,E441)</f>
        <v>STANDARD</v>
      </c>
      <c r="G441" t="str">
        <f>INDEX(Netzzeiten!$B$6:$B$29,HOUR(B441)+1)</f>
        <v>NT</v>
      </c>
      <c r="H441" s="6">
        <f>IF(F441="GO",Eingaben!$B$11,IF(F441="STANDARD",Eingaben!$B$12,IF(AND(F441="HEAT",ISNUMBER(Eingaben!$B$13)),Eingaben!$B$13,"")))</f>
        <v>28.2744</v>
      </c>
      <c r="I441" s="6">
        <f>INDEX(Netzzeiten!$C$6:$C$29,HOUR(B441)+1)</f>
        <v>1.64</v>
      </c>
      <c r="J441" t="str">
        <f>IF(C441="","FEHLT",IF(NOT(ISNUMBER(C441)),"MESSWERT UNGUELTIG",IF(C441&lt;0,"MESSWERT UNGUELTIG",IF(H441="","TARIFPREIS FEHLT","OK"))))</f>
        <v>FEHLT</v>
      </c>
      <c r="K441" s="7">
        <f>IF(J441&lt;&gt;"OK","",C441*I441/100)</f>
        <v/>
      </c>
    </row>
    <row r="442" spans="1:11">
      <c r="A442" s="14">
        <v>46147</v>
      </c>
      <c r="B442" s="15">
        <v>0.5416666666666666</v>
      </c>
      <c r="C442" s="5">
        <f>IF('96 Werte'!BB10="","",'96 Werte'!BB10)</f>
        <v/>
      </c>
      <c r="D442" t="str">
        <f>IF(IF(Eingaben!$B$21&lt;Eingaben!$B$22,AND(B442&gt;=Eingaben!$B$21,B442&lt;Eingaben!$B$22),OR(B442&gt;=Eingaben!$B$21,B442&lt;Eingaben!$B$22)),"GO",IF(AND(ISNUMBER(Eingaben!$B$23),ISNUMBER(Eingaben!$B$24),IF(Eingaben!$B$23&lt;Eingaben!$B$24,AND(B442&gt;=Eingaben!$B$23,B442&lt;Eingaben!$B$24),OR(B442&gt;=Eingaben!$B$23,B442&lt;Eingaben!$B$24))),"HEAT","STANDARD"))</f>
        <v>STANDARD</v>
      </c>
      <c r="E442" s="9"/>
      <c r="F442" t="str">
        <f>IF(E442="",D442,E442)</f>
        <v>STANDARD</v>
      </c>
      <c r="G442" t="str">
        <f>INDEX(Netzzeiten!$B$6:$B$29,HOUR(B442)+1)</f>
        <v>NT</v>
      </c>
      <c r="H442" s="6">
        <f>IF(F442="GO",Eingaben!$B$11,IF(F442="STANDARD",Eingaben!$B$12,IF(AND(F442="HEAT",ISNUMBER(Eingaben!$B$13)),Eingaben!$B$13,"")))</f>
        <v>28.2744</v>
      </c>
      <c r="I442" s="6">
        <f>INDEX(Netzzeiten!$C$6:$C$29,HOUR(B442)+1)</f>
        <v>1.64</v>
      </c>
      <c r="J442" t="str">
        <f>IF(C442="","FEHLT",IF(NOT(ISNUMBER(C442)),"MESSWERT UNGUELTIG",IF(C442&lt;0,"MESSWERT UNGUELTIG",IF(H442="","TARIFPREIS FEHLT","OK"))))</f>
        <v>FEHLT</v>
      </c>
      <c r="K442" s="7">
        <f>IF(J442&lt;&gt;"OK","",C442*I442/100)</f>
        <v/>
      </c>
    </row>
    <row r="443" spans="1:11">
      <c r="A443" s="14">
        <v>46147</v>
      </c>
      <c r="B443" s="15">
        <v>0.5520833333333334</v>
      </c>
      <c r="C443" s="5">
        <f>IF('96 Werte'!BC10="","",'96 Werte'!BC10)</f>
        <v/>
      </c>
      <c r="D443" t="str">
        <f>IF(IF(Eingaben!$B$21&lt;Eingaben!$B$22,AND(B443&gt;=Eingaben!$B$21,B443&lt;Eingaben!$B$22),OR(B443&gt;=Eingaben!$B$21,B443&lt;Eingaben!$B$22)),"GO",IF(AND(ISNUMBER(Eingaben!$B$23),ISNUMBER(Eingaben!$B$24),IF(Eingaben!$B$23&lt;Eingaben!$B$24,AND(B443&gt;=Eingaben!$B$23,B443&lt;Eingaben!$B$24),OR(B443&gt;=Eingaben!$B$23,B443&lt;Eingaben!$B$24))),"HEAT","STANDARD"))</f>
        <v>STANDARD</v>
      </c>
      <c r="E443" s="9"/>
      <c r="F443" t="str">
        <f>IF(E443="",D443,E443)</f>
        <v>STANDARD</v>
      </c>
      <c r="G443" t="str">
        <f>INDEX(Netzzeiten!$B$6:$B$29,HOUR(B443)+1)</f>
        <v>NT</v>
      </c>
      <c r="H443" s="6">
        <f>IF(F443="GO",Eingaben!$B$11,IF(F443="STANDARD",Eingaben!$B$12,IF(AND(F443="HEAT",ISNUMBER(Eingaben!$B$13)),Eingaben!$B$13,"")))</f>
        <v>28.2744</v>
      </c>
      <c r="I443" s="6">
        <f>INDEX(Netzzeiten!$C$6:$C$29,HOUR(B443)+1)</f>
        <v>1.64</v>
      </c>
      <c r="J443" t="str">
        <f>IF(C443="","FEHLT",IF(NOT(ISNUMBER(C443)),"MESSWERT UNGUELTIG",IF(C443&lt;0,"MESSWERT UNGUELTIG",IF(H443="","TARIFPREIS FEHLT","OK"))))</f>
        <v>FEHLT</v>
      </c>
      <c r="K443" s="7">
        <f>IF(J443&lt;&gt;"OK","",C443*I443/100)</f>
        <v/>
      </c>
    </row>
    <row r="444" spans="1:11">
      <c r="A444" s="14">
        <v>46147</v>
      </c>
      <c r="B444" s="15">
        <v>0.5625</v>
      </c>
      <c r="C444" s="5">
        <f>IF('96 Werte'!BD10="","",'96 Werte'!BD10)</f>
        <v/>
      </c>
      <c r="D444" t="str">
        <f>IF(IF(Eingaben!$B$21&lt;Eingaben!$B$22,AND(B444&gt;=Eingaben!$B$21,B444&lt;Eingaben!$B$22),OR(B444&gt;=Eingaben!$B$21,B444&lt;Eingaben!$B$22)),"GO",IF(AND(ISNUMBER(Eingaben!$B$23),ISNUMBER(Eingaben!$B$24),IF(Eingaben!$B$23&lt;Eingaben!$B$24,AND(B444&gt;=Eingaben!$B$23,B444&lt;Eingaben!$B$24),OR(B444&gt;=Eingaben!$B$23,B444&lt;Eingaben!$B$24))),"HEAT","STANDARD"))</f>
        <v>STANDARD</v>
      </c>
      <c r="E444" s="9"/>
      <c r="F444" t="str">
        <f>IF(E444="",D444,E444)</f>
        <v>STANDARD</v>
      </c>
      <c r="G444" t="str">
        <f>INDEX(Netzzeiten!$B$6:$B$29,HOUR(B444)+1)</f>
        <v>NT</v>
      </c>
      <c r="H444" s="6">
        <f>IF(F444="GO",Eingaben!$B$11,IF(F444="STANDARD",Eingaben!$B$12,IF(AND(F444="HEAT",ISNUMBER(Eingaben!$B$13)),Eingaben!$B$13,"")))</f>
        <v>28.2744</v>
      </c>
      <c r="I444" s="6">
        <f>INDEX(Netzzeiten!$C$6:$C$29,HOUR(B444)+1)</f>
        <v>1.64</v>
      </c>
      <c r="J444" t="str">
        <f>IF(C444="","FEHLT",IF(NOT(ISNUMBER(C444)),"MESSWERT UNGUELTIG",IF(C444&lt;0,"MESSWERT UNGUELTIG",IF(H444="","TARIFPREIS FEHLT","OK"))))</f>
        <v>FEHLT</v>
      </c>
      <c r="K444" s="7">
        <f>IF(J444&lt;&gt;"OK","",C444*I444/100)</f>
        <v/>
      </c>
    </row>
    <row r="445" spans="1:11">
      <c r="A445" s="14">
        <v>46147</v>
      </c>
      <c r="B445" s="15">
        <v>0.5729166666666666</v>
      </c>
      <c r="C445" s="5">
        <f>IF('96 Werte'!BE10="","",'96 Werte'!BE10)</f>
        <v/>
      </c>
      <c r="D445" t="str">
        <f>IF(IF(Eingaben!$B$21&lt;Eingaben!$B$22,AND(B445&gt;=Eingaben!$B$21,B445&lt;Eingaben!$B$22),OR(B445&gt;=Eingaben!$B$21,B445&lt;Eingaben!$B$22)),"GO",IF(AND(ISNUMBER(Eingaben!$B$23),ISNUMBER(Eingaben!$B$24),IF(Eingaben!$B$23&lt;Eingaben!$B$24,AND(B445&gt;=Eingaben!$B$23,B445&lt;Eingaben!$B$24),OR(B445&gt;=Eingaben!$B$23,B445&lt;Eingaben!$B$24))),"HEAT","STANDARD"))</f>
        <v>STANDARD</v>
      </c>
      <c r="E445" s="9"/>
      <c r="F445" t="str">
        <f>IF(E445="",D445,E445)</f>
        <v>STANDARD</v>
      </c>
      <c r="G445" t="str">
        <f>INDEX(Netzzeiten!$B$6:$B$29,HOUR(B445)+1)</f>
        <v>NT</v>
      </c>
      <c r="H445" s="6">
        <f>IF(F445="GO",Eingaben!$B$11,IF(F445="STANDARD",Eingaben!$B$12,IF(AND(F445="HEAT",ISNUMBER(Eingaben!$B$13)),Eingaben!$B$13,"")))</f>
        <v>28.2744</v>
      </c>
      <c r="I445" s="6">
        <f>INDEX(Netzzeiten!$C$6:$C$29,HOUR(B445)+1)</f>
        <v>1.64</v>
      </c>
      <c r="J445" t="str">
        <f>IF(C445="","FEHLT",IF(NOT(ISNUMBER(C445)),"MESSWERT UNGUELTIG",IF(C445&lt;0,"MESSWERT UNGUELTIG",IF(H445="","TARIFPREIS FEHLT","OK"))))</f>
        <v>FEHLT</v>
      </c>
      <c r="K445" s="7">
        <f>IF(J445&lt;&gt;"OK","",C445*I445/100)</f>
        <v/>
      </c>
    </row>
    <row r="446" spans="1:11">
      <c r="A446" s="14">
        <v>46147</v>
      </c>
      <c r="B446" s="15">
        <v>0.5833333333333334</v>
      </c>
      <c r="C446" s="5">
        <f>IF('96 Werte'!BF10="","",'96 Werte'!BF10)</f>
        <v/>
      </c>
      <c r="D446" t="str">
        <f>IF(IF(Eingaben!$B$21&lt;Eingaben!$B$22,AND(B446&gt;=Eingaben!$B$21,B446&lt;Eingaben!$B$22),OR(B446&gt;=Eingaben!$B$21,B446&lt;Eingaben!$B$22)),"GO",IF(AND(ISNUMBER(Eingaben!$B$23),ISNUMBER(Eingaben!$B$24),IF(Eingaben!$B$23&lt;Eingaben!$B$24,AND(B446&gt;=Eingaben!$B$23,B446&lt;Eingaben!$B$24),OR(B446&gt;=Eingaben!$B$23,B446&lt;Eingaben!$B$24))),"HEAT","STANDARD"))</f>
        <v>STANDARD</v>
      </c>
      <c r="E446" s="9"/>
      <c r="F446" t="str">
        <f>IF(E446="",D446,E446)</f>
        <v>STANDARD</v>
      </c>
      <c r="G446" t="str">
        <f>INDEX(Netzzeiten!$B$6:$B$29,HOUR(B446)+1)</f>
        <v>NT</v>
      </c>
      <c r="H446" s="6">
        <f>IF(F446="GO",Eingaben!$B$11,IF(F446="STANDARD",Eingaben!$B$12,IF(AND(F446="HEAT",ISNUMBER(Eingaben!$B$13)),Eingaben!$B$13,"")))</f>
        <v>28.2744</v>
      </c>
      <c r="I446" s="6">
        <f>INDEX(Netzzeiten!$C$6:$C$29,HOUR(B446)+1)</f>
        <v>1.64</v>
      </c>
      <c r="J446" t="str">
        <f>IF(C446="","FEHLT",IF(NOT(ISNUMBER(C446)),"MESSWERT UNGUELTIG",IF(C446&lt;0,"MESSWERT UNGUELTIG",IF(H446="","TARIFPREIS FEHLT","OK"))))</f>
        <v>FEHLT</v>
      </c>
      <c r="K446" s="7">
        <f>IF(J446&lt;&gt;"OK","",C446*I446/100)</f>
        <v/>
      </c>
    </row>
    <row r="447" spans="1:11">
      <c r="A447" s="14">
        <v>46147</v>
      </c>
      <c r="B447" s="15">
        <v>0.59375</v>
      </c>
      <c r="C447" s="5">
        <f>IF('96 Werte'!BG10="","",'96 Werte'!BG10)</f>
        <v/>
      </c>
      <c r="D447" t="str">
        <f>IF(IF(Eingaben!$B$21&lt;Eingaben!$B$22,AND(B447&gt;=Eingaben!$B$21,B447&lt;Eingaben!$B$22),OR(B447&gt;=Eingaben!$B$21,B447&lt;Eingaben!$B$22)),"GO",IF(AND(ISNUMBER(Eingaben!$B$23),ISNUMBER(Eingaben!$B$24),IF(Eingaben!$B$23&lt;Eingaben!$B$24,AND(B447&gt;=Eingaben!$B$23,B447&lt;Eingaben!$B$24),OR(B447&gt;=Eingaben!$B$23,B447&lt;Eingaben!$B$24))),"HEAT","STANDARD"))</f>
        <v>STANDARD</v>
      </c>
      <c r="E447" s="9"/>
      <c r="F447" t="str">
        <f>IF(E447="",D447,E447)</f>
        <v>STANDARD</v>
      </c>
      <c r="G447" t="str">
        <f>INDEX(Netzzeiten!$B$6:$B$29,HOUR(B447)+1)</f>
        <v>NT</v>
      </c>
      <c r="H447" s="6">
        <f>IF(F447="GO",Eingaben!$B$11,IF(F447="STANDARD",Eingaben!$B$12,IF(AND(F447="HEAT",ISNUMBER(Eingaben!$B$13)),Eingaben!$B$13,"")))</f>
        <v>28.2744</v>
      </c>
      <c r="I447" s="6">
        <f>INDEX(Netzzeiten!$C$6:$C$29,HOUR(B447)+1)</f>
        <v>1.64</v>
      </c>
      <c r="J447" t="str">
        <f>IF(C447="","FEHLT",IF(NOT(ISNUMBER(C447)),"MESSWERT UNGUELTIG",IF(C447&lt;0,"MESSWERT UNGUELTIG",IF(H447="","TARIFPREIS FEHLT","OK"))))</f>
        <v>FEHLT</v>
      </c>
      <c r="K447" s="7">
        <f>IF(J447&lt;&gt;"OK","",C447*I447/100)</f>
        <v/>
      </c>
    </row>
    <row r="448" spans="1:11">
      <c r="A448" s="14">
        <v>46147</v>
      </c>
      <c r="B448" s="15">
        <v>0.6041666666666666</v>
      </c>
      <c r="C448" s="5">
        <f>IF('96 Werte'!BH10="","",'96 Werte'!BH10)</f>
        <v/>
      </c>
      <c r="D448" t="str">
        <f>IF(IF(Eingaben!$B$21&lt;Eingaben!$B$22,AND(B448&gt;=Eingaben!$B$21,B448&lt;Eingaben!$B$22),OR(B448&gt;=Eingaben!$B$21,B448&lt;Eingaben!$B$22)),"GO",IF(AND(ISNUMBER(Eingaben!$B$23),ISNUMBER(Eingaben!$B$24),IF(Eingaben!$B$23&lt;Eingaben!$B$24,AND(B448&gt;=Eingaben!$B$23,B448&lt;Eingaben!$B$24),OR(B448&gt;=Eingaben!$B$23,B448&lt;Eingaben!$B$24))),"HEAT","STANDARD"))</f>
        <v>STANDARD</v>
      </c>
      <c r="E448" s="9"/>
      <c r="F448" t="str">
        <f>IF(E448="",D448,E448)</f>
        <v>STANDARD</v>
      </c>
      <c r="G448" t="str">
        <f>INDEX(Netzzeiten!$B$6:$B$29,HOUR(B448)+1)</f>
        <v>NT</v>
      </c>
      <c r="H448" s="6">
        <f>IF(F448="GO",Eingaben!$B$11,IF(F448="STANDARD",Eingaben!$B$12,IF(AND(F448="HEAT",ISNUMBER(Eingaben!$B$13)),Eingaben!$B$13,"")))</f>
        <v>28.2744</v>
      </c>
      <c r="I448" s="6">
        <f>INDEX(Netzzeiten!$C$6:$C$29,HOUR(B448)+1)</f>
        <v>1.64</v>
      </c>
      <c r="J448" t="str">
        <f>IF(C448="","FEHLT",IF(NOT(ISNUMBER(C448)),"MESSWERT UNGUELTIG",IF(C448&lt;0,"MESSWERT UNGUELTIG",IF(H448="","TARIFPREIS FEHLT","OK"))))</f>
        <v>FEHLT</v>
      </c>
      <c r="K448" s="7">
        <f>IF(J448&lt;&gt;"OK","",C448*I448/100)</f>
        <v/>
      </c>
    </row>
    <row r="449" spans="1:11">
      <c r="A449" s="14">
        <v>46147</v>
      </c>
      <c r="B449" s="15">
        <v>0.6145833333333334</v>
      </c>
      <c r="C449" s="5">
        <f>IF('96 Werte'!BI10="","",'96 Werte'!BI10)</f>
        <v/>
      </c>
      <c r="D449" t="str">
        <f>IF(IF(Eingaben!$B$21&lt;Eingaben!$B$22,AND(B449&gt;=Eingaben!$B$21,B449&lt;Eingaben!$B$22),OR(B449&gt;=Eingaben!$B$21,B449&lt;Eingaben!$B$22)),"GO",IF(AND(ISNUMBER(Eingaben!$B$23),ISNUMBER(Eingaben!$B$24),IF(Eingaben!$B$23&lt;Eingaben!$B$24,AND(B449&gt;=Eingaben!$B$23,B449&lt;Eingaben!$B$24),OR(B449&gt;=Eingaben!$B$23,B449&lt;Eingaben!$B$24))),"HEAT","STANDARD"))</f>
        <v>STANDARD</v>
      </c>
      <c r="E449" s="9"/>
      <c r="F449" t="str">
        <f>IF(E449="",D449,E449)</f>
        <v>STANDARD</v>
      </c>
      <c r="G449" t="str">
        <f>INDEX(Netzzeiten!$B$6:$B$29,HOUR(B449)+1)</f>
        <v>NT</v>
      </c>
      <c r="H449" s="6">
        <f>IF(F449="GO",Eingaben!$B$11,IF(F449="STANDARD",Eingaben!$B$12,IF(AND(F449="HEAT",ISNUMBER(Eingaben!$B$13)),Eingaben!$B$13,"")))</f>
        <v>28.2744</v>
      </c>
      <c r="I449" s="6">
        <f>INDEX(Netzzeiten!$C$6:$C$29,HOUR(B449)+1)</f>
        <v>1.64</v>
      </c>
      <c r="J449" t="str">
        <f>IF(C449="","FEHLT",IF(NOT(ISNUMBER(C449)),"MESSWERT UNGUELTIG",IF(C449&lt;0,"MESSWERT UNGUELTIG",IF(H449="","TARIFPREIS FEHLT","OK"))))</f>
        <v>FEHLT</v>
      </c>
      <c r="K449" s="7">
        <f>IF(J449&lt;&gt;"OK","",C449*I449/100)</f>
        <v/>
      </c>
    </row>
    <row r="450" spans="1:11">
      <c r="A450" s="14">
        <v>46147</v>
      </c>
      <c r="B450" s="15">
        <v>0.625</v>
      </c>
      <c r="C450" s="5">
        <f>IF('96 Werte'!BJ10="","",'96 Werte'!BJ10)</f>
        <v/>
      </c>
      <c r="D450" t="str">
        <f>IF(IF(Eingaben!$B$21&lt;Eingaben!$B$22,AND(B450&gt;=Eingaben!$B$21,B450&lt;Eingaben!$B$22),OR(B450&gt;=Eingaben!$B$21,B450&lt;Eingaben!$B$22)),"GO",IF(AND(ISNUMBER(Eingaben!$B$23),ISNUMBER(Eingaben!$B$24),IF(Eingaben!$B$23&lt;Eingaben!$B$24,AND(B450&gt;=Eingaben!$B$23,B450&lt;Eingaben!$B$24),OR(B450&gt;=Eingaben!$B$23,B450&lt;Eingaben!$B$24))),"HEAT","STANDARD"))</f>
        <v>STANDARD</v>
      </c>
      <c r="E450" s="9"/>
      <c r="F450" t="str">
        <f>IF(E450="",D450,E450)</f>
        <v>STANDARD</v>
      </c>
      <c r="G450" t="str">
        <f>INDEX(Netzzeiten!$B$6:$B$29,HOUR(B450)+1)</f>
        <v>ST</v>
      </c>
      <c r="H450" s="6">
        <f>IF(F450="GO",Eingaben!$B$11,IF(F450="STANDARD",Eingaben!$B$12,IF(AND(F450="HEAT",ISNUMBER(Eingaben!$B$13)),Eingaben!$B$13,"")))</f>
        <v>28.2744</v>
      </c>
      <c r="I450" s="6">
        <f>INDEX(Netzzeiten!$C$6:$C$29,HOUR(B450)+1)</f>
        <v>5.48</v>
      </c>
      <c r="J450" t="str">
        <f>IF(C450="","FEHLT",IF(NOT(ISNUMBER(C450)),"MESSWERT UNGUELTIG",IF(C450&lt;0,"MESSWERT UNGUELTIG",IF(H450="","TARIFPREIS FEHLT","OK"))))</f>
        <v>FEHLT</v>
      </c>
      <c r="K450" s="7">
        <f>IF(J450&lt;&gt;"OK","",C450*I450/100)</f>
        <v/>
      </c>
    </row>
    <row r="451" spans="1:11">
      <c r="A451" s="14">
        <v>46147</v>
      </c>
      <c r="B451" s="15">
        <v>0.6354166666666666</v>
      </c>
      <c r="C451" s="5">
        <f>IF('96 Werte'!BK10="","",'96 Werte'!BK10)</f>
        <v/>
      </c>
      <c r="D451" t="str">
        <f>IF(IF(Eingaben!$B$21&lt;Eingaben!$B$22,AND(B451&gt;=Eingaben!$B$21,B451&lt;Eingaben!$B$22),OR(B451&gt;=Eingaben!$B$21,B451&lt;Eingaben!$B$22)),"GO",IF(AND(ISNUMBER(Eingaben!$B$23),ISNUMBER(Eingaben!$B$24),IF(Eingaben!$B$23&lt;Eingaben!$B$24,AND(B451&gt;=Eingaben!$B$23,B451&lt;Eingaben!$B$24),OR(B451&gt;=Eingaben!$B$23,B451&lt;Eingaben!$B$24))),"HEAT","STANDARD"))</f>
        <v>STANDARD</v>
      </c>
      <c r="E451" s="9"/>
      <c r="F451" t="str">
        <f>IF(E451="",D451,E451)</f>
        <v>STANDARD</v>
      </c>
      <c r="G451" t="str">
        <f>INDEX(Netzzeiten!$B$6:$B$29,HOUR(B451)+1)</f>
        <v>ST</v>
      </c>
      <c r="H451" s="6">
        <f>IF(F451="GO",Eingaben!$B$11,IF(F451="STANDARD",Eingaben!$B$12,IF(AND(F451="HEAT",ISNUMBER(Eingaben!$B$13)),Eingaben!$B$13,"")))</f>
        <v>28.2744</v>
      </c>
      <c r="I451" s="6">
        <f>INDEX(Netzzeiten!$C$6:$C$29,HOUR(B451)+1)</f>
        <v>5.48</v>
      </c>
      <c r="J451" t="str">
        <f>IF(C451="","FEHLT",IF(NOT(ISNUMBER(C451)),"MESSWERT UNGUELTIG",IF(C451&lt;0,"MESSWERT UNGUELTIG",IF(H451="","TARIFPREIS FEHLT","OK"))))</f>
        <v>FEHLT</v>
      </c>
      <c r="K451" s="7">
        <f>IF(J451&lt;&gt;"OK","",C451*I451/100)</f>
        <v/>
      </c>
    </row>
    <row r="452" spans="1:11">
      <c r="A452" s="14">
        <v>46147</v>
      </c>
      <c r="B452" s="15">
        <v>0.6458333333333334</v>
      </c>
      <c r="C452" s="5">
        <f>IF('96 Werte'!BL10="","",'96 Werte'!BL10)</f>
        <v/>
      </c>
      <c r="D452" t="str">
        <f>IF(IF(Eingaben!$B$21&lt;Eingaben!$B$22,AND(B452&gt;=Eingaben!$B$21,B452&lt;Eingaben!$B$22),OR(B452&gt;=Eingaben!$B$21,B452&lt;Eingaben!$B$22)),"GO",IF(AND(ISNUMBER(Eingaben!$B$23),ISNUMBER(Eingaben!$B$24),IF(Eingaben!$B$23&lt;Eingaben!$B$24,AND(B452&gt;=Eingaben!$B$23,B452&lt;Eingaben!$B$24),OR(B452&gt;=Eingaben!$B$23,B452&lt;Eingaben!$B$24))),"HEAT","STANDARD"))</f>
        <v>STANDARD</v>
      </c>
      <c r="E452" s="9"/>
      <c r="F452" t="str">
        <f>IF(E452="",D452,E452)</f>
        <v>STANDARD</v>
      </c>
      <c r="G452" t="str">
        <f>INDEX(Netzzeiten!$B$6:$B$29,HOUR(B452)+1)</f>
        <v>ST</v>
      </c>
      <c r="H452" s="6">
        <f>IF(F452="GO",Eingaben!$B$11,IF(F452="STANDARD",Eingaben!$B$12,IF(AND(F452="HEAT",ISNUMBER(Eingaben!$B$13)),Eingaben!$B$13,"")))</f>
        <v>28.2744</v>
      </c>
      <c r="I452" s="6">
        <f>INDEX(Netzzeiten!$C$6:$C$29,HOUR(B452)+1)</f>
        <v>5.48</v>
      </c>
      <c r="J452" t="str">
        <f>IF(C452="","FEHLT",IF(NOT(ISNUMBER(C452)),"MESSWERT UNGUELTIG",IF(C452&lt;0,"MESSWERT UNGUELTIG",IF(H452="","TARIFPREIS FEHLT","OK"))))</f>
        <v>FEHLT</v>
      </c>
      <c r="K452" s="7">
        <f>IF(J452&lt;&gt;"OK","",C452*I452/100)</f>
        <v/>
      </c>
    </row>
    <row r="453" spans="1:11">
      <c r="A453" s="14">
        <v>46147</v>
      </c>
      <c r="B453" s="15">
        <v>0.65625</v>
      </c>
      <c r="C453" s="5">
        <f>IF('96 Werte'!BM10="","",'96 Werte'!BM10)</f>
        <v/>
      </c>
      <c r="D453" t="str">
        <f>IF(IF(Eingaben!$B$21&lt;Eingaben!$B$22,AND(B453&gt;=Eingaben!$B$21,B453&lt;Eingaben!$B$22),OR(B453&gt;=Eingaben!$B$21,B453&lt;Eingaben!$B$22)),"GO",IF(AND(ISNUMBER(Eingaben!$B$23),ISNUMBER(Eingaben!$B$24),IF(Eingaben!$B$23&lt;Eingaben!$B$24,AND(B453&gt;=Eingaben!$B$23,B453&lt;Eingaben!$B$24),OR(B453&gt;=Eingaben!$B$23,B453&lt;Eingaben!$B$24))),"HEAT","STANDARD"))</f>
        <v>STANDARD</v>
      </c>
      <c r="E453" s="9"/>
      <c r="F453" t="str">
        <f>IF(E453="",D453,E453)</f>
        <v>STANDARD</v>
      </c>
      <c r="G453" t="str">
        <f>INDEX(Netzzeiten!$B$6:$B$29,HOUR(B453)+1)</f>
        <v>ST</v>
      </c>
      <c r="H453" s="6">
        <f>IF(F453="GO",Eingaben!$B$11,IF(F453="STANDARD",Eingaben!$B$12,IF(AND(F453="HEAT",ISNUMBER(Eingaben!$B$13)),Eingaben!$B$13,"")))</f>
        <v>28.2744</v>
      </c>
      <c r="I453" s="6">
        <f>INDEX(Netzzeiten!$C$6:$C$29,HOUR(B453)+1)</f>
        <v>5.48</v>
      </c>
      <c r="J453" t="str">
        <f>IF(C453="","FEHLT",IF(NOT(ISNUMBER(C453)),"MESSWERT UNGUELTIG",IF(C453&lt;0,"MESSWERT UNGUELTIG",IF(H453="","TARIFPREIS FEHLT","OK"))))</f>
        <v>FEHLT</v>
      </c>
      <c r="K453" s="7">
        <f>IF(J453&lt;&gt;"OK","",C453*I453/100)</f>
        <v/>
      </c>
    </row>
    <row r="454" spans="1:11">
      <c r="A454" s="14">
        <v>46147</v>
      </c>
      <c r="B454" s="15">
        <v>0.6666666666666666</v>
      </c>
      <c r="C454" s="5">
        <f>IF('96 Werte'!BN10="","",'96 Werte'!BN10)</f>
        <v/>
      </c>
      <c r="D454" t="str">
        <f>IF(IF(Eingaben!$B$21&lt;Eingaben!$B$22,AND(B454&gt;=Eingaben!$B$21,B454&lt;Eingaben!$B$22),OR(B454&gt;=Eingaben!$B$21,B454&lt;Eingaben!$B$22)),"GO",IF(AND(ISNUMBER(Eingaben!$B$23),ISNUMBER(Eingaben!$B$24),IF(Eingaben!$B$23&lt;Eingaben!$B$24,AND(B454&gt;=Eingaben!$B$23,B454&lt;Eingaben!$B$24),OR(B454&gt;=Eingaben!$B$23,B454&lt;Eingaben!$B$24))),"HEAT","STANDARD"))</f>
        <v>STANDARD</v>
      </c>
      <c r="E454" s="9"/>
      <c r="F454" t="str">
        <f>IF(E454="",D454,E454)</f>
        <v>STANDARD</v>
      </c>
      <c r="G454" t="str">
        <f>INDEX(Netzzeiten!$B$6:$B$29,HOUR(B454)+1)</f>
        <v>ST</v>
      </c>
      <c r="H454" s="6">
        <f>IF(F454="GO",Eingaben!$B$11,IF(F454="STANDARD",Eingaben!$B$12,IF(AND(F454="HEAT",ISNUMBER(Eingaben!$B$13)),Eingaben!$B$13,"")))</f>
        <v>28.2744</v>
      </c>
      <c r="I454" s="6">
        <f>INDEX(Netzzeiten!$C$6:$C$29,HOUR(B454)+1)</f>
        <v>5.48</v>
      </c>
      <c r="J454" t="str">
        <f>IF(C454="","FEHLT",IF(NOT(ISNUMBER(C454)),"MESSWERT UNGUELTIG",IF(C454&lt;0,"MESSWERT UNGUELTIG",IF(H454="","TARIFPREIS FEHLT","OK"))))</f>
        <v>FEHLT</v>
      </c>
      <c r="K454" s="7">
        <f>IF(J454&lt;&gt;"OK","",C454*I454/100)</f>
        <v/>
      </c>
    </row>
    <row r="455" spans="1:11">
      <c r="A455" s="14">
        <v>46147</v>
      </c>
      <c r="B455" s="15">
        <v>0.6770833333333334</v>
      </c>
      <c r="C455" s="5">
        <f>IF('96 Werte'!BO10="","",'96 Werte'!BO10)</f>
        <v/>
      </c>
      <c r="D455" t="str">
        <f>IF(IF(Eingaben!$B$21&lt;Eingaben!$B$22,AND(B455&gt;=Eingaben!$B$21,B455&lt;Eingaben!$B$22),OR(B455&gt;=Eingaben!$B$21,B455&lt;Eingaben!$B$22)),"GO",IF(AND(ISNUMBER(Eingaben!$B$23),ISNUMBER(Eingaben!$B$24),IF(Eingaben!$B$23&lt;Eingaben!$B$24,AND(B455&gt;=Eingaben!$B$23,B455&lt;Eingaben!$B$24),OR(B455&gt;=Eingaben!$B$23,B455&lt;Eingaben!$B$24))),"HEAT","STANDARD"))</f>
        <v>STANDARD</v>
      </c>
      <c r="E455" s="9"/>
      <c r="F455" t="str">
        <f>IF(E455="",D455,E455)</f>
        <v>STANDARD</v>
      </c>
      <c r="G455" t="str">
        <f>INDEX(Netzzeiten!$B$6:$B$29,HOUR(B455)+1)</f>
        <v>ST</v>
      </c>
      <c r="H455" s="6">
        <f>IF(F455="GO",Eingaben!$B$11,IF(F455="STANDARD",Eingaben!$B$12,IF(AND(F455="HEAT",ISNUMBER(Eingaben!$B$13)),Eingaben!$B$13,"")))</f>
        <v>28.2744</v>
      </c>
      <c r="I455" s="6">
        <f>INDEX(Netzzeiten!$C$6:$C$29,HOUR(B455)+1)</f>
        <v>5.48</v>
      </c>
      <c r="J455" t="str">
        <f>IF(C455="","FEHLT",IF(NOT(ISNUMBER(C455)),"MESSWERT UNGUELTIG",IF(C455&lt;0,"MESSWERT UNGUELTIG",IF(H455="","TARIFPREIS FEHLT","OK"))))</f>
        <v>FEHLT</v>
      </c>
      <c r="K455" s="7">
        <f>IF(J455&lt;&gt;"OK","",C455*I455/100)</f>
        <v/>
      </c>
    </row>
    <row r="456" spans="1:11">
      <c r="A456" s="14">
        <v>46147</v>
      </c>
      <c r="B456" s="15">
        <v>0.6875</v>
      </c>
      <c r="C456" s="5">
        <f>IF('96 Werte'!BP10="","",'96 Werte'!BP10)</f>
        <v/>
      </c>
      <c r="D456" t="str">
        <f>IF(IF(Eingaben!$B$21&lt;Eingaben!$B$22,AND(B456&gt;=Eingaben!$B$21,B456&lt;Eingaben!$B$22),OR(B456&gt;=Eingaben!$B$21,B456&lt;Eingaben!$B$22)),"GO",IF(AND(ISNUMBER(Eingaben!$B$23),ISNUMBER(Eingaben!$B$24),IF(Eingaben!$B$23&lt;Eingaben!$B$24,AND(B456&gt;=Eingaben!$B$23,B456&lt;Eingaben!$B$24),OR(B456&gt;=Eingaben!$B$23,B456&lt;Eingaben!$B$24))),"HEAT","STANDARD"))</f>
        <v>STANDARD</v>
      </c>
      <c r="E456" s="9"/>
      <c r="F456" t="str">
        <f>IF(E456="",D456,E456)</f>
        <v>STANDARD</v>
      </c>
      <c r="G456" t="str">
        <f>INDEX(Netzzeiten!$B$6:$B$29,HOUR(B456)+1)</f>
        <v>ST</v>
      </c>
      <c r="H456" s="6">
        <f>IF(F456="GO",Eingaben!$B$11,IF(F456="STANDARD",Eingaben!$B$12,IF(AND(F456="HEAT",ISNUMBER(Eingaben!$B$13)),Eingaben!$B$13,"")))</f>
        <v>28.2744</v>
      </c>
      <c r="I456" s="6">
        <f>INDEX(Netzzeiten!$C$6:$C$29,HOUR(B456)+1)</f>
        <v>5.48</v>
      </c>
      <c r="J456" t="str">
        <f>IF(C456="","FEHLT",IF(NOT(ISNUMBER(C456)),"MESSWERT UNGUELTIG",IF(C456&lt;0,"MESSWERT UNGUELTIG",IF(H456="","TARIFPREIS FEHLT","OK"))))</f>
        <v>FEHLT</v>
      </c>
      <c r="K456" s="7">
        <f>IF(J456&lt;&gt;"OK","",C456*I456/100)</f>
        <v/>
      </c>
    </row>
    <row r="457" spans="1:11">
      <c r="A457" s="14">
        <v>46147</v>
      </c>
      <c r="B457" s="15">
        <v>0.6979166666666666</v>
      </c>
      <c r="C457" s="5">
        <f>IF('96 Werte'!BQ10="","",'96 Werte'!BQ10)</f>
        <v/>
      </c>
      <c r="D457" t="str">
        <f>IF(IF(Eingaben!$B$21&lt;Eingaben!$B$22,AND(B457&gt;=Eingaben!$B$21,B457&lt;Eingaben!$B$22),OR(B457&gt;=Eingaben!$B$21,B457&lt;Eingaben!$B$22)),"GO",IF(AND(ISNUMBER(Eingaben!$B$23),ISNUMBER(Eingaben!$B$24),IF(Eingaben!$B$23&lt;Eingaben!$B$24,AND(B457&gt;=Eingaben!$B$23,B457&lt;Eingaben!$B$24),OR(B457&gt;=Eingaben!$B$23,B457&lt;Eingaben!$B$24))),"HEAT","STANDARD"))</f>
        <v>STANDARD</v>
      </c>
      <c r="E457" s="9"/>
      <c r="F457" t="str">
        <f>IF(E457="",D457,E457)</f>
        <v>STANDARD</v>
      </c>
      <c r="G457" t="str">
        <f>INDEX(Netzzeiten!$B$6:$B$29,HOUR(B457)+1)</f>
        <v>ST</v>
      </c>
      <c r="H457" s="6">
        <f>IF(F457="GO",Eingaben!$B$11,IF(F457="STANDARD",Eingaben!$B$12,IF(AND(F457="HEAT",ISNUMBER(Eingaben!$B$13)),Eingaben!$B$13,"")))</f>
        <v>28.2744</v>
      </c>
      <c r="I457" s="6">
        <f>INDEX(Netzzeiten!$C$6:$C$29,HOUR(B457)+1)</f>
        <v>5.48</v>
      </c>
      <c r="J457" t="str">
        <f>IF(C457="","FEHLT",IF(NOT(ISNUMBER(C457)),"MESSWERT UNGUELTIG",IF(C457&lt;0,"MESSWERT UNGUELTIG",IF(H457="","TARIFPREIS FEHLT","OK"))))</f>
        <v>FEHLT</v>
      </c>
      <c r="K457" s="7">
        <f>IF(J457&lt;&gt;"OK","",C457*I457/100)</f>
        <v/>
      </c>
    </row>
    <row r="458" spans="1:11">
      <c r="A458" s="14">
        <v>46147</v>
      </c>
      <c r="B458" s="15">
        <v>0.7083333333333334</v>
      </c>
      <c r="C458" s="5">
        <f>IF('96 Werte'!BR10="","",'96 Werte'!BR10)</f>
        <v/>
      </c>
      <c r="D458" t="str">
        <f>IF(IF(Eingaben!$B$21&lt;Eingaben!$B$22,AND(B458&gt;=Eingaben!$B$21,B458&lt;Eingaben!$B$22),OR(B458&gt;=Eingaben!$B$21,B458&lt;Eingaben!$B$22)),"GO",IF(AND(ISNUMBER(Eingaben!$B$23),ISNUMBER(Eingaben!$B$24),IF(Eingaben!$B$23&lt;Eingaben!$B$24,AND(B458&gt;=Eingaben!$B$23,B458&lt;Eingaben!$B$24),OR(B458&gt;=Eingaben!$B$23,B458&lt;Eingaben!$B$24))),"HEAT","STANDARD"))</f>
        <v>STANDARD</v>
      </c>
      <c r="E458" s="9"/>
      <c r="F458" t="str">
        <f>IF(E458="",D458,E458)</f>
        <v>STANDARD</v>
      </c>
      <c r="G458" t="str">
        <f>INDEX(Netzzeiten!$B$6:$B$29,HOUR(B458)+1)</f>
        <v>HT</v>
      </c>
      <c r="H458" s="6">
        <f>IF(F458="GO",Eingaben!$B$11,IF(F458="STANDARD",Eingaben!$B$12,IF(AND(F458="HEAT",ISNUMBER(Eingaben!$B$13)),Eingaben!$B$13,"")))</f>
        <v>28.2744</v>
      </c>
      <c r="I458" s="6">
        <f>INDEX(Netzzeiten!$C$6:$C$29,HOUR(B458)+1)</f>
        <v>10.52</v>
      </c>
      <c r="J458" t="str">
        <f>IF(C458="","FEHLT",IF(NOT(ISNUMBER(C458)),"MESSWERT UNGUELTIG",IF(C458&lt;0,"MESSWERT UNGUELTIG",IF(H458="","TARIFPREIS FEHLT","OK"))))</f>
        <v>FEHLT</v>
      </c>
      <c r="K458" s="7">
        <f>IF(J458&lt;&gt;"OK","",C458*I458/100)</f>
        <v/>
      </c>
    </row>
    <row r="459" spans="1:11">
      <c r="A459" s="14">
        <v>46147</v>
      </c>
      <c r="B459" s="15">
        <v>0.71875</v>
      </c>
      <c r="C459" s="5">
        <f>IF('96 Werte'!BS10="","",'96 Werte'!BS10)</f>
        <v/>
      </c>
      <c r="D459" t="str">
        <f>IF(IF(Eingaben!$B$21&lt;Eingaben!$B$22,AND(B459&gt;=Eingaben!$B$21,B459&lt;Eingaben!$B$22),OR(B459&gt;=Eingaben!$B$21,B459&lt;Eingaben!$B$22)),"GO",IF(AND(ISNUMBER(Eingaben!$B$23),ISNUMBER(Eingaben!$B$24),IF(Eingaben!$B$23&lt;Eingaben!$B$24,AND(B459&gt;=Eingaben!$B$23,B459&lt;Eingaben!$B$24),OR(B459&gt;=Eingaben!$B$23,B459&lt;Eingaben!$B$24))),"HEAT","STANDARD"))</f>
        <v>STANDARD</v>
      </c>
      <c r="E459" s="9"/>
      <c r="F459" t="str">
        <f>IF(E459="",D459,E459)</f>
        <v>STANDARD</v>
      </c>
      <c r="G459" t="str">
        <f>INDEX(Netzzeiten!$B$6:$B$29,HOUR(B459)+1)</f>
        <v>HT</v>
      </c>
      <c r="H459" s="6">
        <f>IF(F459="GO",Eingaben!$B$11,IF(F459="STANDARD",Eingaben!$B$12,IF(AND(F459="HEAT",ISNUMBER(Eingaben!$B$13)),Eingaben!$B$13,"")))</f>
        <v>28.2744</v>
      </c>
      <c r="I459" s="6">
        <f>INDEX(Netzzeiten!$C$6:$C$29,HOUR(B459)+1)</f>
        <v>10.52</v>
      </c>
      <c r="J459" t="str">
        <f>IF(C459="","FEHLT",IF(NOT(ISNUMBER(C459)),"MESSWERT UNGUELTIG",IF(C459&lt;0,"MESSWERT UNGUELTIG",IF(H459="","TARIFPREIS FEHLT","OK"))))</f>
        <v>FEHLT</v>
      </c>
      <c r="K459" s="7">
        <f>IF(J459&lt;&gt;"OK","",C459*I459/100)</f>
        <v/>
      </c>
    </row>
    <row r="460" spans="1:11">
      <c r="A460" s="14">
        <v>46147</v>
      </c>
      <c r="B460" s="15">
        <v>0.7291666666666666</v>
      </c>
      <c r="C460" s="5">
        <f>IF('96 Werte'!BT10="","",'96 Werte'!BT10)</f>
        <v/>
      </c>
      <c r="D460" t="str">
        <f>IF(IF(Eingaben!$B$21&lt;Eingaben!$B$22,AND(B460&gt;=Eingaben!$B$21,B460&lt;Eingaben!$B$22),OR(B460&gt;=Eingaben!$B$21,B460&lt;Eingaben!$B$22)),"GO",IF(AND(ISNUMBER(Eingaben!$B$23),ISNUMBER(Eingaben!$B$24),IF(Eingaben!$B$23&lt;Eingaben!$B$24,AND(B460&gt;=Eingaben!$B$23,B460&lt;Eingaben!$B$24),OR(B460&gt;=Eingaben!$B$23,B460&lt;Eingaben!$B$24))),"HEAT","STANDARD"))</f>
        <v>STANDARD</v>
      </c>
      <c r="E460" s="9"/>
      <c r="F460" t="str">
        <f>IF(E460="",D460,E460)</f>
        <v>STANDARD</v>
      </c>
      <c r="G460" t="str">
        <f>INDEX(Netzzeiten!$B$6:$B$29,HOUR(B460)+1)</f>
        <v>HT</v>
      </c>
      <c r="H460" s="6">
        <f>IF(F460="GO",Eingaben!$B$11,IF(F460="STANDARD",Eingaben!$B$12,IF(AND(F460="HEAT",ISNUMBER(Eingaben!$B$13)),Eingaben!$B$13,"")))</f>
        <v>28.2744</v>
      </c>
      <c r="I460" s="6">
        <f>INDEX(Netzzeiten!$C$6:$C$29,HOUR(B460)+1)</f>
        <v>10.52</v>
      </c>
      <c r="J460" t="str">
        <f>IF(C460="","FEHLT",IF(NOT(ISNUMBER(C460)),"MESSWERT UNGUELTIG",IF(C460&lt;0,"MESSWERT UNGUELTIG",IF(H460="","TARIFPREIS FEHLT","OK"))))</f>
        <v>FEHLT</v>
      </c>
      <c r="K460" s="7">
        <f>IF(J460&lt;&gt;"OK","",C460*I460/100)</f>
        <v/>
      </c>
    </row>
    <row r="461" spans="1:11">
      <c r="A461" s="14">
        <v>46147</v>
      </c>
      <c r="B461" s="15">
        <v>0.7395833333333334</v>
      </c>
      <c r="C461" s="5">
        <f>IF('96 Werte'!BU10="","",'96 Werte'!BU10)</f>
        <v/>
      </c>
      <c r="D461" t="str">
        <f>IF(IF(Eingaben!$B$21&lt;Eingaben!$B$22,AND(B461&gt;=Eingaben!$B$21,B461&lt;Eingaben!$B$22),OR(B461&gt;=Eingaben!$B$21,B461&lt;Eingaben!$B$22)),"GO",IF(AND(ISNUMBER(Eingaben!$B$23),ISNUMBER(Eingaben!$B$24),IF(Eingaben!$B$23&lt;Eingaben!$B$24,AND(B461&gt;=Eingaben!$B$23,B461&lt;Eingaben!$B$24),OR(B461&gt;=Eingaben!$B$23,B461&lt;Eingaben!$B$24))),"HEAT","STANDARD"))</f>
        <v>STANDARD</v>
      </c>
      <c r="E461" s="9"/>
      <c r="F461" t="str">
        <f>IF(E461="",D461,E461)</f>
        <v>STANDARD</v>
      </c>
      <c r="G461" t="str">
        <f>INDEX(Netzzeiten!$B$6:$B$29,HOUR(B461)+1)</f>
        <v>HT</v>
      </c>
      <c r="H461" s="6">
        <f>IF(F461="GO",Eingaben!$B$11,IF(F461="STANDARD",Eingaben!$B$12,IF(AND(F461="HEAT",ISNUMBER(Eingaben!$B$13)),Eingaben!$B$13,"")))</f>
        <v>28.2744</v>
      </c>
      <c r="I461" s="6">
        <f>INDEX(Netzzeiten!$C$6:$C$29,HOUR(B461)+1)</f>
        <v>10.52</v>
      </c>
      <c r="J461" t="str">
        <f>IF(C461="","FEHLT",IF(NOT(ISNUMBER(C461)),"MESSWERT UNGUELTIG",IF(C461&lt;0,"MESSWERT UNGUELTIG",IF(H461="","TARIFPREIS FEHLT","OK"))))</f>
        <v>FEHLT</v>
      </c>
      <c r="K461" s="7">
        <f>IF(J461&lt;&gt;"OK","",C461*I461/100)</f>
        <v/>
      </c>
    </row>
    <row r="462" spans="1:11">
      <c r="A462" s="14">
        <v>46147</v>
      </c>
      <c r="B462" s="15">
        <v>0.75</v>
      </c>
      <c r="C462" s="5">
        <f>IF('96 Werte'!BV10="","",'96 Werte'!BV10)</f>
        <v/>
      </c>
      <c r="D462" t="str">
        <f>IF(IF(Eingaben!$B$21&lt;Eingaben!$B$22,AND(B462&gt;=Eingaben!$B$21,B462&lt;Eingaben!$B$22),OR(B462&gt;=Eingaben!$B$21,B462&lt;Eingaben!$B$22)),"GO",IF(AND(ISNUMBER(Eingaben!$B$23),ISNUMBER(Eingaben!$B$24),IF(Eingaben!$B$23&lt;Eingaben!$B$24,AND(B462&gt;=Eingaben!$B$23,B462&lt;Eingaben!$B$24),OR(B462&gt;=Eingaben!$B$23,B462&lt;Eingaben!$B$24))),"HEAT","STANDARD"))</f>
        <v>STANDARD</v>
      </c>
      <c r="E462" s="9"/>
      <c r="F462" t="str">
        <f>IF(E462="",D462,E462)</f>
        <v>STANDARD</v>
      </c>
      <c r="G462" t="str">
        <f>INDEX(Netzzeiten!$B$6:$B$29,HOUR(B462)+1)</f>
        <v>HT</v>
      </c>
      <c r="H462" s="6">
        <f>IF(F462="GO",Eingaben!$B$11,IF(F462="STANDARD",Eingaben!$B$12,IF(AND(F462="HEAT",ISNUMBER(Eingaben!$B$13)),Eingaben!$B$13,"")))</f>
        <v>28.2744</v>
      </c>
      <c r="I462" s="6">
        <f>INDEX(Netzzeiten!$C$6:$C$29,HOUR(B462)+1)</f>
        <v>10.52</v>
      </c>
      <c r="J462" t="str">
        <f>IF(C462="","FEHLT",IF(NOT(ISNUMBER(C462)),"MESSWERT UNGUELTIG",IF(C462&lt;0,"MESSWERT UNGUELTIG",IF(H462="","TARIFPREIS FEHLT","OK"))))</f>
        <v>FEHLT</v>
      </c>
      <c r="K462" s="7">
        <f>IF(J462&lt;&gt;"OK","",C462*I462/100)</f>
        <v/>
      </c>
    </row>
    <row r="463" spans="1:11">
      <c r="A463" s="14">
        <v>46147</v>
      </c>
      <c r="B463" s="15">
        <v>0.7604166666666666</v>
      </c>
      <c r="C463" s="5">
        <f>IF('96 Werte'!BW10="","",'96 Werte'!BW10)</f>
        <v/>
      </c>
      <c r="D463" t="str">
        <f>IF(IF(Eingaben!$B$21&lt;Eingaben!$B$22,AND(B463&gt;=Eingaben!$B$21,B463&lt;Eingaben!$B$22),OR(B463&gt;=Eingaben!$B$21,B463&lt;Eingaben!$B$22)),"GO",IF(AND(ISNUMBER(Eingaben!$B$23),ISNUMBER(Eingaben!$B$24),IF(Eingaben!$B$23&lt;Eingaben!$B$24,AND(B463&gt;=Eingaben!$B$23,B463&lt;Eingaben!$B$24),OR(B463&gt;=Eingaben!$B$23,B463&lt;Eingaben!$B$24))),"HEAT","STANDARD"))</f>
        <v>STANDARD</v>
      </c>
      <c r="E463" s="9"/>
      <c r="F463" t="str">
        <f>IF(E463="",D463,E463)</f>
        <v>STANDARD</v>
      </c>
      <c r="G463" t="str">
        <f>INDEX(Netzzeiten!$B$6:$B$29,HOUR(B463)+1)</f>
        <v>HT</v>
      </c>
      <c r="H463" s="6">
        <f>IF(F463="GO",Eingaben!$B$11,IF(F463="STANDARD",Eingaben!$B$12,IF(AND(F463="HEAT",ISNUMBER(Eingaben!$B$13)),Eingaben!$B$13,"")))</f>
        <v>28.2744</v>
      </c>
      <c r="I463" s="6">
        <f>INDEX(Netzzeiten!$C$6:$C$29,HOUR(B463)+1)</f>
        <v>10.52</v>
      </c>
      <c r="J463" t="str">
        <f>IF(C463="","FEHLT",IF(NOT(ISNUMBER(C463)),"MESSWERT UNGUELTIG",IF(C463&lt;0,"MESSWERT UNGUELTIG",IF(H463="","TARIFPREIS FEHLT","OK"))))</f>
        <v>FEHLT</v>
      </c>
      <c r="K463" s="7">
        <f>IF(J463&lt;&gt;"OK","",C463*I463/100)</f>
        <v/>
      </c>
    </row>
    <row r="464" spans="1:11">
      <c r="A464" s="14">
        <v>46147</v>
      </c>
      <c r="B464" s="15">
        <v>0.7708333333333334</v>
      </c>
      <c r="C464" s="5">
        <f>IF('96 Werte'!BX10="","",'96 Werte'!BX10)</f>
        <v/>
      </c>
      <c r="D464" t="str">
        <f>IF(IF(Eingaben!$B$21&lt;Eingaben!$B$22,AND(B464&gt;=Eingaben!$B$21,B464&lt;Eingaben!$B$22),OR(B464&gt;=Eingaben!$B$21,B464&lt;Eingaben!$B$22)),"GO",IF(AND(ISNUMBER(Eingaben!$B$23),ISNUMBER(Eingaben!$B$24),IF(Eingaben!$B$23&lt;Eingaben!$B$24,AND(B464&gt;=Eingaben!$B$23,B464&lt;Eingaben!$B$24),OR(B464&gt;=Eingaben!$B$23,B464&lt;Eingaben!$B$24))),"HEAT","STANDARD"))</f>
        <v>STANDARD</v>
      </c>
      <c r="E464" s="9"/>
      <c r="F464" t="str">
        <f>IF(E464="",D464,E464)</f>
        <v>STANDARD</v>
      </c>
      <c r="G464" t="str">
        <f>INDEX(Netzzeiten!$B$6:$B$29,HOUR(B464)+1)</f>
        <v>HT</v>
      </c>
      <c r="H464" s="6">
        <f>IF(F464="GO",Eingaben!$B$11,IF(F464="STANDARD",Eingaben!$B$12,IF(AND(F464="HEAT",ISNUMBER(Eingaben!$B$13)),Eingaben!$B$13,"")))</f>
        <v>28.2744</v>
      </c>
      <c r="I464" s="6">
        <f>INDEX(Netzzeiten!$C$6:$C$29,HOUR(B464)+1)</f>
        <v>10.52</v>
      </c>
      <c r="J464" t="str">
        <f>IF(C464="","FEHLT",IF(NOT(ISNUMBER(C464)),"MESSWERT UNGUELTIG",IF(C464&lt;0,"MESSWERT UNGUELTIG",IF(H464="","TARIFPREIS FEHLT","OK"))))</f>
        <v>FEHLT</v>
      </c>
      <c r="K464" s="7">
        <f>IF(J464&lt;&gt;"OK","",C464*I464/100)</f>
        <v/>
      </c>
    </row>
    <row r="465" spans="1:11">
      <c r="A465" s="14">
        <v>46147</v>
      </c>
      <c r="B465" s="15">
        <v>0.78125</v>
      </c>
      <c r="C465" s="5">
        <f>IF('96 Werte'!BY10="","",'96 Werte'!BY10)</f>
        <v/>
      </c>
      <c r="D465" t="str">
        <f>IF(IF(Eingaben!$B$21&lt;Eingaben!$B$22,AND(B465&gt;=Eingaben!$B$21,B465&lt;Eingaben!$B$22),OR(B465&gt;=Eingaben!$B$21,B465&lt;Eingaben!$B$22)),"GO",IF(AND(ISNUMBER(Eingaben!$B$23),ISNUMBER(Eingaben!$B$24),IF(Eingaben!$B$23&lt;Eingaben!$B$24,AND(B465&gt;=Eingaben!$B$23,B465&lt;Eingaben!$B$24),OR(B465&gt;=Eingaben!$B$23,B465&lt;Eingaben!$B$24))),"HEAT","STANDARD"))</f>
        <v>STANDARD</v>
      </c>
      <c r="E465" s="9"/>
      <c r="F465" t="str">
        <f>IF(E465="",D465,E465)</f>
        <v>STANDARD</v>
      </c>
      <c r="G465" t="str">
        <f>INDEX(Netzzeiten!$B$6:$B$29,HOUR(B465)+1)</f>
        <v>HT</v>
      </c>
      <c r="H465" s="6">
        <f>IF(F465="GO",Eingaben!$B$11,IF(F465="STANDARD",Eingaben!$B$12,IF(AND(F465="HEAT",ISNUMBER(Eingaben!$B$13)),Eingaben!$B$13,"")))</f>
        <v>28.2744</v>
      </c>
      <c r="I465" s="6">
        <f>INDEX(Netzzeiten!$C$6:$C$29,HOUR(B465)+1)</f>
        <v>10.52</v>
      </c>
      <c r="J465" t="str">
        <f>IF(C465="","FEHLT",IF(NOT(ISNUMBER(C465)),"MESSWERT UNGUELTIG",IF(C465&lt;0,"MESSWERT UNGUELTIG",IF(H465="","TARIFPREIS FEHLT","OK"))))</f>
        <v>FEHLT</v>
      </c>
      <c r="K465" s="7">
        <f>IF(J465&lt;&gt;"OK","",C465*I465/100)</f>
        <v/>
      </c>
    </row>
    <row r="466" spans="1:11">
      <c r="A466" s="14">
        <v>46147</v>
      </c>
      <c r="B466" s="15">
        <v>0.7916666666666666</v>
      </c>
      <c r="C466" s="5">
        <f>IF('96 Werte'!BZ10="","",'96 Werte'!BZ10)</f>
        <v/>
      </c>
      <c r="D466" t="str">
        <f>IF(IF(Eingaben!$B$21&lt;Eingaben!$B$22,AND(B466&gt;=Eingaben!$B$21,B466&lt;Eingaben!$B$22),OR(B466&gt;=Eingaben!$B$21,B466&lt;Eingaben!$B$22)),"GO",IF(AND(ISNUMBER(Eingaben!$B$23),ISNUMBER(Eingaben!$B$24),IF(Eingaben!$B$23&lt;Eingaben!$B$24,AND(B466&gt;=Eingaben!$B$23,B466&lt;Eingaben!$B$24),OR(B466&gt;=Eingaben!$B$23,B466&lt;Eingaben!$B$24))),"HEAT","STANDARD"))</f>
        <v>STANDARD</v>
      </c>
      <c r="E466" s="9"/>
      <c r="F466" t="str">
        <f>IF(E466="",D466,E466)</f>
        <v>STANDARD</v>
      </c>
      <c r="G466" t="str">
        <f>INDEX(Netzzeiten!$B$6:$B$29,HOUR(B466)+1)</f>
        <v>HT</v>
      </c>
      <c r="H466" s="6">
        <f>IF(F466="GO",Eingaben!$B$11,IF(F466="STANDARD",Eingaben!$B$12,IF(AND(F466="HEAT",ISNUMBER(Eingaben!$B$13)),Eingaben!$B$13,"")))</f>
        <v>28.2744</v>
      </c>
      <c r="I466" s="6">
        <f>INDEX(Netzzeiten!$C$6:$C$29,HOUR(B466)+1)</f>
        <v>10.52</v>
      </c>
      <c r="J466" t="str">
        <f>IF(C466="","FEHLT",IF(NOT(ISNUMBER(C466)),"MESSWERT UNGUELTIG",IF(C466&lt;0,"MESSWERT UNGUELTIG",IF(H466="","TARIFPREIS FEHLT","OK"))))</f>
        <v>FEHLT</v>
      </c>
      <c r="K466" s="7">
        <f>IF(J466&lt;&gt;"OK","",C466*I466/100)</f>
        <v/>
      </c>
    </row>
    <row r="467" spans="1:11">
      <c r="A467" s="14">
        <v>46147</v>
      </c>
      <c r="B467" s="15">
        <v>0.8020833333333334</v>
      </c>
      <c r="C467" s="5">
        <f>IF('96 Werte'!CA10="","",'96 Werte'!CA10)</f>
        <v/>
      </c>
      <c r="D467" t="str">
        <f>IF(IF(Eingaben!$B$21&lt;Eingaben!$B$22,AND(B467&gt;=Eingaben!$B$21,B467&lt;Eingaben!$B$22),OR(B467&gt;=Eingaben!$B$21,B467&lt;Eingaben!$B$22)),"GO",IF(AND(ISNUMBER(Eingaben!$B$23),ISNUMBER(Eingaben!$B$24),IF(Eingaben!$B$23&lt;Eingaben!$B$24,AND(B467&gt;=Eingaben!$B$23,B467&lt;Eingaben!$B$24),OR(B467&gt;=Eingaben!$B$23,B467&lt;Eingaben!$B$24))),"HEAT","STANDARD"))</f>
        <v>STANDARD</v>
      </c>
      <c r="E467" s="9"/>
      <c r="F467" t="str">
        <f>IF(E467="",D467,E467)</f>
        <v>STANDARD</v>
      </c>
      <c r="G467" t="str">
        <f>INDEX(Netzzeiten!$B$6:$B$29,HOUR(B467)+1)</f>
        <v>HT</v>
      </c>
      <c r="H467" s="6">
        <f>IF(F467="GO",Eingaben!$B$11,IF(F467="STANDARD",Eingaben!$B$12,IF(AND(F467="HEAT",ISNUMBER(Eingaben!$B$13)),Eingaben!$B$13,"")))</f>
        <v>28.2744</v>
      </c>
      <c r="I467" s="6">
        <f>INDEX(Netzzeiten!$C$6:$C$29,HOUR(B467)+1)</f>
        <v>10.52</v>
      </c>
      <c r="J467" t="str">
        <f>IF(C467="","FEHLT",IF(NOT(ISNUMBER(C467)),"MESSWERT UNGUELTIG",IF(C467&lt;0,"MESSWERT UNGUELTIG",IF(H467="","TARIFPREIS FEHLT","OK"))))</f>
        <v>FEHLT</v>
      </c>
      <c r="K467" s="7">
        <f>IF(J467&lt;&gt;"OK","",C467*I467/100)</f>
        <v/>
      </c>
    </row>
    <row r="468" spans="1:11">
      <c r="A468" s="14">
        <v>46147</v>
      </c>
      <c r="B468" s="15">
        <v>0.8125</v>
      </c>
      <c r="C468" s="5">
        <f>IF('96 Werte'!CB10="","",'96 Werte'!CB10)</f>
        <v/>
      </c>
      <c r="D468" t="str">
        <f>IF(IF(Eingaben!$B$21&lt;Eingaben!$B$22,AND(B468&gt;=Eingaben!$B$21,B468&lt;Eingaben!$B$22),OR(B468&gt;=Eingaben!$B$21,B468&lt;Eingaben!$B$22)),"GO",IF(AND(ISNUMBER(Eingaben!$B$23),ISNUMBER(Eingaben!$B$24),IF(Eingaben!$B$23&lt;Eingaben!$B$24,AND(B468&gt;=Eingaben!$B$23,B468&lt;Eingaben!$B$24),OR(B468&gt;=Eingaben!$B$23,B468&lt;Eingaben!$B$24))),"HEAT","STANDARD"))</f>
        <v>STANDARD</v>
      </c>
      <c r="E468" s="9"/>
      <c r="F468" t="str">
        <f>IF(E468="",D468,E468)</f>
        <v>STANDARD</v>
      </c>
      <c r="G468" t="str">
        <f>INDEX(Netzzeiten!$B$6:$B$29,HOUR(B468)+1)</f>
        <v>HT</v>
      </c>
      <c r="H468" s="6">
        <f>IF(F468="GO",Eingaben!$B$11,IF(F468="STANDARD",Eingaben!$B$12,IF(AND(F468="HEAT",ISNUMBER(Eingaben!$B$13)),Eingaben!$B$13,"")))</f>
        <v>28.2744</v>
      </c>
      <c r="I468" s="6">
        <f>INDEX(Netzzeiten!$C$6:$C$29,HOUR(B468)+1)</f>
        <v>10.52</v>
      </c>
      <c r="J468" t="str">
        <f>IF(C468="","FEHLT",IF(NOT(ISNUMBER(C468)),"MESSWERT UNGUELTIG",IF(C468&lt;0,"MESSWERT UNGUELTIG",IF(H468="","TARIFPREIS FEHLT","OK"))))</f>
        <v>FEHLT</v>
      </c>
      <c r="K468" s="7">
        <f>IF(J468&lt;&gt;"OK","",C468*I468/100)</f>
        <v/>
      </c>
    </row>
    <row r="469" spans="1:11">
      <c r="A469" s="14">
        <v>46147</v>
      </c>
      <c r="B469" s="15">
        <v>0.8229166666666666</v>
      </c>
      <c r="C469" s="5">
        <f>IF('96 Werte'!CC10="","",'96 Werte'!CC10)</f>
        <v/>
      </c>
      <c r="D469" t="str">
        <f>IF(IF(Eingaben!$B$21&lt;Eingaben!$B$22,AND(B469&gt;=Eingaben!$B$21,B469&lt;Eingaben!$B$22),OR(B469&gt;=Eingaben!$B$21,B469&lt;Eingaben!$B$22)),"GO",IF(AND(ISNUMBER(Eingaben!$B$23),ISNUMBER(Eingaben!$B$24),IF(Eingaben!$B$23&lt;Eingaben!$B$24,AND(B469&gt;=Eingaben!$B$23,B469&lt;Eingaben!$B$24),OR(B469&gt;=Eingaben!$B$23,B469&lt;Eingaben!$B$24))),"HEAT","STANDARD"))</f>
        <v>STANDARD</v>
      </c>
      <c r="E469" s="9"/>
      <c r="F469" t="str">
        <f>IF(E469="",D469,E469)</f>
        <v>STANDARD</v>
      </c>
      <c r="G469" t="str">
        <f>INDEX(Netzzeiten!$B$6:$B$29,HOUR(B469)+1)</f>
        <v>HT</v>
      </c>
      <c r="H469" s="6">
        <f>IF(F469="GO",Eingaben!$B$11,IF(F469="STANDARD",Eingaben!$B$12,IF(AND(F469="HEAT",ISNUMBER(Eingaben!$B$13)),Eingaben!$B$13,"")))</f>
        <v>28.2744</v>
      </c>
      <c r="I469" s="6">
        <f>INDEX(Netzzeiten!$C$6:$C$29,HOUR(B469)+1)</f>
        <v>10.52</v>
      </c>
      <c r="J469" t="str">
        <f>IF(C469="","FEHLT",IF(NOT(ISNUMBER(C469)),"MESSWERT UNGUELTIG",IF(C469&lt;0,"MESSWERT UNGUELTIG",IF(H469="","TARIFPREIS FEHLT","OK"))))</f>
        <v>FEHLT</v>
      </c>
      <c r="K469" s="7">
        <f>IF(J469&lt;&gt;"OK","",C469*I469/100)</f>
        <v/>
      </c>
    </row>
    <row r="470" spans="1:11">
      <c r="A470" s="14">
        <v>46147</v>
      </c>
      <c r="B470" s="15">
        <v>0.8333333333333334</v>
      </c>
      <c r="C470" s="5">
        <f>IF('96 Werte'!CD10="","",'96 Werte'!CD10)</f>
        <v/>
      </c>
      <c r="D470" t="str">
        <f>IF(IF(Eingaben!$B$21&lt;Eingaben!$B$22,AND(B470&gt;=Eingaben!$B$21,B470&lt;Eingaben!$B$22),OR(B470&gt;=Eingaben!$B$21,B470&lt;Eingaben!$B$22)),"GO",IF(AND(ISNUMBER(Eingaben!$B$23),ISNUMBER(Eingaben!$B$24),IF(Eingaben!$B$23&lt;Eingaben!$B$24,AND(B470&gt;=Eingaben!$B$23,B470&lt;Eingaben!$B$24),OR(B470&gt;=Eingaben!$B$23,B470&lt;Eingaben!$B$24))),"HEAT","STANDARD"))</f>
        <v>STANDARD</v>
      </c>
      <c r="E470" s="9"/>
      <c r="F470" t="str">
        <f>IF(E470="",D470,E470)</f>
        <v>STANDARD</v>
      </c>
      <c r="G470" t="str">
        <f>INDEX(Netzzeiten!$B$6:$B$29,HOUR(B470)+1)</f>
        <v>HT</v>
      </c>
      <c r="H470" s="6">
        <f>IF(F470="GO",Eingaben!$B$11,IF(F470="STANDARD",Eingaben!$B$12,IF(AND(F470="HEAT",ISNUMBER(Eingaben!$B$13)),Eingaben!$B$13,"")))</f>
        <v>28.2744</v>
      </c>
      <c r="I470" s="6">
        <f>INDEX(Netzzeiten!$C$6:$C$29,HOUR(B470)+1)</f>
        <v>10.52</v>
      </c>
      <c r="J470" t="str">
        <f>IF(C470="","FEHLT",IF(NOT(ISNUMBER(C470)),"MESSWERT UNGUELTIG",IF(C470&lt;0,"MESSWERT UNGUELTIG",IF(H470="","TARIFPREIS FEHLT","OK"))))</f>
        <v>FEHLT</v>
      </c>
      <c r="K470" s="7">
        <f>IF(J470&lt;&gt;"OK","",C470*I470/100)</f>
        <v/>
      </c>
    </row>
    <row r="471" spans="1:11">
      <c r="A471" s="14">
        <v>46147</v>
      </c>
      <c r="B471" s="15">
        <v>0.84375</v>
      </c>
      <c r="C471" s="5">
        <f>IF('96 Werte'!CE10="","",'96 Werte'!CE10)</f>
        <v/>
      </c>
      <c r="D471" t="str">
        <f>IF(IF(Eingaben!$B$21&lt;Eingaben!$B$22,AND(B471&gt;=Eingaben!$B$21,B471&lt;Eingaben!$B$22),OR(B471&gt;=Eingaben!$B$21,B471&lt;Eingaben!$B$22)),"GO",IF(AND(ISNUMBER(Eingaben!$B$23),ISNUMBER(Eingaben!$B$24),IF(Eingaben!$B$23&lt;Eingaben!$B$24,AND(B471&gt;=Eingaben!$B$23,B471&lt;Eingaben!$B$24),OR(B471&gt;=Eingaben!$B$23,B471&lt;Eingaben!$B$24))),"HEAT","STANDARD"))</f>
        <v>STANDARD</v>
      </c>
      <c r="E471" s="9"/>
      <c r="F471" t="str">
        <f>IF(E471="",D471,E471)</f>
        <v>STANDARD</v>
      </c>
      <c r="G471" t="str">
        <f>INDEX(Netzzeiten!$B$6:$B$29,HOUR(B471)+1)</f>
        <v>HT</v>
      </c>
      <c r="H471" s="6">
        <f>IF(F471="GO",Eingaben!$B$11,IF(F471="STANDARD",Eingaben!$B$12,IF(AND(F471="HEAT",ISNUMBER(Eingaben!$B$13)),Eingaben!$B$13,"")))</f>
        <v>28.2744</v>
      </c>
      <c r="I471" s="6">
        <f>INDEX(Netzzeiten!$C$6:$C$29,HOUR(B471)+1)</f>
        <v>10.52</v>
      </c>
      <c r="J471" t="str">
        <f>IF(C471="","FEHLT",IF(NOT(ISNUMBER(C471)),"MESSWERT UNGUELTIG",IF(C471&lt;0,"MESSWERT UNGUELTIG",IF(H471="","TARIFPREIS FEHLT","OK"))))</f>
        <v>FEHLT</v>
      </c>
      <c r="K471" s="7">
        <f>IF(J471&lt;&gt;"OK","",C471*I471/100)</f>
        <v/>
      </c>
    </row>
    <row r="472" spans="1:11">
      <c r="A472" s="14">
        <v>46147</v>
      </c>
      <c r="B472" s="15">
        <v>0.8541666666666666</v>
      </c>
      <c r="C472" s="5">
        <f>IF('96 Werte'!CF10="","",'96 Werte'!CF10)</f>
        <v/>
      </c>
      <c r="D472" t="str">
        <f>IF(IF(Eingaben!$B$21&lt;Eingaben!$B$22,AND(B472&gt;=Eingaben!$B$21,B472&lt;Eingaben!$B$22),OR(B472&gt;=Eingaben!$B$21,B472&lt;Eingaben!$B$22)),"GO",IF(AND(ISNUMBER(Eingaben!$B$23),ISNUMBER(Eingaben!$B$24),IF(Eingaben!$B$23&lt;Eingaben!$B$24,AND(B472&gt;=Eingaben!$B$23,B472&lt;Eingaben!$B$24),OR(B472&gt;=Eingaben!$B$23,B472&lt;Eingaben!$B$24))),"HEAT","STANDARD"))</f>
        <v>STANDARD</v>
      </c>
      <c r="E472" s="9"/>
      <c r="F472" t="str">
        <f>IF(E472="",D472,E472)</f>
        <v>STANDARD</v>
      </c>
      <c r="G472" t="str">
        <f>INDEX(Netzzeiten!$B$6:$B$29,HOUR(B472)+1)</f>
        <v>HT</v>
      </c>
      <c r="H472" s="6">
        <f>IF(F472="GO",Eingaben!$B$11,IF(F472="STANDARD",Eingaben!$B$12,IF(AND(F472="HEAT",ISNUMBER(Eingaben!$B$13)),Eingaben!$B$13,"")))</f>
        <v>28.2744</v>
      </c>
      <c r="I472" s="6">
        <f>INDEX(Netzzeiten!$C$6:$C$29,HOUR(B472)+1)</f>
        <v>10.52</v>
      </c>
      <c r="J472" t="str">
        <f>IF(C472="","FEHLT",IF(NOT(ISNUMBER(C472)),"MESSWERT UNGUELTIG",IF(C472&lt;0,"MESSWERT UNGUELTIG",IF(H472="","TARIFPREIS FEHLT","OK"))))</f>
        <v>FEHLT</v>
      </c>
      <c r="K472" s="7">
        <f>IF(J472&lt;&gt;"OK","",C472*I472/100)</f>
        <v/>
      </c>
    </row>
    <row r="473" spans="1:11">
      <c r="A473" s="14">
        <v>46147</v>
      </c>
      <c r="B473" s="15">
        <v>0.8645833333333334</v>
      </c>
      <c r="C473" s="5">
        <f>IF('96 Werte'!CG10="","",'96 Werte'!CG10)</f>
        <v/>
      </c>
      <c r="D473" t="str">
        <f>IF(IF(Eingaben!$B$21&lt;Eingaben!$B$22,AND(B473&gt;=Eingaben!$B$21,B473&lt;Eingaben!$B$22),OR(B473&gt;=Eingaben!$B$21,B473&lt;Eingaben!$B$22)),"GO",IF(AND(ISNUMBER(Eingaben!$B$23),ISNUMBER(Eingaben!$B$24),IF(Eingaben!$B$23&lt;Eingaben!$B$24,AND(B473&gt;=Eingaben!$B$23,B473&lt;Eingaben!$B$24),OR(B473&gt;=Eingaben!$B$23,B473&lt;Eingaben!$B$24))),"HEAT","STANDARD"))</f>
        <v>STANDARD</v>
      </c>
      <c r="E473" s="9"/>
      <c r="F473" t="str">
        <f>IF(E473="",D473,E473)</f>
        <v>STANDARD</v>
      </c>
      <c r="G473" t="str">
        <f>INDEX(Netzzeiten!$B$6:$B$29,HOUR(B473)+1)</f>
        <v>HT</v>
      </c>
      <c r="H473" s="6">
        <f>IF(F473="GO",Eingaben!$B$11,IF(F473="STANDARD",Eingaben!$B$12,IF(AND(F473="HEAT",ISNUMBER(Eingaben!$B$13)),Eingaben!$B$13,"")))</f>
        <v>28.2744</v>
      </c>
      <c r="I473" s="6">
        <f>INDEX(Netzzeiten!$C$6:$C$29,HOUR(B473)+1)</f>
        <v>10.52</v>
      </c>
      <c r="J473" t="str">
        <f>IF(C473="","FEHLT",IF(NOT(ISNUMBER(C473)),"MESSWERT UNGUELTIG",IF(C473&lt;0,"MESSWERT UNGUELTIG",IF(H473="","TARIFPREIS FEHLT","OK"))))</f>
        <v>FEHLT</v>
      </c>
      <c r="K473" s="7">
        <f>IF(J473&lt;&gt;"OK","",C473*I473/100)</f>
        <v/>
      </c>
    </row>
    <row r="474" spans="1:11">
      <c r="A474" s="14">
        <v>46147</v>
      </c>
      <c r="B474" s="15">
        <v>0.875</v>
      </c>
      <c r="C474" s="5">
        <f>IF('96 Werte'!CH10="","",'96 Werte'!CH10)</f>
        <v/>
      </c>
      <c r="D474" t="str">
        <f>IF(IF(Eingaben!$B$21&lt;Eingaben!$B$22,AND(B474&gt;=Eingaben!$B$21,B474&lt;Eingaben!$B$22),OR(B474&gt;=Eingaben!$B$21,B474&lt;Eingaben!$B$22)),"GO",IF(AND(ISNUMBER(Eingaben!$B$23),ISNUMBER(Eingaben!$B$24),IF(Eingaben!$B$23&lt;Eingaben!$B$24,AND(B474&gt;=Eingaben!$B$23,B474&lt;Eingaben!$B$24),OR(B474&gt;=Eingaben!$B$23,B474&lt;Eingaben!$B$24))),"HEAT","STANDARD"))</f>
        <v>STANDARD</v>
      </c>
      <c r="E474" s="9"/>
      <c r="F474" t="str">
        <f>IF(E474="",D474,E474)</f>
        <v>STANDARD</v>
      </c>
      <c r="G474" t="str">
        <f>INDEX(Netzzeiten!$B$6:$B$29,HOUR(B474)+1)</f>
        <v>HT</v>
      </c>
      <c r="H474" s="6">
        <f>IF(F474="GO",Eingaben!$B$11,IF(F474="STANDARD",Eingaben!$B$12,IF(AND(F474="HEAT",ISNUMBER(Eingaben!$B$13)),Eingaben!$B$13,"")))</f>
        <v>28.2744</v>
      </c>
      <c r="I474" s="6">
        <f>INDEX(Netzzeiten!$C$6:$C$29,HOUR(B474)+1)</f>
        <v>10.52</v>
      </c>
      <c r="J474" t="str">
        <f>IF(C474="","FEHLT",IF(NOT(ISNUMBER(C474)),"MESSWERT UNGUELTIG",IF(C474&lt;0,"MESSWERT UNGUELTIG",IF(H474="","TARIFPREIS FEHLT","OK"))))</f>
        <v>FEHLT</v>
      </c>
      <c r="K474" s="7">
        <f>IF(J474&lt;&gt;"OK","",C474*I474/100)</f>
        <v/>
      </c>
    </row>
    <row r="475" spans="1:11">
      <c r="A475" s="14">
        <v>46147</v>
      </c>
      <c r="B475" s="15">
        <v>0.8854166666666666</v>
      </c>
      <c r="C475" s="5">
        <f>IF('96 Werte'!CI10="","",'96 Werte'!CI10)</f>
        <v/>
      </c>
      <c r="D475" t="str">
        <f>IF(IF(Eingaben!$B$21&lt;Eingaben!$B$22,AND(B475&gt;=Eingaben!$B$21,B475&lt;Eingaben!$B$22),OR(B475&gt;=Eingaben!$B$21,B475&lt;Eingaben!$B$22)),"GO",IF(AND(ISNUMBER(Eingaben!$B$23),ISNUMBER(Eingaben!$B$24),IF(Eingaben!$B$23&lt;Eingaben!$B$24,AND(B475&gt;=Eingaben!$B$23,B475&lt;Eingaben!$B$24),OR(B475&gt;=Eingaben!$B$23,B475&lt;Eingaben!$B$24))),"HEAT","STANDARD"))</f>
        <v>STANDARD</v>
      </c>
      <c r="E475" s="9"/>
      <c r="F475" t="str">
        <f>IF(E475="",D475,E475)</f>
        <v>STANDARD</v>
      </c>
      <c r="G475" t="str">
        <f>INDEX(Netzzeiten!$B$6:$B$29,HOUR(B475)+1)</f>
        <v>HT</v>
      </c>
      <c r="H475" s="6">
        <f>IF(F475="GO",Eingaben!$B$11,IF(F475="STANDARD",Eingaben!$B$12,IF(AND(F475="HEAT",ISNUMBER(Eingaben!$B$13)),Eingaben!$B$13,"")))</f>
        <v>28.2744</v>
      </c>
      <c r="I475" s="6">
        <f>INDEX(Netzzeiten!$C$6:$C$29,HOUR(B475)+1)</f>
        <v>10.52</v>
      </c>
      <c r="J475" t="str">
        <f>IF(C475="","FEHLT",IF(NOT(ISNUMBER(C475)),"MESSWERT UNGUELTIG",IF(C475&lt;0,"MESSWERT UNGUELTIG",IF(H475="","TARIFPREIS FEHLT","OK"))))</f>
        <v>FEHLT</v>
      </c>
      <c r="K475" s="7">
        <f>IF(J475&lt;&gt;"OK","",C475*I475/100)</f>
        <v/>
      </c>
    </row>
    <row r="476" spans="1:11">
      <c r="A476" s="14">
        <v>46147</v>
      </c>
      <c r="B476" s="15">
        <v>0.8958333333333334</v>
      </c>
      <c r="C476" s="5">
        <f>IF('96 Werte'!CJ10="","",'96 Werte'!CJ10)</f>
        <v/>
      </c>
      <c r="D476" t="str">
        <f>IF(IF(Eingaben!$B$21&lt;Eingaben!$B$22,AND(B476&gt;=Eingaben!$B$21,B476&lt;Eingaben!$B$22),OR(B476&gt;=Eingaben!$B$21,B476&lt;Eingaben!$B$22)),"GO",IF(AND(ISNUMBER(Eingaben!$B$23),ISNUMBER(Eingaben!$B$24),IF(Eingaben!$B$23&lt;Eingaben!$B$24,AND(B476&gt;=Eingaben!$B$23,B476&lt;Eingaben!$B$24),OR(B476&gt;=Eingaben!$B$23,B476&lt;Eingaben!$B$24))),"HEAT","STANDARD"))</f>
        <v>STANDARD</v>
      </c>
      <c r="E476" s="9"/>
      <c r="F476" t="str">
        <f>IF(E476="",D476,E476)</f>
        <v>STANDARD</v>
      </c>
      <c r="G476" t="str">
        <f>INDEX(Netzzeiten!$B$6:$B$29,HOUR(B476)+1)</f>
        <v>HT</v>
      </c>
      <c r="H476" s="6">
        <f>IF(F476="GO",Eingaben!$B$11,IF(F476="STANDARD",Eingaben!$B$12,IF(AND(F476="HEAT",ISNUMBER(Eingaben!$B$13)),Eingaben!$B$13,"")))</f>
        <v>28.2744</v>
      </c>
      <c r="I476" s="6">
        <f>INDEX(Netzzeiten!$C$6:$C$29,HOUR(B476)+1)</f>
        <v>10.52</v>
      </c>
      <c r="J476" t="str">
        <f>IF(C476="","FEHLT",IF(NOT(ISNUMBER(C476)),"MESSWERT UNGUELTIG",IF(C476&lt;0,"MESSWERT UNGUELTIG",IF(H476="","TARIFPREIS FEHLT","OK"))))</f>
        <v>FEHLT</v>
      </c>
      <c r="K476" s="7">
        <f>IF(J476&lt;&gt;"OK","",C476*I476/100)</f>
        <v/>
      </c>
    </row>
    <row r="477" spans="1:11">
      <c r="A477" s="14">
        <v>46147</v>
      </c>
      <c r="B477" s="15">
        <v>0.90625</v>
      </c>
      <c r="C477" s="5">
        <f>IF('96 Werte'!CK10="","",'96 Werte'!CK10)</f>
        <v/>
      </c>
      <c r="D477" t="str">
        <f>IF(IF(Eingaben!$B$21&lt;Eingaben!$B$22,AND(B477&gt;=Eingaben!$B$21,B477&lt;Eingaben!$B$22),OR(B477&gt;=Eingaben!$B$21,B477&lt;Eingaben!$B$22)),"GO",IF(AND(ISNUMBER(Eingaben!$B$23),ISNUMBER(Eingaben!$B$24),IF(Eingaben!$B$23&lt;Eingaben!$B$24,AND(B477&gt;=Eingaben!$B$23,B477&lt;Eingaben!$B$24),OR(B477&gt;=Eingaben!$B$23,B477&lt;Eingaben!$B$24))),"HEAT","STANDARD"))</f>
        <v>STANDARD</v>
      </c>
      <c r="E477" s="9"/>
      <c r="F477" t="str">
        <f>IF(E477="",D477,E477)</f>
        <v>STANDARD</v>
      </c>
      <c r="G477" t="str">
        <f>INDEX(Netzzeiten!$B$6:$B$29,HOUR(B477)+1)</f>
        <v>HT</v>
      </c>
      <c r="H477" s="6">
        <f>IF(F477="GO",Eingaben!$B$11,IF(F477="STANDARD",Eingaben!$B$12,IF(AND(F477="HEAT",ISNUMBER(Eingaben!$B$13)),Eingaben!$B$13,"")))</f>
        <v>28.2744</v>
      </c>
      <c r="I477" s="6">
        <f>INDEX(Netzzeiten!$C$6:$C$29,HOUR(B477)+1)</f>
        <v>10.52</v>
      </c>
      <c r="J477" t="str">
        <f>IF(C477="","FEHLT",IF(NOT(ISNUMBER(C477)),"MESSWERT UNGUELTIG",IF(C477&lt;0,"MESSWERT UNGUELTIG",IF(H477="","TARIFPREIS FEHLT","OK"))))</f>
        <v>FEHLT</v>
      </c>
      <c r="K477" s="7">
        <f>IF(J477&lt;&gt;"OK","",C477*I477/100)</f>
        <v/>
      </c>
    </row>
    <row r="478" spans="1:11">
      <c r="A478" s="14">
        <v>46147</v>
      </c>
      <c r="B478" s="15">
        <v>0.9166666666666666</v>
      </c>
      <c r="C478" s="5">
        <f>IF('96 Werte'!CL10="","",'96 Werte'!CL10)</f>
        <v/>
      </c>
      <c r="D478" t="str">
        <f>IF(IF(Eingaben!$B$21&lt;Eingaben!$B$22,AND(B478&gt;=Eingaben!$B$21,B478&lt;Eingaben!$B$22),OR(B478&gt;=Eingaben!$B$21,B478&lt;Eingaben!$B$22)),"GO",IF(AND(ISNUMBER(Eingaben!$B$23),ISNUMBER(Eingaben!$B$24),IF(Eingaben!$B$23&lt;Eingaben!$B$24,AND(B478&gt;=Eingaben!$B$23,B478&lt;Eingaben!$B$24),OR(B478&gt;=Eingaben!$B$23,B478&lt;Eingaben!$B$24))),"HEAT","STANDARD"))</f>
        <v>STANDARD</v>
      </c>
      <c r="E478" s="9"/>
      <c r="F478" t="str">
        <f>IF(E478="",D478,E478)</f>
        <v>STANDARD</v>
      </c>
      <c r="G478" t="str">
        <f>INDEX(Netzzeiten!$B$6:$B$29,HOUR(B478)+1)</f>
        <v>ST</v>
      </c>
      <c r="H478" s="6">
        <f>IF(F478="GO",Eingaben!$B$11,IF(F478="STANDARD",Eingaben!$B$12,IF(AND(F478="HEAT",ISNUMBER(Eingaben!$B$13)),Eingaben!$B$13,"")))</f>
        <v>28.2744</v>
      </c>
      <c r="I478" s="6">
        <f>INDEX(Netzzeiten!$C$6:$C$29,HOUR(B478)+1)</f>
        <v>5.48</v>
      </c>
      <c r="J478" t="str">
        <f>IF(C478="","FEHLT",IF(NOT(ISNUMBER(C478)),"MESSWERT UNGUELTIG",IF(C478&lt;0,"MESSWERT UNGUELTIG",IF(H478="","TARIFPREIS FEHLT","OK"))))</f>
        <v>FEHLT</v>
      </c>
      <c r="K478" s="7">
        <f>IF(J478&lt;&gt;"OK","",C478*I478/100)</f>
        <v/>
      </c>
    </row>
    <row r="479" spans="1:11">
      <c r="A479" s="14">
        <v>46147</v>
      </c>
      <c r="B479" s="15">
        <v>0.9270833333333334</v>
      </c>
      <c r="C479" s="5">
        <f>IF('96 Werte'!CM10="","",'96 Werte'!CM10)</f>
        <v/>
      </c>
      <c r="D479" t="str">
        <f>IF(IF(Eingaben!$B$21&lt;Eingaben!$B$22,AND(B479&gt;=Eingaben!$B$21,B479&lt;Eingaben!$B$22),OR(B479&gt;=Eingaben!$B$21,B479&lt;Eingaben!$B$22)),"GO",IF(AND(ISNUMBER(Eingaben!$B$23),ISNUMBER(Eingaben!$B$24),IF(Eingaben!$B$23&lt;Eingaben!$B$24,AND(B479&gt;=Eingaben!$B$23,B479&lt;Eingaben!$B$24),OR(B479&gt;=Eingaben!$B$23,B479&lt;Eingaben!$B$24))),"HEAT","STANDARD"))</f>
        <v>STANDARD</v>
      </c>
      <c r="E479" s="9"/>
      <c r="F479" t="str">
        <f>IF(E479="",D479,E479)</f>
        <v>STANDARD</v>
      </c>
      <c r="G479" t="str">
        <f>INDEX(Netzzeiten!$B$6:$B$29,HOUR(B479)+1)</f>
        <v>ST</v>
      </c>
      <c r="H479" s="6">
        <f>IF(F479="GO",Eingaben!$B$11,IF(F479="STANDARD",Eingaben!$B$12,IF(AND(F479="HEAT",ISNUMBER(Eingaben!$B$13)),Eingaben!$B$13,"")))</f>
        <v>28.2744</v>
      </c>
      <c r="I479" s="6">
        <f>INDEX(Netzzeiten!$C$6:$C$29,HOUR(B479)+1)</f>
        <v>5.48</v>
      </c>
      <c r="J479" t="str">
        <f>IF(C479="","FEHLT",IF(NOT(ISNUMBER(C479)),"MESSWERT UNGUELTIG",IF(C479&lt;0,"MESSWERT UNGUELTIG",IF(H479="","TARIFPREIS FEHLT","OK"))))</f>
        <v>FEHLT</v>
      </c>
      <c r="K479" s="7">
        <f>IF(J479&lt;&gt;"OK","",C479*I479/100)</f>
        <v/>
      </c>
    </row>
    <row r="480" spans="1:11">
      <c r="A480" s="14">
        <v>46147</v>
      </c>
      <c r="B480" s="15">
        <v>0.9375</v>
      </c>
      <c r="C480" s="5">
        <f>IF('96 Werte'!CN10="","",'96 Werte'!CN10)</f>
        <v/>
      </c>
      <c r="D480" t="str">
        <f>IF(IF(Eingaben!$B$21&lt;Eingaben!$B$22,AND(B480&gt;=Eingaben!$B$21,B480&lt;Eingaben!$B$22),OR(B480&gt;=Eingaben!$B$21,B480&lt;Eingaben!$B$22)),"GO",IF(AND(ISNUMBER(Eingaben!$B$23),ISNUMBER(Eingaben!$B$24),IF(Eingaben!$B$23&lt;Eingaben!$B$24,AND(B480&gt;=Eingaben!$B$23,B480&lt;Eingaben!$B$24),OR(B480&gt;=Eingaben!$B$23,B480&lt;Eingaben!$B$24))),"HEAT","STANDARD"))</f>
        <v>STANDARD</v>
      </c>
      <c r="E480" s="9"/>
      <c r="F480" t="str">
        <f>IF(E480="",D480,E480)</f>
        <v>STANDARD</v>
      </c>
      <c r="G480" t="str">
        <f>INDEX(Netzzeiten!$B$6:$B$29,HOUR(B480)+1)</f>
        <v>ST</v>
      </c>
      <c r="H480" s="6">
        <f>IF(F480="GO",Eingaben!$B$11,IF(F480="STANDARD",Eingaben!$B$12,IF(AND(F480="HEAT",ISNUMBER(Eingaben!$B$13)),Eingaben!$B$13,"")))</f>
        <v>28.2744</v>
      </c>
      <c r="I480" s="6">
        <f>INDEX(Netzzeiten!$C$6:$C$29,HOUR(B480)+1)</f>
        <v>5.48</v>
      </c>
      <c r="J480" t="str">
        <f>IF(C480="","FEHLT",IF(NOT(ISNUMBER(C480)),"MESSWERT UNGUELTIG",IF(C480&lt;0,"MESSWERT UNGUELTIG",IF(H480="","TARIFPREIS FEHLT","OK"))))</f>
        <v>FEHLT</v>
      </c>
      <c r="K480" s="7">
        <f>IF(J480&lt;&gt;"OK","",C480*I480/100)</f>
        <v/>
      </c>
    </row>
    <row r="481" spans="1:11">
      <c r="A481" s="14">
        <v>46147</v>
      </c>
      <c r="B481" s="15">
        <v>0.9479166666666666</v>
      </c>
      <c r="C481" s="5">
        <f>IF('96 Werte'!CO10="","",'96 Werte'!CO10)</f>
        <v/>
      </c>
      <c r="D481" t="str">
        <f>IF(IF(Eingaben!$B$21&lt;Eingaben!$B$22,AND(B481&gt;=Eingaben!$B$21,B481&lt;Eingaben!$B$22),OR(B481&gt;=Eingaben!$B$21,B481&lt;Eingaben!$B$22)),"GO",IF(AND(ISNUMBER(Eingaben!$B$23),ISNUMBER(Eingaben!$B$24),IF(Eingaben!$B$23&lt;Eingaben!$B$24,AND(B481&gt;=Eingaben!$B$23,B481&lt;Eingaben!$B$24),OR(B481&gt;=Eingaben!$B$23,B481&lt;Eingaben!$B$24))),"HEAT","STANDARD"))</f>
        <v>STANDARD</v>
      </c>
      <c r="E481" s="9"/>
      <c r="F481" t="str">
        <f>IF(E481="",D481,E481)</f>
        <v>STANDARD</v>
      </c>
      <c r="G481" t="str">
        <f>INDEX(Netzzeiten!$B$6:$B$29,HOUR(B481)+1)</f>
        <v>ST</v>
      </c>
      <c r="H481" s="6">
        <f>IF(F481="GO",Eingaben!$B$11,IF(F481="STANDARD",Eingaben!$B$12,IF(AND(F481="HEAT",ISNUMBER(Eingaben!$B$13)),Eingaben!$B$13,"")))</f>
        <v>28.2744</v>
      </c>
      <c r="I481" s="6">
        <f>INDEX(Netzzeiten!$C$6:$C$29,HOUR(B481)+1)</f>
        <v>5.48</v>
      </c>
      <c r="J481" t="str">
        <f>IF(C481="","FEHLT",IF(NOT(ISNUMBER(C481)),"MESSWERT UNGUELTIG",IF(C481&lt;0,"MESSWERT UNGUELTIG",IF(H481="","TARIFPREIS FEHLT","OK"))))</f>
        <v>FEHLT</v>
      </c>
      <c r="K481" s="7">
        <f>IF(J481&lt;&gt;"OK","",C481*I481/100)</f>
        <v/>
      </c>
    </row>
    <row r="482" spans="1:11">
      <c r="A482" s="14">
        <v>46147</v>
      </c>
      <c r="B482" s="15">
        <v>0.9583333333333334</v>
      </c>
      <c r="C482" s="5">
        <f>IF('96 Werte'!CP10="","",'96 Werte'!CP10)</f>
        <v/>
      </c>
      <c r="D482" t="str">
        <f>IF(IF(Eingaben!$B$21&lt;Eingaben!$B$22,AND(B482&gt;=Eingaben!$B$21,B482&lt;Eingaben!$B$22),OR(B482&gt;=Eingaben!$B$21,B482&lt;Eingaben!$B$22)),"GO",IF(AND(ISNUMBER(Eingaben!$B$23),ISNUMBER(Eingaben!$B$24),IF(Eingaben!$B$23&lt;Eingaben!$B$24,AND(B482&gt;=Eingaben!$B$23,B482&lt;Eingaben!$B$24),OR(B482&gt;=Eingaben!$B$23,B482&lt;Eingaben!$B$24))),"HEAT","STANDARD"))</f>
        <v>STANDARD</v>
      </c>
      <c r="E482" s="9"/>
      <c r="F482" t="str">
        <f>IF(E482="",D482,E482)</f>
        <v>STANDARD</v>
      </c>
      <c r="G482" t="str">
        <f>INDEX(Netzzeiten!$B$6:$B$29,HOUR(B482)+1)</f>
        <v>NT</v>
      </c>
      <c r="H482" s="6">
        <f>IF(F482="GO",Eingaben!$B$11,IF(F482="STANDARD",Eingaben!$B$12,IF(AND(F482="HEAT",ISNUMBER(Eingaben!$B$13)),Eingaben!$B$13,"")))</f>
        <v>28.2744</v>
      </c>
      <c r="I482" s="6">
        <f>INDEX(Netzzeiten!$C$6:$C$29,HOUR(B482)+1)</f>
        <v>1.64</v>
      </c>
      <c r="J482" t="str">
        <f>IF(C482="","FEHLT",IF(NOT(ISNUMBER(C482)),"MESSWERT UNGUELTIG",IF(C482&lt;0,"MESSWERT UNGUELTIG",IF(H482="","TARIFPREIS FEHLT","OK"))))</f>
        <v>FEHLT</v>
      </c>
      <c r="K482" s="7">
        <f>IF(J482&lt;&gt;"OK","",C482*I482/100)</f>
        <v/>
      </c>
    </row>
    <row r="483" spans="1:11">
      <c r="A483" s="14">
        <v>46147</v>
      </c>
      <c r="B483" s="15">
        <v>0.96875</v>
      </c>
      <c r="C483" s="5">
        <f>IF('96 Werte'!CQ10="","",'96 Werte'!CQ10)</f>
        <v/>
      </c>
      <c r="D483" t="str">
        <f>IF(IF(Eingaben!$B$21&lt;Eingaben!$B$22,AND(B483&gt;=Eingaben!$B$21,B483&lt;Eingaben!$B$22),OR(B483&gt;=Eingaben!$B$21,B483&lt;Eingaben!$B$22)),"GO",IF(AND(ISNUMBER(Eingaben!$B$23),ISNUMBER(Eingaben!$B$24),IF(Eingaben!$B$23&lt;Eingaben!$B$24,AND(B483&gt;=Eingaben!$B$23,B483&lt;Eingaben!$B$24),OR(B483&gt;=Eingaben!$B$23,B483&lt;Eingaben!$B$24))),"HEAT","STANDARD"))</f>
        <v>STANDARD</v>
      </c>
      <c r="E483" s="9"/>
      <c r="F483" t="str">
        <f>IF(E483="",D483,E483)</f>
        <v>STANDARD</v>
      </c>
      <c r="G483" t="str">
        <f>INDEX(Netzzeiten!$B$6:$B$29,HOUR(B483)+1)</f>
        <v>NT</v>
      </c>
      <c r="H483" s="6">
        <f>IF(F483="GO",Eingaben!$B$11,IF(F483="STANDARD",Eingaben!$B$12,IF(AND(F483="HEAT",ISNUMBER(Eingaben!$B$13)),Eingaben!$B$13,"")))</f>
        <v>28.2744</v>
      </c>
      <c r="I483" s="6">
        <f>INDEX(Netzzeiten!$C$6:$C$29,HOUR(B483)+1)</f>
        <v>1.64</v>
      </c>
      <c r="J483" t="str">
        <f>IF(C483="","FEHLT",IF(NOT(ISNUMBER(C483)),"MESSWERT UNGUELTIG",IF(C483&lt;0,"MESSWERT UNGUELTIG",IF(H483="","TARIFPREIS FEHLT","OK"))))</f>
        <v>FEHLT</v>
      </c>
      <c r="K483" s="7">
        <f>IF(J483&lt;&gt;"OK","",C483*I483/100)</f>
        <v/>
      </c>
    </row>
    <row r="484" spans="1:11">
      <c r="A484" s="14">
        <v>46147</v>
      </c>
      <c r="B484" s="15">
        <v>0.9791666666666666</v>
      </c>
      <c r="C484" s="5">
        <f>IF('96 Werte'!CR10="","",'96 Werte'!CR10)</f>
        <v/>
      </c>
      <c r="D484" t="str">
        <f>IF(IF(Eingaben!$B$21&lt;Eingaben!$B$22,AND(B484&gt;=Eingaben!$B$21,B484&lt;Eingaben!$B$22),OR(B484&gt;=Eingaben!$B$21,B484&lt;Eingaben!$B$22)),"GO",IF(AND(ISNUMBER(Eingaben!$B$23),ISNUMBER(Eingaben!$B$24),IF(Eingaben!$B$23&lt;Eingaben!$B$24,AND(B484&gt;=Eingaben!$B$23,B484&lt;Eingaben!$B$24),OR(B484&gt;=Eingaben!$B$23,B484&lt;Eingaben!$B$24))),"HEAT","STANDARD"))</f>
        <v>STANDARD</v>
      </c>
      <c r="E484" s="9"/>
      <c r="F484" t="str">
        <f>IF(E484="",D484,E484)</f>
        <v>STANDARD</v>
      </c>
      <c r="G484" t="str">
        <f>INDEX(Netzzeiten!$B$6:$B$29,HOUR(B484)+1)</f>
        <v>NT</v>
      </c>
      <c r="H484" s="6">
        <f>IF(F484="GO",Eingaben!$B$11,IF(F484="STANDARD",Eingaben!$B$12,IF(AND(F484="HEAT",ISNUMBER(Eingaben!$B$13)),Eingaben!$B$13,"")))</f>
        <v>28.2744</v>
      </c>
      <c r="I484" s="6">
        <f>INDEX(Netzzeiten!$C$6:$C$29,HOUR(B484)+1)</f>
        <v>1.64</v>
      </c>
      <c r="J484" t="str">
        <f>IF(C484="","FEHLT",IF(NOT(ISNUMBER(C484)),"MESSWERT UNGUELTIG",IF(C484&lt;0,"MESSWERT UNGUELTIG",IF(H484="","TARIFPREIS FEHLT","OK"))))</f>
        <v>FEHLT</v>
      </c>
      <c r="K484" s="7">
        <f>IF(J484&lt;&gt;"OK","",C484*I484/100)</f>
        <v/>
      </c>
    </row>
    <row r="485" spans="1:11">
      <c r="A485" s="14">
        <v>46147</v>
      </c>
      <c r="B485" s="15">
        <v>0.9895833333333334</v>
      </c>
      <c r="C485" s="5">
        <f>IF('96 Werte'!CS10="","",'96 Werte'!CS10)</f>
        <v/>
      </c>
      <c r="D485" t="str">
        <f>IF(IF(Eingaben!$B$21&lt;Eingaben!$B$22,AND(B485&gt;=Eingaben!$B$21,B485&lt;Eingaben!$B$22),OR(B485&gt;=Eingaben!$B$21,B485&lt;Eingaben!$B$22)),"GO",IF(AND(ISNUMBER(Eingaben!$B$23),ISNUMBER(Eingaben!$B$24),IF(Eingaben!$B$23&lt;Eingaben!$B$24,AND(B485&gt;=Eingaben!$B$23,B485&lt;Eingaben!$B$24),OR(B485&gt;=Eingaben!$B$23,B485&lt;Eingaben!$B$24))),"HEAT","STANDARD"))</f>
        <v>STANDARD</v>
      </c>
      <c r="E485" s="9"/>
      <c r="F485" t="str">
        <f>IF(E485="",D485,E485)</f>
        <v>STANDARD</v>
      </c>
      <c r="G485" t="str">
        <f>INDEX(Netzzeiten!$B$6:$B$29,HOUR(B485)+1)</f>
        <v>NT</v>
      </c>
      <c r="H485" s="6">
        <f>IF(F485="GO",Eingaben!$B$11,IF(F485="STANDARD",Eingaben!$B$12,IF(AND(F485="HEAT",ISNUMBER(Eingaben!$B$13)),Eingaben!$B$13,"")))</f>
        <v>28.2744</v>
      </c>
      <c r="I485" s="6">
        <f>INDEX(Netzzeiten!$C$6:$C$29,HOUR(B485)+1)</f>
        <v>1.64</v>
      </c>
      <c r="J485" t="str">
        <f>IF(C485="","FEHLT",IF(NOT(ISNUMBER(C485)),"MESSWERT UNGUELTIG",IF(C485&lt;0,"MESSWERT UNGUELTIG",IF(H485="","TARIFPREIS FEHLT","OK"))))</f>
        <v>FEHLT</v>
      </c>
      <c r="K485" s="7">
        <f>IF(J485&lt;&gt;"OK","",C485*I485/100)</f>
        <v/>
      </c>
    </row>
    <row r="486" spans="1:11">
      <c r="A486" s="14">
        <v>46148</v>
      </c>
      <c r="B486" s="15">
        <v>0</v>
      </c>
      <c r="C486" s="5">
        <f>IF('96 Werte'!B11="","",'96 Werte'!B11)</f>
        <v/>
      </c>
      <c r="D486" t="str">
        <f>IF(IF(Eingaben!$B$21&lt;Eingaben!$B$22,AND(B486&gt;=Eingaben!$B$21,B486&lt;Eingaben!$B$22),OR(B486&gt;=Eingaben!$B$21,B486&lt;Eingaben!$B$22)),"GO",IF(AND(ISNUMBER(Eingaben!$B$23),ISNUMBER(Eingaben!$B$24),IF(Eingaben!$B$23&lt;Eingaben!$B$24,AND(B486&gt;=Eingaben!$B$23,B486&lt;Eingaben!$B$24),OR(B486&gt;=Eingaben!$B$23,B486&lt;Eingaben!$B$24))),"HEAT","STANDARD"))</f>
        <v>GO</v>
      </c>
      <c r="E486" s="9"/>
      <c r="F486" t="str">
        <f>IF(E486="",D486,E486)</f>
        <v>GO</v>
      </c>
      <c r="G486" t="str">
        <f>INDEX(Netzzeiten!$B$6:$B$29,HOUR(B486)+1)</f>
        <v>NT</v>
      </c>
      <c r="H486" s="6">
        <f>IF(F486="GO",Eingaben!$B$11,IF(F486="STANDARD",Eingaben!$B$12,IF(AND(F486="HEAT",ISNUMBER(Eingaben!$B$13)),Eingaben!$B$13,"")))</f>
        <v>15.0654</v>
      </c>
      <c r="I486" s="6">
        <f>INDEX(Netzzeiten!$C$6:$C$29,HOUR(B486)+1)</f>
        <v>1.64</v>
      </c>
      <c r="J486" t="str">
        <f>IF(C486="","FEHLT",IF(NOT(ISNUMBER(C486)),"MESSWERT UNGUELTIG",IF(C486&lt;0,"MESSWERT UNGUELTIG",IF(H486="","TARIFPREIS FEHLT","OK"))))</f>
        <v>FEHLT</v>
      </c>
      <c r="K486" s="7">
        <f>IF(J486&lt;&gt;"OK","",C486*I486/100)</f>
        <v/>
      </c>
    </row>
    <row r="487" spans="1:11">
      <c r="A487" s="14">
        <v>46148</v>
      </c>
      <c r="B487" s="15">
        <v>0.01041666666666667</v>
      </c>
      <c r="C487" s="5">
        <f>IF('96 Werte'!C11="","",'96 Werte'!C11)</f>
        <v/>
      </c>
      <c r="D487" t="str">
        <f>IF(IF(Eingaben!$B$21&lt;Eingaben!$B$22,AND(B487&gt;=Eingaben!$B$21,B487&lt;Eingaben!$B$22),OR(B487&gt;=Eingaben!$B$21,B487&lt;Eingaben!$B$22)),"GO",IF(AND(ISNUMBER(Eingaben!$B$23),ISNUMBER(Eingaben!$B$24),IF(Eingaben!$B$23&lt;Eingaben!$B$24,AND(B487&gt;=Eingaben!$B$23,B487&lt;Eingaben!$B$24),OR(B487&gt;=Eingaben!$B$23,B487&lt;Eingaben!$B$24))),"HEAT","STANDARD"))</f>
        <v>GO</v>
      </c>
      <c r="E487" s="9"/>
      <c r="F487" t="str">
        <f>IF(E487="",D487,E487)</f>
        <v>GO</v>
      </c>
      <c r="G487" t="str">
        <f>INDEX(Netzzeiten!$B$6:$B$29,HOUR(B487)+1)</f>
        <v>NT</v>
      </c>
      <c r="H487" s="6">
        <f>IF(F487="GO",Eingaben!$B$11,IF(F487="STANDARD",Eingaben!$B$12,IF(AND(F487="HEAT",ISNUMBER(Eingaben!$B$13)),Eingaben!$B$13,"")))</f>
        <v>15.0654</v>
      </c>
      <c r="I487" s="6">
        <f>INDEX(Netzzeiten!$C$6:$C$29,HOUR(B487)+1)</f>
        <v>1.64</v>
      </c>
      <c r="J487" t="str">
        <f>IF(C487="","FEHLT",IF(NOT(ISNUMBER(C487)),"MESSWERT UNGUELTIG",IF(C487&lt;0,"MESSWERT UNGUELTIG",IF(H487="","TARIFPREIS FEHLT","OK"))))</f>
        <v>FEHLT</v>
      </c>
      <c r="K487" s="7">
        <f>IF(J487&lt;&gt;"OK","",C487*I487/100)</f>
        <v/>
      </c>
    </row>
    <row r="488" spans="1:11">
      <c r="A488" s="14">
        <v>46148</v>
      </c>
      <c r="B488" s="15">
        <v>0.02083333333333333</v>
      </c>
      <c r="C488" s="5">
        <f>IF('96 Werte'!D11="","",'96 Werte'!D11)</f>
        <v/>
      </c>
      <c r="D488" t="str">
        <f>IF(IF(Eingaben!$B$21&lt;Eingaben!$B$22,AND(B488&gt;=Eingaben!$B$21,B488&lt;Eingaben!$B$22),OR(B488&gt;=Eingaben!$B$21,B488&lt;Eingaben!$B$22)),"GO",IF(AND(ISNUMBER(Eingaben!$B$23),ISNUMBER(Eingaben!$B$24),IF(Eingaben!$B$23&lt;Eingaben!$B$24,AND(B488&gt;=Eingaben!$B$23,B488&lt;Eingaben!$B$24),OR(B488&gt;=Eingaben!$B$23,B488&lt;Eingaben!$B$24))),"HEAT","STANDARD"))</f>
        <v>GO</v>
      </c>
      <c r="E488" s="9"/>
      <c r="F488" t="str">
        <f>IF(E488="",D488,E488)</f>
        <v>GO</v>
      </c>
      <c r="G488" t="str">
        <f>INDEX(Netzzeiten!$B$6:$B$29,HOUR(B488)+1)</f>
        <v>NT</v>
      </c>
      <c r="H488" s="6">
        <f>IF(F488="GO",Eingaben!$B$11,IF(F488="STANDARD",Eingaben!$B$12,IF(AND(F488="HEAT",ISNUMBER(Eingaben!$B$13)),Eingaben!$B$13,"")))</f>
        <v>15.0654</v>
      </c>
      <c r="I488" s="6">
        <f>INDEX(Netzzeiten!$C$6:$C$29,HOUR(B488)+1)</f>
        <v>1.64</v>
      </c>
      <c r="J488" t="str">
        <f>IF(C488="","FEHLT",IF(NOT(ISNUMBER(C488)),"MESSWERT UNGUELTIG",IF(C488&lt;0,"MESSWERT UNGUELTIG",IF(H488="","TARIFPREIS FEHLT","OK"))))</f>
        <v>FEHLT</v>
      </c>
      <c r="K488" s="7">
        <f>IF(J488&lt;&gt;"OK","",C488*I488/100)</f>
        <v/>
      </c>
    </row>
    <row r="489" spans="1:11">
      <c r="A489" s="14">
        <v>46148</v>
      </c>
      <c r="B489" s="15">
        <v>0.03125</v>
      </c>
      <c r="C489" s="5">
        <f>IF('96 Werte'!E11="","",'96 Werte'!E11)</f>
        <v/>
      </c>
      <c r="D489" t="str">
        <f>IF(IF(Eingaben!$B$21&lt;Eingaben!$B$22,AND(B489&gt;=Eingaben!$B$21,B489&lt;Eingaben!$B$22),OR(B489&gt;=Eingaben!$B$21,B489&lt;Eingaben!$B$22)),"GO",IF(AND(ISNUMBER(Eingaben!$B$23),ISNUMBER(Eingaben!$B$24),IF(Eingaben!$B$23&lt;Eingaben!$B$24,AND(B489&gt;=Eingaben!$B$23,B489&lt;Eingaben!$B$24),OR(B489&gt;=Eingaben!$B$23,B489&lt;Eingaben!$B$24))),"HEAT","STANDARD"))</f>
        <v>GO</v>
      </c>
      <c r="E489" s="9"/>
      <c r="F489" t="str">
        <f>IF(E489="",D489,E489)</f>
        <v>GO</v>
      </c>
      <c r="G489" t="str">
        <f>INDEX(Netzzeiten!$B$6:$B$29,HOUR(B489)+1)</f>
        <v>NT</v>
      </c>
      <c r="H489" s="6">
        <f>IF(F489="GO",Eingaben!$B$11,IF(F489="STANDARD",Eingaben!$B$12,IF(AND(F489="HEAT",ISNUMBER(Eingaben!$B$13)),Eingaben!$B$13,"")))</f>
        <v>15.0654</v>
      </c>
      <c r="I489" s="6">
        <f>INDEX(Netzzeiten!$C$6:$C$29,HOUR(B489)+1)</f>
        <v>1.64</v>
      </c>
      <c r="J489" t="str">
        <f>IF(C489="","FEHLT",IF(NOT(ISNUMBER(C489)),"MESSWERT UNGUELTIG",IF(C489&lt;0,"MESSWERT UNGUELTIG",IF(H489="","TARIFPREIS FEHLT","OK"))))</f>
        <v>FEHLT</v>
      </c>
      <c r="K489" s="7">
        <f>IF(J489&lt;&gt;"OK","",C489*I489/100)</f>
        <v/>
      </c>
    </row>
    <row r="490" spans="1:11">
      <c r="A490" s="14">
        <v>46148</v>
      </c>
      <c r="B490" s="15">
        <v>0.04166666666666666</v>
      </c>
      <c r="C490" s="5">
        <f>IF('96 Werte'!F11="","",'96 Werte'!F11)</f>
        <v/>
      </c>
      <c r="D490" t="str">
        <f>IF(IF(Eingaben!$B$21&lt;Eingaben!$B$22,AND(B490&gt;=Eingaben!$B$21,B490&lt;Eingaben!$B$22),OR(B490&gt;=Eingaben!$B$21,B490&lt;Eingaben!$B$22)),"GO",IF(AND(ISNUMBER(Eingaben!$B$23),ISNUMBER(Eingaben!$B$24),IF(Eingaben!$B$23&lt;Eingaben!$B$24,AND(B490&gt;=Eingaben!$B$23,B490&lt;Eingaben!$B$24),OR(B490&gt;=Eingaben!$B$23,B490&lt;Eingaben!$B$24))),"HEAT","STANDARD"))</f>
        <v>GO</v>
      </c>
      <c r="E490" s="9"/>
      <c r="F490" t="str">
        <f>IF(E490="",D490,E490)</f>
        <v>GO</v>
      </c>
      <c r="G490" t="str">
        <f>INDEX(Netzzeiten!$B$6:$B$29,HOUR(B490)+1)</f>
        <v>NT</v>
      </c>
      <c r="H490" s="6">
        <f>IF(F490="GO",Eingaben!$B$11,IF(F490="STANDARD",Eingaben!$B$12,IF(AND(F490="HEAT",ISNUMBER(Eingaben!$B$13)),Eingaben!$B$13,"")))</f>
        <v>15.0654</v>
      </c>
      <c r="I490" s="6">
        <f>INDEX(Netzzeiten!$C$6:$C$29,HOUR(B490)+1)</f>
        <v>1.64</v>
      </c>
      <c r="J490" t="str">
        <f>IF(C490="","FEHLT",IF(NOT(ISNUMBER(C490)),"MESSWERT UNGUELTIG",IF(C490&lt;0,"MESSWERT UNGUELTIG",IF(H490="","TARIFPREIS FEHLT","OK"))))</f>
        <v>FEHLT</v>
      </c>
      <c r="K490" s="7">
        <f>IF(J490&lt;&gt;"OK","",C490*I490/100)</f>
        <v/>
      </c>
    </row>
    <row r="491" spans="1:11">
      <c r="A491" s="14">
        <v>46148</v>
      </c>
      <c r="B491" s="15">
        <v>0.05208333333333334</v>
      </c>
      <c r="C491" s="5">
        <f>IF('96 Werte'!G11="","",'96 Werte'!G11)</f>
        <v/>
      </c>
      <c r="D491" t="str">
        <f>IF(IF(Eingaben!$B$21&lt;Eingaben!$B$22,AND(B491&gt;=Eingaben!$B$21,B491&lt;Eingaben!$B$22),OR(B491&gt;=Eingaben!$B$21,B491&lt;Eingaben!$B$22)),"GO",IF(AND(ISNUMBER(Eingaben!$B$23),ISNUMBER(Eingaben!$B$24),IF(Eingaben!$B$23&lt;Eingaben!$B$24,AND(B491&gt;=Eingaben!$B$23,B491&lt;Eingaben!$B$24),OR(B491&gt;=Eingaben!$B$23,B491&lt;Eingaben!$B$24))),"HEAT","STANDARD"))</f>
        <v>GO</v>
      </c>
      <c r="E491" s="9"/>
      <c r="F491" t="str">
        <f>IF(E491="",D491,E491)</f>
        <v>GO</v>
      </c>
      <c r="G491" t="str">
        <f>INDEX(Netzzeiten!$B$6:$B$29,HOUR(B491)+1)</f>
        <v>NT</v>
      </c>
      <c r="H491" s="6">
        <f>IF(F491="GO",Eingaben!$B$11,IF(F491="STANDARD",Eingaben!$B$12,IF(AND(F491="HEAT",ISNUMBER(Eingaben!$B$13)),Eingaben!$B$13,"")))</f>
        <v>15.0654</v>
      </c>
      <c r="I491" s="6">
        <f>INDEX(Netzzeiten!$C$6:$C$29,HOUR(B491)+1)</f>
        <v>1.64</v>
      </c>
      <c r="J491" t="str">
        <f>IF(C491="","FEHLT",IF(NOT(ISNUMBER(C491)),"MESSWERT UNGUELTIG",IF(C491&lt;0,"MESSWERT UNGUELTIG",IF(H491="","TARIFPREIS FEHLT","OK"))))</f>
        <v>FEHLT</v>
      </c>
      <c r="K491" s="7">
        <f>IF(J491&lt;&gt;"OK","",C491*I491/100)</f>
        <v/>
      </c>
    </row>
    <row r="492" spans="1:11">
      <c r="A492" s="14">
        <v>46148</v>
      </c>
      <c r="B492" s="15">
        <v>0.0625</v>
      </c>
      <c r="C492" s="5">
        <f>IF('96 Werte'!H11="","",'96 Werte'!H11)</f>
        <v/>
      </c>
      <c r="D492" t="str">
        <f>IF(IF(Eingaben!$B$21&lt;Eingaben!$B$22,AND(B492&gt;=Eingaben!$B$21,B492&lt;Eingaben!$B$22),OR(B492&gt;=Eingaben!$B$21,B492&lt;Eingaben!$B$22)),"GO",IF(AND(ISNUMBER(Eingaben!$B$23),ISNUMBER(Eingaben!$B$24),IF(Eingaben!$B$23&lt;Eingaben!$B$24,AND(B492&gt;=Eingaben!$B$23,B492&lt;Eingaben!$B$24),OR(B492&gt;=Eingaben!$B$23,B492&lt;Eingaben!$B$24))),"HEAT","STANDARD"))</f>
        <v>GO</v>
      </c>
      <c r="E492" s="9"/>
      <c r="F492" t="str">
        <f>IF(E492="",D492,E492)</f>
        <v>GO</v>
      </c>
      <c r="G492" t="str">
        <f>INDEX(Netzzeiten!$B$6:$B$29,HOUR(B492)+1)</f>
        <v>NT</v>
      </c>
      <c r="H492" s="6">
        <f>IF(F492="GO",Eingaben!$B$11,IF(F492="STANDARD",Eingaben!$B$12,IF(AND(F492="HEAT",ISNUMBER(Eingaben!$B$13)),Eingaben!$B$13,"")))</f>
        <v>15.0654</v>
      </c>
      <c r="I492" s="6">
        <f>INDEX(Netzzeiten!$C$6:$C$29,HOUR(B492)+1)</f>
        <v>1.64</v>
      </c>
      <c r="J492" t="str">
        <f>IF(C492="","FEHLT",IF(NOT(ISNUMBER(C492)),"MESSWERT UNGUELTIG",IF(C492&lt;0,"MESSWERT UNGUELTIG",IF(H492="","TARIFPREIS FEHLT","OK"))))</f>
        <v>FEHLT</v>
      </c>
      <c r="K492" s="7">
        <f>IF(J492&lt;&gt;"OK","",C492*I492/100)</f>
        <v/>
      </c>
    </row>
    <row r="493" spans="1:11">
      <c r="A493" s="14">
        <v>46148</v>
      </c>
      <c r="B493" s="15">
        <v>0.07291666666666667</v>
      </c>
      <c r="C493" s="5">
        <f>IF('96 Werte'!I11="","",'96 Werte'!I11)</f>
        <v/>
      </c>
      <c r="D493" t="str">
        <f>IF(IF(Eingaben!$B$21&lt;Eingaben!$B$22,AND(B493&gt;=Eingaben!$B$21,B493&lt;Eingaben!$B$22),OR(B493&gt;=Eingaben!$B$21,B493&lt;Eingaben!$B$22)),"GO",IF(AND(ISNUMBER(Eingaben!$B$23),ISNUMBER(Eingaben!$B$24),IF(Eingaben!$B$23&lt;Eingaben!$B$24,AND(B493&gt;=Eingaben!$B$23,B493&lt;Eingaben!$B$24),OR(B493&gt;=Eingaben!$B$23,B493&lt;Eingaben!$B$24))),"HEAT","STANDARD"))</f>
        <v>GO</v>
      </c>
      <c r="E493" s="9"/>
      <c r="F493" t="str">
        <f>IF(E493="",D493,E493)</f>
        <v>GO</v>
      </c>
      <c r="G493" t="str">
        <f>INDEX(Netzzeiten!$B$6:$B$29,HOUR(B493)+1)</f>
        <v>NT</v>
      </c>
      <c r="H493" s="6">
        <f>IF(F493="GO",Eingaben!$B$11,IF(F493="STANDARD",Eingaben!$B$12,IF(AND(F493="HEAT",ISNUMBER(Eingaben!$B$13)),Eingaben!$B$13,"")))</f>
        <v>15.0654</v>
      </c>
      <c r="I493" s="6">
        <f>INDEX(Netzzeiten!$C$6:$C$29,HOUR(B493)+1)</f>
        <v>1.64</v>
      </c>
      <c r="J493" t="str">
        <f>IF(C493="","FEHLT",IF(NOT(ISNUMBER(C493)),"MESSWERT UNGUELTIG",IF(C493&lt;0,"MESSWERT UNGUELTIG",IF(H493="","TARIFPREIS FEHLT","OK"))))</f>
        <v>FEHLT</v>
      </c>
      <c r="K493" s="7">
        <f>IF(J493&lt;&gt;"OK","",C493*I493/100)</f>
        <v/>
      </c>
    </row>
    <row r="494" spans="1:11">
      <c r="A494" s="14">
        <v>46148</v>
      </c>
      <c r="B494" s="15">
        <v>0.08333333333333333</v>
      </c>
      <c r="C494" s="5">
        <f>IF('96 Werte'!J11="","",'96 Werte'!J11)</f>
        <v/>
      </c>
      <c r="D494" t="str">
        <f>IF(IF(Eingaben!$B$21&lt;Eingaben!$B$22,AND(B494&gt;=Eingaben!$B$21,B494&lt;Eingaben!$B$22),OR(B494&gt;=Eingaben!$B$21,B494&lt;Eingaben!$B$22)),"GO",IF(AND(ISNUMBER(Eingaben!$B$23),ISNUMBER(Eingaben!$B$24),IF(Eingaben!$B$23&lt;Eingaben!$B$24,AND(B494&gt;=Eingaben!$B$23,B494&lt;Eingaben!$B$24),OR(B494&gt;=Eingaben!$B$23,B494&lt;Eingaben!$B$24))),"HEAT","STANDARD"))</f>
        <v>GO</v>
      </c>
      <c r="E494" s="9"/>
      <c r="F494" t="str">
        <f>IF(E494="",D494,E494)</f>
        <v>GO</v>
      </c>
      <c r="G494" t="str">
        <f>INDEX(Netzzeiten!$B$6:$B$29,HOUR(B494)+1)</f>
        <v>NT</v>
      </c>
      <c r="H494" s="6">
        <f>IF(F494="GO",Eingaben!$B$11,IF(F494="STANDARD",Eingaben!$B$12,IF(AND(F494="HEAT",ISNUMBER(Eingaben!$B$13)),Eingaben!$B$13,"")))</f>
        <v>15.0654</v>
      </c>
      <c r="I494" s="6">
        <f>INDEX(Netzzeiten!$C$6:$C$29,HOUR(B494)+1)</f>
        <v>1.64</v>
      </c>
      <c r="J494" t="str">
        <f>IF(C494="","FEHLT",IF(NOT(ISNUMBER(C494)),"MESSWERT UNGUELTIG",IF(C494&lt;0,"MESSWERT UNGUELTIG",IF(H494="","TARIFPREIS FEHLT","OK"))))</f>
        <v>FEHLT</v>
      </c>
      <c r="K494" s="7">
        <f>IF(J494&lt;&gt;"OK","",C494*I494/100)</f>
        <v/>
      </c>
    </row>
    <row r="495" spans="1:11">
      <c r="A495" s="14">
        <v>46148</v>
      </c>
      <c r="B495" s="15">
        <v>0.09375</v>
      </c>
      <c r="C495" s="5">
        <f>IF('96 Werte'!K11="","",'96 Werte'!K11)</f>
        <v/>
      </c>
      <c r="D495" t="str">
        <f>IF(IF(Eingaben!$B$21&lt;Eingaben!$B$22,AND(B495&gt;=Eingaben!$B$21,B495&lt;Eingaben!$B$22),OR(B495&gt;=Eingaben!$B$21,B495&lt;Eingaben!$B$22)),"GO",IF(AND(ISNUMBER(Eingaben!$B$23),ISNUMBER(Eingaben!$B$24),IF(Eingaben!$B$23&lt;Eingaben!$B$24,AND(B495&gt;=Eingaben!$B$23,B495&lt;Eingaben!$B$24),OR(B495&gt;=Eingaben!$B$23,B495&lt;Eingaben!$B$24))),"HEAT","STANDARD"))</f>
        <v>GO</v>
      </c>
      <c r="E495" s="9"/>
      <c r="F495" t="str">
        <f>IF(E495="",D495,E495)</f>
        <v>GO</v>
      </c>
      <c r="G495" t="str">
        <f>INDEX(Netzzeiten!$B$6:$B$29,HOUR(B495)+1)</f>
        <v>NT</v>
      </c>
      <c r="H495" s="6">
        <f>IF(F495="GO",Eingaben!$B$11,IF(F495="STANDARD",Eingaben!$B$12,IF(AND(F495="HEAT",ISNUMBER(Eingaben!$B$13)),Eingaben!$B$13,"")))</f>
        <v>15.0654</v>
      </c>
      <c r="I495" s="6">
        <f>INDEX(Netzzeiten!$C$6:$C$29,HOUR(B495)+1)</f>
        <v>1.64</v>
      </c>
      <c r="J495" t="str">
        <f>IF(C495="","FEHLT",IF(NOT(ISNUMBER(C495)),"MESSWERT UNGUELTIG",IF(C495&lt;0,"MESSWERT UNGUELTIG",IF(H495="","TARIFPREIS FEHLT","OK"))))</f>
        <v>FEHLT</v>
      </c>
      <c r="K495" s="7">
        <f>IF(J495&lt;&gt;"OK","",C495*I495/100)</f>
        <v/>
      </c>
    </row>
    <row r="496" spans="1:11">
      <c r="A496" s="14">
        <v>46148</v>
      </c>
      <c r="B496" s="15">
        <v>0.1041666666666667</v>
      </c>
      <c r="C496" s="5">
        <f>IF('96 Werte'!L11="","",'96 Werte'!L11)</f>
        <v/>
      </c>
      <c r="D496" t="str">
        <f>IF(IF(Eingaben!$B$21&lt;Eingaben!$B$22,AND(B496&gt;=Eingaben!$B$21,B496&lt;Eingaben!$B$22),OR(B496&gt;=Eingaben!$B$21,B496&lt;Eingaben!$B$22)),"GO",IF(AND(ISNUMBER(Eingaben!$B$23),ISNUMBER(Eingaben!$B$24),IF(Eingaben!$B$23&lt;Eingaben!$B$24,AND(B496&gt;=Eingaben!$B$23,B496&lt;Eingaben!$B$24),OR(B496&gt;=Eingaben!$B$23,B496&lt;Eingaben!$B$24))),"HEAT","STANDARD"))</f>
        <v>GO</v>
      </c>
      <c r="E496" s="9"/>
      <c r="F496" t="str">
        <f>IF(E496="",D496,E496)</f>
        <v>GO</v>
      </c>
      <c r="G496" t="str">
        <f>INDEX(Netzzeiten!$B$6:$B$29,HOUR(B496)+1)</f>
        <v>NT</v>
      </c>
      <c r="H496" s="6">
        <f>IF(F496="GO",Eingaben!$B$11,IF(F496="STANDARD",Eingaben!$B$12,IF(AND(F496="HEAT",ISNUMBER(Eingaben!$B$13)),Eingaben!$B$13,"")))</f>
        <v>15.0654</v>
      </c>
      <c r="I496" s="6">
        <f>INDEX(Netzzeiten!$C$6:$C$29,HOUR(B496)+1)</f>
        <v>1.64</v>
      </c>
      <c r="J496" t="str">
        <f>IF(C496="","FEHLT",IF(NOT(ISNUMBER(C496)),"MESSWERT UNGUELTIG",IF(C496&lt;0,"MESSWERT UNGUELTIG",IF(H496="","TARIFPREIS FEHLT","OK"))))</f>
        <v>FEHLT</v>
      </c>
      <c r="K496" s="7">
        <f>IF(J496&lt;&gt;"OK","",C496*I496/100)</f>
        <v/>
      </c>
    </row>
    <row r="497" spans="1:11">
      <c r="A497" s="14">
        <v>46148</v>
      </c>
      <c r="B497" s="15">
        <v>0.1145833333333333</v>
      </c>
      <c r="C497" s="5">
        <f>IF('96 Werte'!M11="","",'96 Werte'!M11)</f>
        <v/>
      </c>
      <c r="D497" t="str">
        <f>IF(IF(Eingaben!$B$21&lt;Eingaben!$B$22,AND(B497&gt;=Eingaben!$B$21,B497&lt;Eingaben!$B$22),OR(B497&gt;=Eingaben!$B$21,B497&lt;Eingaben!$B$22)),"GO",IF(AND(ISNUMBER(Eingaben!$B$23),ISNUMBER(Eingaben!$B$24),IF(Eingaben!$B$23&lt;Eingaben!$B$24,AND(B497&gt;=Eingaben!$B$23,B497&lt;Eingaben!$B$24),OR(B497&gt;=Eingaben!$B$23,B497&lt;Eingaben!$B$24))),"HEAT","STANDARD"))</f>
        <v>GO</v>
      </c>
      <c r="E497" s="9"/>
      <c r="F497" t="str">
        <f>IF(E497="",D497,E497)</f>
        <v>GO</v>
      </c>
      <c r="G497" t="str">
        <f>INDEX(Netzzeiten!$B$6:$B$29,HOUR(B497)+1)</f>
        <v>NT</v>
      </c>
      <c r="H497" s="6">
        <f>IF(F497="GO",Eingaben!$B$11,IF(F497="STANDARD",Eingaben!$B$12,IF(AND(F497="HEAT",ISNUMBER(Eingaben!$B$13)),Eingaben!$B$13,"")))</f>
        <v>15.0654</v>
      </c>
      <c r="I497" s="6">
        <f>INDEX(Netzzeiten!$C$6:$C$29,HOUR(B497)+1)</f>
        <v>1.64</v>
      </c>
      <c r="J497" t="str">
        <f>IF(C497="","FEHLT",IF(NOT(ISNUMBER(C497)),"MESSWERT UNGUELTIG",IF(C497&lt;0,"MESSWERT UNGUELTIG",IF(H497="","TARIFPREIS FEHLT","OK"))))</f>
        <v>FEHLT</v>
      </c>
      <c r="K497" s="7">
        <f>IF(J497&lt;&gt;"OK","",C497*I497/100)</f>
        <v/>
      </c>
    </row>
    <row r="498" spans="1:11">
      <c r="A498" s="14">
        <v>46148</v>
      </c>
      <c r="B498" s="15">
        <v>0.125</v>
      </c>
      <c r="C498" s="5">
        <f>IF('96 Werte'!N11="","",'96 Werte'!N11)</f>
        <v/>
      </c>
      <c r="D498" t="str">
        <f>IF(IF(Eingaben!$B$21&lt;Eingaben!$B$22,AND(B498&gt;=Eingaben!$B$21,B498&lt;Eingaben!$B$22),OR(B498&gt;=Eingaben!$B$21,B498&lt;Eingaben!$B$22)),"GO",IF(AND(ISNUMBER(Eingaben!$B$23),ISNUMBER(Eingaben!$B$24),IF(Eingaben!$B$23&lt;Eingaben!$B$24,AND(B498&gt;=Eingaben!$B$23,B498&lt;Eingaben!$B$24),OR(B498&gt;=Eingaben!$B$23,B498&lt;Eingaben!$B$24))),"HEAT","STANDARD"))</f>
        <v>GO</v>
      </c>
      <c r="E498" s="9"/>
      <c r="F498" t="str">
        <f>IF(E498="",D498,E498)</f>
        <v>GO</v>
      </c>
      <c r="G498" t="str">
        <f>INDEX(Netzzeiten!$B$6:$B$29,HOUR(B498)+1)</f>
        <v>NT</v>
      </c>
      <c r="H498" s="6">
        <f>IF(F498="GO",Eingaben!$B$11,IF(F498="STANDARD",Eingaben!$B$12,IF(AND(F498="HEAT",ISNUMBER(Eingaben!$B$13)),Eingaben!$B$13,"")))</f>
        <v>15.0654</v>
      </c>
      <c r="I498" s="6">
        <f>INDEX(Netzzeiten!$C$6:$C$29,HOUR(B498)+1)</f>
        <v>1.64</v>
      </c>
      <c r="J498" t="str">
        <f>IF(C498="","FEHLT",IF(NOT(ISNUMBER(C498)),"MESSWERT UNGUELTIG",IF(C498&lt;0,"MESSWERT UNGUELTIG",IF(H498="","TARIFPREIS FEHLT","OK"))))</f>
        <v>FEHLT</v>
      </c>
      <c r="K498" s="7">
        <f>IF(J498&lt;&gt;"OK","",C498*I498/100)</f>
        <v/>
      </c>
    </row>
    <row r="499" spans="1:11">
      <c r="A499" s="14">
        <v>46148</v>
      </c>
      <c r="B499" s="15">
        <v>0.1354166666666667</v>
      </c>
      <c r="C499" s="5">
        <f>IF('96 Werte'!O11="","",'96 Werte'!O11)</f>
        <v/>
      </c>
      <c r="D499" t="str">
        <f>IF(IF(Eingaben!$B$21&lt;Eingaben!$B$22,AND(B499&gt;=Eingaben!$B$21,B499&lt;Eingaben!$B$22),OR(B499&gt;=Eingaben!$B$21,B499&lt;Eingaben!$B$22)),"GO",IF(AND(ISNUMBER(Eingaben!$B$23),ISNUMBER(Eingaben!$B$24),IF(Eingaben!$B$23&lt;Eingaben!$B$24,AND(B499&gt;=Eingaben!$B$23,B499&lt;Eingaben!$B$24),OR(B499&gt;=Eingaben!$B$23,B499&lt;Eingaben!$B$24))),"HEAT","STANDARD"))</f>
        <v>GO</v>
      </c>
      <c r="E499" s="9"/>
      <c r="F499" t="str">
        <f>IF(E499="",D499,E499)</f>
        <v>GO</v>
      </c>
      <c r="G499" t="str">
        <f>INDEX(Netzzeiten!$B$6:$B$29,HOUR(B499)+1)</f>
        <v>NT</v>
      </c>
      <c r="H499" s="6">
        <f>IF(F499="GO",Eingaben!$B$11,IF(F499="STANDARD",Eingaben!$B$12,IF(AND(F499="HEAT",ISNUMBER(Eingaben!$B$13)),Eingaben!$B$13,"")))</f>
        <v>15.0654</v>
      </c>
      <c r="I499" s="6">
        <f>INDEX(Netzzeiten!$C$6:$C$29,HOUR(B499)+1)</f>
        <v>1.64</v>
      </c>
      <c r="J499" t="str">
        <f>IF(C499="","FEHLT",IF(NOT(ISNUMBER(C499)),"MESSWERT UNGUELTIG",IF(C499&lt;0,"MESSWERT UNGUELTIG",IF(H499="","TARIFPREIS FEHLT","OK"))))</f>
        <v>FEHLT</v>
      </c>
      <c r="K499" s="7">
        <f>IF(J499&lt;&gt;"OK","",C499*I499/100)</f>
        <v/>
      </c>
    </row>
    <row r="500" spans="1:11">
      <c r="A500" s="14">
        <v>46148</v>
      </c>
      <c r="B500" s="15">
        <v>0.1458333333333333</v>
      </c>
      <c r="C500" s="5">
        <f>IF('96 Werte'!P11="","",'96 Werte'!P11)</f>
        <v/>
      </c>
      <c r="D500" t="str">
        <f>IF(IF(Eingaben!$B$21&lt;Eingaben!$B$22,AND(B500&gt;=Eingaben!$B$21,B500&lt;Eingaben!$B$22),OR(B500&gt;=Eingaben!$B$21,B500&lt;Eingaben!$B$22)),"GO",IF(AND(ISNUMBER(Eingaben!$B$23),ISNUMBER(Eingaben!$B$24),IF(Eingaben!$B$23&lt;Eingaben!$B$24,AND(B500&gt;=Eingaben!$B$23,B500&lt;Eingaben!$B$24),OR(B500&gt;=Eingaben!$B$23,B500&lt;Eingaben!$B$24))),"HEAT","STANDARD"))</f>
        <v>GO</v>
      </c>
      <c r="E500" s="9"/>
      <c r="F500" t="str">
        <f>IF(E500="",D500,E500)</f>
        <v>GO</v>
      </c>
      <c r="G500" t="str">
        <f>INDEX(Netzzeiten!$B$6:$B$29,HOUR(B500)+1)</f>
        <v>NT</v>
      </c>
      <c r="H500" s="6">
        <f>IF(F500="GO",Eingaben!$B$11,IF(F500="STANDARD",Eingaben!$B$12,IF(AND(F500="HEAT",ISNUMBER(Eingaben!$B$13)),Eingaben!$B$13,"")))</f>
        <v>15.0654</v>
      </c>
      <c r="I500" s="6">
        <f>INDEX(Netzzeiten!$C$6:$C$29,HOUR(B500)+1)</f>
        <v>1.64</v>
      </c>
      <c r="J500" t="str">
        <f>IF(C500="","FEHLT",IF(NOT(ISNUMBER(C500)),"MESSWERT UNGUELTIG",IF(C500&lt;0,"MESSWERT UNGUELTIG",IF(H500="","TARIFPREIS FEHLT","OK"))))</f>
        <v>FEHLT</v>
      </c>
      <c r="K500" s="7">
        <f>IF(J500&lt;&gt;"OK","",C500*I500/100)</f>
        <v/>
      </c>
    </row>
    <row r="501" spans="1:11">
      <c r="A501" s="14">
        <v>46148</v>
      </c>
      <c r="B501" s="15">
        <v>0.15625</v>
      </c>
      <c r="C501" s="5">
        <f>IF('96 Werte'!Q11="","",'96 Werte'!Q11)</f>
        <v/>
      </c>
      <c r="D501" t="str">
        <f>IF(IF(Eingaben!$B$21&lt;Eingaben!$B$22,AND(B501&gt;=Eingaben!$B$21,B501&lt;Eingaben!$B$22),OR(B501&gt;=Eingaben!$B$21,B501&lt;Eingaben!$B$22)),"GO",IF(AND(ISNUMBER(Eingaben!$B$23),ISNUMBER(Eingaben!$B$24),IF(Eingaben!$B$23&lt;Eingaben!$B$24,AND(B501&gt;=Eingaben!$B$23,B501&lt;Eingaben!$B$24),OR(B501&gt;=Eingaben!$B$23,B501&lt;Eingaben!$B$24))),"HEAT","STANDARD"))</f>
        <v>GO</v>
      </c>
      <c r="E501" s="9"/>
      <c r="F501" t="str">
        <f>IF(E501="",D501,E501)</f>
        <v>GO</v>
      </c>
      <c r="G501" t="str">
        <f>INDEX(Netzzeiten!$B$6:$B$29,HOUR(B501)+1)</f>
        <v>NT</v>
      </c>
      <c r="H501" s="6">
        <f>IF(F501="GO",Eingaben!$B$11,IF(F501="STANDARD",Eingaben!$B$12,IF(AND(F501="HEAT",ISNUMBER(Eingaben!$B$13)),Eingaben!$B$13,"")))</f>
        <v>15.0654</v>
      </c>
      <c r="I501" s="6">
        <f>INDEX(Netzzeiten!$C$6:$C$29,HOUR(B501)+1)</f>
        <v>1.64</v>
      </c>
      <c r="J501" t="str">
        <f>IF(C501="","FEHLT",IF(NOT(ISNUMBER(C501)),"MESSWERT UNGUELTIG",IF(C501&lt;0,"MESSWERT UNGUELTIG",IF(H501="","TARIFPREIS FEHLT","OK"))))</f>
        <v>FEHLT</v>
      </c>
      <c r="K501" s="7">
        <f>IF(J501&lt;&gt;"OK","",C501*I501/100)</f>
        <v/>
      </c>
    </row>
    <row r="502" spans="1:11">
      <c r="A502" s="14">
        <v>46148</v>
      </c>
      <c r="B502" s="15">
        <v>0.1666666666666667</v>
      </c>
      <c r="C502" s="5">
        <f>IF('96 Werte'!R11="","",'96 Werte'!R11)</f>
        <v/>
      </c>
      <c r="D502" t="str">
        <f>IF(IF(Eingaben!$B$21&lt;Eingaben!$B$22,AND(B502&gt;=Eingaben!$B$21,B502&lt;Eingaben!$B$22),OR(B502&gt;=Eingaben!$B$21,B502&lt;Eingaben!$B$22)),"GO",IF(AND(ISNUMBER(Eingaben!$B$23),ISNUMBER(Eingaben!$B$24),IF(Eingaben!$B$23&lt;Eingaben!$B$24,AND(B502&gt;=Eingaben!$B$23,B502&lt;Eingaben!$B$24),OR(B502&gt;=Eingaben!$B$23,B502&lt;Eingaben!$B$24))),"HEAT","STANDARD"))</f>
        <v>GO</v>
      </c>
      <c r="E502" s="9"/>
      <c r="F502" t="str">
        <f>IF(E502="",D502,E502)</f>
        <v>GO</v>
      </c>
      <c r="G502" t="str">
        <f>INDEX(Netzzeiten!$B$6:$B$29,HOUR(B502)+1)</f>
        <v>NT</v>
      </c>
      <c r="H502" s="6">
        <f>IF(F502="GO",Eingaben!$B$11,IF(F502="STANDARD",Eingaben!$B$12,IF(AND(F502="HEAT",ISNUMBER(Eingaben!$B$13)),Eingaben!$B$13,"")))</f>
        <v>15.0654</v>
      </c>
      <c r="I502" s="6">
        <f>INDEX(Netzzeiten!$C$6:$C$29,HOUR(B502)+1)</f>
        <v>1.64</v>
      </c>
      <c r="J502" t="str">
        <f>IF(C502="","FEHLT",IF(NOT(ISNUMBER(C502)),"MESSWERT UNGUELTIG",IF(C502&lt;0,"MESSWERT UNGUELTIG",IF(H502="","TARIFPREIS FEHLT","OK"))))</f>
        <v>FEHLT</v>
      </c>
      <c r="K502" s="7">
        <f>IF(J502&lt;&gt;"OK","",C502*I502/100)</f>
        <v/>
      </c>
    </row>
    <row r="503" spans="1:11">
      <c r="A503" s="14">
        <v>46148</v>
      </c>
      <c r="B503" s="15">
        <v>0.1770833333333333</v>
      </c>
      <c r="C503" s="5">
        <f>IF('96 Werte'!S11="","",'96 Werte'!S11)</f>
        <v/>
      </c>
      <c r="D503" t="str">
        <f>IF(IF(Eingaben!$B$21&lt;Eingaben!$B$22,AND(B503&gt;=Eingaben!$B$21,B503&lt;Eingaben!$B$22),OR(B503&gt;=Eingaben!$B$21,B503&lt;Eingaben!$B$22)),"GO",IF(AND(ISNUMBER(Eingaben!$B$23),ISNUMBER(Eingaben!$B$24),IF(Eingaben!$B$23&lt;Eingaben!$B$24,AND(B503&gt;=Eingaben!$B$23,B503&lt;Eingaben!$B$24),OR(B503&gt;=Eingaben!$B$23,B503&lt;Eingaben!$B$24))),"HEAT","STANDARD"))</f>
        <v>GO</v>
      </c>
      <c r="E503" s="9"/>
      <c r="F503" t="str">
        <f>IF(E503="",D503,E503)</f>
        <v>GO</v>
      </c>
      <c r="G503" t="str">
        <f>INDEX(Netzzeiten!$B$6:$B$29,HOUR(B503)+1)</f>
        <v>NT</v>
      </c>
      <c r="H503" s="6">
        <f>IF(F503="GO",Eingaben!$B$11,IF(F503="STANDARD",Eingaben!$B$12,IF(AND(F503="HEAT",ISNUMBER(Eingaben!$B$13)),Eingaben!$B$13,"")))</f>
        <v>15.0654</v>
      </c>
      <c r="I503" s="6">
        <f>INDEX(Netzzeiten!$C$6:$C$29,HOUR(B503)+1)</f>
        <v>1.64</v>
      </c>
      <c r="J503" t="str">
        <f>IF(C503="","FEHLT",IF(NOT(ISNUMBER(C503)),"MESSWERT UNGUELTIG",IF(C503&lt;0,"MESSWERT UNGUELTIG",IF(H503="","TARIFPREIS FEHLT","OK"))))</f>
        <v>FEHLT</v>
      </c>
      <c r="K503" s="7">
        <f>IF(J503&lt;&gt;"OK","",C503*I503/100)</f>
        <v/>
      </c>
    </row>
    <row r="504" spans="1:11">
      <c r="A504" s="14">
        <v>46148</v>
      </c>
      <c r="B504" s="15">
        <v>0.1875</v>
      </c>
      <c r="C504" s="5">
        <f>IF('96 Werte'!T11="","",'96 Werte'!T11)</f>
        <v/>
      </c>
      <c r="D504" t="str">
        <f>IF(IF(Eingaben!$B$21&lt;Eingaben!$B$22,AND(B504&gt;=Eingaben!$B$21,B504&lt;Eingaben!$B$22),OR(B504&gt;=Eingaben!$B$21,B504&lt;Eingaben!$B$22)),"GO",IF(AND(ISNUMBER(Eingaben!$B$23),ISNUMBER(Eingaben!$B$24),IF(Eingaben!$B$23&lt;Eingaben!$B$24,AND(B504&gt;=Eingaben!$B$23,B504&lt;Eingaben!$B$24),OR(B504&gt;=Eingaben!$B$23,B504&lt;Eingaben!$B$24))),"HEAT","STANDARD"))</f>
        <v>GO</v>
      </c>
      <c r="E504" s="9"/>
      <c r="F504" t="str">
        <f>IF(E504="",D504,E504)</f>
        <v>GO</v>
      </c>
      <c r="G504" t="str">
        <f>INDEX(Netzzeiten!$B$6:$B$29,HOUR(B504)+1)</f>
        <v>NT</v>
      </c>
      <c r="H504" s="6">
        <f>IF(F504="GO",Eingaben!$B$11,IF(F504="STANDARD",Eingaben!$B$12,IF(AND(F504="HEAT",ISNUMBER(Eingaben!$B$13)),Eingaben!$B$13,"")))</f>
        <v>15.0654</v>
      </c>
      <c r="I504" s="6">
        <f>INDEX(Netzzeiten!$C$6:$C$29,HOUR(B504)+1)</f>
        <v>1.64</v>
      </c>
      <c r="J504" t="str">
        <f>IF(C504="","FEHLT",IF(NOT(ISNUMBER(C504)),"MESSWERT UNGUELTIG",IF(C504&lt;0,"MESSWERT UNGUELTIG",IF(H504="","TARIFPREIS FEHLT","OK"))))</f>
        <v>FEHLT</v>
      </c>
      <c r="K504" s="7">
        <f>IF(J504&lt;&gt;"OK","",C504*I504/100)</f>
        <v/>
      </c>
    </row>
    <row r="505" spans="1:11">
      <c r="A505" s="14">
        <v>46148</v>
      </c>
      <c r="B505" s="15">
        <v>0.1979166666666667</v>
      </c>
      <c r="C505" s="5">
        <f>IF('96 Werte'!U11="","",'96 Werte'!U11)</f>
        <v/>
      </c>
      <c r="D505" t="str">
        <f>IF(IF(Eingaben!$B$21&lt;Eingaben!$B$22,AND(B505&gt;=Eingaben!$B$21,B505&lt;Eingaben!$B$22),OR(B505&gt;=Eingaben!$B$21,B505&lt;Eingaben!$B$22)),"GO",IF(AND(ISNUMBER(Eingaben!$B$23),ISNUMBER(Eingaben!$B$24),IF(Eingaben!$B$23&lt;Eingaben!$B$24,AND(B505&gt;=Eingaben!$B$23,B505&lt;Eingaben!$B$24),OR(B505&gt;=Eingaben!$B$23,B505&lt;Eingaben!$B$24))),"HEAT","STANDARD"))</f>
        <v>GO</v>
      </c>
      <c r="E505" s="9"/>
      <c r="F505" t="str">
        <f>IF(E505="",D505,E505)</f>
        <v>GO</v>
      </c>
      <c r="G505" t="str">
        <f>INDEX(Netzzeiten!$B$6:$B$29,HOUR(B505)+1)</f>
        <v>NT</v>
      </c>
      <c r="H505" s="6">
        <f>IF(F505="GO",Eingaben!$B$11,IF(F505="STANDARD",Eingaben!$B$12,IF(AND(F505="HEAT",ISNUMBER(Eingaben!$B$13)),Eingaben!$B$13,"")))</f>
        <v>15.0654</v>
      </c>
      <c r="I505" s="6">
        <f>INDEX(Netzzeiten!$C$6:$C$29,HOUR(B505)+1)</f>
        <v>1.64</v>
      </c>
      <c r="J505" t="str">
        <f>IF(C505="","FEHLT",IF(NOT(ISNUMBER(C505)),"MESSWERT UNGUELTIG",IF(C505&lt;0,"MESSWERT UNGUELTIG",IF(H505="","TARIFPREIS FEHLT","OK"))))</f>
        <v>FEHLT</v>
      </c>
      <c r="K505" s="7">
        <f>IF(J505&lt;&gt;"OK","",C505*I505/100)</f>
        <v/>
      </c>
    </row>
    <row r="506" spans="1:11">
      <c r="A506" s="14">
        <v>46148</v>
      </c>
      <c r="B506" s="15">
        <v>0.2083333333333333</v>
      </c>
      <c r="C506" s="5">
        <f>IF('96 Werte'!V11="","",'96 Werte'!V11)</f>
        <v/>
      </c>
      <c r="D506" t="str">
        <f>IF(IF(Eingaben!$B$21&lt;Eingaben!$B$22,AND(B506&gt;=Eingaben!$B$21,B506&lt;Eingaben!$B$22),OR(B506&gt;=Eingaben!$B$21,B506&lt;Eingaben!$B$22)),"GO",IF(AND(ISNUMBER(Eingaben!$B$23),ISNUMBER(Eingaben!$B$24),IF(Eingaben!$B$23&lt;Eingaben!$B$24,AND(B506&gt;=Eingaben!$B$23,B506&lt;Eingaben!$B$24),OR(B506&gt;=Eingaben!$B$23,B506&lt;Eingaben!$B$24))),"HEAT","STANDARD"))</f>
        <v>STANDARD</v>
      </c>
      <c r="E506" s="9"/>
      <c r="F506" t="str">
        <f>IF(E506="",D506,E506)</f>
        <v>STANDARD</v>
      </c>
      <c r="G506" t="str">
        <f>INDEX(Netzzeiten!$B$6:$B$29,HOUR(B506)+1)</f>
        <v>NT</v>
      </c>
      <c r="H506" s="6">
        <f>IF(F506="GO",Eingaben!$B$11,IF(F506="STANDARD",Eingaben!$B$12,IF(AND(F506="HEAT",ISNUMBER(Eingaben!$B$13)),Eingaben!$B$13,"")))</f>
        <v>28.2744</v>
      </c>
      <c r="I506" s="6">
        <f>INDEX(Netzzeiten!$C$6:$C$29,HOUR(B506)+1)</f>
        <v>1.64</v>
      </c>
      <c r="J506" t="str">
        <f>IF(C506="","FEHLT",IF(NOT(ISNUMBER(C506)),"MESSWERT UNGUELTIG",IF(C506&lt;0,"MESSWERT UNGUELTIG",IF(H506="","TARIFPREIS FEHLT","OK"))))</f>
        <v>FEHLT</v>
      </c>
      <c r="K506" s="7">
        <f>IF(J506&lt;&gt;"OK","",C506*I506/100)</f>
        <v/>
      </c>
    </row>
    <row r="507" spans="1:11">
      <c r="A507" s="14">
        <v>46148</v>
      </c>
      <c r="B507" s="15">
        <v>0.21875</v>
      </c>
      <c r="C507" s="5">
        <f>IF('96 Werte'!W11="","",'96 Werte'!W11)</f>
        <v/>
      </c>
      <c r="D507" t="str">
        <f>IF(IF(Eingaben!$B$21&lt;Eingaben!$B$22,AND(B507&gt;=Eingaben!$B$21,B507&lt;Eingaben!$B$22),OR(B507&gt;=Eingaben!$B$21,B507&lt;Eingaben!$B$22)),"GO",IF(AND(ISNUMBER(Eingaben!$B$23),ISNUMBER(Eingaben!$B$24),IF(Eingaben!$B$23&lt;Eingaben!$B$24,AND(B507&gt;=Eingaben!$B$23,B507&lt;Eingaben!$B$24),OR(B507&gt;=Eingaben!$B$23,B507&lt;Eingaben!$B$24))),"HEAT","STANDARD"))</f>
        <v>STANDARD</v>
      </c>
      <c r="E507" s="9"/>
      <c r="F507" t="str">
        <f>IF(E507="",D507,E507)</f>
        <v>STANDARD</v>
      </c>
      <c r="G507" t="str">
        <f>INDEX(Netzzeiten!$B$6:$B$29,HOUR(B507)+1)</f>
        <v>NT</v>
      </c>
      <c r="H507" s="6">
        <f>IF(F507="GO",Eingaben!$B$11,IF(F507="STANDARD",Eingaben!$B$12,IF(AND(F507="HEAT",ISNUMBER(Eingaben!$B$13)),Eingaben!$B$13,"")))</f>
        <v>28.2744</v>
      </c>
      <c r="I507" s="6">
        <f>INDEX(Netzzeiten!$C$6:$C$29,HOUR(B507)+1)</f>
        <v>1.64</v>
      </c>
      <c r="J507" t="str">
        <f>IF(C507="","FEHLT",IF(NOT(ISNUMBER(C507)),"MESSWERT UNGUELTIG",IF(C507&lt;0,"MESSWERT UNGUELTIG",IF(H507="","TARIFPREIS FEHLT","OK"))))</f>
        <v>FEHLT</v>
      </c>
      <c r="K507" s="7">
        <f>IF(J507&lt;&gt;"OK","",C507*I507/100)</f>
        <v/>
      </c>
    </row>
    <row r="508" spans="1:11">
      <c r="A508" s="14">
        <v>46148</v>
      </c>
      <c r="B508" s="15">
        <v>0.2291666666666667</v>
      </c>
      <c r="C508" s="5">
        <f>IF('96 Werte'!X11="","",'96 Werte'!X11)</f>
        <v/>
      </c>
      <c r="D508" t="str">
        <f>IF(IF(Eingaben!$B$21&lt;Eingaben!$B$22,AND(B508&gt;=Eingaben!$B$21,B508&lt;Eingaben!$B$22),OR(B508&gt;=Eingaben!$B$21,B508&lt;Eingaben!$B$22)),"GO",IF(AND(ISNUMBER(Eingaben!$B$23),ISNUMBER(Eingaben!$B$24),IF(Eingaben!$B$23&lt;Eingaben!$B$24,AND(B508&gt;=Eingaben!$B$23,B508&lt;Eingaben!$B$24),OR(B508&gt;=Eingaben!$B$23,B508&lt;Eingaben!$B$24))),"HEAT","STANDARD"))</f>
        <v>STANDARD</v>
      </c>
      <c r="E508" s="9"/>
      <c r="F508" t="str">
        <f>IF(E508="",D508,E508)</f>
        <v>STANDARD</v>
      </c>
      <c r="G508" t="str">
        <f>INDEX(Netzzeiten!$B$6:$B$29,HOUR(B508)+1)</f>
        <v>NT</v>
      </c>
      <c r="H508" s="6">
        <f>IF(F508="GO",Eingaben!$B$11,IF(F508="STANDARD",Eingaben!$B$12,IF(AND(F508="HEAT",ISNUMBER(Eingaben!$B$13)),Eingaben!$B$13,"")))</f>
        <v>28.2744</v>
      </c>
      <c r="I508" s="6">
        <f>INDEX(Netzzeiten!$C$6:$C$29,HOUR(B508)+1)</f>
        <v>1.64</v>
      </c>
      <c r="J508" t="str">
        <f>IF(C508="","FEHLT",IF(NOT(ISNUMBER(C508)),"MESSWERT UNGUELTIG",IF(C508&lt;0,"MESSWERT UNGUELTIG",IF(H508="","TARIFPREIS FEHLT","OK"))))</f>
        <v>FEHLT</v>
      </c>
      <c r="K508" s="7">
        <f>IF(J508&lt;&gt;"OK","",C508*I508/100)</f>
        <v/>
      </c>
    </row>
    <row r="509" spans="1:11">
      <c r="A509" s="14">
        <v>46148</v>
      </c>
      <c r="B509" s="15">
        <v>0.2395833333333333</v>
      </c>
      <c r="C509" s="5">
        <f>IF('96 Werte'!Y11="","",'96 Werte'!Y11)</f>
        <v/>
      </c>
      <c r="D509" t="str">
        <f>IF(IF(Eingaben!$B$21&lt;Eingaben!$B$22,AND(B509&gt;=Eingaben!$B$21,B509&lt;Eingaben!$B$22),OR(B509&gt;=Eingaben!$B$21,B509&lt;Eingaben!$B$22)),"GO",IF(AND(ISNUMBER(Eingaben!$B$23),ISNUMBER(Eingaben!$B$24),IF(Eingaben!$B$23&lt;Eingaben!$B$24,AND(B509&gt;=Eingaben!$B$23,B509&lt;Eingaben!$B$24),OR(B509&gt;=Eingaben!$B$23,B509&lt;Eingaben!$B$24))),"HEAT","STANDARD"))</f>
        <v>STANDARD</v>
      </c>
      <c r="E509" s="9"/>
      <c r="F509" t="str">
        <f>IF(E509="",D509,E509)</f>
        <v>STANDARD</v>
      </c>
      <c r="G509" t="str">
        <f>INDEX(Netzzeiten!$B$6:$B$29,HOUR(B509)+1)</f>
        <v>NT</v>
      </c>
      <c r="H509" s="6">
        <f>IF(F509="GO",Eingaben!$B$11,IF(F509="STANDARD",Eingaben!$B$12,IF(AND(F509="HEAT",ISNUMBER(Eingaben!$B$13)),Eingaben!$B$13,"")))</f>
        <v>28.2744</v>
      </c>
      <c r="I509" s="6">
        <f>INDEX(Netzzeiten!$C$6:$C$29,HOUR(B509)+1)</f>
        <v>1.64</v>
      </c>
      <c r="J509" t="str">
        <f>IF(C509="","FEHLT",IF(NOT(ISNUMBER(C509)),"MESSWERT UNGUELTIG",IF(C509&lt;0,"MESSWERT UNGUELTIG",IF(H509="","TARIFPREIS FEHLT","OK"))))</f>
        <v>FEHLT</v>
      </c>
      <c r="K509" s="7">
        <f>IF(J509&lt;&gt;"OK","",C509*I509/100)</f>
        <v/>
      </c>
    </row>
    <row r="510" spans="1:11">
      <c r="A510" s="14">
        <v>46148</v>
      </c>
      <c r="B510" s="15">
        <v>0.25</v>
      </c>
      <c r="C510" s="5">
        <f>IF('96 Werte'!Z11="","",'96 Werte'!Z11)</f>
        <v/>
      </c>
      <c r="D510" t="str">
        <f>IF(IF(Eingaben!$B$21&lt;Eingaben!$B$22,AND(B510&gt;=Eingaben!$B$21,B510&lt;Eingaben!$B$22),OR(B510&gt;=Eingaben!$B$21,B510&lt;Eingaben!$B$22)),"GO",IF(AND(ISNUMBER(Eingaben!$B$23),ISNUMBER(Eingaben!$B$24),IF(Eingaben!$B$23&lt;Eingaben!$B$24,AND(B510&gt;=Eingaben!$B$23,B510&lt;Eingaben!$B$24),OR(B510&gt;=Eingaben!$B$23,B510&lt;Eingaben!$B$24))),"HEAT","STANDARD"))</f>
        <v>STANDARD</v>
      </c>
      <c r="E510" s="9"/>
      <c r="F510" t="str">
        <f>IF(E510="",D510,E510)</f>
        <v>STANDARD</v>
      </c>
      <c r="G510" t="str">
        <f>INDEX(Netzzeiten!$B$6:$B$29,HOUR(B510)+1)</f>
        <v>ST</v>
      </c>
      <c r="H510" s="6">
        <f>IF(F510="GO",Eingaben!$B$11,IF(F510="STANDARD",Eingaben!$B$12,IF(AND(F510="HEAT",ISNUMBER(Eingaben!$B$13)),Eingaben!$B$13,"")))</f>
        <v>28.2744</v>
      </c>
      <c r="I510" s="6">
        <f>INDEX(Netzzeiten!$C$6:$C$29,HOUR(B510)+1)</f>
        <v>5.48</v>
      </c>
      <c r="J510" t="str">
        <f>IF(C510="","FEHLT",IF(NOT(ISNUMBER(C510)),"MESSWERT UNGUELTIG",IF(C510&lt;0,"MESSWERT UNGUELTIG",IF(H510="","TARIFPREIS FEHLT","OK"))))</f>
        <v>FEHLT</v>
      </c>
      <c r="K510" s="7">
        <f>IF(J510&lt;&gt;"OK","",C510*I510/100)</f>
        <v/>
      </c>
    </row>
    <row r="511" spans="1:11">
      <c r="A511" s="14">
        <v>46148</v>
      </c>
      <c r="B511" s="15">
        <v>0.2604166666666667</v>
      </c>
      <c r="C511" s="5">
        <f>IF('96 Werte'!AA11="","",'96 Werte'!AA11)</f>
        <v/>
      </c>
      <c r="D511" t="str">
        <f>IF(IF(Eingaben!$B$21&lt;Eingaben!$B$22,AND(B511&gt;=Eingaben!$B$21,B511&lt;Eingaben!$B$22),OR(B511&gt;=Eingaben!$B$21,B511&lt;Eingaben!$B$22)),"GO",IF(AND(ISNUMBER(Eingaben!$B$23),ISNUMBER(Eingaben!$B$24),IF(Eingaben!$B$23&lt;Eingaben!$B$24,AND(B511&gt;=Eingaben!$B$23,B511&lt;Eingaben!$B$24),OR(B511&gt;=Eingaben!$B$23,B511&lt;Eingaben!$B$24))),"HEAT","STANDARD"))</f>
        <v>STANDARD</v>
      </c>
      <c r="E511" s="9"/>
      <c r="F511" t="str">
        <f>IF(E511="",D511,E511)</f>
        <v>STANDARD</v>
      </c>
      <c r="G511" t="str">
        <f>INDEX(Netzzeiten!$B$6:$B$29,HOUR(B511)+1)</f>
        <v>ST</v>
      </c>
      <c r="H511" s="6">
        <f>IF(F511="GO",Eingaben!$B$11,IF(F511="STANDARD",Eingaben!$B$12,IF(AND(F511="HEAT",ISNUMBER(Eingaben!$B$13)),Eingaben!$B$13,"")))</f>
        <v>28.2744</v>
      </c>
      <c r="I511" s="6">
        <f>INDEX(Netzzeiten!$C$6:$C$29,HOUR(B511)+1)</f>
        <v>5.48</v>
      </c>
      <c r="J511" t="str">
        <f>IF(C511="","FEHLT",IF(NOT(ISNUMBER(C511)),"MESSWERT UNGUELTIG",IF(C511&lt;0,"MESSWERT UNGUELTIG",IF(H511="","TARIFPREIS FEHLT","OK"))))</f>
        <v>FEHLT</v>
      </c>
      <c r="K511" s="7">
        <f>IF(J511&lt;&gt;"OK","",C511*I511/100)</f>
        <v/>
      </c>
    </row>
    <row r="512" spans="1:11">
      <c r="A512" s="14">
        <v>46148</v>
      </c>
      <c r="B512" s="15">
        <v>0.2708333333333333</v>
      </c>
      <c r="C512" s="5">
        <f>IF('96 Werte'!AB11="","",'96 Werte'!AB11)</f>
        <v/>
      </c>
      <c r="D512" t="str">
        <f>IF(IF(Eingaben!$B$21&lt;Eingaben!$B$22,AND(B512&gt;=Eingaben!$B$21,B512&lt;Eingaben!$B$22),OR(B512&gt;=Eingaben!$B$21,B512&lt;Eingaben!$B$22)),"GO",IF(AND(ISNUMBER(Eingaben!$B$23),ISNUMBER(Eingaben!$B$24),IF(Eingaben!$B$23&lt;Eingaben!$B$24,AND(B512&gt;=Eingaben!$B$23,B512&lt;Eingaben!$B$24),OR(B512&gt;=Eingaben!$B$23,B512&lt;Eingaben!$B$24))),"HEAT","STANDARD"))</f>
        <v>STANDARD</v>
      </c>
      <c r="E512" s="9"/>
      <c r="F512" t="str">
        <f>IF(E512="",D512,E512)</f>
        <v>STANDARD</v>
      </c>
      <c r="G512" t="str">
        <f>INDEX(Netzzeiten!$B$6:$B$29,HOUR(B512)+1)</f>
        <v>ST</v>
      </c>
      <c r="H512" s="6">
        <f>IF(F512="GO",Eingaben!$B$11,IF(F512="STANDARD",Eingaben!$B$12,IF(AND(F512="HEAT",ISNUMBER(Eingaben!$B$13)),Eingaben!$B$13,"")))</f>
        <v>28.2744</v>
      </c>
      <c r="I512" s="6">
        <f>INDEX(Netzzeiten!$C$6:$C$29,HOUR(B512)+1)</f>
        <v>5.48</v>
      </c>
      <c r="J512" t="str">
        <f>IF(C512="","FEHLT",IF(NOT(ISNUMBER(C512)),"MESSWERT UNGUELTIG",IF(C512&lt;0,"MESSWERT UNGUELTIG",IF(H512="","TARIFPREIS FEHLT","OK"))))</f>
        <v>FEHLT</v>
      </c>
      <c r="K512" s="7">
        <f>IF(J512&lt;&gt;"OK","",C512*I512/100)</f>
        <v/>
      </c>
    </row>
    <row r="513" spans="1:11">
      <c r="A513" s="14">
        <v>46148</v>
      </c>
      <c r="B513" s="15">
        <v>0.28125</v>
      </c>
      <c r="C513" s="5">
        <f>IF('96 Werte'!AC11="","",'96 Werte'!AC11)</f>
        <v/>
      </c>
      <c r="D513" t="str">
        <f>IF(IF(Eingaben!$B$21&lt;Eingaben!$B$22,AND(B513&gt;=Eingaben!$B$21,B513&lt;Eingaben!$B$22),OR(B513&gt;=Eingaben!$B$21,B513&lt;Eingaben!$B$22)),"GO",IF(AND(ISNUMBER(Eingaben!$B$23),ISNUMBER(Eingaben!$B$24),IF(Eingaben!$B$23&lt;Eingaben!$B$24,AND(B513&gt;=Eingaben!$B$23,B513&lt;Eingaben!$B$24),OR(B513&gt;=Eingaben!$B$23,B513&lt;Eingaben!$B$24))),"HEAT","STANDARD"))</f>
        <v>STANDARD</v>
      </c>
      <c r="E513" s="9"/>
      <c r="F513" t="str">
        <f>IF(E513="",D513,E513)</f>
        <v>STANDARD</v>
      </c>
      <c r="G513" t="str">
        <f>INDEX(Netzzeiten!$B$6:$B$29,HOUR(B513)+1)</f>
        <v>ST</v>
      </c>
      <c r="H513" s="6">
        <f>IF(F513="GO",Eingaben!$B$11,IF(F513="STANDARD",Eingaben!$B$12,IF(AND(F513="HEAT",ISNUMBER(Eingaben!$B$13)),Eingaben!$B$13,"")))</f>
        <v>28.2744</v>
      </c>
      <c r="I513" s="6">
        <f>INDEX(Netzzeiten!$C$6:$C$29,HOUR(B513)+1)</f>
        <v>5.48</v>
      </c>
      <c r="J513" t="str">
        <f>IF(C513="","FEHLT",IF(NOT(ISNUMBER(C513)),"MESSWERT UNGUELTIG",IF(C513&lt;0,"MESSWERT UNGUELTIG",IF(H513="","TARIFPREIS FEHLT","OK"))))</f>
        <v>FEHLT</v>
      </c>
      <c r="K513" s="7">
        <f>IF(J513&lt;&gt;"OK","",C513*I513/100)</f>
        <v/>
      </c>
    </row>
    <row r="514" spans="1:11">
      <c r="A514" s="14">
        <v>46148</v>
      </c>
      <c r="B514" s="15">
        <v>0.2916666666666667</v>
      </c>
      <c r="C514" s="5">
        <f>IF('96 Werte'!AD11="","",'96 Werte'!AD11)</f>
        <v/>
      </c>
      <c r="D514" t="str">
        <f>IF(IF(Eingaben!$B$21&lt;Eingaben!$B$22,AND(B514&gt;=Eingaben!$B$21,B514&lt;Eingaben!$B$22),OR(B514&gt;=Eingaben!$B$21,B514&lt;Eingaben!$B$22)),"GO",IF(AND(ISNUMBER(Eingaben!$B$23),ISNUMBER(Eingaben!$B$24),IF(Eingaben!$B$23&lt;Eingaben!$B$24,AND(B514&gt;=Eingaben!$B$23,B514&lt;Eingaben!$B$24),OR(B514&gt;=Eingaben!$B$23,B514&lt;Eingaben!$B$24))),"HEAT","STANDARD"))</f>
        <v>STANDARD</v>
      </c>
      <c r="E514" s="9"/>
      <c r="F514" t="str">
        <f>IF(E514="",D514,E514)</f>
        <v>STANDARD</v>
      </c>
      <c r="G514" t="str">
        <f>INDEX(Netzzeiten!$B$6:$B$29,HOUR(B514)+1)</f>
        <v>ST</v>
      </c>
      <c r="H514" s="6">
        <f>IF(F514="GO",Eingaben!$B$11,IF(F514="STANDARD",Eingaben!$B$12,IF(AND(F514="HEAT",ISNUMBER(Eingaben!$B$13)),Eingaben!$B$13,"")))</f>
        <v>28.2744</v>
      </c>
      <c r="I514" s="6">
        <f>INDEX(Netzzeiten!$C$6:$C$29,HOUR(B514)+1)</f>
        <v>5.48</v>
      </c>
      <c r="J514" t="str">
        <f>IF(C514="","FEHLT",IF(NOT(ISNUMBER(C514)),"MESSWERT UNGUELTIG",IF(C514&lt;0,"MESSWERT UNGUELTIG",IF(H514="","TARIFPREIS FEHLT","OK"))))</f>
        <v>FEHLT</v>
      </c>
      <c r="K514" s="7">
        <f>IF(J514&lt;&gt;"OK","",C514*I514/100)</f>
        <v/>
      </c>
    </row>
    <row r="515" spans="1:11">
      <c r="A515" s="14">
        <v>46148</v>
      </c>
      <c r="B515" s="15">
        <v>0.3020833333333333</v>
      </c>
      <c r="C515" s="5">
        <f>IF('96 Werte'!AE11="","",'96 Werte'!AE11)</f>
        <v/>
      </c>
      <c r="D515" t="str">
        <f>IF(IF(Eingaben!$B$21&lt;Eingaben!$B$22,AND(B515&gt;=Eingaben!$B$21,B515&lt;Eingaben!$B$22),OR(B515&gt;=Eingaben!$B$21,B515&lt;Eingaben!$B$22)),"GO",IF(AND(ISNUMBER(Eingaben!$B$23),ISNUMBER(Eingaben!$B$24),IF(Eingaben!$B$23&lt;Eingaben!$B$24,AND(B515&gt;=Eingaben!$B$23,B515&lt;Eingaben!$B$24),OR(B515&gt;=Eingaben!$B$23,B515&lt;Eingaben!$B$24))),"HEAT","STANDARD"))</f>
        <v>STANDARD</v>
      </c>
      <c r="E515" s="9"/>
      <c r="F515" t="str">
        <f>IF(E515="",D515,E515)</f>
        <v>STANDARD</v>
      </c>
      <c r="G515" t="str">
        <f>INDEX(Netzzeiten!$B$6:$B$29,HOUR(B515)+1)</f>
        <v>ST</v>
      </c>
      <c r="H515" s="6">
        <f>IF(F515="GO",Eingaben!$B$11,IF(F515="STANDARD",Eingaben!$B$12,IF(AND(F515="HEAT",ISNUMBER(Eingaben!$B$13)),Eingaben!$B$13,"")))</f>
        <v>28.2744</v>
      </c>
      <c r="I515" s="6">
        <f>INDEX(Netzzeiten!$C$6:$C$29,HOUR(B515)+1)</f>
        <v>5.48</v>
      </c>
      <c r="J515" t="str">
        <f>IF(C515="","FEHLT",IF(NOT(ISNUMBER(C515)),"MESSWERT UNGUELTIG",IF(C515&lt;0,"MESSWERT UNGUELTIG",IF(H515="","TARIFPREIS FEHLT","OK"))))</f>
        <v>FEHLT</v>
      </c>
      <c r="K515" s="7">
        <f>IF(J515&lt;&gt;"OK","",C515*I515/100)</f>
        <v/>
      </c>
    </row>
    <row r="516" spans="1:11">
      <c r="A516" s="14">
        <v>46148</v>
      </c>
      <c r="B516" s="15">
        <v>0.3125</v>
      </c>
      <c r="C516" s="5">
        <f>IF('96 Werte'!AF11="","",'96 Werte'!AF11)</f>
        <v/>
      </c>
      <c r="D516" t="str">
        <f>IF(IF(Eingaben!$B$21&lt;Eingaben!$B$22,AND(B516&gt;=Eingaben!$B$21,B516&lt;Eingaben!$B$22),OR(B516&gt;=Eingaben!$B$21,B516&lt;Eingaben!$B$22)),"GO",IF(AND(ISNUMBER(Eingaben!$B$23),ISNUMBER(Eingaben!$B$24),IF(Eingaben!$B$23&lt;Eingaben!$B$24,AND(B516&gt;=Eingaben!$B$23,B516&lt;Eingaben!$B$24),OR(B516&gt;=Eingaben!$B$23,B516&lt;Eingaben!$B$24))),"HEAT","STANDARD"))</f>
        <v>STANDARD</v>
      </c>
      <c r="E516" s="9"/>
      <c r="F516" t="str">
        <f>IF(E516="",D516,E516)</f>
        <v>STANDARD</v>
      </c>
      <c r="G516" t="str">
        <f>INDEX(Netzzeiten!$B$6:$B$29,HOUR(B516)+1)</f>
        <v>ST</v>
      </c>
      <c r="H516" s="6">
        <f>IF(F516="GO",Eingaben!$B$11,IF(F516="STANDARD",Eingaben!$B$12,IF(AND(F516="HEAT",ISNUMBER(Eingaben!$B$13)),Eingaben!$B$13,"")))</f>
        <v>28.2744</v>
      </c>
      <c r="I516" s="6">
        <f>INDEX(Netzzeiten!$C$6:$C$29,HOUR(B516)+1)</f>
        <v>5.48</v>
      </c>
      <c r="J516" t="str">
        <f>IF(C516="","FEHLT",IF(NOT(ISNUMBER(C516)),"MESSWERT UNGUELTIG",IF(C516&lt;0,"MESSWERT UNGUELTIG",IF(H516="","TARIFPREIS FEHLT","OK"))))</f>
        <v>FEHLT</v>
      </c>
      <c r="K516" s="7">
        <f>IF(J516&lt;&gt;"OK","",C516*I516/100)</f>
        <v/>
      </c>
    </row>
    <row r="517" spans="1:11">
      <c r="A517" s="14">
        <v>46148</v>
      </c>
      <c r="B517" s="15">
        <v>0.3229166666666667</v>
      </c>
      <c r="C517" s="5">
        <f>IF('96 Werte'!AG11="","",'96 Werte'!AG11)</f>
        <v/>
      </c>
      <c r="D517" t="str">
        <f>IF(IF(Eingaben!$B$21&lt;Eingaben!$B$22,AND(B517&gt;=Eingaben!$B$21,B517&lt;Eingaben!$B$22),OR(B517&gt;=Eingaben!$B$21,B517&lt;Eingaben!$B$22)),"GO",IF(AND(ISNUMBER(Eingaben!$B$23),ISNUMBER(Eingaben!$B$24),IF(Eingaben!$B$23&lt;Eingaben!$B$24,AND(B517&gt;=Eingaben!$B$23,B517&lt;Eingaben!$B$24),OR(B517&gt;=Eingaben!$B$23,B517&lt;Eingaben!$B$24))),"HEAT","STANDARD"))</f>
        <v>STANDARD</v>
      </c>
      <c r="E517" s="9"/>
      <c r="F517" t="str">
        <f>IF(E517="",D517,E517)</f>
        <v>STANDARD</v>
      </c>
      <c r="G517" t="str">
        <f>INDEX(Netzzeiten!$B$6:$B$29,HOUR(B517)+1)</f>
        <v>ST</v>
      </c>
      <c r="H517" s="6">
        <f>IF(F517="GO",Eingaben!$B$11,IF(F517="STANDARD",Eingaben!$B$12,IF(AND(F517="HEAT",ISNUMBER(Eingaben!$B$13)),Eingaben!$B$13,"")))</f>
        <v>28.2744</v>
      </c>
      <c r="I517" s="6">
        <f>INDEX(Netzzeiten!$C$6:$C$29,HOUR(B517)+1)</f>
        <v>5.48</v>
      </c>
      <c r="J517" t="str">
        <f>IF(C517="","FEHLT",IF(NOT(ISNUMBER(C517)),"MESSWERT UNGUELTIG",IF(C517&lt;0,"MESSWERT UNGUELTIG",IF(H517="","TARIFPREIS FEHLT","OK"))))</f>
        <v>FEHLT</v>
      </c>
      <c r="K517" s="7">
        <f>IF(J517&lt;&gt;"OK","",C517*I517/100)</f>
        <v/>
      </c>
    </row>
    <row r="518" spans="1:11">
      <c r="A518" s="14">
        <v>46148</v>
      </c>
      <c r="B518" s="15">
        <v>0.3333333333333333</v>
      </c>
      <c r="C518" s="5">
        <f>IF('96 Werte'!AH11="","",'96 Werte'!AH11)</f>
        <v/>
      </c>
      <c r="D518" t="str">
        <f>IF(IF(Eingaben!$B$21&lt;Eingaben!$B$22,AND(B518&gt;=Eingaben!$B$21,B518&lt;Eingaben!$B$22),OR(B518&gt;=Eingaben!$B$21,B518&lt;Eingaben!$B$22)),"GO",IF(AND(ISNUMBER(Eingaben!$B$23),ISNUMBER(Eingaben!$B$24),IF(Eingaben!$B$23&lt;Eingaben!$B$24,AND(B518&gt;=Eingaben!$B$23,B518&lt;Eingaben!$B$24),OR(B518&gt;=Eingaben!$B$23,B518&lt;Eingaben!$B$24))),"HEAT","STANDARD"))</f>
        <v>STANDARD</v>
      </c>
      <c r="E518" s="9"/>
      <c r="F518" t="str">
        <f>IF(E518="",D518,E518)</f>
        <v>STANDARD</v>
      </c>
      <c r="G518" t="str">
        <f>INDEX(Netzzeiten!$B$6:$B$29,HOUR(B518)+1)</f>
        <v>ST</v>
      </c>
      <c r="H518" s="6">
        <f>IF(F518="GO",Eingaben!$B$11,IF(F518="STANDARD",Eingaben!$B$12,IF(AND(F518="HEAT",ISNUMBER(Eingaben!$B$13)),Eingaben!$B$13,"")))</f>
        <v>28.2744</v>
      </c>
      <c r="I518" s="6">
        <f>INDEX(Netzzeiten!$C$6:$C$29,HOUR(B518)+1)</f>
        <v>5.48</v>
      </c>
      <c r="J518" t="str">
        <f>IF(C518="","FEHLT",IF(NOT(ISNUMBER(C518)),"MESSWERT UNGUELTIG",IF(C518&lt;0,"MESSWERT UNGUELTIG",IF(H518="","TARIFPREIS FEHLT","OK"))))</f>
        <v>FEHLT</v>
      </c>
      <c r="K518" s="7">
        <f>IF(J518&lt;&gt;"OK","",C518*I518/100)</f>
        <v/>
      </c>
    </row>
    <row r="519" spans="1:11">
      <c r="A519" s="14">
        <v>46148</v>
      </c>
      <c r="B519" s="15">
        <v>0.34375</v>
      </c>
      <c r="C519" s="5">
        <f>IF('96 Werte'!AI11="","",'96 Werte'!AI11)</f>
        <v/>
      </c>
      <c r="D519" t="str">
        <f>IF(IF(Eingaben!$B$21&lt;Eingaben!$B$22,AND(B519&gt;=Eingaben!$B$21,B519&lt;Eingaben!$B$22),OR(B519&gt;=Eingaben!$B$21,B519&lt;Eingaben!$B$22)),"GO",IF(AND(ISNUMBER(Eingaben!$B$23),ISNUMBER(Eingaben!$B$24),IF(Eingaben!$B$23&lt;Eingaben!$B$24,AND(B519&gt;=Eingaben!$B$23,B519&lt;Eingaben!$B$24),OR(B519&gt;=Eingaben!$B$23,B519&lt;Eingaben!$B$24))),"HEAT","STANDARD"))</f>
        <v>STANDARD</v>
      </c>
      <c r="E519" s="9"/>
      <c r="F519" t="str">
        <f>IF(E519="",D519,E519)</f>
        <v>STANDARD</v>
      </c>
      <c r="G519" t="str">
        <f>INDEX(Netzzeiten!$B$6:$B$29,HOUR(B519)+1)</f>
        <v>ST</v>
      </c>
      <c r="H519" s="6">
        <f>IF(F519="GO",Eingaben!$B$11,IF(F519="STANDARD",Eingaben!$B$12,IF(AND(F519="HEAT",ISNUMBER(Eingaben!$B$13)),Eingaben!$B$13,"")))</f>
        <v>28.2744</v>
      </c>
      <c r="I519" s="6">
        <f>INDEX(Netzzeiten!$C$6:$C$29,HOUR(B519)+1)</f>
        <v>5.48</v>
      </c>
      <c r="J519" t="str">
        <f>IF(C519="","FEHLT",IF(NOT(ISNUMBER(C519)),"MESSWERT UNGUELTIG",IF(C519&lt;0,"MESSWERT UNGUELTIG",IF(H519="","TARIFPREIS FEHLT","OK"))))</f>
        <v>FEHLT</v>
      </c>
      <c r="K519" s="7">
        <f>IF(J519&lt;&gt;"OK","",C519*I519/100)</f>
        <v/>
      </c>
    </row>
    <row r="520" spans="1:11">
      <c r="A520" s="14">
        <v>46148</v>
      </c>
      <c r="B520" s="15">
        <v>0.3541666666666667</v>
      </c>
      <c r="C520" s="5">
        <f>IF('96 Werte'!AJ11="","",'96 Werte'!AJ11)</f>
        <v/>
      </c>
      <c r="D520" t="str">
        <f>IF(IF(Eingaben!$B$21&lt;Eingaben!$B$22,AND(B520&gt;=Eingaben!$B$21,B520&lt;Eingaben!$B$22),OR(B520&gt;=Eingaben!$B$21,B520&lt;Eingaben!$B$22)),"GO",IF(AND(ISNUMBER(Eingaben!$B$23),ISNUMBER(Eingaben!$B$24),IF(Eingaben!$B$23&lt;Eingaben!$B$24,AND(B520&gt;=Eingaben!$B$23,B520&lt;Eingaben!$B$24),OR(B520&gt;=Eingaben!$B$23,B520&lt;Eingaben!$B$24))),"HEAT","STANDARD"))</f>
        <v>STANDARD</v>
      </c>
      <c r="E520" s="9"/>
      <c r="F520" t="str">
        <f>IF(E520="",D520,E520)</f>
        <v>STANDARD</v>
      </c>
      <c r="G520" t="str">
        <f>INDEX(Netzzeiten!$B$6:$B$29,HOUR(B520)+1)</f>
        <v>ST</v>
      </c>
      <c r="H520" s="6">
        <f>IF(F520="GO",Eingaben!$B$11,IF(F520="STANDARD",Eingaben!$B$12,IF(AND(F520="HEAT",ISNUMBER(Eingaben!$B$13)),Eingaben!$B$13,"")))</f>
        <v>28.2744</v>
      </c>
      <c r="I520" s="6">
        <f>INDEX(Netzzeiten!$C$6:$C$29,HOUR(B520)+1)</f>
        <v>5.48</v>
      </c>
      <c r="J520" t="str">
        <f>IF(C520="","FEHLT",IF(NOT(ISNUMBER(C520)),"MESSWERT UNGUELTIG",IF(C520&lt;0,"MESSWERT UNGUELTIG",IF(H520="","TARIFPREIS FEHLT","OK"))))</f>
        <v>FEHLT</v>
      </c>
      <c r="K520" s="7">
        <f>IF(J520&lt;&gt;"OK","",C520*I520/100)</f>
        <v/>
      </c>
    </row>
    <row r="521" spans="1:11">
      <c r="A521" s="14">
        <v>46148</v>
      </c>
      <c r="B521" s="15">
        <v>0.3645833333333333</v>
      </c>
      <c r="C521" s="5">
        <f>IF('96 Werte'!AK11="","",'96 Werte'!AK11)</f>
        <v/>
      </c>
      <c r="D521" t="str">
        <f>IF(IF(Eingaben!$B$21&lt;Eingaben!$B$22,AND(B521&gt;=Eingaben!$B$21,B521&lt;Eingaben!$B$22),OR(B521&gt;=Eingaben!$B$21,B521&lt;Eingaben!$B$22)),"GO",IF(AND(ISNUMBER(Eingaben!$B$23),ISNUMBER(Eingaben!$B$24),IF(Eingaben!$B$23&lt;Eingaben!$B$24,AND(B521&gt;=Eingaben!$B$23,B521&lt;Eingaben!$B$24),OR(B521&gt;=Eingaben!$B$23,B521&lt;Eingaben!$B$24))),"HEAT","STANDARD"))</f>
        <v>STANDARD</v>
      </c>
      <c r="E521" s="9"/>
      <c r="F521" t="str">
        <f>IF(E521="",D521,E521)</f>
        <v>STANDARD</v>
      </c>
      <c r="G521" t="str">
        <f>INDEX(Netzzeiten!$B$6:$B$29,HOUR(B521)+1)</f>
        <v>ST</v>
      </c>
      <c r="H521" s="6">
        <f>IF(F521="GO",Eingaben!$B$11,IF(F521="STANDARD",Eingaben!$B$12,IF(AND(F521="HEAT",ISNUMBER(Eingaben!$B$13)),Eingaben!$B$13,"")))</f>
        <v>28.2744</v>
      </c>
      <c r="I521" s="6">
        <f>INDEX(Netzzeiten!$C$6:$C$29,HOUR(B521)+1)</f>
        <v>5.48</v>
      </c>
      <c r="J521" t="str">
        <f>IF(C521="","FEHLT",IF(NOT(ISNUMBER(C521)),"MESSWERT UNGUELTIG",IF(C521&lt;0,"MESSWERT UNGUELTIG",IF(H521="","TARIFPREIS FEHLT","OK"))))</f>
        <v>FEHLT</v>
      </c>
      <c r="K521" s="7">
        <f>IF(J521&lt;&gt;"OK","",C521*I521/100)</f>
        <v/>
      </c>
    </row>
    <row r="522" spans="1:11">
      <c r="A522" s="14">
        <v>46148</v>
      </c>
      <c r="B522" s="15">
        <v>0.375</v>
      </c>
      <c r="C522" s="5">
        <f>IF('96 Werte'!AL11="","",'96 Werte'!AL11)</f>
        <v/>
      </c>
      <c r="D522" t="str">
        <f>IF(IF(Eingaben!$B$21&lt;Eingaben!$B$22,AND(B522&gt;=Eingaben!$B$21,B522&lt;Eingaben!$B$22),OR(B522&gt;=Eingaben!$B$21,B522&lt;Eingaben!$B$22)),"GO",IF(AND(ISNUMBER(Eingaben!$B$23),ISNUMBER(Eingaben!$B$24),IF(Eingaben!$B$23&lt;Eingaben!$B$24,AND(B522&gt;=Eingaben!$B$23,B522&lt;Eingaben!$B$24),OR(B522&gt;=Eingaben!$B$23,B522&lt;Eingaben!$B$24))),"HEAT","STANDARD"))</f>
        <v>STANDARD</v>
      </c>
      <c r="E522" s="9"/>
      <c r="F522" t="str">
        <f>IF(E522="",D522,E522)</f>
        <v>STANDARD</v>
      </c>
      <c r="G522" t="str">
        <f>INDEX(Netzzeiten!$B$6:$B$29,HOUR(B522)+1)</f>
        <v>ST</v>
      </c>
      <c r="H522" s="6">
        <f>IF(F522="GO",Eingaben!$B$11,IF(F522="STANDARD",Eingaben!$B$12,IF(AND(F522="HEAT",ISNUMBER(Eingaben!$B$13)),Eingaben!$B$13,"")))</f>
        <v>28.2744</v>
      </c>
      <c r="I522" s="6">
        <f>INDEX(Netzzeiten!$C$6:$C$29,HOUR(B522)+1)</f>
        <v>5.48</v>
      </c>
      <c r="J522" t="str">
        <f>IF(C522="","FEHLT",IF(NOT(ISNUMBER(C522)),"MESSWERT UNGUELTIG",IF(C522&lt;0,"MESSWERT UNGUELTIG",IF(H522="","TARIFPREIS FEHLT","OK"))))</f>
        <v>FEHLT</v>
      </c>
      <c r="K522" s="7">
        <f>IF(J522&lt;&gt;"OK","",C522*I522/100)</f>
        <v/>
      </c>
    </row>
    <row r="523" spans="1:11">
      <c r="A523" s="14">
        <v>46148</v>
      </c>
      <c r="B523" s="15">
        <v>0.3854166666666667</v>
      </c>
      <c r="C523" s="5">
        <f>IF('96 Werte'!AM11="","",'96 Werte'!AM11)</f>
        <v/>
      </c>
      <c r="D523" t="str">
        <f>IF(IF(Eingaben!$B$21&lt;Eingaben!$B$22,AND(B523&gt;=Eingaben!$B$21,B523&lt;Eingaben!$B$22),OR(B523&gt;=Eingaben!$B$21,B523&lt;Eingaben!$B$22)),"GO",IF(AND(ISNUMBER(Eingaben!$B$23),ISNUMBER(Eingaben!$B$24),IF(Eingaben!$B$23&lt;Eingaben!$B$24,AND(B523&gt;=Eingaben!$B$23,B523&lt;Eingaben!$B$24),OR(B523&gt;=Eingaben!$B$23,B523&lt;Eingaben!$B$24))),"HEAT","STANDARD"))</f>
        <v>STANDARD</v>
      </c>
      <c r="E523" s="9"/>
      <c r="F523" t="str">
        <f>IF(E523="",D523,E523)</f>
        <v>STANDARD</v>
      </c>
      <c r="G523" t="str">
        <f>INDEX(Netzzeiten!$B$6:$B$29,HOUR(B523)+1)</f>
        <v>ST</v>
      </c>
      <c r="H523" s="6">
        <f>IF(F523="GO",Eingaben!$B$11,IF(F523="STANDARD",Eingaben!$B$12,IF(AND(F523="HEAT",ISNUMBER(Eingaben!$B$13)),Eingaben!$B$13,"")))</f>
        <v>28.2744</v>
      </c>
      <c r="I523" s="6">
        <f>INDEX(Netzzeiten!$C$6:$C$29,HOUR(B523)+1)</f>
        <v>5.48</v>
      </c>
      <c r="J523" t="str">
        <f>IF(C523="","FEHLT",IF(NOT(ISNUMBER(C523)),"MESSWERT UNGUELTIG",IF(C523&lt;0,"MESSWERT UNGUELTIG",IF(H523="","TARIFPREIS FEHLT","OK"))))</f>
        <v>FEHLT</v>
      </c>
      <c r="K523" s="7">
        <f>IF(J523&lt;&gt;"OK","",C523*I523/100)</f>
        <v/>
      </c>
    </row>
    <row r="524" spans="1:11">
      <c r="A524" s="14">
        <v>46148</v>
      </c>
      <c r="B524" s="15">
        <v>0.3958333333333333</v>
      </c>
      <c r="C524" s="5">
        <f>IF('96 Werte'!AN11="","",'96 Werte'!AN11)</f>
        <v/>
      </c>
      <c r="D524" t="str">
        <f>IF(IF(Eingaben!$B$21&lt;Eingaben!$B$22,AND(B524&gt;=Eingaben!$B$21,B524&lt;Eingaben!$B$22),OR(B524&gt;=Eingaben!$B$21,B524&lt;Eingaben!$B$22)),"GO",IF(AND(ISNUMBER(Eingaben!$B$23),ISNUMBER(Eingaben!$B$24),IF(Eingaben!$B$23&lt;Eingaben!$B$24,AND(B524&gt;=Eingaben!$B$23,B524&lt;Eingaben!$B$24),OR(B524&gt;=Eingaben!$B$23,B524&lt;Eingaben!$B$24))),"HEAT","STANDARD"))</f>
        <v>STANDARD</v>
      </c>
      <c r="E524" s="9"/>
      <c r="F524" t="str">
        <f>IF(E524="",D524,E524)</f>
        <v>STANDARD</v>
      </c>
      <c r="G524" t="str">
        <f>INDEX(Netzzeiten!$B$6:$B$29,HOUR(B524)+1)</f>
        <v>ST</v>
      </c>
      <c r="H524" s="6">
        <f>IF(F524="GO",Eingaben!$B$11,IF(F524="STANDARD",Eingaben!$B$12,IF(AND(F524="HEAT",ISNUMBER(Eingaben!$B$13)),Eingaben!$B$13,"")))</f>
        <v>28.2744</v>
      </c>
      <c r="I524" s="6">
        <f>INDEX(Netzzeiten!$C$6:$C$29,HOUR(B524)+1)</f>
        <v>5.48</v>
      </c>
      <c r="J524" t="str">
        <f>IF(C524="","FEHLT",IF(NOT(ISNUMBER(C524)),"MESSWERT UNGUELTIG",IF(C524&lt;0,"MESSWERT UNGUELTIG",IF(H524="","TARIFPREIS FEHLT","OK"))))</f>
        <v>FEHLT</v>
      </c>
      <c r="K524" s="7">
        <f>IF(J524&lt;&gt;"OK","",C524*I524/100)</f>
        <v/>
      </c>
    </row>
    <row r="525" spans="1:11">
      <c r="A525" s="14">
        <v>46148</v>
      </c>
      <c r="B525" s="15">
        <v>0.40625</v>
      </c>
      <c r="C525" s="5">
        <f>IF('96 Werte'!AO11="","",'96 Werte'!AO11)</f>
        <v/>
      </c>
      <c r="D525" t="str">
        <f>IF(IF(Eingaben!$B$21&lt;Eingaben!$B$22,AND(B525&gt;=Eingaben!$B$21,B525&lt;Eingaben!$B$22),OR(B525&gt;=Eingaben!$B$21,B525&lt;Eingaben!$B$22)),"GO",IF(AND(ISNUMBER(Eingaben!$B$23),ISNUMBER(Eingaben!$B$24),IF(Eingaben!$B$23&lt;Eingaben!$B$24,AND(B525&gt;=Eingaben!$B$23,B525&lt;Eingaben!$B$24),OR(B525&gt;=Eingaben!$B$23,B525&lt;Eingaben!$B$24))),"HEAT","STANDARD"))</f>
        <v>STANDARD</v>
      </c>
      <c r="E525" s="9"/>
      <c r="F525" t="str">
        <f>IF(E525="",D525,E525)</f>
        <v>STANDARD</v>
      </c>
      <c r="G525" t="str">
        <f>INDEX(Netzzeiten!$B$6:$B$29,HOUR(B525)+1)</f>
        <v>ST</v>
      </c>
      <c r="H525" s="6">
        <f>IF(F525="GO",Eingaben!$B$11,IF(F525="STANDARD",Eingaben!$B$12,IF(AND(F525="HEAT",ISNUMBER(Eingaben!$B$13)),Eingaben!$B$13,"")))</f>
        <v>28.2744</v>
      </c>
      <c r="I525" s="6">
        <f>INDEX(Netzzeiten!$C$6:$C$29,HOUR(B525)+1)</f>
        <v>5.48</v>
      </c>
      <c r="J525" t="str">
        <f>IF(C525="","FEHLT",IF(NOT(ISNUMBER(C525)),"MESSWERT UNGUELTIG",IF(C525&lt;0,"MESSWERT UNGUELTIG",IF(H525="","TARIFPREIS FEHLT","OK"))))</f>
        <v>FEHLT</v>
      </c>
      <c r="K525" s="7">
        <f>IF(J525&lt;&gt;"OK","",C525*I525/100)</f>
        <v/>
      </c>
    </row>
    <row r="526" spans="1:11">
      <c r="A526" s="14">
        <v>46148</v>
      </c>
      <c r="B526" s="15">
        <v>0.4166666666666667</v>
      </c>
      <c r="C526" s="5">
        <f>IF('96 Werte'!AP11="","",'96 Werte'!AP11)</f>
        <v/>
      </c>
      <c r="D526" t="str">
        <f>IF(IF(Eingaben!$B$21&lt;Eingaben!$B$22,AND(B526&gt;=Eingaben!$B$21,B526&lt;Eingaben!$B$22),OR(B526&gt;=Eingaben!$B$21,B526&lt;Eingaben!$B$22)),"GO",IF(AND(ISNUMBER(Eingaben!$B$23),ISNUMBER(Eingaben!$B$24),IF(Eingaben!$B$23&lt;Eingaben!$B$24,AND(B526&gt;=Eingaben!$B$23,B526&lt;Eingaben!$B$24),OR(B526&gt;=Eingaben!$B$23,B526&lt;Eingaben!$B$24))),"HEAT","STANDARD"))</f>
        <v>STANDARD</v>
      </c>
      <c r="E526" s="9"/>
      <c r="F526" t="str">
        <f>IF(E526="",D526,E526)</f>
        <v>STANDARD</v>
      </c>
      <c r="G526" t="str">
        <f>INDEX(Netzzeiten!$B$6:$B$29,HOUR(B526)+1)</f>
        <v>ST</v>
      </c>
      <c r="H526" s="6">
        <f>IF(F526="GO",Eingaben!$B$11,IF(F526="STANDARD",Eingaben!$B$12,IF(AND(F526="HEAT",ISNUMBER(Eingaben!$B$13)),Eingaben!$B$13,"")))</f>
        <v>28.2744</v>
      </c>
      <c r="I526" s="6">
        <f>INDEX(Netzzeiten!$C$6:$C$29,HOUR(B526)+1)</f>
        <v>5.48</v>
      </c>
      <c r="J526" t="str">
        <f>IF(C526="","FEHLT",IF(NOT(ISNUMBER(C526)),"MESSWERT UNGUELTIG",IF(C526&lt;0,"MESSWERT UNGUELTIG",IF(H526="","TARIFPREIS FEHLT","OK"))))</f>
        <v>FEHLT</v>
      </c>
      <c r="K526" s="7">
        <f>IF(J526&lt;&gt;"OK","",C526*I526/100)</f>
        <v/>
      </c>
    </row>
    <row r="527" spans="1:11">
      <c r="A527" s="14">
        <v>46148</v>
      </c>
      <c r="B527" s="15">
        <v>0.4270833333333333</v>
      </c>
      <c r="C527" s="5">
        <f>IF('96 Werte'!AQ11="","",'96 Werte'!AQ11)</f>
        <v/>
      </c>
      <c r="D527" t="str">
        <f>IF(IF(Eingaben!$B$21&lt;Eingaben!$B$22,AND(B527&gt;=Eingaben!$B$21,B527&lt;Eingaben!$B$22),OR(B527&gt;=Eingaben!$B$21,B527&lt;Eingaben!$B$22)),"GO",IF(AND(ISNUMBER(Eingaben!$B$23),ISNUMBER(Eingaben!$B$24),IF(Eingaben!$B$23&lt;Eingaben!$B$24,AND(B527&gt;=Eingaben!$B$23,B527&lt;Eingaben!$B$24),OR(B527&gt;=Eingaben!$B$23,B527&lt;Eingaben!$B$24))),"HEAT","STANDARD"))</f>
        <v>STANDARD</v>
      </c>
      <c r="E527" s="9"/>
      <c r="F527" t="str">
        <f>IF(E527="",D527,E527)</f>
        <v>STANDARD</v>
      </c>
      <c r="G527" t="str">
        <f>INDEX(Netzzeiten!$B$6:$B$29,HOUR(B527)+1)</f>
        <v>ST</v>
      </c>
      <c r="H527" s="6">
        <f>IF(F527="GO",Eingaben!$B$11,IF(F527="STANDARD",Eingaben!$B$12,IF(AND(F527="HEAT",ISNUMBER(Eingaben!$B$13)),Eingaben!$B$13,"")))</f>
        <v>28.2744</v>
      </c>
      <c r="I527" s="6">
        <f>INDEX(Netzzeiten!$C$6:$C$29,HOUR(B527)+1)</f>
        <v>5.48</v>
      </c>
      <c r="J527" t="str">
        <f>IF(C527="","FEHLT",IF(NOT(ISNUMBER(C527)),"MESSWERT UNGUELTIG",IF(C527&lt;0,"MESSWERT UNGUELTIG",IF(H527="","TARIFPREIS FEHLT","OK"))))</f>
        <v>FEHLT</v>
      </c>
      <c r="K527" s="7">
        <f>IF(J527&lt;&gt;"OK","",C527*I527/100)</f>
        <v/>
      </c>
    </row>
    <row r="528" spans="1:11">
      <c r="A528" s="14">
        <v>46148</v>
      </c>
      <c r="B528" s="15">
        <v>0.4375</v>
      </c>
      <c r="C528" s="5">
        <f>IF('96 Werte'!AR11="","",'96 Werte'!AR11)</f>
        <v/>
      </c>
      <c r="D528" t="str">
        <f>IF(IF(Eingaben!$B$21&lt;Eingaben!$B$22,AND(B528&gt;=Eingaben!$B$21,B528&lt;Eingaben!$B$22),OR(B528&gt;=Eingaben!$B$21,B528&lt;Eingaben!$B$22)),"GO",IF(AND(ISNUMBER(Eingaben!$B$23),ISNUMBER(Eingaben!$B$24),IF(Eingaben!$B$23&lt;Eingaben!$B$24,AND(B528&gt;=Eingaben!$B$23,B528&lt;Eingaben!$B$24),OR(B528&gt;=Eingaben!$B$23,B528&lt;Eingaben!$B$24))),"HEAT","STANDARD"))</f>
        <v>STANDARD</v>
      </c>
      <c r="E528" s="9"/>
      <c r="F528" t="str">
        <f>IF(E528="",D528,E528)</f>
        <v>STANDARD</v>
      </c>
      <c r="G528" t="str">
        <f>INDEX(Netzzeiten!$B$6:$B$29,HOUR(B528)+1)</f>
        <v>ST</v>
      </c>
      <c r="H528" s="6">
        <f>IF(F528="GO",Eingaben!$B$11,IF(F528="STANDARD",Eingaben!$B$12,IF(AND(F528="HEAT",ISNUMBER(Eingaben!$B$13)),Eingaben!$B$13,"")))</f>
        <v>28.2744</v>
      </c>
      <c r="I528" s="6">
        <f>INDEX(Netzzeiten!$C$6:$C$29,HOUR(B528)+1)</f>
        <v>5.48</v>
      </c>
      <c r="J528" t="str">
        <f>IF(C528="","FEHLT",IF(NOT(ISNUMBER(C528)),"MESSWERT UNGUELTIG",IF(C528&lt;0,"MESSWERT UNGUELTIG",IF(H528="","TARIFPREIS FEHLT","OK"))))</f>
        <v>FEHLT</v>
      </c>
      <c r="K528" s="7">
        <f>IF(J528&lt;&gt;"OK","",C528*I528/100)</f>
        <v/>
      </c>
    </row>
    <row r="529" spans="1:11">
      <c r="A529" s="14">
        <v>46148</v>
      </c>
      <c r="B529" s="15">
        <v>0.4479166666666667</v>
      </c>
      <c r="C529" s="5">
        <f>IF('96 Werte'!AS11="","",'96 Werte'!AS11)</f>
        <v/>
      </c>
      <c r="D529" t="str">
        <f>IF(IF(Eingaben!$B$21&lt;Eingaben!$B$22,AND(B529&gt;=Eingaben!$B$21,B529&lt;Eingaben!$B$22),OR(B529&gt;=Eingaben!$B$21,B529&lt;Eingaben!$B$22)),"GO",IF(AND(ISNUMBER(Eingaben!$B$23),ISNUMBER(Eingaben!$B$24),IF(Eingaben!$B$23&lt;Eingaben!$B$24,AND(B529&gt;=Eingaben!$B$23,B529&lt;Eingaben!$B$24),OR(B529&gt;=Eingaben!$B$23,B529&lt;Eingaben!$B$24))),"HEAT","STANDARD"))</f>
        <v>STANDARD</v>
      </c>
      <c r="E529" s="9"/>
      <c r="F529" t="str">
        <f>IF(E529="",D529,E529)</f>
        <v>STANDARD</v>
      </c>
      <c r="G529" t="str">
        <f>INDEX(Netzzeiten!$B$6:$B$29,HOUR(B529)+1)</f>
        <v>ST</v>
      </c>
      <c r="H529" s="6">
        <f>IF(F529="GO",Eingaben!$B$11,IF(F529="STANDARD",Eingaben!$B$12,IF(AND(F529="HEAT",ISNUMBER(Eingaben!$B$13)),Eingaben!$B$13,"")))</f>
        <v>28.2744</v>
      </c>
      <c r="I529" s="6">
        <f>INDEX(Netzzeiten!$C$6:$C$29,HOUR(B529)+1)</f>
        <v>5.48</v>
      </c>
      <c r="J529" t="str">
        <f>IF(C529="","FEHLT",IF(NOT(ISNUMBER(C529)),"MESSWERT UNGUELTIG",IF(C529&lt;0,"MESSWERT UNGUELTIG",IF(H529="","TARIFPREIS FEHLT","OK"))))</f>
        <v>FEHLT</v>
      </c>
      <c r="K529" s="7">
        <f>IF(J529&lt;&gt;"OK","",C529*I529/100)</f>
        <v/>
      </c>
    </row>
    <row r="530" spans="1:11">
      <c r="A530" s="14">
        <v>46148</v>
      </c>
      <c r="B530" s="15">
        <v>0.4583333333333333</v>
      </c>
      <c r="C530" s="5">
        <f>IF('96 Werte'!AT11="","",'96 Werte'!AT11)</f>
        <v/>
      </c>
      <c r="D530" t="str">
        <f>IF(IF(Eingaben!$B$21&lt;Eingaben!$B$22,AND(B530&gt;=Eingaben!$B$21,B530&lt;Eingaben!$B$22),OR(B530&gt;=Eingaben!$B$21,B530&lt;Eingaben!$B$22)),"GO",IF(AND(ISNUMBER(Eingaben!$B$23),ISNUMBER(Eingaben!$B$24),IF(Eingaben!$B$23&lt;Eingaben!$B$24,AND(B530&gt;=Eingaben!$B$23,B530&lt;Eingaben!$B$24),OR(B530&gt;=Eingaben!$B$23,B530&lt;Eingaben!$B$24))),"HEAT","STANDARD"))</f>
        <v>STANDARD</v>
      </c>
      <c r="E530" s="9"/>
      <c r="F530" t="str">
        <f>IF(E530="",D530,E530)</f>
        <v>STANDARD</v>
      </c>
      <c r="G530" t="str">
        <f>INDEX(Netzzeiten!$B$6:$B$29,HOUR(B530)+1)</f>
        <v>NT</v>
      </c>
      <c r="H530" s="6">
        <f>IF(F530="GO",Eingaben!$B$11,IF(F530="STANDARD",Eingaben!$B$12,IF(AND(F530="HEAT",ISNUMBER(Eingaben!$B$13)),Eingaben!$B$13,"")))</f>
        <v>28.2744</v>
      </c>
      <c r="I530" s="6">
        <f>INDEX(Netzzeiten!$C$6:$C$29,HOUR(B530)+1)</f>
        <v>1.64</v>
      </c>
      <c r="J530" t="str">
        <f>IF(C530="","FEHLT",IF(NOT(ISNUMBER(C530)),"MESSWERT UNGUELTIG",IF(C530&lt;0,"MESSWERT UNGUELTIG",IF(H530="","TARIFPREIS FEHLT","OK"))))</f>
        <v>FEHLT</v>
      </c>
      <c r="K530" s="7">
        <f>IF(J530&lt;&gt;"OK","",C530*I530/100)</f>
        <v/>
      </c>
    </row>
    <row r="531" spans="1:11">
      <c r="A531" s="14">
        <v>46148</v>
      </c>
      <c r="B531" s="15">
        <v>0.46875</v>
      </c>
      <c r="C531" s="5">
        <f>IF('96 Werte'!AU11="","",'96 Werte'!AU11)</f>
        <v/>
      </c>
      <c r="D531" t="str">
        <f>IF(IF(Eingaben!$B$21&lt;Eingaben!$B$22,AND(B531&gt;=Eingaben!$B$21,B531&lt;Eingaben!$B$22),OR(B531&gt;=Eingaben!$B$21,B531&lt;Eingaben!$B$22)),"GO",IF(AND(ISNUMBER(Eingaben!$B$23),ISNUMBER(Eingaben!$B$24),IF(Eingaben!$B$23&lt;Eingaben!$B$24,AND(B531&gt;=Eingaben!$B$23,B531&lt;Eingaben!$B$24),OR(B531&gt;=Eingaben!$B$23,B531&lt;Eingaben!$B$24))),"HEAT","STANDARD"))</f>
        <v>STANDARD</v>
      </c>
      <c r="E531" s="9"/>
      <c r="F531" t="str">
        <f>IF(E531="",D531,E531)</f>
        <v>STANDARD</v>
      </c>
      <c r="G531" t="str">
        <f>INDEX(Netzzeiten!$B$6:$B$29,HOUR(B531)+1)</f>
        <v>NT</v>
      </c>
      <c r="H531" s="6">
        <f>IF(F531="GO",Eingaben!$B$11,IF(F531="STANDARD",Eingaben!$B$12,IF(AND(F531="HEAT",ISNUMBER(Eingaben!$B$13)),Eingaben!$B$13,"")))</f>
        <v>28.2744</v>
      </c>
      <c r="I531" s="6">
        <f>INDEX(Netzzeiten!$C$6:$C$29,HOUR(B531)+1)</f>
        <v>1.64</v>
      </c>
      <c r="J531" t="str">
        <f>IF(C531="","FEHLT",IF(NOT(ISNUMBER(C531)),"MESSWERT UNGUELTIG",IF(C531&lt;0,"MESSWERT UNGUELTIG",IF(H531="","TARIFPREIS FEHLT","OK"))))</f>
        <v>FEHLT</v>
      </c>
      <c r="K531" s="7">
        <f>IF(J531&lt;&gt;"OK","",C531*I531/100)</f>
        <v/>
      </c>
    </row>
    <row r="532" spans="1:11">
      <c r="A532" s="14">
        <v>46148</v>
      </c>
      <c r="B532" s="15">
        <v>0.4791666666666667</v>
      </c>
      <c r="C532" s="5">
        <f>IF('96 Werte'!AV11="","",'96 Werte'!AV11)</f>
        <v/>
      </c>
      <c r="D532" t="str">
        <f>IF(IF(Eingaben!$B$21&lt;Eingaben!$B$22,AND(B532&gt;=Eingaben!$B$21,B532&lt;Eingaben!$B$22),OR(B532&gt;=Eingaben!$B$21,B532&lt;Eingaben!$B$22)),"GO",IF(AND(ISNUMBER(Eingaben!$B$23),ISNUMBER(Eingaben!$B$24),IF(Eingaben!$B$23&lt;Eingaben!$B$24,AND(B532&gt;=Eingaben!$B$23,B532&lt;Eingaben!$B$24),OR(B532&gt;=Eingaben!$B$23,B532&lt;Eingaben!$B$24))),"HEAT","STANDARD"))</f>
        <v>STANDARD</v>
      </c>
      <c r="E532" s="9"/>
      <c r="F532" t="str">
        <f>IF(E532="",D532,E532)</f>
        <v>STANDARD</v>
      </c>
      <c r="G532" t="str">
        <f>INDEX(Netzzeiten!$B$6:$B$29,HOUR(B532)+1)</f>
        <v>NT</v>
      </c>
      <c r="H532" s="6">
        <f>IF(F532="GO",Eingaben!$B$11,IF(F532="STANDARD",Eingaben!$B$12,IF(AND(F532="HEAT",ISNUMBER(Eingaben!$B$13)),Eingaben!$B$13,"")))</f>
        <v>28.2744</v>
      </c>
      <c r="I532" s="6">
        <f>INDEX(Netzzeiten!$C$6:$C$29,HOUR(B532)+1)</f>
        <v>1.64</v>
      </c>
      <c r="J532" t="str">
        <f>IF(C532="","FEHLT",IF(NOT(ISNUMBER(C532)),"MESSWERT UNGUELTIG",IF(C532&lt;0,"MESSWERT UNGUELTIG",IF(H532="","TARIFPREIS FEHLT","OK"))))</f>
        <v>FEHLT</v>
      </c>
      <c r="K532" s="7">
        <f>IF(J532&lt;&gt;"OK","",C532*I532/100)</f>
        <v/>
      </c>
    </row>
    <row r="533" spans="1:11">
      <c r="A533" s="14">
        <v>46148</v>
      </c>
      <c r="B533" s="15">
        <v>0.4895833333333333</v>
      </c>
      <c r="C533" s="5">
        <f>IF('96 Werte'!AW11="","",'96 Werte'!AW11)</f>
        <v/>
      </c>
      <c r="D533" t="str">
        <f>IF(IF(Eingaben!$B$21&lt;Eingaben!$B$22,AND(B533&gt;=Eingaben!$B$21,B533&lt;Eingaben!$B$22),OR(B533&gt;=Eingaben!$B$21,B533&lt;Eingaben!$B$22)),"GO",IF(AND(ISNUMBER(Eingaben!$B$23),ISNUMBER(Eingaben!$B$24),IF(Eingaben!$B$23&lt;Eingaben!$B$24,AND(B533&gt;=Eingaben!$B$23,B533&lt;Eingaben!$B$24),OR(B533&gt;=Eingaben!$B$23,B533&lt;Eingaben!$B$24))),"HEAT","STANDARD"))</f>
        <v>STANDARD</v>
      </c>
      <c r="E533" s="9"/>
      <c r="F533" t="str">
        <f>IF(E533="",D533,E533)</f>
        <v>STANDARD</v>
      </c>
      <c r="G533" t="str">
        <f>INDEX(Netzzeiten!$B$6:$B$29,HOUR(B533)+1)</f>
        <v>NT</v>
      </c>
      <c r="H533" s="6">
        <f>IF(F533="GO",Eingaben!$B$11,IF(F533="STANDARD",Eingaben!$B$12,IF(AND(F533="HEAT",ISNUMBER(Eingaben!$B$13)),Eingaben!$B$13,"")))</f>
        <v>28.2744</v>
      </c>
      <c r="I533" s="6">
        <f>INDEX(Netzzeiten!$C$6:$C$29,HOUR(B533)+1)</f>
        <v>1.64</v>
      </c>
      <c r="J533" t="str">
        <f>IF(C533="","FEHLT",IF(NOT(ISNUMBER(C533)),"MESSWERT UNGUELTIG",IF(C533&lt;0,"MESSWERT UNGUELTIG",IF(H533="","TARIFPREIS FEHLT","OK"))))</f>
        <v>FEHLT</v>
      </c>
      <c r="K533" s="7">
        <f>IF(J533&lt;&gt;"OK","",C533*I533/100)</f>
        <v/>
      </c>
    </row>
    <row r="534" spans="1:11">
      <c r="A534" s="14">
        <v>46148</v>
      </c>
      <c r="B534" s="15">
        <v>0.5</v>
      </c>
      <c r="C534" s="5">
        <f>IF('96 Werte'!AX11="","",'96 Werte'!AX11)</f>
        <v/>
      </c>
      <c r="D534" t="str">
        <f>IF(IF(Eingaben!$B$21&lt;Eingaben!$B$22,AND(B534&gt;=Eingaben!$B$21,B534&lt;Eingaben!$B$22),OR(B534&gt;=Eingaben!$B$21,B534&lt;Eingaben!$B$22)),"GO",IF(AND(ISNUMBER(Eingaben!$B$23),ISNUMBER(Eingaben!$B$24),IF(Eingaben!$B$23&lt;Eingaben!$B$24,AND(B534&gt;=Eingaben!$B$23,B534&lt;Eingaben!$B$24),OR(B534&gt;=Eingaben!$B$23,B534&lt;Eingaben!$B$24))),"HEAT","STANDARD"))</f>
        <v>STANDARD</v>
      </c>
      <c r="E534" s="9"/>
      <c r="F534" t="str">
        <f>IF(E534="",D534,E534)</f>
        <v>STANDARD</v>
      </c>
      <c r="G534" t="str">
        <f>INDEX(Netzzeiten!$B$6:$B$29,HOUR(B534)+1)</f>
        <v>NT</v>
      </c>
      <c r="H534" s="6">
        <f>IF(F534="GO",Eingaben!$B$11,IF(F534="STANDARD",Eingaben!$B$12,IF(AND(F534="HEAT",ISNUMBER(Eingaben!$B$13)),Eingaben!$B$13,"")))</f>
        <v>28.2744</v>
      </c>
      <c r="I534" s="6">
        <f>INDEX(Netzzeiten!$C$6:$C$29,HOUR(B534)+1)</f>
        <v>1.64</v>
      </c>
      <c r="J534" t="str">
        <f>IF(C534="","FEHLT",IF(NOT(ISNUMBER(C534)),"MESSWERT UNGUELTIG",IF(C534&lt;0,"MESSWERT UNGUELTIG",IF(H534="","TARIFPREIS FEHLT","OK"))))</f>
        <v>FEHLT</v>
      </c>
      <c r="K534" s="7">
        <f>IF(J534&lt;&gt;"OK","",C534*I534/100)</f>
        <v/>
      </c>
    </row>
    <row r="535" spans="1:11">
      <c r="A535" s="14">
        <v>46148</v>
      </c>
      <c r="B535" s="15">
        <v>0.5104166666666666</v>
      </c>
      <c r="C535" s="5">
        <f>IF('96 Werte'!AY11="","",'96 Werte'!AY11)</f>
        <v/>
      </c>
      <c r="D535" t="str">
        <f>IF(IF(Eingaben!$B$21&lt;Eingaben!$B$22,AND(B535&gt;=Eingaben!$B$21,B535&lt;Eingaben!$B$22),OR(B535&gt;=Eingaben!$B$21,B535&lt;Eingaben!$B$22)),"GO",IF(AND(ISNUMBER(Eingaben!$B$23),ISNUMBER(Eingaben!$B$24),IF(Eingaben!$B$23&lt;Eingaben!$B$24,AND(B535&gt;=Eingaben!$B$23,B535&lt;Eingaben!$B$24),OR(B535&gt;=Eingaben!$B$23,B535&lt;Eingaben!$B$24))),"HEAT","STANDARD"))</f>
        <v>STANDARD</v>
      </c>
      <c r="E535" s="9"/>
      <c r="F535" t="str">
        <f>IF(E535="",D535,E535)</f>
        <v>STANDARD</v>
      </c>
      <c r="G535" t="str">
        <f>INDEX(Netzzeiten!$B$6:$B$29,HOUR(B535)+1)</f>
        <v>NT</v>
      </c>
      <c r="H535" s="6">
        <f>IF(F535="GO",Eingaben!$B$11,IF(F535="STANDARD",Eingaben!$B$12,IF(AND(F535="HEAT",ISNUMBER(Eingaben!$B$13)),Eingaben!$B$13,"")))</f>
        <v>28.2744</v>
      </c>
      <c r="I535" s="6">
        <f>INDEX(Netzzeiten!$C$6:$C$29,HOUR(B535)+1)</f>
        <v>1.64</v>
      </c>
      <c r="J535" t="str">
        <f>IF(C535="","FEHLT",IF(NOT(ISNUMBER(C535)),"MESSWERT UNGUELTIG",IF(C535&lt;0,"MESSWERT UNGUELTIG",IF(H535="","TARIFPREIS FEHLT","OK"))))</f>
        <v>FEHLT</v>
      </c>
      <c r="K535" s="7">
        <f>IF(J535&lt;&gt;"OK","",C535*I535/100)</f>
        <v/>
      </c>
    </row>
    <row r="536" spans="1:11">
      <c r="A536" s="14">
        <v>46148</v>
      </c>
      <c r="B536" s="15">
        <v>0.5208333333333334</v>
      </c>
      <c r="C536" s="5">
        <f>IF('96 Werte'!AZ11="","",'96 Werte'!AZ11)</f>
        <v/>
      </c>
      <c r="D536" t="str">
        <f>IF(IF(Eingaben!$B$21&lt;Eingaben!$B$22,AND(B536&gt;=Eingaben!$B$21,B536&lt;Eingaben!$B$22),OR(B536&gt;=Eingaben!$B$21,B536&lt;Eingaben!$B$22)),"GO",IF(AND(ISNUMBER(Eingaben!$B$23),ISNUMBER(Eingaben!$B$24),IF(Eingaben!$B$23&lt;Eingaben!$B$24,AND(B536&gt;=Eingaben!$B$23,B536&lt;Eingaben!$B$24),OR(B536&gt;=Eingaben!$B$23,B536&lt;Eingaben!$B$24))),"HEAT","STANDARD"))</f>
        <v>STANDARD</v>
      </c>
      <c r="E536" s="9"/>
      <c r="F536" t="str">
        <f>IF(E536="",D536,E536)</f>
        <v>STANDARD</v>
      </c>
      <c r="G536" t="str">
        <f>INDEX(Netzzeiten!$B$6:$B$29,HOUR(B536)+1)</f>
        <v>NT</v>
      </c>
      <c r="H536" s="6">
        <f>IF(F536="GO",Eingaben!$B$11,IF(F536="STANDARD",Eingaben!$B$12,IF(AND(F536="HEAT",ISNUMBER(Eingaben!$B$13)),Eingaben!$B$13,"")))</f>
        <v>28.2744</v>
      </c>
      <c r="I536" s="6">
        <f>INDEX(Netzzeiten!$C$6:$C$29,HOUR(B536)+1)</f>
        <v>1.64</v>
      </c>
      <c r="J536" t="str">
        <f>IF(C536="","FEHLT",IF(NOT(ISNUMBER(C536)),"MESSWERT UNGUELTIG",IF(C536&lt;0,"MESSWERT UNGUELTIG",IF(H536="","TARIFPREIS FEHLT","OK"))))</f>
        <v>FEHLT</v>
      </c>
      <c r="K536" s="7">
        <f>IF(J536&lt;&gt;"OK","",C536*I536/100)</f>
        <v/>
      </c>
    </row>
    <row r="537" spans="1:11">
      <c r="A537" s="14">
        <v>46148</v>
      </c>
      <c r="B537" s="15">
        <v>0.53125</v>
      </c>
      <c r="C537" s="5">
        <f>IF('96 Werte'!BA11="","",'96 Werte'!BA11)</f>
        <v/>
      </c>
      <c r="D537" t="str">
        <f>IF(IF(Eingaben!$B$21&lt;Eingaben!$B$22,AND(B537&gt;=Eingaben!$B$21,B537&lt;Eingaben!$B$22),OR(B537&gt;=Eingaben!$B$21,B537&lt;Eingaben!$B$22)),"GO",IF(AND(ISNUMBER(Eingaben!$B$23),ISNUMBER(Eingaben!$B$24),IF(Eingaben!$B$23&lt;Eingaben!$B$24,AND(B537&gt;=Eingaben!$B$23,B537&lt;Eingaben!$B$24),OR(B537&gt;=Eingaben!$B$23,B537&lt;Eingaben!$B$24))),"HEAT","STANDARD"))</f>
        <v>STANDARD</v>
      </c>
      <c r="E537" s="9"/>
      <c r="F537" t="str">
        <f>IF(E537="",D537,E537)</f>
        <v>STANDARD</v>
      </c>
      <c r="G537" t="str">
        <f>INDEX(Netzzeiten!$B$6:$B$29,HOUR(B537)+1)</f>
        <v>NT</v>
      </c>
      <c r="H537" s="6">
        <f>IF(F537="GO",Eingaben!$B$11,IF(F537="STANDARD",Eingaben!$B$12,IF(AND(F537="HEAT",ISNUMBER(Eingaben!$B$13)),Eingaben!$B$13,"")))</f>
        <v>28.2744</v>
      </c>
      <c r="I537" s="6">
        <f>INDEX(Netzzeiten!$C$6:$C$29,HOUR(B537)+1)</f>
        <v>1.64</v>
      </c>
      <c r="J537" t="str">
        <f>IF(C537="","FEHLT",IF(NOT(ISNUMBER(C537)),"MESSWERT UNGUELTIG",IF(C537&lt;0,"MESSWERT UNGUELTIG",IF(H537="","TARIFPREIS FEHLT","OK"))))</f>
        <v>FEHLT</v>
      </c>
      <c r="K537" s="7">
        <f>IF(J537&lt;&gt;"OK","",C537*I537/100)</f>
        <v/>
      </c>
    </row>
    <row r="538" spans="1:11">
      <c r="A538" s="14">
        <v>46148</v>
      </c>
      <c r="B538" s="15">
        <v>0.5416666666666666</v>
      </c>
      <c r="C538" s="5">
        <f>IF('96 Werte'!BB11="","",'96 Werte'!BB11)</f>
        <v/>
      </c>
      <c r="D538" t="str">
        <f>IF(IF(Eingaben!$B$21&lt;Eingaben!$B$22,AND(B538&gt;=Eingaben!$B$21,B538&lt;Eingaben!$B$22),OR(B538&gt;=Eingaben!$B$21,B538&lt;Eingaben!$B$22)),"GO",IF(AND(ISNUMBER(Eingaben!$B$23),ISNUMBER(Eingaben!$B$24),IF(Eingaben!$B$23&lt;Eingaben!$B$24,AND(B538&gt;=Eingaben!$B$23,B538&lt;Eingaben!$B$24),OR(B538&gt;=Eingaben!$B$23,B538&lt;Eingaben!$B$24))),"HEAT","STANDARD"))</f>
        <v>STANDARD</v>
      </c>
      <c r="E538" s="9"/>
      <c r="F538" t="str">
        <f>IF(E538="",D538,E538)</f>
        <v>STANDARD</v>
      </c>
      <c r="G538" t="str">
        <f>INDEX(Netzzeiten!$B$6:$B$29,HOUR(B538)+1)</f>
        <v>NT</v>
      </c>
      <c r="H538" s="6">
        <f>IF(F538="GO",Eingaben!$B$11,IF(F538="STANDARD",Eingaben!$B$12,IF(AND(F538="HEAT",ISNUMBER(Eingaben!$B$13)),Eingaben!$B$13,"")))</f>
        <v>28.2744</v>
      </c>
      <c r="I538" s="6">
        <f>INDEX(Netzzeiten!$C$6:$C$29,HOUR(B538)+1)</f>
        <v>1.64</v>
      </c>
      <c r="J538" t="str">
        <f>IF(C538="","FEHLT",IF(NOT(ISNUMBER(C538)),"MESSWERT UNGUELTIG",IF(C538&lt;0,"MESSWERT UNGUELTIG",IF(H538="","TARIFPREIS FEHLT","OK"))))</f>
        <v>FEHLT</v>
      </c>
      <c r="K538" s="7">
        <f>IF(J538&lt;&gt;"OK","",C538*I538/100)</f>
        <v/>
      </c>
    </row>
    <row r="539" spans="1:11">
      <c r="A539" s="14">
        <v>46148</v>
      </c>
      <c r="B539" s="15">
        <v>0.5520833333333334</v>
      </c>
      <c r="C539" s="5">
        <f>IF('96 Werte'!BC11="","",'96 Werte'!BC11)</f>
        <v/>
      </c>
      <c r="D539" t="str">
        <f>IF(IF(Eingaben!$B$21&lt;Eingaben!$B$22,AND(B539&gt;=Eingaben!$B$21,B539&lt;Eingaben!$B$22),OR(B539&gt;=Eingaben!$B$21,B539&lt;Eingaben!$B$22)),"GO",IF(AND(ISNUMBER(Eingaben!$B$23),ISNUMBER(Eingaben!$B$24),IF(Eingaben!$B$23&lt;Eingaben!$B$24,AND(B539&gt;=Eingaben!$B$23,B539&lt;Eingaben!$B$24),OR(B539&gt;=Eingaben!$B$23,B539&lt;Eingaben!$B$24))),"HEAT","STANDARD"))</f>
        <v>STANDARD</v>
      </c>
      <c r="E539" s="9"/>
      <c r="F539" t="str">
        <f>IF(E539="",D539,E539)</f>
        <v>STANDARD</v>
      </c>
      <c r="G539" t="str">
        <f>INDEX(Netzzeiten!$B$6:$B$29,HOUR(B539)+1)</f>
        <v>NT</v>
      </c>
      <c r="H539" s="6">
        <f>IF(F539="GO",Eingaben!$B$11,IF(F539="STANDARD",Eingaben!$B$12,IF(AND(F539="HEAT",ISNUMBER(Eingaben!$B$13)),Eingaben!$B$13,"")))</f>
        <v>28.2744</v>
      </c>
      <c r="I539" s="6">
        <f>INDEX(Netzzeiten!$C$6:$C$29,HOUR(B539)+1)</f>
        <v>1.64</v>
      </c>
      <c r="J539" t="str">
        <f>IF(C539="","FEHLT",IF(NOT(ISNUMBER(C539)),"MESSWERT UNGUELTIG",IF(C539&lt;0,"MESSWERT UNGUELTIG",IF(H539="","TARIFPREIS FEHLT","OK"))))</f>
        <v>FEHLT</v>
      </c>
      <c r="K539" s="7">
        <f>IF(J539&lt;&gt;"OK","",C539*I539/100)</f>
        <v/>
      </c>
    </row>
    <row r="540" spans="1:11">
      <c r="A540" s="14">
        <v>46148</v>
      </c>
      <c r="B540" s="15">
        <v>0.5625</v>
      </c>
      <c r="C540" s="5">
        <f>IF('96 Werte'!BD11="","",'96 Werte'!BD11)</f>
        <v/>
      </c>
      <c r="D540" t="str">
        <f>IF(IF(Eingaben!$B$21&lt;Eingaben!$B$22,AND(B540&gt;=Eingaben!$B$21,B540&lt;Eingaben!$B$22),OR(B540&gt;=Eingaben!$B$21,B540&lt;Eingaben!$B$22)),"GO",IF(AND(ISNUMBER(Eingaben!$B$23),ISNUMBER(Eingaben!$B$24),IF(Eingaben!$B$23&lt;Eingaben!$B$24,AND(B540&gt;=Eingaben!$B$23,B540&lt;Eingaben!$B$24),OR(B540&gt;=Eingaben!$B$23,B540&lt;Eingaben!$B$24))),"HEAT","STANDARD"))</f>
        <v>STANDARD</v>
      </c>
      <c r="E540" s="9"/>
      <c r="F540" t="str">
        <f>IF(E540="",D540,E540)</f>
        <v>STANDARD</v>
      </c>
      <c r="G540" t="str">
        <f>INDEX(Netzzeiten!$B$6:$B$29,HOUR(B540)+1)</f>
        <v>NT</v>
      </c>
      <c r="H540" s="6">
        <f>IF(F540="GO",Eingaben!$B$11,IF(F540="STANDARD",Eingaben!$B$12,IF(AND(F540="HEAT",ISNUMBER(Eingaben!$B$13)),Eingaben!$B$13,"")))</f>
        <v>28.2744</v>
      </c>
      <c r="I540" s="6">
        <f>INDEX(Netzzeiten!$C$6:$C$29,HOUR(B540)+1)</f>
        <v>1.64</v>
      </c>
      <c r="J540" t="str">
        <f>IF(C540="","FEHLT",IF(NOT(ISNUMBER(C540)),"MESSWERT UNGUELTIG",IF(C540&lt;0,"MESSWERT UNGUELTIG",IF(H540="","TARIFPREIS FEHLT","OK"))))</f>
        <v>FEHLT</v>
      </c>
      <c r="K540" s="7">
        <f>IF(J540&lt;&gt;"OK","",C540*I540/100)</f>
        <v/>
      </c>
    </row>
    <row r="541" spans="1:11">
      <c r="A541" s="14">
        <v>46148</v>
      </c>
      <c r="B541" s="15">
        <v>0.5729166666666666</v>
      </c>
      <c r="C541" s="5">
        <f>IF('96 Werte'!BE11="","",'96 Werte'!BE11)</f>
        <v/>
      </c>
      <c r="D541" t="str">
        <f>IF(IF(Eingaben!$B$21&lt;Eingaben!$B$22,AND(B541&gt;=Eingaben!$B$21,B541&lt;Eingaben!$B$22),OR(B541&gt;=Eingaben!$B$21,B541&lt;Eingaben!$B$22)),"GO",IF(AND(ISNUMBER(Eingaben!$B$23),ISNUMBER(Eingaben!$B$24),IF(Eingaben!$B$23&lt;Eingaben!$B$24,AND(B541&gt;=Eingaben!$B$23,B541&lt;Eingaben!$B$24),OR(B541&gt;=Eingaben!$B$23,B541&lt;Eingaben!$B$24))),"HEAT","STANDARD"))</f>
        <v>STANDARD</v>
      </c>
      <c r="E541" s="9"/>
      <c r="F541" t="str">
        <f>IF(E541="",D541,E541)</f>
        <v>STANDARD</v>
      </c>
      <c r="G541" t="str">
        <f>INDEX(Netzzeiten!$B$6:$B$29,HOUR(B541)+1)</f>
        <v>NT</v>
      </c>
      <c r="H541" s="6">
        <f>IF(F541="GO",Eingaben!$B$11,IF(F541="STANDARD",Eingaben!$B$12,IF(AND(F541="HEAT",ISNUMBER(Eingaben!$B$13)),Eingaben!$B$13,"")))</f>
        <v>28.2744</v>
      </c>
      <c r="I541" s="6">
        <f>INDEX(Netzzeiten!$C$6:$C$29,HOUR(B541)+1)</f>
        <v>1.64</v>
      </c>
      <c r="J541" t="str">
        <f>IF(C541="","FEHLT",IF(NOT(ISNUMBER(C541)),"MESSWERT UNGUELTIG",IF(C541&lt;0,"MESSWERT UNGUELTIG",IF(H541="","TARIFPREIS FEHLT","OK"))))</f>
        <v>FEHLT</v>
      </c>
      <c r="K541" s="7">
        <f>IF(J541&lt;&gt;"OK","",C541*I541/100)</f>
        <v/>
      </c>
    </row>
    <row r="542" spans="1:11">
      <c r="A542" s="14">
        <v>46148</v>
      </c>
      <c r="B542" s="15">
        <v>0.5833333333333334</v>
      </c>
      <c r="C542" s="5">
        <f>IF('96 Werte'!BF11="","",'96 Werte'!BF11)</f>
        <v/>
      </c>
      <c r="D542" t="str">
        <f>IF(IF(Eingaben!$B$21&lt;Eingaben!$B$22,AND(B542&gt;=Eingaben!$B$21,B542&lt;Eingaben!$B$22),OR(B542&gt;=Eingaben!$B$21,B542&lt;Eingaben!$B$22)),"GO",IF(AND(ISNUMBER(Eingaben!$B$23),ISNUMBER(Eingaben!$B$24),IF(Eingaben!$B$23&lt;Eingaben!$B$24,AND(B542&gt;=Eingaben!$B$23,B542&lt;Eingaben!$B$24),OR(B542&gt;=Eingaben!$B$23,B542&lt;Eingaben!$B$24))),"HEAT","STANDARD"))</f>
        <v>STANDARD</v>
      </c>
      <c r="E542" s="9"/>
      <c r="F542" t="str">
        <f>IF(E542="",D542,E542)</f>
        <v>STANDARD</v>
      </c>
      <c r="G542" t="str">
        <f>INDEX(Netzzeiten!$B$6:$B$29,HOUR(B542)+1)</f>
        <v>NT</v>
      </c>
      <c r="H542" s="6">
        <f>IF(F542="GO",Eingaben!$B$11,IF(F542="STANDARD",Eingaben!$B$12,IF(AND(F542="HEAT",ISNUMBER(Eingaben!$B$13)),Eingaben!$B$13,"")))</f>
        <v>28.2744</v>
      </c>
      <c r="I542" s="6">
        <f>INDEX(Netzzeiten!$C$6:$C$29,HOUR(B542)+1)</f>
        <v>1.64</v>
      </c>
      <c r="J542" t="str">
        <f>IF(C542="","FEHLT",IF(NOT(ISNUMBER(C542)),"MESSWERT UNGUELTIG",IF(C542&lt;0,"MESSWERT UNGUELTIG",IF(H542="","TARIFPREIS FEHLT","OK"))))</f>
        <v>FEHLT</v>
      </c>
      <c r="K542" s="7">
        <f>IF(J542&lt;&gt;"OK","",C542*I542/100)</f>
        <v/>
      </c>
    </row>
    <row r="543" spans="1:11">
      <c r="A543" s="14">
        <v>46148</v>
      </c>
      <c r="B543" s="15">
        <v>0.59375</v>
      </c>
      <c r="C543" s="5">
        <f>IF('96 Werte'!BG11="","",'96 Werte'!BG11)</f>
        <v/>
      </c>
      <c r="D543" t="str">
        <f>IF(IF(Eingaben!$B$21&lt;Eingaben!$B$22,AND(B543&gt;=Eingaben!$B$21,B543&lt;Eingaben!$B$22),OR(B543&gt;=Eingaben!$B$21,B543&lt;Eingaben!$B$22)),"GO",IF(AND(ISNUMBER(Eingaben!$B$23),ISNUMBER(Eingaben!$B$24),IF(Eingaben!$B$23&lt;Eingaben!$B$24,AND(B543&gt;=Eingaben!$B$23,B543&lt;Eingaben!$B$24),OR(B543&gt;=Eingaben!$B$23,B543&lt;Eingaben!$B$24))),"HEAT","STANDARD"))</f>
        <v>STANDARD</v>
      </c>
      <c r="E543" s="9"/>
      <c r="F543" t="str">
        <f>IF(E543="",D543,E543)</f>
        <v>STANDARD</v>
      </c>
      <c r="G543" t="str">
        <f>INDEX(Netzzeiten!$B$6:$B$29,HOUR(B543)+1)</f>
        <v>NT</v>
      </c>
      <c r="H543" s="6">
        <f>IF(F543="GO",Eingaben!$B$11,IF(F543="STANDARD",Eingaben!$B$12,IF(AND(F543="HEAT",ISNUMBER(Eingaben!$B$13)),Eingaben!$B$13,"")))</f>
        <v>28.2744</v>
      </c>
      <c r="I543" s="6">
        <f>INDEX(Netzzeiten!$C$6:$C$29,HOUR(B543)+1)</f>
        <v>1.64</v>
      </c>
      <c r="J543" t="str">
        <f>IF(C543="","FEHLT",IF(NOT(ISNUMBER(C543)),"MESSWERT UNGUELTIG",IF(C543&lt;0,"MESSWERT UNGUELTIG",IF(H543="","TARIFPREIS FEHLT","OK"))))</f>
        <v>FEHLT</v>
      </c>
      <c r="K543" s="7">
        <f>IF(J543&lt;&gt;"OK","",C543*I543/100)</f>
        <v/>
      </c>
    </row>
    <row r="544" spans="1:11">
      <c r="A544" s="14">
        <v>46148</v>
      </c>
      <c r="B544" s="15">
        <v>0.6041666666666666</v>
      </c>
      <c r="C544" s="5">
        <f>IF('96 Werte'!BH11="","",'96 Werte'!BH11)</f>
        <v/>
      </c>
      <c r="D544" t="str">
        <f>IF(IF(Eingaben!$B$21&lt;Eingaben!$B$22,AND(B544&gt;=Eingaben!$B$21,B544&lt;Eingaben!$B$22),OR(B544&gt;=Eingaben!$B$21,B544&lt;Eingaben!$B$22)),"GO",IF(AND(ISNUMBER(Eingaben!$B$23),ISNUMBER(Eingaben!$B$24),IF(Eingaben!$B$23&lt;Eingaben!$B$24,AND(B544&gt;=Eingaben!$B$23,B544&lt;Eingaben!$B$24),OR(B544&gt;=Eingaben!$B$23,B544&lt;Eingaben!$B$24))),"HEAT","STANDARD"))</f>
        <v>STANDARD</v>
      </c>
      <c r="E544" s="9"/>
      <c r="F544" t="str">
        <f>IF(E544="",D544,E544)</f>
        <v>STANDARD</v>
      </c>
      <c r="G544" t="str">
        <f>INDEX(Netzzeiten!$B$6:$B$29,HOUR(B544)+1)</f>
        <v>NT</v>
      </c>
      <c r="H544" s="6">
        <f>IF(F544="GO",Eingaben!$B$11,IF(F544="STANDARD",Eingaben!$B$12,IF(AND(F544="HEAT",ISNUMBER(Eingaben!$B$13)),Eingaben!$B$13,"")))</f>
        <v>28.2744</v>
      </c>
      <c r="I544" s="6">
        <f>INDEX(Netzzeiten!$C$6:$C$29,HOUR(B544)+1)</f>
        <v>1.64</v>
      </c>
      <c r="J544" t="str">
        <f>IF(C544="","FEHLT",IF(NOT(ISNUMBER(C544)),"MESSWERT UNGUELTIG",IF(C544&lt;0,"MESSWERT UNGUELTIG",IF(H544="","TARIFPREIS FEHLT","OK"))))</f>
        <v>FEHLT</v>
      </c>
      <c r="K544" s="7">
        <f>IF(J544&lt;&gt;"OK","",C544*I544/100)</f>
        <v/>
      </c>
    </row>
    <row r="545" spans="1:11">
      <c r="A545" s="14">
        <v>46148</v>
      </c>
      <c r="B545" s="15">
        <v>0.6145833333333334</v>
      </c>
      <c r="C545" s="5">
        <f>IF('96 Werte'!BI11="","",'96 Werte'!BI11)</f>
        <v/>
      </c>
      <c r="D545" t="str">
        <f>IF(IF(Eingaben!$B$21&lt;Eingaben!$B$22,AND(B545&gt;=Eingaben!$B$21,B545&lt;Eingaben!$B$22),OR(B545&gt;=Eingaben!$B$21,B545&lt;Eingaben!$B$22)),"GO",IF(AND(ISNUMBER(Eingaben!$B$23),ISNUMBER(Eingaben!$B$24),IF(Eingaben!$B$23&lt;Eingaben!$B$24,AND(B545&gt;=Eingaben!$B$23,B545&lt;Eingaben!$B$24),OR(B545&gt;=Eingaben!$B$23,B545&lt;Eingaben!$B$24))),"HEAT","STANDARD"))</f>
        <v>STANDARD</v>
      </c>
      <c r="E545" s="9"/>
      <c r="F545" t="str">
        <f>IF(E545="",D545,E545)</f>
        <v>STANDARD</v>
      </c>
      <c r="G545" t="str">
        <f>INDEX(Netzzeiten!$B$6:$B$29,HOUR(B545)+1)</f>
        <v>NT</v>
      </c>
      <c r="H545" s="6">
        <f>IF(F545="GO",Eingaben!$B$11,IF(F545="STANDARD",Eingaben!$B$12,IF(AND(F545="HEAT",ISNUMBER(Eingaben!$B$13)),Eingaben!$B$13,"")))</f>
        <v>28.2744</v>
      </c>
      <c r="I545" s="6">
        <f>INDEX(Netzzeiten!$C$6:$C$29,HOUR(B545)+1)</f>
        <v>1.64</v>
      </c>
      <c r="J545" t="str">
        <f>IF(C545="","FEHLT",IF(NOT(ISNUMBER(C545)),"MESSWERT UNGUELTIG",IF(C545&lt;0,"MESSWERT UNGUELTIG",IF(H545="","TARIFPREIS FEHLT","OK"))))</f>
        <v>FEHLT</v>
      </c>
      <c r="K545" s="7">
        <f>IF(J545&lt;&gt;"OK","",C545*I545/100)</f>
        <v/>
      </c>
    </row>
    <row r="546" spans="1:11">
      <c r="A546" s="14">
        <v>46148</v>
      </c>
      <c r="B546" s="15">
        <v>0.625</v>
      </c>
      <c r="C546" s="5">
        <f>IF('96 Werte'!BJ11="","",'96 Werte'!BJ11)</f>
        <v/>
      </c>
      <c r="D546" t="str">
        <f>IF(IF(Eingaben!$B$21&lt;Eingaben!$B$22,AND(B546&gt;=Eingaben!$B$21,B546&lt;Eingaben!$B$22),OR(B546&gt;=Eingaben!$B$21,B546&lt;Eingaben!$B$22)),"GO",IF(AND(ISNUMBER(Eingaben!$B$23),ISNUMBER(Eingaben!$B$24),IF(Eingaben!$B$23&lt;Eingaben!$B$24,AND(B546&gt;=Eingaben!$B$23,B546&lt;Eingaben!$B$24),OR(B546&gt;=Eingaben!$B$23,B546&lt;Eingaben!$B$24))),"HEAT","STANDARD"))</f>
        <v>STANDARD</v>
      </c>
      <c r="E546" s="9"/>
      <c r="F546" t="str">
        <f>IF(E546="",D546,E546)</f>
        <v>STANDARD</v>
      </c>
      <c r="G546" t="str">
        <f>INDEX(Netzzeiten!$B$6:$B$29,HOUR(B546)+1)</f>
        <v>ST</v>
      </c>
      <c r="H546" s="6">
        <f>IF(F546="GO",Eingaben!$B$11,IF(F546="STANDARD",Eingaben!$B$12,IF(AND(F546="HEAT",ISNUMBER(Eingaben!$B$13)),Eingaben!$B$13,"")))</f>
        <v>28.2744</v>
      </c>
      <c r="I546" s="6">
        <f>INDEX(Netzzeiten!$C$6:$C$29,HOUR(B546)+1)</f>
        <v>5.48</v>
      </c>
      <c r="J546" t="str">
        <f>IF(C546="","FEHLT",IF(NOT(ISNUMBER(C546)),"MESSWERT UNGUELTIG",IF(C546&lt;0,"MESSWERT UNGUELTIG",IF(H546="","TARIFPREIS FEHLT","OK"))))</f>
        <v>FEHLT</v>
      </c>
      <c r="K546" s="7">
        <f>IF(J546&lt;&gt;"OK","",C546*I546/100)</f>
        <v/>
      </c>
    </row>
    <row r="547" spans="1:11">
      <c r="A547" s="14">
        <v>46148</v>
      </c>
      <c r="B547" s="15">
        <v>0.6354166666666666</v>
      </c>
      <c r="C547" s="5">
        <f>IF('96 Werte'!BK11="","",'96 Werte'!BK11)</f>
        <v/>
      </c>
      <c r="D547" t="str">
        <f>IF(IF(Eingaben!$B$21&lt;Eingaben!$B$22,AND(B547&gt;=Eingaben!$B$21,B547&lt;Eingaben!$B$22),OR(B547&gt;=Eingaben!$B$21,B547&lt;Eingaben!$B$22)),"GO",IF(AND(ISNUMBER(Eingaben!$B$23),ISNUMBER(Eingaben!$B$24),IF(Eingaben!$B$23&lt;Eingaben!$B$24,AND(B547&gt;=Eingaben!$B$23,B547&lt;Eingaben!$B$24),OR(B547&gt;=Eingaben!$B$23,B547&lt;Eingaben!$B$24))),"HEAT","STANDARD"))</f>
        <v>STANDARD</v>
      </c>
      <c r="E547" s="9"/>
      <c r="F547" t="str">
        <f>IF(E547="",D547,E547)</f>
        <v>STANDARD</v>
      </c>
      <c r="G547" t="str">
        <f>INDEX(Netzzeiten!$B$6:$B$29,HOUR(B547)+1)</f>
        <v>ST</v>
      </c>
      <c r="H547" s="6">
        <f>IF(F547="GO",Eingaben!$B$11,IF(F547="STANDARD",Eingaben!$B$12,IF(AND(F547="HEAT",ISNUMBER(Eingaben!$B$13)),Eingaben!$B$13,"")))</f>
        <v>28.2744</v>
      </c>
      <c r="I547" s="6">
        <f>INDEX(Netzzeiten!$C$6:$C$29,HOUR(B547)+1)</f>
        <v>5.48</v>
      </c>
      <c r="J547" t="str">
        <f>IF(C547="","FEHLT",IF(NOT(ISNUMBER(C547)),"MESSWERT UNGUELTIG",IF(C547&lt;0,"MESSWERT UNGUELTIG",IF(H547="","TARIFPREIS FEHLT","OK"))))</f>
        <v>FEHLT</v>
      </c>
      <c r="K547" s="7">
        <f>IF(J547&lt;&gt;"OK","",C547*I547/100)</f>
        <v/>
      </c>
    </row>
    <row r="548" spans="1:11">
      <c r="A548" s="14">
        <v>46148</v>
      </c>
      <c r="B548" s="15">
        <v>0.6458333333333334</v>
      </c>
      <c r="C548" s="5">
        <f>IF('96 Werte'!BL11="","",'96 Werte'!BL11)</f>
        <v/>
      </c>
      <c r="D548" t="str">
        <f>IF(IF(Eingaben!$B$21&lt;Eingaben!$B$22,AND(B548&gt;=Eingaben!$B$21,B548&lt;Eingaben!$B$22),OR(B548&gt;=Eingaben!$B$21,B548&lt;Eingaben!$B$22)),"GO",IF(AND(ISNUMBER(Eingaben!$B$23),ISNUMBER(Eingaben!$B$24),IF(Eingaben!$B$23&lt;Eingaben!$B$24,AND(B548&gt;=Eingaben!$B$23,B548&lt;Eingaben!$B$24),OR(B548&gt;=Eingaben!$B$23,B548&lt;Eingaben!$B$24))),"HEAT","STANDARD"))</f>
        <v>STANDARD</v>
      </c>
      <c r="E548" s="9"/>
      <c r="F548" t="str">
        <f>IF(E548="",D548,E548)</f>
        <v>STANDARD</v>
      </c>
      <c r="G548" t="str">
        <f>INDEX(Netzzeiten!$B$6:$B$29,HOUR(B548)+1)</f>
        <v>ST</v>
      </c>
      <c r="H548" s="6">
        <f>IF(F548="GO",Eingaben!$B$11,IF(F548="STANDARD",Eingaben!$B$12,IF(AND(F548="HEAT",ISNUMBER(Eingaben!$B$13)),Eingaben!$B$13,"")))</f>
        <v>28.2744</v>
      </c>
      <c r="I548" s="6">
        <f>INDEX(Netzzeiten!$C$6:$C$29,HOUR(B548)+1)</f>
        <v>5.48</v>
      </c>
      <c r="J548" t="str">
        <f>IF(C548="","FEHLT",IF(NOT(ISNUMBER(C548)),"MESSWERT UNGUELTIG",IF(C548&lt;0,"MESSWERT UNGUELTIG",IF(H548="","TARIFPREIS FEHLT","OK"))))</f>
        <v>FEHLT</v>
      </c>
      <c r="K548" s="7">
        <f>IF(J548&lt;&gt;"OK","",C548*I548/100)</f>
        <v/>
      </c>
    </row>
    <row r="549" spans="1:11">
      <c r="A549" s="14">
        <v>46148</v>
      </c>
      <c r="B549" s="15">
        <v>0.65625</v>
      </c>
      <c r="C549" s="5">
        <f>IF('96 Werte'!BM11="","",'96 Werte'!BM11)</f>
        <v/>
      </c>
      <c r="D549" t="str">
        <f>IF(IF(Eingaben!$B$21&lt;Eingaben!$B$22,AND(B549&gt;=Eingaben!$B$21,B549&lt;Eingaben!$B$22),OR(B549&gt;=Eingaben!$B$21,B549&lt;Eingaben!$B$22)),"GO",IF(AND(ISNUMBER(Eingaben!$B$23),ISNUMBER(Eingaben!$B$24),IF(Eingaben!$B$23&lt;Eingaben!$B$24,AND(B549&gt;=Eingaben!$B$23,B549&lt;Eingaben!$B$24),OR(B549&gt;=Eingaben!$B$23,B549&lt;Eingaben!$B$24))),"HEAT","STANDARD"))</f>
        <v>STANDARD</v>
      </c>
      <c r="E549" s="9"/>
      <c r="F549" t="str">
        <f>IF(E549="",D549,E549)</f>
        <v>STANDARD</v>
      </c>
      <c r="G549" t="str">
        <f>INDEX(Netzzeiten!$B$6:$B$29,HOUR(B549)+1)</f>
        <v>ST</v>
      </c>
      <c r="H549" s="6">
        <f>IF(F549="GO",Eingaben!$B$11,IF(F549="STANDARD",Eingaben!$B$12,IF(AND(F549="HEAT",ISNUMBER(Eingaben!$B$13)),Eingaben!$B$13,"")))</f>
        <v>28.2744</v>
      </c>
      <c r="I549" s="6">
        <f>INDEX(Netzzeiten!$C$6:$C$29,HOUR(B549)+1)</f>
        <v>5.48</v>
      </c>
      <c r="J549" t="str">
        <f>IF(C549="","FEHLT",IF(NOT(ISNUMBER(C549)),"MESSWERT UNGUELTIG",IF(C549&lt;0,"MESSWERT UNGUELTIG",IF(H549="","TARIFPREIS FEHLT","OK"))))</f>
        <v>FEHLT</v>
      </c>
      <c r="K549" s="7">
        <f>IF(J549&lt;&gt;"OK","",C549*I549/100)</f>
        <v/>
      </c>
    </row>
    <row r="550" spans="1:11">
      <c r="A550" s="14">
        <v>46148</v>
      </c>
      <c r="B550" s="15">
        <v>0.6666666666666666</v>
      </c>
      <c r="C550" s="5">
        <f>IF('96 Werte'!BN11="","",'96 Werte'!BN11)</f>
        <v/>
      </c>
      <c r="D550" t="str">
        <f>IF(IF(Eingaben!$B$21&lt;Eingaben!$B$22,AND(B550&gt;=Eingaben!$B$21,B550&lt;Eingaben!$B$22),OR(B550&gt;=Eingaben!$B$21,B550&lt;Eingaben!$B$22)),"GO",IF(AND(ISNUMBER(Eingaben!$B$23),ISNUMBER(Eingaben!$B$24),IF(Eingaben!$B$23&lt;Eingaben!$B$24,AND(B550&gt;=Eingaben!$B$23,B550&lt;Eingaben!$B$24),OR(B550&gt;=Eingaben!$B$23,B550&lt;Eingaben!$B$24))),"HEAT","STANDARD"))</f>
        <v>STANDARD</v>
      </c>
      <c r="E550" s="9"/>
      <c r="F550" t="str">
        <f>IF(E550="",D550,E550)</f>
        <v>STANDARD</v>
      </c>
      <c r="G550" t="str">
        <f>INDEX(Netzzeiten!$B$6:$B$29,HOUR(B550)+1)</f>
        <v>ST</v>
      </c>
      <c r="H550" s="6">
        <f>IF(F550="GO",Eingaben!$B$11,IF(F550="STANDARD",Eingaben!$B$12,IF(AND(F550="HEAT",ISNUMBER(Eingaben!$B$13)),Eingaben!$B$13,"")))</f>
        <v>28.2744</v>
      </c>
      <c r="I550" s="6">
        <f>INDEX(Netzzeiten!$C$6:$C$29,HOUR(B550)+1)</f>
        <v>5.48</v>
      </c>
      <c r="J550" t="str">
        <f>IF(C550="","FEHLT",IF(NOT(ISNUMBER(C550)),"MESSWERT UNGUELTIG",IF(C550&lt;0,"MESSWERT UNGUELTIG",IF(H550="","TARIFPREIS FEHLT","OK"))))</f>
        <v>FEHLT</v>
      </c>
      <c r="K550" s="7">
        <f>IF(J550&lt;&gt;"OK","",C550*I550/100)</f>
        <v/>
      </c>
    </row>
    <row r="551" spans="1:11">
      <c r="A551" s="14">
        <v>46148</v>
      </c>
      <c r="B551" s="15">
        <v>0.6770833333333334</v>
      </c>
      <c r="C551" s="5">
        <f>IF('96 Werte'!BO11="","",'96 Werte'!BO11)</f>
        <v/>
      </c>
      <c r="D551" t="str">
        <f>IF(IF(Eingaben!$B$21&lt;Eingaben!$B$22,AND(B551&gt;=Eingaben!$B$21,B551&lt;Eingaben!$B$22),OR(B551&gt;=Eingaben!$B$21,B551&lt;Eingaben!$B$22)),"GO",IF(AND(ISNUMBER(Eingaben!$B$23),ISNUMBER(Eingaben!$B$24),IF(Eingaben!$B$23&lt;Eingaben!$B$24,AND(B551&gt;=Eingaben!$B$23,B551&lt;Eingaben!$B$24),OR(B551&gt;=Eingaben!$B$23,B551&lt;Eingaben!$B$24))),"HEAT","STANDARD"))</f>
        <v>STANDARD</v>
      </c>
      <c r="E551" s="9"/>
      <c r="F551" t="str">
        <f>IF(E551="",D551,E551)</f>
        <v>STANDARD</v>
      </c>
      <c r="G551" t="str">
        <f>INDEX(Netzzeiten!$B$6:$B$29,HOUR(B551)+1)</f>
        <v>ST</v>
      </c>
      <c r="H551" s="6">
        <f>IF(F551="GO",Eingaben!$B$11,IF(F551="STANDARD",Eingaben!$B$12,IF(AND(F551="HEAT",ISNUMBER(Eingaben!$B$13)),Eingaben!$B$13,"")))</f>
        <v>28.2744</v>
      </c>
      <c r="I551" s="6">
        <f>INDEX(Netzzeiten!$C$6:$C$29,HOUR(B551)+1)</f>
        <v>5.48</v>
      </c>
      <c r="J551" t="str">
        <f>IF(C551="","FEHLT",IF(NOT(ISNUMBER(C551)),"MESSWERT UNGUELTIG",IF(C551&lt;0,"MESSWERT UNGUELTIG",IF(H551="","TARIFPREIS FEHLT","OK"))))</f>
        <v>FEHLT</v>
      </c>
      <c r="K551" s="7">
        <f>IF(J551&lt;&gt;"OK","",C551*I551/100)</f>
        <v/>
      </c>
    </row>
    <row r="552" spans="1:11">
      <c r="A552" s="14">
        <v>46148</v>
      </c>
      <c r="B552" s="15">
        <v>0.6875</v>
      </c>
      <c r="C552" s="5">
        <f>IF('96 Werte'!BP11="","",'96 Werte'!BP11)</f>
        <v/>
      </c>
      <c r="D552" t="str">
        <f>IF(IF(Eingaben!$B$21&lt;Eingaben!$B$22,AND(B552&gt;=Eingaben!$B$21,B552&lt;Eingaben!$B$22),OR(B552&gt;=Eingaben!$B$21,B552&lt;Eingaben!$B$22)),"GO",IF(AND(ISNUMBER(Eingaben!$B$23),ISNUMBER(Eingaben!$B$24),IF(Eingaben!$B$23&lt;Eingaben!$B$24,AND(B552&gt;=Eingaben!$B$23,B552&lt;Eingaben!$B$24),OR(B552&gt;=Eingaben!$B$23,B552&lt;Eingaben!$B$24))),"HEAT","STANDARD"))</f>
        <v>STANDARD</v>
      </c>
      <c r="E552" s="9"/>
      <c r="F552" t="str">
        <f>IF(E552="",D552,E552)</f>
        <v>STANDARD</v>
      </c>
      <c r="G552" t="str">
        <f>INDEX(Netzzeiten!$B$6:$B$29,HOUR(B552)+1)</f>
        <v>ST</v>
      </c>
      <c r="H552" s="6">
        <f>IF(F552="GO",Eingaben!$B$11,IF(F552="STANDARD",Eingaben!$B$12,IF(AND(F552="HEAT",ISNUMBER(Eingaben!$B$13)),Eingaben!$B$13,"")))</f>
        <v>28.2744</v>
      </c>
      <c r="I552" s="6">
        <f>INDEX(Netzzeiten!$C$6:$C$29,HOUR(B552)+1)</f>
        <v>5.48</v>
      </c>
      <c r="J552" t="str">
        <f>IF(C552="","FEHLT",IF(NOT(ISNUMBER(C552)),"MESSWERT UNGUELTIG",IF(C552&lt;0,"MESSWERT UNGUELTIG",IF(H552="","TARIFPREIS FEHLT","OK"))))</f>
        <v>FEHLT</v>
      </c>
      <c r="K552" s="7">
        <f>IF(J552&lt;&gt;"OK","",C552*I552/100)</f>
        <v/>
      </c>
    </row>
    <row r="553" spans="1:11">
      <c r="A553" s="14">
        <v>46148</v>
      </c>
      <c r="B553" s="15">
        <v>0.6979166666666666</v>
      </c>
      <c r="C553" s="5">
        <f>IF('96 Werte'!BQ11="","",'96 Werte'!BQ11)</f>
        <v/>
      </c>
      <c r="D553" t="str">
        <f>IF(IF(Eingaben!$B$21&lt;Eingaben!$B$22,AND(B553&gt;=Eingaben!$B$21,B553&lt;Eingaben!$B$22),OR(B553&gt;=Eingaben!$B$21,B553&lt;Eingaben!$B$22)),"GO",IF(AND(ISNUMBER(Eingaben!$B$23),ISNUMBER(Eingaben!$B$24),IF(Eingaben!$B$23&lt;Eingaben!$B$24,AND(B553&gt;=Eingaben!$B$23,B553&lt;Eingaben!$B$24),OR(B553&gt;=Eingaben!$B$23,B553&lt;Eingaben!$B$24))),"HEAT","STANDARD"))</f>
        <v>STANDARD</v>
      </c>
      <c r="E553" s="9"/>
      <c r="F553" t="str">
        <f>IF(E553="",D553,E553)</f>
        <v>STANDARD</v>
      </c>
      <c r="G553" t="str">
        <f>INDEX(Netzzeiten!$B$6:$B$29,HOUR(B553)+1)</f>
        <v>ST</v>
      </c>
      <c r="H553" s="6">
        <f>IF(F553="GO",Eingaben!$B$11,IF(F553="STANDARD",Eingaben!$B$12,IF(AND(F553="HEAT",ISNUMBER(Eingaben!$B$13)),Eingaben!$B$13,"")))</f>
        <v>28.2744</v>
      </c>
      <c r="I553" s="6">
        <f>INDEX(Netzzeiten!$C$6:$C$29,HOUR(B553)+1)</f>
        <v>5.48</v>
      </c>
      <c r="J553" t="str">
        <f>IF(C553="","FEHLT",IF(NOT(ISNUMBER(C553)),"MESSWERT UNGUELTIG",IF(C553&lt;0,"MESSWERT UNGUELTIG",IF(H553="","TARIFPREIS FEHLT","OK"))))</f>
        <v>FEHLT</v>
      </c>
      <c r="K553" s="7">
        <f>IF(J553&lt;&gt;"OK","",C553*I553/100)</f>
        <v/>
      </c>
    </row>
    <row r="554" spans="1:11">
      <c r="A554" s="14">
        <v>46148</v>
      </c>
      <c r="B554" s="15">
        <v>0.7083333333333334</v>
      </c>
      <c r="C554" s="5">
        <f>IF('96 Werte'!BR11="","",'96 Werte'!BR11)</f>
        <v/>
      </c>
      <c r="D554" t="str">
        <f>IF(IF(Eingaben!$B$21&lt;Eingaben!$B$22,AND(B554&gt;=Eingaben!$B$21,B554&lt;Eingaben!$B$22),OR(B554&gt;=Eingaben!$B$21,B554&lt;Eingaben!$B$22)),"GO",IF(AND(ISNUMBER(Eingaben!$B$23),ISNUMBER(Eingaben!$B$24),IF(Eingaben!$B$23&lt;Eingaben!$B$24,AND(B554&gt;=Eingaben!$B$23,B554&lt;Eingaben!$B$24),OR(B554&gt;=Eingaben!$B$23,B554&lt;Eingaben!$B$24))),"HEAT","STANDARD"))</f>
        <v>STANDARD</v>
      </c>
      <c r="E554" s="9"/>
      <c r="F554" t="str">
        <f>IF(E554="",D554,E554)</f>
        <v>STANDARD</v>
      </c>
      <c r="G554" t="str">
        <f>INDEX(Netzzeiten!$B$6:$B$29,HOUR(B554)+1)</f>
        <v>HT</v>
      </c>
      <c r="H554" s="6">
        <f>IF(F554="GO",Eingaben!$B$11,IF(F554="STANDARD",Eingaben!$B$12,IF(AND(F554="HEAT",ISNUMBER(Eingaben!$B$13)),Eingaben!$B$13,"")))</f>
        <v>28.2744</v>
      </c>
      <c r="I554" s="6">
        <f>INDEX(Netzzeiten!$C$6:$C$29,HOUR(B554)+1)</f>
        <v>10.52</v>
      </c>
      <c r="J554" t="str">
        <f>IF(C554="","FEHLT",IF(NOT(ISNUMBER(C554)),"MESSWERT UNGUELTIG",IF(C554&lt;0,"MESSWERT UNGUELTIG",IF(H554="","TARIFPREIS FEHLT","OK"))))</f>
        <v>FEHLT</v>
      </c>
      <c r="K554" s="7">
        <f>IF(J554&lt;&gt;"OK","",C554*I554/100)</f>
        <v/>
      </c>
    </row>
    <row r="555" spans="1:11">
      <c r="A555" s="14">
        <v>46148</v>
      </c>
      <c r="B555" s="15">
        <v>0.71875</v>
      </c>
      <c r="C555" s="5">
        <f>IF('96 Werte'!BS11="","",'96 Werte'!BS11)</f>
        <v/>
      </c>
      <c r="D555" t="str">
        <f>IF(IF(Eingaben!$B$21&lt;Eingaben!$B$22,AND(B555&gt;=Eingaben!$B$21,B555&lt;Eingaben!$B$22),OR(B555&gt;=Eingaben!$B$21,B555&lt;Eingaben!$B$22)),"GO",IF(AND(ISNUMBER(Eingaben!$B$23),ISNUMBER(Eingaben!$B$24),IF(Eingaben!$B$23&lt;Eingaben!$B$24,AND(B555&gt;=Eingaben!$B$23,B555&lt;Eingaben!$B$24),OR(B555&gt;=Eingaben!$B$23,B555&lt;Eingaben!$B$24))),"HEAT","STANDARD"))</f>
        <v>STANDARD</v>
      </c>
      <c r="E555" s="9"/>
      <c r="F555" t="str">
        <f>IF(E555="",D555,E555)</f>
        <v>STANDARD</v>
      </c>
      <c r="G555" t="str">
        <f>INDEX(Netzzeiten!$B$6:$B$29,HOUR(B555)+1)</f>
        <v>HT</v>
      </c>
      <c r="H555" s="6">
        <f>IF(F555="GO",Eingaben!$B$11,IF(F555="STANDARD",Eingaben!$B$12,IF(AND(F555="HEAT",ISNUMBER(Eingaben!$B$13)),Eingaben!$B$13,"")))</f>
        <v>28.2744</v>
      </c>
      <c r="I555" s="6">
        <f>INDEX(Netzzeiten!$C$6:$C$29,HOUR(B555)+1)</f>
        <v>10.52</v>
      </c>
      <c r="J555" t="str">
        <f>IF(C555="","FEHLT",IF(NOT(ISNUMBER(C555)),"MESSWERT UNGUELTIG",IF(C555&lt;0,"MESSWERT UNGUELTIG",IF(H555="","TARIFPREIS FEHLT","OK"))))</f>
        <v>FEHLT</v>
      </c>
      <c r="K555" s="7">
        <f>IF(J555&lt;&gt;"OK","",C555*I555/100)</f>
        <v/>
      </c>
    </row>
    <row r="556" spans="1:11">
      <c r="A556" s="14">
        <v>46148</v>
      </c>
      <c r="B556" s="15">
        <v>0.7291666666666666</v>
      </c>
      <c r="C556" s="5">
        <f>IF('96 Werte'!BT11="","",'96 Werte'!BT11)</f>
        <v/>
      </c>
      <c r="D556" t="str">
        <f>IF(IF(Eingaben!$B$21&lt;Eingaben!$B$22,AND(B556&gt;=Eingaben!$B$21,B556&lt;Eingaben!$B$22),OR(B556&gt;=Eingaben!$B$21,B556&lt;Eingaben!$B$22)),"GO",IF(AND(ISNUMBER(Eingaben!$B$23),ISNUMBER(Eingaben!$B$24),IF(Eingaben!$B$23&lt;Eingaben!$B$24,AND(B556&gt;=Eingaben!$B$23,B556&lt;Eingaben!$B$24),OR(B556&gt;=Eingaben!$B$23,B556&lt;Eingaben!$B$24))),"HEAT","STANDARD"))</f>
        <v>STANDARD</v>
      </c>
      <c r="E556" s="9"/>
      <c r="F556" t="str">
        <f>IF(E556="",D556,E556)</f>
        <v>STANDARD</v>
      </c>
      <c r="G556" t="str">
        <f>INDEX(Netzzeiten!$B$6:$B$29,HOUR(B556)+1)</f>
        <v>HT</v>
      </c>
      <c r="H556" s="6">
        <f>IF(F556="GO",Eingaben!$B$11,IF(F556="STANDARD",Eingaben!$B$12,IF(AND(F556="HEAT",ISNUMBER(Eingaben!$B$13)),Eingaben!$B$13,"")))</f>
        <v>28.2744</v>
      </c>
      <c r="I556" s="6">
        <f>INDEX(Netzzeiten!$C$6:$C$29,HOUR(B556)+1)</f>
        <v>10.52</v>
      </c>
      <c r="J556" t="str">
        <f>IF(C556="","FEHLT",IF(NOT(ISNUMBER(C556)),"MESSWERT UNGUELTIG",IF(C556&lt;0,"MESSWERT UNGUELTIG",IF(H556="","TARIFPREIS FEHLT","OK"))))</f>
        <v>FEHLT</v>
      </c>
      <c r="K556" s="7">
        <f>IF(J556&lt;&gt;"OK","",C556*I556/100)</f>
        <v/>
      </c>
    </row>
    <row r="557" spans="1:11">
      <c r="A557" s="14">
        <v>46148</v>
      </c>
      <c r="B557" s="15">
        <v>0.7395833333333334</v>
      </c>
      <c r="C557" s="5">
        <f>IF('96 Werte'!BU11="","",'96 Werte'!BU11)</f>
        <v/>
      </c>
      <c r="D557" t="str">
        <f>IF(IF(Eingaben!$B$21&lt;Eingaben!$B$22,AND(B557&gt;=Eingaben!$B$21,B557&lt;Eingaben!$B$22),OR(B557&gt;=Eingaben!$B$21,B557&lt;Eingaben!$B$22)),"GO",IF(AND(ISNUMBER(Eingaben!$B$23),ISNUMBER(Eingaben!$B$24),IF(Eingaben!$B$23&lt;Eingaben!$B$24,AND(B557&gt;=Eingaben!$B$23,B557&lt;Eingaben!$B$24),OR(B557&gt;=Eingaben!$B$23,B557&lt;Eingaben!$B$24))),"HEAT","STANDARD"))</f>
        <v>STANDARD</v>
      </c>
      <c r="E557" s="9"/>
      <c r="F557" t="str">
        <f>IF(E557="",D557,E557)</f>
        <v>STANDARD</v>
      </c>
      <c r="G557" t="str">
        <f>INDEX(Netzzeiten!$B$6:$B$29,HOUR(B557)+1)</f>
        <v>HT</v>
      </c>
      <c r="H557" s="6">
        <f>IF(F557="GO",Eingaben!$B$11,IF(F557="STANDARD",Eingaben!$B$12,IF(AND(F557="HEAT",ISNUMBER(Eingaben!$B$13)),Eingaben!$B$13,"")))</f>
        <v>28.2744</v>
      </c>
      <c r="I557" s="6">
        <f>INDEX(Netzzeiten!$C$6:$C$29,HOUR(B557)+1)</f>
        <v>10.52</v>
      </c>
      <c r="J557" t="str">
        <f>IF(C557="","FEHLT",IF(NOT(ISNUMBER(C557)),"MESSWERT UNGUELTIG",IF(C557&lt;0,"MESSWERT UNGUELTIG",IF(H557="","TARIFPREIS FEHLT","OK"))))</f>
        <v>FEHLT</v>
      </c>
      <c r="K557" s="7">
        <f>IF(J557&lt;&gt;"OK","",C557*I557/100)</f>
        <v/>
      </c>
    </row>
    <row r="558" spans="1:11">
      <c r="A558" s="14">
        <v>46148</v>
      </c>
      <c r="B558" s="15">
        <v>0.75</v>
      </c>
      <c r="C558" s="5">
        <f>IF('96 Werte'!BV11="","",'96 Werte'!BV11)</f>
        <v/>
      </c>
      <c r="D558" t="str">
        <f>IF(IF(Eingaben!$B$21&lt;Eingaben!$B$22,AND(B558&gt;=Eingaben!$B$21,B558&lt;Eingaben!$B$22),OR(B558&gt;=Eingaben!$B$21,B558&lt;Eingaben!$B$22)),"GO",IF(AND(ISNUMBER(Eingaben!$B$23),ISNUMBER(Eingaben!$B$24),IF(Eingaben!$B$23&lt;Eingaben!$B$24,AND(B558&gt;=Eingaben!$B$23,B558&lt;Eingaben!$B$24),OR(B558&gt;=Eingaben!$B$23,B558&lt;Eingaben!$B$24))),"HEAT","STANDARD"))</f>
        <v>STANDARD</v>
      </c>
      <c r="E558" s="9"/>
      <c r="F558" t="str">
        <f>IF(E558="",D558,E558)</f>
        <v>STANDARD</v>
      </c>
      <c r="G558" t="str">
        <f>INDEX(Netzzeiten!$B$6:$B$29,HOUR(B558)+1)</f>
        <v>HT</v>
      </c>
      <c r="H558" s="6">
        <f>IF(F558="GO",Eingaben!$B$11,IF(F558="STANDARD",Eingaben!$B$12,IF(AND(F558="HEAT",ISNUMBER(Eingaben!$B$13)),Eingaben!$B$13,"")))</f>
        <v>28.2744</v>
      </c>
      <c r="I558" s="6">
        <f>INDEX(Netzzeiten!$C$6:$C$29,HOUR(B558)+1)</f>
        <v>10.52</v>
      </c>
      <c r="J558" t="str">
        <f>IF(C558="","FEHLT",IF(NOT(ISNUMBER(C558)),"MESSWERT UNGUELTIG",IF(C558&lt;0,"MESSWERT UNGUELTIG",IF(H558="","TARIFPREIS FEHLT","OK"))))</f>
        <v>FEHLT</v>
      </c>
      <c r="K558" s="7">
        <f>IF(J558&lt;&gt;"OK","",C558*I558/100)</f>
        <v/>
      </c>
    </row>
    <row r="559" spans="1:11">
      <c r="A559" s="14">
        <v>46148</v>
      </c>
      <c r="B559" s="15">
        <v>0.7604166666666666</v>
      </c>
      <c r="C559" s="5">
        <f>IF('96 Werte'!BW11="","",'96 Werte'!BW11)</f>
        <v/>
      </c>
      <c r="D559" t="str">
        <f>IF(IF(Eingaben!$B$21&lt;Eingaben!$B$22,AND(B559&gt;=Eingaben!$B$21,B559&lt;Eingaben!$B$22),OR(B559&gt;=Eingaben!$B$21,B559&lt;Eingaben!$B$22)),"GO",IF(AND(ISNUMBER(Eingaben!$B$23),ISNUMBER(Eingaben!$B$24),IF(Eingaben!$B$23&lt;Eingaben!$B$24,AND(B559&gt;=Eingaben!$B$23,B559&lt;Eingaben!$B$24),OR(B559&gt;=Eingaben!$B$23,B559&lt;Eingaben!$B$24))),"HEAT","STANDARD"))</f>
        <v>STANDARD</v>
      </c>
      <c r="E559" s="9"/>
      <c r="F559" t="str">
        <f>IF(E559="",D559,E559)</f>
        <v>STANDARD</v>
      </c>
      <c r="G559" t="str">
        <f>INDEX(Netzzeiten!$B$6:$B$29,HOUR(B559)+1)</f>
        <v>HT</v>
      </c>
      <c r="H559" s="6">
        <f>IF(F559="GO",Eingaben!$B$11,IF(F559="STANDARD",Eingaben!$B$12,IF(AND(F559="HEAT",ISNUMBER(Eingaben!$B$13)),Eingaben!$B$13,"")))</f>
        <v>28.2744</v>
      </c>
      <c r="I559" s="6">
        <f>INDEX(Netzzeiten!$C$6:$C$29,HOUR(B559)+1)</f>
        <v>10.52</v>
      </c>
      <c r="J559" t="str">
        <f>IF(C559="","FEHLT",IF(NOT(ISNUMBER(C559)),"MESSWERT UNGUELTIG",IF(C559&lt;0,"MESSWERT UNGUELTIG",IF(H559="","TARIFPREIS FEHLT","OK"))))</f>
        <v>FEHLT</v>
      </c>
      <c r="K559" s="7">
        <f>IF(J559&lt;&gt;"OK","",C559*I559/100)</f>
        <v/>
      </c>
    </row>
    <row r="560" spans="1:11">
      <c r="A560" s="14">
        <v>46148</v>
      </c>
      <c r="B560" s="15">
        <v>0.7708333333333334</v>
      </c>
      <c r="C560" s="5">
        <f>IF('96 Werte'!BX11="","",'96 Werte'!BX11)</f>
        <v/>
      </c>
      <c r="D560" t="str">
        <f>IF(IF(Eingaben!$B$21&lt;Eingaben!$B$22,AND(B560&gt;=Eingaben!$B$21,B560&lt;Eingaben!$B$22),OR(B560&gt;=Eingaben!$B$21,B560&lt;Eingaben!$B$22)),"GO",IF(AND(ISNUMBER(Eingaben!$B$23),ISNUMBER(Eingaben!$B$24),IF(Eingaben!$B$23&lt;Eingaben!$B$24,AND(B560&gt;=Eingaben!$B$23,B560&lt;Eingaben!$B$24),OR(B560&gt;=Eingaben!$B$23,B560&lt;Eingaben!$B$24))),"HEAT","STANDARD"))</f>
        <v>STANDARD</v>
      </c>
      <c r="E560" s="9"/>
      <c r="F560" t="str">
        <f>IF(E560="",D560,E560)</f>
        <v>STANDARD</v>
      </c>
      <c r="G560" t="str">
        <f>INDEX(Netzzeiten!$B$6:$B$29,HOUR(B560)+1)</f>
        <v>HT</v>
      </c>
      <c r="H560" s="6">
        <f>IF(F560="GO",Eingaben!$B$11,IF(F560="STANDARD",Eingaben!$B$12,IF(AND(F560="HEAT",ISNUMBER(Eingaben!$B$13)),Eingaben!$B$13,"")))</f>
        <v>28.2744</v>
      </c>
      <c r="I560" s="6">
        <f>INDEX(Netzzeiten!$C$6:$C$29,HOUR(B560)+1)</f>
        <v>10.52</v>
      </c>
      <c r="J560" t="str">
        <f>IF(C560="","FEHLT",IF(NOT(ISNUMBER(C560)),"MESSWERT UNGUELTIG",IF(C560&lt;0,"MESSWERT UNGUELTIG",IF(H560="","TARIFPREIS FEHLT","OK"))))</f>
        <v>FEHLT</v>
      </c>
      <c r="K560" s="7">
        <f>IF(J560&lt;&gt;"OK","",C560*I560/100)</f>
        <v/>
      </c>
    </row>
    <row r="561" spans="1:11">
      <c r="A561" s="14">
        <v>46148</v>
      </c>
      <c r="B561" s="15">
        <v>0.78125</v>
      </c>
      <c r="C561" s="5">
        <f>IF('96 Werte'!BY11="","",'96 Werte'!BY11)</f>
        <v/>
      </c>
      <c r="D561" t="str">
        <f>IF(IF(Eingaben!$B$21&lt;Eingaben!$B$22,AND(B561&gt;=Eingaben!$B$21,B561&lt;Eingaben!$B$22),OR(B561&gt;=Eingaben!$B$21,B561&lt;Eingaben!$B$22)),"GO",IF(AND(ISNUMBER(Eingaben!$B$23),ISNUMBER(Eingaben!$B$24),IF(Eingaben!$B$23&lt;Eingaben!$B$24,AND(B561&gt;=Eingaben!$B$23,B561&lt;Eingaben!$B$24),OR(B561&gt;=Eingaben!$B$23,B561&lt;Eingaben!$B$24))),"HEAT","STANDARD"))</f>
        <v>STANDARD</v>
      </c>
      <c r="E561" s="9"/>
      <c r="F561" t="str">
        <f>IF(E561="",D561,E561)</f>
        <v>STANDARD</v>
      </c>
      <c r="G561" t="str">
        <f>INDEX(Netzzeiten!$B$6:$B$29,HOUR(B561)+1)</f>
        <v>HT</v>
      </c>
      <c r="H561" s="6">
        <f>IF(F561="GO",Eingaben!$B$11,IF(F561="STANDARD",Eingaben!$B$12,IF(AND(F561="HEAT",ISNUMBER(Eingaben!$B$13)),Eingaben!$B$13,"")))</f>
        <v>28.2744</v>
      </c>
      <c r="I561" s="6">
        <f>INDEX(Netzzeiten!$C$6:$C$29,HOUR(B561)+1)</f>
        <v>10.52</v>
      </c>
      <c r="J561" t="str">
        <f>IF(C561="","FEHLT",IF(NOT(ISNUMBER(C561)),"MESSWERT UNGUELTIG",IF(C561&lt;0,"MESSWERT UNGUELTIG",IF(H561="","TARIFPREIS FEHLT","OK"))))</f>
        <v>FEHLT</v>
      </c>
      <c r="K561" s="7">
        <f>IF(J561&lt;&gt;"OK","",C561*I561/100)</f>
        <v/>
      </c>
    </row>
    <row r="562" spans="1:11">
      <c r="A562" s="14">
        <v>46148</v>
      </c>
      <c r="B562" s="15">
        <v>0.7916666666666666</v>
      </c>
      <c r="C562" s="5">
        <f>IF('96 Werte'!BZ11="","",'96 Werte'!BZ11)</f>
        <v/>
      </c>
      <c r="D562" t="str">
        <f>IF(IF(Eingaben!$B$21&lt;Eingaben!$B$22,AND(B562&gt;=Eingaben!$B$21,B562&lt;Eingaben!$B$22),OR(B562&gt;=Eingaben!$B$21,B562&lt;Eingaben!$B$22)),"GO",IF(AND(ISNUMBER(Eingaben!$B$23),ISNUMBER(Eingaben!$B$24),IF(Eingaben!$B$23&lt;Eingaben!$B$24,AND(B562&gt;=Eingaben!$B$23,B562&lt;Eingaben!$B$24),OR(B562&gt;=Eingaben!$B$23,B562&lt;Eingaben!$B$24))),"HEAT","STANDARD"))</f>
        <v>STANDARD</v>
      </c>
      <c r="E562" s="9"/>
      <c r="F562" t="str">
        <f>IF(E562="",D562,E562)</f>
        <v>STANDARD</v>
      </c>
      <c r="G562" t="str">
        <f>INDEX(Netzzeiten!$B$6:$B$29,HOUR(B562)+1)</f>
        <v>HT</v>
      </c>
      <c r="H562" s="6">
        <f>IF(F562="GO",Eingaben!$B$11,IF(F562="STANDARD",Eingaben!$B$12,IF(AND(F562="HEAT",ISNUMBER(Eingaben!$B$13)),Eingaben!$B$13,"")))</f>
        <v>28.2744</v>
      </c>
      <c r="I562" s="6">
        <f>INDEX(Netzzeiten!$C$6:$C$29,HOUR(B562)+1)</f>
        <v>10.52</v>
      </c>
      <c r="J562" t="str">
        <f>IF(C562="","FEHLT",IF(NOT(ISNUMBER(C562)),"MESSWERT UNGUELTIG",IF(C562&lt;0,"MESSWERT UNGUELTIG",IF(H562="","TARIFPREIS FEHLT","OK"))))</f>
        <v>FEHLT</v>
      </c>
      <c r="K562" s="7">
        <f>IF(J562&lt;&gt;"OK","",C562*I562/100)</f>
        <v/>
      </c>
    </row>
    <row r="563" spans="1:11">
      <c r="A563" s="14">
        <v>46148</v>
      </c>
      <c r="B563" s="15">
        <v>0.8020833333333334</v>
      </c>
      <c r="C563" s="5">
        <f>IF('96 Werte'!CA11="","",'96 Werte'!CA11)</f>
        <v/>
      </c>
      <c r="D563" t="str">
        <f>IF(IF(Eingaben!$B$21&lt;Eingaben!$B$22,AND(B563&gt;=Eingaben!$B$21,B563&lt;Eingaben!$B$22),OR(B563&gt;=Eingaben!$B$21,B563&lt;Eingaben!$B$22)),"GO",IF(AND(ISNUMBER(Eingaben!$B$23),ISNUMBER(Eingaben!$B$24),IF(Eingaben!$B$23&lt;Eingaben!$B$24,AND(B563&gt;=Eingaben!$B$23,B563&lt;Eingaben!$B$24),OR(B563&gt;=Eingaben!$B$23,B563&lt;Eingaben!$B$24))),"HEAT","STANDARD"))</f>
        <v>STANDARD</v>
      </c>
      <c r="E563" s="9"/>
      <c r="F563" t="str">
        <f>IF(E563="",D563,E563)</f>
        <v>STANDARD</v>
      </c>
      <c r="G563" t="str">
        <f>INDEX(Netzzeiten!$B$6:$B$29,HOUR(B563)+1)</f>
        <v>HT</v>
      </c>
      <c r="H563" s="6">
        <f>IF(F563="GO",Eingaben!$B$11,IF(F563="STANDARD",Eingaben!$B$12,IF(AND(F563="HEAT",ISNUMBER(Eingaben!$B$13)),Eingaben!$B$13,"")))</f>
        <v>28.2744</v>
      </c>
      <c r="I563" s="6">
        <f>INDEX(Netzzeiten!$C$6:$C$29,HOUR(B563)+1)</f>
        <v>10.52</v>
      </c>
      <c r="J563" t="str">
        <f>IF(C563="","FEHLT",IF(NOT(ISNUMBER(C563)),"MESSWERT UNGUELTIG",IF(C563&lt;0,"MESSWERT UNGUELTIG",IF(H563="","TARIFPREIS FEHLT","OK"))))</f>
        <v>FEHLT</v>
      </c>
      <c r="K563" s="7">
        <f>IF(J563&lt;&gt;"OK","",C563*I563/100)</f>
        <v/>
      </c>
    </row>
    <row r="564" spans="1:11">
      <c r="A564" s="14">
        <v>46148</v>
      </c>
      <c r="B564" s="15">
        <v>0.8125</v>
      </c>
      <c r="C564" s="5">
        <f>IF('96 Werte'!CB11="","",'96 Werte'!CB11)</f>
        <v/>
      </c>
      <c r="D564" t="str">
        <f>IF(IF(Eingaben!$B$21&lt;Eingaben!$B$22,AND(B564&gt;=Eingaben!$B$21,B564&lt;Eingaben!$B$22),OR(B564&gt;=Eingaben!$B$21,B564&lt;Eingaben!$B$22)),"GO",IF(AND(ISNUMBER(Eingaben!$B$23),ISNUMBER(Eingaben!$B$24),IF(Eingaben!$B$23&lt;Eingaben!$B$24,AND(B564&gt;=Eingaben!$B$23,B564&lt;Eingaben!$B$24),OR(B564&gt;=Eingaben!$B$23,B564&lt;Eingaben!$B$24))),"HEAT","STANDARD"))</f>
        <v>STANDARD</v>
      </c>
      <c r="E564" s="9"/>
      <c r="F564" t="str">
        <f>IF(E564="",D564,E564)</f>
        <v>STANDARD</v>
      </c>
      <c r="G564" t="str">
        <f>INDEX(Netzzeiten!$B$6:$B$29,HOUR(B564)+1)</f>
        <v>HT</v>
      </c>
      <c r="H564" s="6">
        <f>IF(F564="GO",Eingaben!$B$11,IF(F564="STANDARD",Eingaben!$B$12,IF(AND(F564="HEAT",ISNUMBER(Eingaben!$B$13)),Eingaben!$B$13,"")))</f>
        <v>28.2744</v>
      </c>
      <c r="I564" s="6">
        <f>INDEX(Netzzeiten!$C$6:$C$29,HOUR(B564)+1)</f>
        <v>10.52</v>
      </c>
      <c r="J564" t="str">
        <f>IF(C564="","FEHLT",IF(NOT(ISNUMBER(C564)),"MESSWERT UNGUELTIG",IF(C564&lt;0,"MESSWERT UNGUELTIG",IF(H564="","TARIFPREIS FEHLT","OK"))))</f>
        <v>FEHLT</v>
      </c>
      <c r="K564" s="7">
        <f>IF(J564&lt;&gt;"OK","",C564*I564/100)</f>
        <v/>
      </c>
    </row>
    <row r="565" spans="1:11">
      <c r="A565" s="14">
        <v>46148</v>
      </c>
      <c r="B565" s="15">
        <v>0.8229166666666666</v>
      </c>
      <c r="C565" s="5">
        <f>IF('96 Werte'!CC11="","",'96 Werte'!CC11)</f>
        <v/>
      </c>
      <c r="D565" t="str">
        <f>IF(IF(Eingaben!$B$21&lt;Eingaben!$B$22,AND(B565&gt;=Eingaben!$B$21,B565&lt;Eingaben!$B$22),OR(B565&gt;=Eingaben!$B$21,B565&lt;Eingaben!$B$22)),"GO",IF(AND(ISNUMBER(Eingaben!$B$23),ISNUMBER(Eingaben!$B$24),IF(Eingaben!$B$23&lt;Eingaben!$B$24,AND(B565&gt;=Eingaben!$B$23,B565&lt;Eingaben!$B$24),OR(B565&gt;=Eingaben!$B$23,B565&lt;Eingaben!$B$24))),"HEAT","STANDARD"))</f>
        <v>STANDARD</v>
      </c>
      <c r="E565" s="9"/>
      <c r="F565" t="str">
        <f>IF(E565="",D565,E565)</f>
        <v>STANDARD</v>
      </c>
      <c r="G565" t="str">
        <f>INDEX(Netzzeiten!$B$6:$B$29,HOUR(B565)+1)</f>
        <v>HT</v>
      </c>
      <c r="H565" s="6">
        <f>IF(F565="GO",Eingaben!$B$11,IF(F565="STANDARD",Eingaben!$B$12,IF(AND(F565="HEAT",ISNUMBER(Eingaben!$B$13)),Eingaben!$B$13,"")))</f>
        <v>28.2744</v>
      </c>
      <c r="I565" s="6">
        <f>INDEX(Netzzeiten!$C$6:$C$29,HOUR(B565)+1)</f>
        <v>10.52</v>
      </c>
      <c r="J565" t="str">
        <f>IF(C565="","FEHLT",IF(NOT(ISNUMBER(C565)),"MESSWERT UNGUELTIG",IF(C565&lt;0,"MESSWERT UNGUELTIG",IF(H565="","TARIFPREIS FEHLT","OK"))))</f>
        <v>FEHLT</v>
      </c>
      <c r="K565" s="7">
        <f>IF(J565&lt;&gt;"OK","",C565*I565/100)</f>
        <v/>
      </c>
    </row>
    <row r="566" spans="1:11">
      <c r="A566" s="14">
        <v>46148</v>
      </c>
      <c r="B566" s="15">
        <v>0.8333333333333334</v>
      </c>
      <c r="C566" s="5">
        <f>IF('96 Werte'!CD11="","",'96 Werte'!CD11)</f>
        <v/>
      </c>
      <c r="D566" t="str">
        <f>IF(IF(Eingaben!$B$21&lt;Eingaben!$B$22,AND(B566&gt;=Eingaben!$B$21,B566&lt;Eingaben!$B$22),OR(B566&gt;=Eingaben!$B$21,B566&lt;Eingaben!$B$22)),"GO",IF(AND(ISNUMBER(Eingaben!$B$23),ISNUMBER(Eingaben!$B$24),IF(Eingaben!$B$23&lt;Eingaben!$B$24,AND(B566&gt;=Eingaben!$B$23,B566&lt;Eingaben!$B$24),OR(B566&gt;=Eingaben!$B$23,B566&lt;Eingaben!$B$24))),"HEAT","STANDARD"))</f>
        <v>STANDARD</v>
      </c>
      <c r="E566" s="9"/>
      <c r="F566" t="str">
        <f>IF(E566="",D566,E566)</f>
        <v>STANDARD</v>
      </c>
      <c r="G566" t="str">
        <f>INDEX(Netzzeiten!$B$6:$B$29,HOUR(B566)+1)</f>
        <v>HT</v>
      </c>
      <c r="H566" s="6">
        <f>IF(F566="GO",Eingaben!$B$11,IF(F566="STANDARD",Eingaben!$B$12,IF(AND(F566="HEAT",ISNUMBER(Eingaben!$B$13)),Eingaben!$B$13,"")))</f>
        <v>28.2744</v>
      </c>
      <c r="I566" s="6">
        <f>INDEX(Netzzeiten!$C$6:$C$29,HOUR(B566)+1)</f>
        <v>10.52</v>
      </c>
      <c r="J566" t="str">
        <f>IF(C566="","FEHLT",IF(NOT(ISNUMBER(C566)),"MESSWERT UNGUELTIG",IF(C566&lt;0,"MESSWERT UNGUELTIG",IF(H566="","TARIFPREIS FEHLT","OK"))))</f>
        <v>FEHLT</v>
      </c>
      <c r="K566" s="7">
        <f>IF(J566&lt;&gt;"OK","",C566*I566/100)</f>
        <v/>
      </c>
    </row>
    <row r="567" spans="1:11">
      <c r="A567" s="14">
        <v>46148</v>
      </c>
      <c r="B567" s="15">
        <v>0.84375</v>
      </c>
      <c r="C567" s="5">
        <f>IF('96 Werte'!CE11="","",'96 Werte'!CE11)</f>
        <v/>
      </c>
      <c r="D567" t="str">
        <f>IF(IF(Eingaben!$B$21&lt;Eingaben!$B$22,AND(B567&gt;=Eingaben!$B$21,B567&lt;Eingaben!$B$22),OR(B567&gt;=Eingaben!$B$21,B567&lt;Eingaben!$B$22)),"GO",IF(AND(ISNUMBER(Eingaben!$B$23),ISNUMBER(Eingaben!$B$24),IF(Eingaben!$B$23&lt;Eingaben!$B$24,AND(B567&gt;=Eingaben!$B$23,B567&lt;Eingaben!$B$24),OR(B567&gt;=Eingaben!$B$23,B567&lt;Eingaben!$B$24))),"HEAT","STANDARD"))</f>
        <v>STANDARD</v>
      </c>
      <c r="E567" s="9"/>
      <c r="F567" t="str">
        <f>IF(E567="",D567,E567)</f>
        <v>STANDARD</v>
      </c>
      <c r="G567" t="str">
        <f>INDEX(Netzzeiten!$B$6:$B$29,HOUR(B567)+1)</f>
        <v>HT</v>
      </c>
      <c r="H567" s="6">
        <f>IF(F567="GO",Eingaben!$B$11,IF(F567="STANDARD",Eingaben!$B$12,IF(AND(F567="HEAT",ISNUMBER(Eingaben!$B$13)),Eingaben!$B$13,"")))</f>
        <v>28.2744</v>
      </c>
      <c r="I567" s="6">
        <f>INDEX(Netzzeiten!$C$6:$C$29,HOUR(B567)+1)</f>
        <v>10.52</v>
      </c>
      <c r="J567" t="str">
        <f>IF(C567="","FEHLT",IF(NOT(ISNUMBER(C567)),"MESSWERT UNGUELTIG",IF(C567&lt;0,"MESSWERT UNGUELTIG",IF(H567="","TARIFPREIS FEHLT","OK"))))</f>
        <v>FEHLT</v>
      </c>
      <c r="K567" s="7">
        <f>IF(J567&lt;&gt;"OK","",C567*I567/100)</f>
        <v/>
      </c>
    </row>
    <row r="568" spans="1:11">
      <c r="A568" s="14">
        <v>46148</v>
      </c>
      <c r="B568" s="15">
        <v>0.8541666666666666</v>
      </c>
      <c r="C568" s="5">
        <f>IF('96 Werte'!CF11="","",'96 Werte'!CF11)</f>
        <v/>
      </c>
      <c r="D568" t="str">
        <f>IF(IF(Eingaben!$B$21&lt;Eingaben!$B$22,AND(B568&gt;=Eingaben!$B$21,B568&lt;Eingaben!$B$22),OR(B568&gt;=Eingaben!$B$21,B568&lt;Eingaben!$B$22)),"GO",IF(AND(ISNUMBER(Eingaben!$B$23),ISNUMBER(Eingaben!$B$24),IF(Eingaben!$B$23&lt;Eingaben!$B$24,AND(B568&gt;=Eingaben!$B$23,B568&lt;Eingaben!$B$24),OR(B568&gt;=Eingaben!$B$23,B568&lt;Eingaben!$B$24))),"HEAT","STANDARD"))</f>
        <v>STANDARD</v>
      </c>
      <c r="E568" s="9"/>
      <c r="F568" t="str">
        <f>IF(E568="",D568,E568)</f>
        <v>STANDARD</v>
      </c>
      <c r="G568" t="str">
        <f>INDEX(Netzzeiten!$B$6:$B$29,HOUR(B568)+1)</f>
        <v>HT</v>
      </c>
      <c r="H568" s="6">
        <f>IF(F568="GO",Eingaben!$B$11,IF(F568="STANDARD",Eingaben!$B$12,IF(AND(F568="HEAT",ISNUMBER(Eingaben!$B$13)),Eingaben!$B$13,"")))</f>
        <v>28.2744</v>
      </c>
      <c r="I568" s="6">
        <f>INDEX(Netzzeiten!$C$6:$C$29,HOUR(B568)+1)</f>
        <v>10.52</v>
      </c>
      <c r="J568" t="str">
        <f>IF(C568="","FEHLT",IF(NOT(ISNUMBER(C568)),"MESSWERT UNGUELTIG",IF(C568&lt;0,"MESSWERT UNGUELTIG",IF(H568="","TARIFPREIS FEHLT","OK"))))</f>
        <v>FEHLT</v>
      </c>
      <c r="K568" s="7">
        <f>IF(J568&lt;&gt;"OK","",C568*I568/100)</f>
        <v/>
      </c>
    </row>
    <row r="569" spans="1:11">
      <c r="A569" s="14">
        <v>46148</v>
      </c>
      <c r="B569" s="15">
        <v>0.8645833333333334</v>
      </c>
      <c r="C569" s="5">
        <f>IF('96 Werte'!CG11="","",'96 Werte'!CG11)</f>
        <v/>
      </c>
      <c r="D569" t="str">
        <f>IF(IF(Eingaben!$B$21&lt;Eingaben!$B$22,AND(B569&gt;=Eingaben!$B$21,B569&lt;Eingaben!$B$22),OR(B569&gt;=Eingaben!$B$21,B569&lt;Eingaben!$B$22)),"GO",IF(AND(ISNUMBER(Eingaben!$B$23),ISNUMBER(Eingaben!$B$24),IF(Eingaben!$B$23&lt;Eingaben!$B$24,AND(B569&gt;=Eingaben!$B$23,B569&lt;Eingaben!$B$24),OR(B569&gt;=Eingaben!$B$23,B569&lt;Eingaben!$B$24))),"HEAT","STANDARD"))</f>
        <v>STANDARD</v>
      </c>
      <c r="E569" s="9"/>
      <c r="F569" t="str">
        <f>IF(E569="",D569,E569)</f>
        <v>STANDARD</v>
      </c>
      <c r="G569" t="str">
        <f>INDEX(Netzzeiten!$B$6:$B$29,HOUR(B569)+1)</f>
        <v>HT</v>
      </c>
      <c r="H569" s="6">
        <f>IF(F569="GO",Eingaben!$B$11,IF(F569="STANDARD",Eingaben!$B$12,IF(AND(F569="HEAT",ISNUMBER(Eingaben!$B$13)),Eingaben!$B$13,"")))</f>
        <v>28.2744</v>
      </c>
      <c r="I569" s="6">
        <f>INDEX(Netzzeiten!$C$6:$C$29,HOUR(B569)+1)</f>
        <v>10.52</v>
      </c>
      <c r="J569" t="str">
        <f>IF(C569="","FEHLT",IF(NOT(ISNUMBER(C569)),"MESSWERT UNGUELTIG",IF(C569&lt;0,"MESSWERT UNGUELTIG",IF(H569="","TARIFPREIS FEHLT","OK"))))</f>
        <v>FEHLT</v>
      </c>
      <c r="K569" s="7">
        <f>IF(J569&lt;&gt;"OK","",C569*I569/100)</f>
        <v/>
      </c>
    </row>
    <row r="570" spans="1:11">
      <c r="A570" s="14">
        <v>46148</v>
      </c>
      <c r="B570" s="15">
        <v>0.875</v>
      </c>
      <c r="C570" s="5">
        <f>IF('96 Werte'!CH11="","",'96 Werte'!CH11)</f>
        <v/>
      </c>
      <c r="D570" t="str">
        <f>IF(IF(Eingaben!$B$21&lt;Eingaben!$B$22,AND(B570&gt;=Eingaben!$B$21,B570&lt;Eingaben!$B$22),OR(B570&gt;=Eingaben!$B$21,B570&lt;Eingaben!$B$22)),"GO",IF(AND(ISNUMBER(Eingaben!$B$23),ISNUMBER(Eingaben!$B$24),IF(Eingaben!$B$23&lt;Eingaben!$B$24,AND(B570&gt;=Eingaben!$B$23,B570&lt;Eingaben!$B$24),OR(B570&gt;=Eingaben!$B$23,B570&lt;Eingaben!$B$24))),"HEAT","STANDARD"))</f>
        <v>STANDARD</v>
      </c>
      <c r="E570" s="9"/>
      <c r="F570" t="str">
        <f>IF(E570="",D570,E570)</f>
        <v>STANDARD</v>
      </c>
      <c r="G570" t="str">
        <f>INDEX(Netzzeiten!$B$6:$B$29,HOUR(B570)+1)</f>
        <v>HT</v>
      </c>
      <c r="H570" s="6">
        <f>IF(F570="GO",Eingaben!$B$11,IF(F570="STANDARD",Eingaben!$B$12,IF(AND(F570="HEAT",ISNUMBER(Eingaben!$B$13)),Eingaben!$B$13,"")))</f>
        <v>28.2744</v>
      </c>
      <c r="I570" s="6">
        <f>INDEX(Netzzeiten!$C$6:$C$29,HOUR(B570)+1)</f>
        <v>10.52</v>
      </c>
      <c r="J570" t="str">
        <f>IF(C570="","FEHLT",IF(NOT(ISNUMBER(C570)),"MESSWERT UNGUELTIG",IF(C570&lt;0,"MESSWERT UNGUELTIG",IF(H570="","TARIFPREIS FEHLT","OK"))))</f>
        <v>FEHLT</v>
      </c>
      <c r="K570" s="7">
        <f>IF(J570&lt;&gt;"OK","",C570*I570/100)</f>
        <v/>
      </c>
    </row>
    <row r="571" spans="1:11">
      <c r="A571" s="14">
        <v>46148</v>
      </c>
      <c r="B571" s="15">
        <v>0.8854166666666666</v>
      </c>
      <c r="C571" s="5">
        <f>IF('96 Werte'!CI11="","",'96 Werte'!CI11)</f>
        <v/>
      </c>
      <c r="D571" t="str">
        <f>IF(IF(Eingaben!$B$21&lt;Eingaben!$B$22,AND(B571&gt;=Eingaben!$B$21,B571&lt;Eingaben!$B$22),OR(B571&gt;=Eingaben!$B$21,B571&lt;Eingaben!$B$22)),"GO",IF(AND(ISNUMBER(Eingaben!$B$23),ISNUMBER(Eingaben!$B$24),IF(Eingaben!$B$23&lt;Eingaben!$B$24,AND(B571&gt;=Eingaben!$B$23,B571&lt;Eingaben!$B$24),OR(B571&gt;=Eingaben!$B$23,B571&lt;Eingaben!$B$24))),"HEAT","STANDARD"))</f>
        <v>STANDARD</v>
      </c>
      <c r="E571" s="9"/>
      <c r="F571" t="str">
        <f>IF(E571="",D571,E571)</f>
        <v>STANDARD</v>
      </c>
      <c r="G571" t="str">
        <f>INDEX(Netzzeiten!$B$6:$B$29,HOUR(B571)+1)</f>
        <v>HT</v>
      </c>
      <c r="H571" s="6">
        <f>IF(F571="GO",Eingaben!$B$11,IF(F571="STANDARD",Eingaben!$B$12,IF(AND(F571="HEAT",ISNUMBER(Eingaben!$B$13)),Eingaben!$B$13,"")))</f>
        <v>28.2744</v>
      </c>
      <c r="I571" s="6">
        <f>INDEX(Netzzeiten!$C$6:$C$29,HOUR(B571)+1)</f>
        <v>10.52</v>
      </c>
      <c r="J571" t="str">
        <f>IF(C571="","FEHLT",IF(NOT(ISNUMBER(C571)),"MESSWERT UNGUELTIG",IF(C571&lt;0,"MESSWERT UNGUELTIG",IF(H571="","TARIFPREIS FEHLT","OK"))))</f>
        <v>FEHLT</v>
      </c>
      <c r="K571" s="7">
        <f>IF(J571&lt;&gt;"OK","",C571*I571/100)</f>
        <v/>
      </c>
    </row>
    <row r="572" spans="1:11">
      <c r="A572" s="14">
        <v>46148</v>
      </c>
      <c r="B572" s="15">
        <v>0.8958333333333334</v>
      </c>
      <c r="C572" s="5">
        <f>IF('96 Werte'!CJ11="","",'96 Werte'!CJ11)</f>
        <v/>
      </c>
      <c r="D572" t="str">
        <f>IF(IF(Eingaben!$B$21&lt;Eingaben!$B$22,AND(B572&gt;=Eingaben!$B$21,B572&lt;Eingaben!$B$22),OR(B572&gt;=Eingaben!$B$21,B572&lt;Eingaben!$B$22)),"GO",IF(AND(ISNUMBER(Eingaben!$B$23),ISNUMBER(Eingaben!$B$24),IF(Eingaben!$B$23&lt;Eingaben!$B$24,AND(B572&gt;=Eingaben!$B$23,B572&lt;Eingaben!$B$24),OR(B572&gt;=Eingaben!$B$23,B572&lt;Eingaben!$B$24))),"HEAT","STANDARD"))</f>
        <v>STANDARD</v>
      </c>
      <c r="E572" s="9"/>
      <c r="F572" t="str">
        <f>IF(E572="",D572,E572)</f>
        <v>STANDARD</v>
      </c>
      <c r="G572" t="str">
        <f>INDEX(Netzzeiten!$B$6:$B$29,HOUR(B572)+1)</f>
        <v>HT</v>
      </c>
      <c r="H572" s="6">
        <f>IF(F572="GO",Eingaben!$B$11,IF(F572="STANDARD",Eingaben!$B$12,IF(AND(F572="HEAT",ISNUMBER(Eingaben!$B$13)),Eingaben!$B$13,"")))</f>
        <v>28.2744</v>
      </c>
      <c r="I572" s="6">
        <f>INDEX(Netzzeiten!$C$6:$C$29,HOUR(B572)+1)</f>
        <v>10.52</v>
      </c>
      <c r="J572" t="str">
        <f>IF(C572="","FEHLT",IF(NOT(ISNUMBER(C572)),"MESSWERT UNGUELTIG",IF(C572&lt;0,"MESSWERT UNGUELTIG",IF(H572="","TARIFPREIS FEHLT","OK"))))</f>
        <v>FEHLT</v>
      </c>
      <c r="K572" s="7">
        <f>IF(J572&lt;&gt;"OK","",C572*I572/100)</f>
        <v/>
      </c>
    </row>
    <row r="573" spans="1:11">
      <c r="A573" s="14">
        <v>46148</v>
      </c>
      <c r="B573" s="15">
        <v>0.90625</v>
      </c>
      <c r="C573" s="5">
        <f>IF('96 Werte'!CK11="","",'96 Werte'!CK11)</f>
        <v/>
      </c>
      <c r="D573" t="str">
        <f>IF(IF(Eingaben!$B$21&lt;Eingaben!$B$22,AND(B573&gt;=Eingaben!$B$21,B573&lt;Eingaben!$B$22),OR(B573&gt;=Eingaben!$B$21,B573&lt;Eingaben!$B$22)),"GO",IF(AND(ISNUMBER(Eingaben!$B$23),ISNUMBER(Eingaben!$B$24),IF(Eingaben!$B$23&lt;Eingaben!$B$24,AND(B573&gt;=Eingaben!$B$23,B573&lt;Eingaben!$B$24),OR(B573&gt;=Eingaben!$B$23,B573&lt;Eingaben!$B$24))),"HEAT","STANDARD"))</f>
        <v>STANDARD</v>
      </c>
      <c r="E573" s="9"/>
      <c r="F573" t="str">
        <f>IF(E573="",D573,E573)</f>
        <v>STANDARD</v>
      </c>
      <c r="G573" t="str">
        <f>INDEX(Netzzeiten!$B$6:$B$29,HOUR(B573)+1)</f>
        <v>HT</v>
      </c>
      <c r="H573" s="6">
        <f>IF(F573="GO",Eingaben!$B$11,IF(F573="STANDARD",Eingaben!$B$12,IF(AND(F573="HEAT",ISNUMBER(Eingaben!$B$13)),Eingaben!$B$13,"")))</f>
        <v>28.2744</v>
      </c>
      <c r="I573" s="6">
        <f>INDEX(Netzzeiten!$C$6:$C$29,HOUR(B573)+1)</f>
        <v>10.52</v>
      </c>
      <c r="J573" t="str">
        <f>IF(C573="","FEHLT",IF(NOT(ISNUMBER(C573)),"MESSWERT UNGUELTIG",IF(C573&lt;0,"MESSWERT UNGUELTIG",IF(H573="","TARIFPREIS FEHLT","OK"))))</f>
        <v>FEHLT</v>
      </c>
      <c r="K573" s="7">
        <f>IF(J573&lt;&gt;"OK","",C573*I573/100)</f>
        <v/>
      </c>
    </row>
    <row r="574" spans="1:11">
      <c r="A574" s="14">
        <v>46148</v>
      </c>
      <c r="B574" s="15">
        <v>0.9166666666666666</v>
      </c>
      <c r="C574" s="5">
        <f>IF('96 Werte'!CL11="","",'96 Werte'!CL11)</f>
        <v/>
      </c>
      <c r="D574" t="str">
        <f>IF(IF(Eingaben!$B$21&lt;Eingaben!$B$22,AND(B574&gt;=Eingaben!$B$21,B574&lt;Eingaben!$B$22),OR(B574&gt;=Eingaben!$B$21,B574&lt;Eingaben!$B$22)),"GO",IF(AND(ISNUMBER(Eingaben!$B$23),ISNUMBER(Eingaben!$B$24),IF(Eingaben!$B$23&lt;Eingaben!$B$24,AND(B574&gt;=Eingaben!$B$23,B574&lt;Eingaben!$B$24),OR(B574&gt;=Eingaben!$B$23,B574&lt;Eingaben!$B$24))),"HEAT","STANDARD"))</f>
        <v>STANDARD</v>
      </c>
      <c r="E574" s="9"/>
      <c r="F574" t="str">
        <f>IF(E574="",D574,E574)</f>
        <v>STANDARD</v>
      </c>
      <c r="G574" t="str">
        <f>INDEX(Netzzeiten!$B$6:$B$29,HOUR(B574)+1)</f>
        <v>ST</v>
      </c>
      <c r="H574" s="6">
        <f>IF(F574="GO",Eingaben!$B$11,IF(F574="STANDARD",Eingaben!$B$12,IF(AND(F574="HEAT",ISNUMBER(Eingaben!$B$13)),Eingaben!$B$13,"")))</f>
        <v>28.2744</v>
      </c>
      <c r="I574" s="6">
        <f>INDEX(Netzzeiten!$C$6:$C$29,HOUR(B574)+1)</f>
        <v>5.48</v>
      </c>
      <c r="J574" t="str">
        <f>IF(C574="","FEHLT",IF(NOT(ISNUMBER(C574)),"MESSWERT UNGUELTIG",IF(C574&lt;0,"MESSWERT UNGUELTIG",IF(H574="","TARIFPREIS FEHLT","OK"))))</f>
        <v>FEHLT</v>
      </c>
      <c r="K574" s="7">
        <f>IF(J574&lt;&gt;"OK","",C574*I574/100)</f>
        <v/>
      </c>
    </row>
    <row r="575" spans="1:11">
      <c r="A575" s="14">
        <v>46148</v>
      </c>
      <c r="B575" s="15">
        <v>0.9270833333333334</v>
      </c>
      <c r="C575" s="5">
        <f>IF('96 Werte'!CM11="","",'96 Werte'!CM11)</f>
        <v/>
      </c>
      <c r="D575" t="str">
        <f>IF(IF(Eingaben!$B$21&lt;Eingaben!$B$22,AND(B575&gt;=Eingaben!$B$21,B575&lt;Eingaben!$B$22),OR(B575&gt;=Eingaben!$B$21,B575&lt;Eingaben!$B$22)),"GO",IF(AND(ISNUMBER(Eingaben!$B$23),ISNUMBER(Eingaben!$B$24),IF(Eingaben!$B$23&lt;Eingaben!$B$24,AND(B575&gt;=Eingaben!$B$23,B575&lt;Eingaben!$B$24),OR(B575&gt;=Eingaben!$B$23,B575&lt;Eingaben!$B$24))),"HEAT","STANDARD"))</f>
        <v>STANDARD</v>
      </c>
      <c r="E575" s="9"/>
      <c r="F575" t="str">
        <f>IF(E575="",D575,E575)</f>
        <v>STANDARD</v>
      </c>
      <c r="G575" t="str">
        <f>INDEX(Netzzeiten!$B$6:$B$29,HOUR(B575)+1)</f>
        <v>ST</v>
      </c>
      <c r="H575" s="6">
        <f>IF(F575="GO",Eingaben!$B$11,IF(F575="STANDARD",Eingaben!$B$12,IF(AND(F575="HEAT",ISNUMBER(Eingaben!$B$13)),Eingaben!$B$13,"")))</f>
        <v>28.2744</v>
      </c>
      <c r="I575" s="6">
        <f>INDEX(Netzzeiten!$C$6:$C$29,HOUR(B575)+1)</f>
        <v>5.48</v>
      </c>
      <c r="J575" t="str">
        <f>IF(C575="","FEHLT",IF(NOT(ISNUMBER(C575)),"MESSWERT UNGUELTIG",IF(C575&lt;0,"MESSWERT UNGUELTIG",IF(H575="","TARIFPREIS FEHLT","OK"))))</f>
        <v>FEHLT</v>
      </c>
      <c r="K575" s="7">
        <f>IF(J575&lt;&gt;"OK","",C575*I575/100)</f>
        <v/>
      </c>
    </row>
    <row r="576" spans="1:11">
      <c r="A576" s="14">
        <v>46148</v>
      </c>
      <c r="B576" s="15">
        <v>0.9375</v>
      </c>
      <c r="C576" s="5">
        <f>IF('96 Werte'!CN11="","",'96 Werte'!CN11)</f>
        <v/>
      </c>
      <c r="D576" t="str">
        <f>IF(IF(Eingaben!$B$21&lt;Eingaben!$B$22,AND(B576&gt;=Eingaben!$B$21,B576&lt;Eingaben!$B$22),OR(B576&gt;=Eingaben!$B$21,B576&lt;Eingaben!$B$22)),"GO",IF(AND(ISNUMBER(Eingaben!$B$23),ISNUMBER(Eingaben!$B$24),IF(Eingaben!$B$23&lt;Eingaben!$B$24,AND(B576&gt;=Eingaben!$B$23,B576&lt;Eingaben!$B$24),OR(B576&gt;=Eingaben!$B$23,B576&lt;Eingaben!$B$24))),"HEAT","STANDARD"))</f>
        <v>STANDARD</v>
      </c>
      <c r="E576" s="9"/>
      <c r="F576" t="str">
        <f>IF(E576="",D576,E576)</f>
        <v>STANDARD</v>
      </c>
      <c r="G576" t="str">
        <f>INDEX(Netzzeiten!$B$6:$B$29,HOUR(B576)+1)</f>
        <v>ST</v>
      </c>
      <c r="H576" s="6">
        <f>IF(F576="GO",Eingaben!$B$11,IF(F576="STANDARD",Eingaben!$B$12,IF(AND(F576="HEAT",ISNUMBER(Eingaben!$B$13)),Eingaben!$B$13,"")))</f>
        <v>28.2744</v>
      </c>
      <c r="I576" s="6">
        <f>INDEX(Netzzeiten!$C$6:$C$29,HOUR(B576)+1)</f>
        <v>5.48</v>
      </c>
      <c r="J576" t="str">
        <f>IF(C576="","FEHLT",IF(NOT(ISNUMBER(C576)),"MESSWERT UNGUELTIG",IF(C576&lt;0,"MESSWERT UNGUELTIG",IF(H576="","TARIFPREIS FEHLT","OK"))))</f>
        <v>FEHLT</v>
      </c>
      <c r="K576" s="7">
        <f>IF(J576&lt;&gt;"OK","",C576*I576/100)</f>
        <v/>
      </c>
    </row>
    <row r="577" spans="1:11">
      <c r="A577" s="14">
        <v>46148</v>
      </c>
      <c r="B577" s="15">
        <v>0.9479166666666666</v>
      </c>
      <c r="C577" s="5">
        <f>IF('96 Werte'!CO11="","",'96 Werte'!CO11)</f>
        <v/>
      </c>
      <c r="D577" t="str">
        <f>IF(IF(Eingaben!$B$21&lt;Eingaben!$B$22,AND(B577&gt;=Eingaben!$B$21,B577&lt;Eingaben!$B$22),OR(B577&gt;=Eingaben!$B$21,B577&lt;Eingaben!$B$22)),"GO",IF(AND(ISNUMBER(Eingaben!$B$23),ISNUMBER(Eingaben!$B$24),IF(Eingaben!$B$23&lt;Eingaben!$B$24,AND(B577&gt;=Eingaben!$B$23,B577&lt;Eingaben!$B$24),OR(B577&gt;=Eingaben!$B$23,B577&lt;Eingaben!$B$24))),"HEAT","STANDARD"))</f>
        <v>STANDARD</v>
      </c>
      <c r="E577" s="9"/>
      <c r="F577" t="str">
        <f>IF(E577="",D577,E577)</f>
        <v>STANDARD</v>
      </c>
      <c r="G577" t="str">
        <f>INDEX(Netzzeiten!$B$6:$B$29,HOUR(B577)+1)</f>
        <v>ST</v>
      </c>
      <c r="H577" s="6">
        <f>IF(F577="GO",Eingaben!$B$11,IF(F577="STANDARD",Eingaben!$B$12,IF(AND(F577="HEAT",ISNUMBER(Eingaben!$B$13)),Eingaben!$B$13,"")))</f>
        <v>28.2744</v>
      </c>
      <c r="I577" s="6">
        <f>INDEX(Netzzeiten!$C$6:$C$29,HOUR(B577)+1)</f>
        <v>5.48</v>
      </c>
      <c r="J577" t="str">
        <f>IF(C577="","FEHLT",IF(NOT(ISNUMBER(C577)),"MESSWERT UNGUELTIG",IF(C577&lt;0,"MESSWERT UNGUELTIG",IF(H577="","TARIFPREIS FEHLT","OK"))))</f>
        <v>FEHLT</v>
      </c>
      <c r="K577" s="7">
        <f>IF(J577&lt;&gt;"OK","",C577*I577/100)</f>
        <v/>
      </c>
    </row>
    <row r="578" spans="1:11">
      <c r="A578" s="14">
        <v>46148</v>
      </c>
      <c r="B578" s="15">
        <v>0.9583333333333334</v>
      </c>
      <c r="C578" s="5">
        <f>IF('96 Werte'!CP11="","",'96 Werte'!CP11)</f>
        <v/>
      </c>
      <c r="D578" t="str">
        <f>IF(IF(Eingaben!$B$21&lt;Eingaben!$B$22,AND(B578&gt;=Eingaben!$B$21,B578&lt;Eingaben!$B$22),OR(B578&gt;=Eingaben!$B$21,B578&lt;Eingaben!$B$22)),"GO",IF(AND(ISNUMBER(Eingaben!$B$23),ISNUMBER(Eingaben!$B$24),IF(Eingaben!$B$23&lt;Eingaben!$B$24,AND(B578&gt;=Eingaben!$B$23,B578&lt;Eingaben!$B$24),OR(B578&gt;=Eingaben!$B$23,B578&lt;Eingaben!$B$24))),"HEAT","STANDARD"))</f>
        <v>STANDARD</v>
      </c>
      <c r="E578" s="9"/>
      <c r="F578" t="str">
        <f>IF(E578="",D578,E578)</f>
        <v>STANDARD</v>
      </c>
      <c r="G578" t="str">
        <f>INDEX(Netzzeiten!$B$6:$B$29,HOUR(B578)+1)</f>
        <v>NT</v>
      </c>
      <c r="H578" s="6">
        <f>IF(F578="GO",Eingaben!$B$11,IF(F578="STANDARD",Eingaben!$B$12,IF(AND(F578="HEAT",ISNUMBER(Eingaben!$B$13)),Eingaben!$B$13,"")))</f>
        <v>28.2744</v>
      </c>
      <c r="I578" s="6">
        <f>INDEX(Netzzeiten!$C$6:$C$29,HOUR(B578)+1)</f>
        <v>1.64</v>
      </c>
      <c r="J578" t="str">
        <f>IF(C578="","FEHLT",IF(NOT(ISNUMBER(C578)),"MESSWERT UNGUELTIG",IF(C578&lt;0,"MESSWERT UNGUELTIG",IF(H578="","TARIFPREIS FEHLT","OK"))))</f>
        <v>FEHLT</v>
      </c>
      <c r="K578" s="7">
        <f>IF(J578&lt;&gt;"OK","",C578*I578/100)</f>
        <v/>
      </c>
    </row>
    <row r="579" spans="1:11">
      <c r="A579" s="14">
        <v>46148</v>
      </c>
      <c r="B579" s="15">
        <v>0.96875</v>
      </c>
      <c r="C579" s="5">
        <f>IF('96 Werte'!CQ11="","",'96 Werte'!CQ11)</f>
        <v/>
      </c>
      <c r="D579" t="str">
        <f>IF(IF(Eingaben!$B$21&lt;Eingaben!$B$22,AND(B579&gt;=Eingaben!$B$21,B579&lt;Eingaben!$B$22),OR(B579&gt;=Eingaben!$B$21,B579&lt;Eingaben!$B$22)),"GO",IF(AND(ISNUMBER(Eingaben!$B$23),ISNUMBER(Eingaben!$B$24),IF(Eingaben!$B$23&lt;Eingaben!$B$24,AND(B579&gt;=Eingaben!$B$23,B579&lt;Eingaben!$B$24),OR(B579&gt;=Eingaben!$B$23,B579&lt;Eingaben!$B$24))),"HEAT","STANDARD"))</f>
        <v>STANDARD</v>
      </c>
      <c r="E579" s="9"/>
      <c r="F579" t="str">
        <f>IF(E579="",D579,E579)</f>
        <v>STANDARD</v>
      </c>
      <c r="G579" t="str">
        <f>INDEX(Netzzeiten!$B$6:$B$29,HOUR(B579)+1)</f>
        <v>NT</v>
      </c>
      <c r="H579" s="6">
        <f>IF(F579="GO",Eingaben!$B$11,IF(F579="STANDARD",Eingaben!$B$12,IF(AND(F579="HEAT",ISNUMBER(Eingaben!$B$13)),Eingaben!$B$13,"")))</f>
        <v>28.2744</v>
      </c>
      <c r="I579" s="6">
        <f>INDEX(Netzzeiten!$C$6:$C$29,HOUR(B579)+1)</f>
        <v>1.64</v>
      </c>
      <c r="J579" t="str">
        <f>IF(C579="","FEHLT",IF(NOT(ISNUMBER(C579)),"MESSWERT UNGUELTIG",IF(C579&lt;0,"MESSWERT UNGUELTIG",IF(H579="","TARIFPREIS FEHLT","OK"))))</f>
        <v>FEHLT</v>
      </c>
      <c r="K579" s="7">
        <f>IF(J579&lt;&gt;"OK","",C579*I579/100)</f>
        <v/>
      </c>
    </row>
    <row r="580" spans="1:11">
      <c r="A580" s="14">
        <v>46148</v>
      </c>
      <c r="B580" s="15">
        <v>0.9791666666666666</v>
      </c>
      <c r="C580" s="5">
        <f>IF('96 Werte'!CR11="","",'96 Werte'!CR11)</f>
        <v/>
      </c>
      <c r="D580" t="str">
        <f>IF(IF(Eingaben!$B$21&lt;Eingaben!$B$22,AND(B580&gt;=Eingaben!$B$21,B580&lt;Eingaben!$B$22),OR(B580&gt;=Eingaben!$B$21,B580&lt;Eingaben!$B$22)),"GO",IF(AND(ISNUMBER(Eingaben!$B$23),ISNUMBER(Eingaben!$B$24),IF(Eingaben!$B$23&lt;Eingaben!$B$24,AND(B580&gt;=Eingaben!$B$23,B580&lt;Eingaben!$B$24),OR(B580&gt;=Eingaben!$B$23,B580&lt;Eingaben!$B$24))),"HEAT","STANDARD"))</f>
        <v>STANDARD</v>
      </c>
      <c r="E580" s="9"/>
      <c r="F580" t="str">
        <f>IF(E580="",D580,E580)</f>
        <v>STANDARD</v>
      </c>
      <c r="G580" t="str">
        <f>INDEX(Netzzeiten!$B$6:$B$29,HOUR(B580)+1)</f>
        <v>NT</v>
      </c>
      <c r="H580" s="6">
        <f>IF(F580="GO",Eingaben!$B$11,IF(F580="STANDARD",Eingaben!$B$12,IF(AND(F580="HEAT",ISNUMBER(Eingaben!$B$13)),Eingaben!$B$13,"")))</f>
        <v>28.2744</v>
      </c>
      <c r="I580" s="6">
        <f>INDEX(Netzzeiten!$C$6:$C$29,HOUR(B580)+1)</f>
        <v>1.64</v>
      </c>
      <c r="J580" t="str">
        <f>IF(C580="","FEHLT",IF(NOT(ISNUMBER(C580)),"MESSWERT UNGUELTIG",IF(C580&lt;0,"MESSWERT UNGUELTIG",IF(H580="","TARIFPREIS FEHLT","OK"))))</f>
        <v>FEHLT</v>
      </c>
      <c r="K580" s="7">
        <f>IF(J580&lt;&gt;"OK","",C580*I580/100)</f>
        <v/>
      </c>
    </row>
    <row r="581" spans="1:11">
      <c r="A581" s="14">
        <v>46148</v>
      </c>
      <c r="B581" s="15">
        <v>0.9895833333333334</v>
      </c>
      <c r="C581" s="5">
        <f>IF('96 Werte'!CS11="","",'96 Werte'!CS11)</f>
        <v/>
      </c>
      <c r="D581" t="str">
        <f>IF(IF(Eingaben!$B$21&lt;Eingaben!$B$22,AND(B581&gt;=Eingaben!$B$21,B581&lt;Eingaben!$B$22),OR(B581&gt;=Eingaben!$B$21,B581&lt;Eingaben!$B$22)),"GO",IF(AND(ISNUMBER(Eingaben!$B$23),ISNUMBER(Eingaben!$B$24),IF(Eingaben!$B$23&lt;Eingaben!$B$24,AND(B581&gt;=Eingaben!$B$23,B581&lt;Eingaben!$B$24),OR(B581&gt;=Eingaben!$B$23,B581&lt;Eingaben!$B$24))),"HEAT","STANDARD"))</f>
        <v>STANDARD</v>
      </c>
      <c r="E581" s="9"/>
      <c r="F581" t="str">
        <f>IF(E581="",D581,E581)</f>
        <v>STANDARD</v>
      </c>
      <c r="G581" t="str">
        <f>INDEX(Netzzeiten!$B$6:$B$29,HOUR(B581)+1)</f>
        <v>NT</v>
      </c>
      <c r="H581" s="6">
        <f>IF(F581="GO",Eingaben!$B$11,IF(F581="STANDARD",Eingaben!$B$12,IF(AND(F581="HEAT",ISNUMBER(Eingaben!$B$13)),Eingaben!$B$13,"")))</f>
        <v>28.2744</v>
      </c>
      <c r="I581" s="6">
        <f>INDEX(Netzzeiten!$C$6:$C$29,HOUR(B581)+1)</f>
        <v>1.64</v>
      </c>
      <c r="J581" t="str">
        <f>IF(C581="","FEHLT",IF(NOT(ISNUMBER(C581)),"MESSWERT UNGUELTIG",IF(C581&lt;0,"MESSWERT UNGUELTIG",IF(H581="","TARIFPREIS FEHLT","OK"))))</f>
        <v>FEHLT</v>
      </c>
      <c r="K581" s="7">
        <f>IF(J581&lt;&gt;"OK","",C581*I581/100)</f>
        <v/>
      </c>
    </row>
    <row r="582" spans="1:11">
      <c r="A582" s="14">
        <v>46149</v>
      </c>
      <c r="B582" s="15">
        <v>0</v>
      </c>
      <c r="C582" s="5">
        <f>IF('96 Werte'!B12="","",'96 Werte'!B12)</f>
        <v/>
      </c>
      <c r="D582" t="str">
        <f>IF(IF(Eingaben!$B$21&lt;Eingaben!$B$22,AND(B582&gt;=Eingaben!$B$21,B582&lt;Eingaben!$B$22),OR(B582&gt;=Eingaben!$B$21,B582&lt;Eingaben!$B$22)),"GO",IF(AND(ISNUMBER(Eingaben!$B$23),ISNUMBER(Eingaben!$B$24),IF(Eingaben!$B$23&lt;Eingaben!$B$24,AND(B582&gt;=Eingaben!$B$23,B582&lt;Eingaben!$B$24),OR(B582&gt;=Eingaben!$B$23,B582&lt;Eingaben!$B$24))),"HEAT","STANDARD"))</f>
        <v>GO</v>
      </c>
      <c r="E582" s="9"/>
      <c r="F582" t="str">
        <f>IF(E582="",D582,E582)</f>
        <v>GO</v>
      </c>
      <c r="G582" t="str">
        <f>INDEX(Netzzeiten!$B$6:$B$29,HOUR(B582)+1)</f>
        <v>NT</v>
      </c>
      <c r="H582" s="6">
        <f>IF(F582="GO",Eingaben!$B$11,IF(F582="STANDARD",Eingaben!$B$12,IF(AND(F582="HEAT",ISNUMBER(Eingaben!$B$13)),Eingaben!$B$13,"")))</f>
        <v>15.0654</v>
      </c>
      <c r="I582" s="6">
        <f>INDEX(Netzzeiten!$C$6:$C$29,HOUR(B582)+1)</f>
        <v>1.64</v>
      </c>
      <c r="J582" t="str">
        <f>IF(C582="","FEHLT",IF(NOT(ISNUMBER(C582)),"MESSWERT UNGUELTIG",IF(C582&lt;0,"MESSWERT UNGUELTIG",IF(H582="","TARIFPREIS FEHLT","OK"))))</f>
        <v>FEHLT</v>
      </c>
      <c r="K582" s="7">
        <f>IF(J582&lt;&gt;"OK","",C582*I582/100)</f>
        <v/>
      </c>
    </row>
    <row r="583" spans="1:11">
      <c r="A583" s="14">
        <v>46149</v>
      </c>
      <c r="B583" s="15">
        <v>0.01041666666666667</v>
      </c>
      <c r="C583" s="5">
        <f>IF('96 Werte'!C12="","",'96 Werte'!C12)</f>
        <v/>
      </c>
      <c r="D583" t="str">
        <f>IF(IF(Eingaben!$B$21&lt;Eingaben!$B$22,AND(B583&gt;=Eingaben!$B$21,B583&lt;Eingaben!$B$22),OR(B583&gt;=Eingaben!$B$21,B583&lt;Eingaben!$B$22)),"GO",IF(AND(ISNUMBER(Eingaben!$B$23),ISNUMBER(Eingaben!$B$24),IF(Eingaben!$B$23&lt;Eingaben!$B$24,AND(B583&gt;=Eingaben!$B$23,B583&lt;Eingaben!$B$24),OR(B583&gt;=Eingaben!$B$23,B583&lt;Eingaben!$B$24))),"HEAT","STANDARD"))</f>
        <v>GO</v>
      </c>
      <c r="E583" s="9"/>
      <c r="F583" t="str">
        <f>IF(E583="",D583,E583)</f>
        <v>GO</v>
      </c>
      <c r="G583" t="str">
        <f>INDEX(Netzzeiten!$B$6:$B$29,HOUR(B583)+1)</f>
        <v>NT</v>
      </c>
      <c r="H583" s="6">
        <f>IF(F583="GO",Eingaben!$B$11,IF(F583="STANDARD",Eingaben!$B$12,IF(AND(F583="HEAT",ISNUMBER(Eingaben!$B$13)),Eingaben!$B$13,"")))</f>
        <v>15.0654</v>
      </c>
      <c r="I583" s="6">
        <f>INDEX(Netzzeiten!$C$6:$C$29,HOUR(B583)+1)</f>
        <v>1.64</v>
      </c>
      <c r="J583" t="str">
        <f>IF(C583="","FEHLT",IF(NOT(ISNUMBER(C583)),"MESSWERT UNGUELTIG",IF(C583&lt;0,"MESSWERT UNGUELTIG",IF(H583="","TARIFPREIS FEHLT","OK"))))</f>
        <v>FEHLT</v>
      </c>
      <c r="K583" s="7">
        <f>IF(J583&lt;&gt;"OK","",C583*I583/100)</f>
        <v/>
      </c>
    </row>
    <row r="584" spans="1:11">
      <c r="A584" s="14">
        <v>46149</v>
      </c>
      <c r="B584" s="15">
        <v>0.02083333333333333</v>
      </c>
      <c r="C584" s="5">
        <f>IF('96 Werte'!D12="","",'96 Werte'!D12)</f>
        <v/>
      </c>
      <c r="D584" t="str">
        <f>IF(IF(Eingaben!$B$21&lt;Eingaben!$B$22,AND(B584&gt;=Eingaben!$B$21,B584&lt;Eingaben!$B$22),OR(B584&gt;=Eingaben!$B$21,B584&lt;Eingaben!$B$22)),"GO",IF(AND(ISNUMBER(Eingaben!$B$23),ISNUMBER(Eingaben!$B$24),IF(Eingaben!$B$23&lt;Eingaben!$B$24,AND(B584&gt;=Eingaben!$B$23,B584&lt;Eingaben!$B$24),OR(B584&gt;=Eingaben!$B$23,B584&lt;Eingaben!$B$24))),"HEAT","STANDARD"))</f>
        <v>GO</v>
      </c>
      <c r="E584" s="9"/>
      <c r="F584" t="str">
        <f>IF(E584="",D584,E584)</f>
        <v>GO</v>
      </c>
      <c r="G584" t="str">
        <f>INDEX(Netzzeiten!$B$6:$B$29,HOUR(B584)+1)</f>
        <v>NT</v>
      </c>
      <c r="H584" s="6">
        <f>IF(F584="GO",Eingaben!$B$11,IF(F584="STANDARD",Eingaben!$B$12,IF(AND(F584="HEAT",ISNUMBER(Eingaben!$B$13)),Eingaben!$B$13,"")))</f>
        <v>15.0654</v>
      </c>
      <c r="I584" s="6">
        <f>INDEX(Netzzeiten!$C$6:$C$29,HOUR(B584)+1)</f>
        <v>1.64</v>
      </c>
      <c r="J584" t="str">
        <f>IF(C584="","FEHLT",IF(NOT(ISNUMBER(C584)),"MESSWERT UNGUELTIG",IF(C584&lt;0,"MESSWERT UNGUELTIG",IF(H584="","TARIFPREIS FEHLT","OK"))))</f>
        <v>FEHLT</v>
      </c>
      <c r="K584" s="7">
        <f>IF(J584&lt;&gt;"OK","",C584*I584/100)</f>
        <v/>
      </c>
    </row>
    <row r="585" spans="1:11">
      <c r="A585" s="14">
        <v>46149</v>
      </c>
      <c r="B585" s="15">
        <v>0.03125</v>
      </c>
      <c r="C585" s="5">
        <f>IF('96 Werte'!E12="","",'96 Werte'!E12)</f>
        <v/>
      </c>
      <c r="D585" t="str">
        <f>IF(IF(Eingaben!$B$21&lt;Eingaben!$B$22,AND(B585&gt;=Eingaben!$B$21,B585&lt;Eingaben!$B$22),OR(B585&gt;=Eingaben!$B$21,B585&lt;Eingaben!$B$22)),"GO",IF(AND(ISNUMBER(Eingaben!$B$23),ISNUMBER(Eingaben!$B$24),IF(Eingaben!$B$23&lt;Eingaben!$B$24,AND(B585&gt;=Eingaben!$B$23,B585&lt;Eingaben!$B$24),OR(B585&gt;=Eingaben!$B$23,B585&lt;Eingaben!$B$24))),"HEAT","STANDARD"))</f>
        <v>GO</v>
      </c>
      <c r="E585" s="9"/>
      <c r="F585" t="str">
        <f>IF(E585="",D585,E585)</f>
        <v>GO</v>
      </c>
      <c r="G585" t="str">
        <f>INDEX(Netzzeiten!$B$6:$B$29,HOUR(B585)+1)</f>
        <v>NT</v>
      </c>
      <c r="H585" s="6">
        <f>IF(F585="GO",Eingaben!$B$11,IF(F585="STANDARD",Eingaben!$B$12,IF(AND(F585="HEAT",ISNUMBER(Eingaben!$B$13)),Eingaben!$B$13,"")))</f>
        <v>15.0654</v>
      </c>
      <c r="I585" s="6">
        <f>INDEX(Netzzeiten!$C$6:$C$29,HOUR(B585)+1)</f>
        <v>1.64</v>
      </c>
      <c r="J585" t="str">
        <f>IF(C585="","FEHLT",IF(NOT(ISNUMBER(C585)),"MESSWERT UNGUELTIG",IF(C585&lt;0,"MESSWERT UNGUELTIG",IF(H585="","TARIFPREIS FEHLT","OK"))))</f>
        <v>FEHLT</v>
      </c>
      <c r="K585" s="7">
        <f>IF(J585&lt;&gt;"OK","",C585*I585/100)</f>
        <v/>
      </c>
    </row>
    <row r="586" spans="1:11">
      <c r="A586" s="14">
        <v>46149</v>
      </c>
      <c r="B586" s="15">
        <v>0.04166666666666666</v>
      </c>
      <c r="C586" s="5">
        <f>IF('96 Werte'!F12="","",'96 Werte'!F12)</f>
        <v/>
      </c>
      <c r="D586" t="str">
        <f>IF(IF(Eingaben!$B$21&lt;Eingaben!$B$22,AND(B586&gt;=Eingaben!$B$21,B586&lt;Eingaben!$B$22),OR(B586&gt;=Eingaben!$B$21,B586&lt;Eingaben!$B$22)),"GO",IF(AND(ISNUMBER(Eingaben!$B$23),ISNUMBER(Eingaben!$B$24),IF(Eingaben!$B$23&lt;Eingaben!$B$24,AND(B586&gt;=Eingaben!$B$23,B586&lt;Eingaben!$B$24),OR(B586&gt;=Eingaben!$B$23,B586&lt;Eingaben!$B$24))),"HEAT","STANDARD"))</f>
        <v>GO</v>
      </c>
      <c r="E586" s="9"/>
      <c r="F586" t="str">
        <f>IF(E586="",D586,E586)</f>
        <v>GO</v>
      </c>
      <c r="G586" t="str">
        <f>INDEX(Netzzeiten!$B$6:$B$29,HOUR(B586)+1)</f>
        <v>NT</v>
      </c>
      <c r="H586" s="6">
        <f>IF(F586="GO",Eingaben!$B$11,IF(F586="STANDARD",Eingaben!$B$12,IF(AND(F586="HEAT",ISNUMBER(Eingaben!$B$13)),Eingaben!$B$13,"")))</f>
        <v>15.0654</v>
      </c>
      <c r="I586" s="6">
        <f>INDEX(Netzzeiten!$C$6:$C$29,HOUR(B586)+1)</f>
        <v>1.64</v>
      </c>
      <c r="J586" t="str">
        <f>IF(C586="","FEHLT",IF(NOT(ISNUMBER(C586)),"MESSWERT UNGUELTIG",IF(C586&lt;0,"MESSWERT UNGUELTIG",IF(H586="","TARIFPREIS FEHLT","OK"))))</f>
        <v>FEHLT</v>
      </c>
      <c r="K586" s="7">
        <f>IF(J586&lt;&gt;"OK","",C586*I586/100)</f>
        <v/>
      </c>
    </row>
    <row r="587" spans="1:11">
      <c r="A587" s="14">
        <v>46149</v>
      </c>
      <c r="B587" s="15">
        <v>0.05208333333333334</v>
      </c>
      <c r="C587" s="5">
        <f>IF('96 Werte'!G12="","",'96 Werte'!G12)</f>
        <v/>
      </c>
      <c r="D587" t="str">
        <f>IF(IF(Eingaben!$B$21&lt;Eingaben!$B$22,AND(B587&gt;=Eingaben!$B$21,B587&lt;Eingaben!$B$22),OR(B587&gt;=Eingaben!$B$21,B587&lt;Eingaben!$B$22)),"GO",IF(AND(ISNUMBER(Eingaben!$B$23),ISNUMBER(Eingaben!$B$24),IF(Eingaben!$B$23&lt;Eingaben!$B$24,AND(B587&gt;=Eingaben!$B$23,B587&lt;Eingaben!$B$24),OR(B587&gt;=Eingaben!$B$23,B587&lt;Eingaben!$B$24))),"HEAT","STANDARD"))</f>
        <v>GO</v>
      </c>
      <c r="E587" s="9"/>
      <c r="F587" t="str">
        <f>IF(E587="",D587,E587)</f>
        <v>GO</v>
      </c>
      <c r="G587" t="str">
        <f>INDEX(Netzzeiten!$B$6:$B$29,HOUR(B587)+1)</f>
        <v>NT</v>
      </c>
      <c r="H587" s="6">
        <f>IF(F587="GO",Eingaben!$B$11,IF(F587="STANDARD",Eingaben!$B$12,IF(AND(F587="HEAT",ISNUMBER(Eingaben!$B$13)),Eingaben!$B$13,"")))</f>
        <v>15.0654</v>
      </c>
      <c r="I587" s="6">
        <f>INDEX(Netzzeiten!$C$6:$C$29,HOUR(B587)+1)</f>
        <v>1.64</v>
      </c>
      <c r="J587" t="str">
        <f>IF(C587="","FEHLT",IF(NOT(ISNUMBER(C587)),"MESSWERT UNGUELTIG",IF(C587&lt;0,"MESSWERT UNGUELTIG",IF(H587="","TARIFPREIS FEHLT","OK"))))</f>
        <v>FEHLT</v>
      </c>
      <c r="K587" s="7">
        <f>IF(J587&lt;&gt;"OK","",C587*I587/100)</f>
        <v/>
      </c>
    </row>
    <row r="588" spans="1:11">
      <c r="A588" s="14">
        <v>46149</v>
      </c>
      <c r="B588" s="15">
        <v>0.0625</v>
      </c>
      <c r="C588" s="5">
        <f>IF('96 Werte'!H12="","",'96 Werte'!H12)</f>
        <v/>
      </c>
      <c r="D588" t="str">
        <f>IF(IF(Eingaben!$B$21&lt;Eingaben!$B$22,AND(B588&gt;=Eingaben!$B$21,B588&lt;Eingaben!$B$22),OR(B588&gt;=Eingaben!$B$21,B588&lt;Eingaben!$B$22)),"GO",IF(AND(ISNUMBER(Eingaben!$B$23),ISNUMBER(Eingaben!$B$24),IF(Eingaben!$B$23&lt;Eingaben!$B$24,AND(B588&gt;=Eingaben!$B$23,B588&lt;Eingaben!$B$24),OR(B588&gt;=Eingaben!$B$23,B588&lt;Eingaben!$B$24))),"HEAT","STANDARD"))</f>
        <v>GO</v>
      </c>
      <c r="E588" s="9"/>
      <c r="F588" t="str">
        <f>IF(E588="",D588,E588)</f>
        <v>GO</v>
      </c>
      <c r="G588" t="str">
        <f>INDEX(Netzzeiten!$B$6:$B$29,HOUR(B588)+1)</f>
        <v>NT</v>
      </c>
      <c r="H588" s="6">
        <f>IF(F588="GO",Eingaben!$B$11,IF(F588="STANDARD",Eingaben!$B$12,IF(AND(F588="HEAT",ISNUMBER(Eingaben!$B$13)),Eingaben!$B$13,"")))</f>
        <v>15.0654</v>
      </c>
      <c r="I588" s="6">
        <f>INDEX(Netzzeiten!$C$6:$C$29,HOUR(B588)+1)</f>
        <v>1.64</v>
      </c>
      <c r="J588" t="str">
        <f>IF(C588="","FEHLT",IF(NOT(ISNUMBER(C588)),"MESSWERT UNGUELTIG",IF(C588&lt;0,"MESSWERT UNGUELTIG",IF(H588="","TARIFPREIS FEHLT","OK"))))</f>
        <v>FEHLT</v>
      </c>
      <c r="K588" s="7">
        <f>IF(J588&lt;&gt;"OK","",C588*I588/100)</f>
        <v/>
      </c>
    </row>
    <row r="589" spans="1:11">
      <c r="A589" s="14">
        <v>46149</v>
      </c>
      <c r="B589" s="15">
        <v>0.07291666666666667</v>
      </c>
      <c r="C589" s="5">
        <f>IF('96 Werte'!I12="","",'96 Werte'!I12)</f>
        <v/>
      </c>
      <c r="D589" t="str">
        <f>IF(IF(Eingaben!$B$21&lt;Eingaben!$B$22,AND(B589&gt;=Eingaben!$B$21,B589&lt;Eingaben!$B$22),OR(B589&gt;=Eingaben!$B$21,B589&lt;Eingaben!$B$22)),"GO",IF(AND(ISNUMBER(Eingaben!$B$23),ISNUMBER(Eingaben!$B$24),IF(Eingaben!$B$23&lt;Eingaben!$B$24,AND(B589&gt;=Eingaben!$B$23,B589&lt;Eingaben!$B$24),OR(B589&gt;=Eingaben!$B$23,B589&lt;Eingaben!$B$24))),"HEAT","STANDARD"))</f>
        <v>GO</v>
      </c>
      <c r="E589" s="9"/>
      <c r="F589" t="str">
        <f>IF(E589="",D589,E589)</f>
        <v>GO</v>
      </c>
      <c r="G589" t="str">
        <f>INDEX(Netzzeiten!$B$6:$B$29,HOUR(B589)+1)</f>
        <v>NT</v>
      </c>
      <c r="H589" s="6">
        <f>IF(F589="GO",Eingaben!$B$11,IF(F589="STANDARD",Eingaben!$B$12,IF(AND(F589="HEAT",ISNUMBER(Eingaben!$B$13)),Eingaben!$B$13,"")))</f>
        <v>15.0654</v>
      </c>
      <c r="I589" s="6">
        <f>INDEX(Netzzeiten!$C$6:$C$29,HOUR(B589)+1)</f>
        <v>1.64</v>
      </c>
      <c r="J589" t="str">
        <f>IF(C589="","FEHLT",IF(NOT(ISNUMBER(C589)),"MESSWERT UNGUELTIG",IF(C589&lt;0,"MESSWERT UNGUELTIG",IF(H589="","TARIFPREIS FEHLT","OK"))))</f>
        <v>FEHLT</v>
      </c>
      <c r="K589" s="7">
        <f>IF(J589&lt;&gt;"OK","",C589*I589/100)</f>
        <v/>
      </c>
    </row>
    <row r="590" spans="1:11">
      <c r="A590" s="14">
        <v>46149</v>
      </c>
      <c r="B590" s="15">
        <v>0.08333333333333333</v>
      </c>
      <c r="C590" s="5">
        <f>IF('96 Werte'!J12="","",'96 Werte'!J12)</f>
        <v/>
      </c>
      <c r="D590" t="str">
        <f>IF(IF(Eingaben!$B$21&lt;Eingaben!$B$22,AND(B590&gt;=Eingaben!$B$21,B590&lt;Eingaben!$B$22),OR(B590&gt;=Eingaben!$B$21,B590&lt;Eingaben!$B$22)),"GO",IF(AND(ISNUMBER(Eingaben!$B$23),ISNUMBER(Eingaben!$B$24),IF(Eingaben!$B$23&lt;Eingaben!$B$24,AND(B590&gt;=Eingaben!$B$23,B590&lt;Eingaben!$B$24),OR(B590&gt;=Eingaben!$B$23,B590&lt;Eingaben!$B$24))),"HEAT","STANDARD"))</f>
        <v>GO</v>
      </c>
      <c r="E590" s="9"/>
      <c r="F590" t="str">
        <f>IF(E590="",D590,E590)</f>
        <v>GO</v>
      </c>
      <c r="G590" t="str">
        <f>INDEX(Netzzeiten!$B$6:$B$29,HOUR(B590)+1)</f>
        <v>NT</v>
      </c>
      <c r="H590" s="6">
        <f>IF(F590="GO",Eingaben!$B$11,IF(F590="STANDARD",Eingaben!$B$12,IF(AND(F590="HEAT",ISNUMBER(Eingaben!$B$13)),Eingaben!$B$13,"")))</f>
        <v>15.0654</v>
      </c>
      <c r="I590" s="6">
        <f>INDEX(Netzzeiten!$C$6:$C$29,HOUR(B590)+1)</f>
        <v>1.64</v>
      </c>
      <c r="J590" t="str">
        <f>IF(C590="","FEHLT",IF(NOT(ISNUMBER(C590)),"MESSWERT UNGUELTIG",IF(C590&lt;0,"MESSWERT UNGUELTIG",IF(H590="","TARIFPREIS FEHLT","OK"))))</f>
        <v>FEHLT</v>
      </c>
      <c r="K590" s="7">
        <f>IF(J590&lt;&gt;"OK","",C590*I590/100)</f>
        <v/>
      </c>
    </row>
    <row r="591" spans="1:11">
      <c r="A591" s="14">
        <v>46149</v>
      </c>
      <c r="B591" s="15">
        <v>0.09375</v>
      </c>
      <c r="C591" s="5">
        <f>IF('96 Werte'!K12="","",'96 Werte'!K12)</f>
        <v/>
      </c>
      <c r="D591" t="str">
        <f>IF(IF(Eingaben!$B$21&lt;Eingaben!$B$22,AND(B591&gt;=Eingaben!$B$21,B591&lt;Eingaben!$B$22),OR(B591&gt;=Eingaben!$B$21,B591&lt;Eingaben!$B$22)),"GO",IF(AND(ISNUMBER(Eingaben!$B$23),ISNUMBER(Eingaben!$B$24),IF(Eingaben!$B$23&lt;Eingaben!$B$24,AND(B591&gt;=Eingaben!$B$23,B591&lt;Eingaben!$B$24),OR(B591&gt;=Eingaben!$B$23,B591&lt;Eingaben!$B$24))),"HEAT","STANDARD"))</f>
        <v>GO</v>
      </c>
      <c r="E591" s="9"/>
      <c r="F591" t="str">
        <f>IF(E591="",D591,E591)</f>
        <v>GO</v>
      </c>
      <c r="G591" t="str">
        <f>INDEX(Netzzeiten!$B$6:$B$29,HOUR(B591)+1)</f>
        <v>NT</v>
      </c>
      <c r="H591" s="6">
        <f>IF(F591="GO",Eingaben!$B$11,IF(F591="STANDARD",Eingaben!$B$12,IF(AND(F591="HEAT",ISNUMBER(Eingaben!$B$13)),Eingaben!$B$13,"")))</f>
        <v>15.0654</v>
      </c>
      <c r="I591" s="6">
        <f>INDEX(Netzzeiten!$C$6:$C$29,HOUR(B591)+1)</f>
        <v>1.64</v>
      </c>
      <c r="J591" t="str">
        <f>IF(C591="","FEHLT",IF(NOT(ISNUMBER(C591)),"MESSWERT UNGUELTIG",IF(C591&lt;0,"MESSWERT UNGUELTIG",IF(H591="","TARIFPREIS FEHLT","OK"))))</f>
        <v>FEHLT</v>
      </c>
      <c r="K591" s="7">
        <f>IF(J591&lt;&gt;"OK","",C591*I591/100)</f>
        <v/>
      </c>
    </row>
    <row r="592" spans="1:11">
      <c r="A592" s="14">
        <v>46149</v>
      </c>
      <c r="B592" s="15">
        <v>0.1041666666666667</v>
      </c>
      <c r="C592" s="5">
        <f>IF('96 Werte'!L12="","",'96 Werte'!L12)</f>
        <v/>
      </c>
      <c r="D592" t="str">
        <f>IF(IF(Eingaben!$B$21&lt;Eingaben!$B$22,AND(B592&gt;=Eingaben!$B$21,B592&lt;Eingaben!$B$22),OR(B592&gt;=Eingaben!$B$21,B592&lt;Eingaben!$B$22)),"GO",IF(AND(ISNUMBER(Eingaben!$B$23),ISNUMBER(Eingaben!$B$24),IF(Eingaben!$B$23&lt;Eingaben!$B$24,AND(B592&gt;=Eingaben!$B$23,B592&lt;Eingaben!$B$24),OR(B592&gt;=Eingaben!$B$23,B592&lt;Eingaben!$B$24))),"HEAT","STANDARD"))</f>
        <v>GO</v>
      </c>
      <c r="E592" s="9"/>
      <c r="F592" t="str">
        <f>IF(E592="",D592,E592)</f>
        <v>GO</v>
      </c>
      <c r="G592" t="str">
        <f>INDEX(Netzzeiten!$B$6:$B$29,HOUR(B592)+1)</f>
        <v>NT</v>
      </c>
      <c r="H592" s="6">
        <f>IF(F592="GO",Eingaben!$B$11,IF(F592="STANDARD",Eingaben!$B$12,IF(AND(F592="HEAT",ISNUMBER(Eingaben!$B$13)),Eingaben!$B$13,"")))</f>
        <v>15.0654</v>
      </c>
      <c r="I592" s="6">
        <f>INDEX(Netzzeiten!$C$6:$C$29,HOUR(B592)+1)</f>
        <v>1.64</v>
      </c>
      <c r="J592" t="str">
        <f>IF(C592="","FEHLT",IF(NOT(ISNUMBER(C592)),"MESSWERT UNGUELTIG",IF(C592&lt;0,"MESSWERT UNGUELTIG",IF(H592="","TARIFPREIS FEHLT","OK"))))</f>
        <v>FEHLT</v>
      </c>
      <c r="K592" s="7">
        <f>IF(J592&lt;&gt;"OK","",C592*I592/100)</f>
        <v/>
      </c>
    </row>
    <row r="593" spans="1:11">
      <c r="A593" s="14">
        <v>46149</v>
      </c>
      <c r="B593" s="15">
        <v>0.1145833333333333</v>
      </c>
      <c r="C593" s="5">
        <f>IF('96 Werte'!M12="","",'96 Werte'!M12)</f>
        <v/>
      </c>
      <c r="D593" t="str">
        <f>IF(IF(Eingaben!$B$21&lt;Eingaben!$B$22,AND(B593&gt;=Eingaben!$B$21,B593&lt;Eingaben!$B$22),OR(B593&gt;=Eingaben!$B$21,B593&lt;Eingaben!$B$22)),"GO",IF(AND(ISNUMBER(Eingaben!$B$23),ISNUMBER(Eingaben!$B$24),IF(Eingaben!$B$23&lt;Eingaben!$B$24,AND(B593&gt;=Eingaben!$B$23,B593&lt;Eingaben!$B$24),OR(B593&gt;=Eingaben!$B$23,B593&lt;Eingaben!$B$24))),"HEAT","STANDARD"))</f>
        <v>GO</v>
      </c>
      <c r="E593" s="9"/>
      <c r="F593" t="str">
        <f>IF(E593="",D593,E593)</f>
        <v>GO</v>
      </c>
      <c r="G593" t="str">
        <f>INDEX(Netzzeiten!$B$6:$B$29,HOUR(B593)+1)</f>
        <v>NT</v>
      </c>
      <c r="H593" s="6">
        <f>IF(F593="GO",Eingaben!$B$11,IF(F593="STANDARD",Eingaben!$B$12,IF(AND(F593="HEAT",ISNUMBER(Eingaben!$B$13)),Eingaben!$B$13,"")))</f>
        <v>15.0654</v>
      </c>
      <c r="I593" s="6">
        <f>INDEX(Netzzeiten!$C$6:$C$29,HOUR(B593)+1)</f>
        <v>1.64</v>
      </c>
      <c r="J593" t="str">
        <f>IF(C593="","FEHLT",IF(NOT(ISNUMBER(C593)),"MESSWERT UNGUELTIG",IF(C593&lt;0,"MESSWERT UNGUELTIG",IF(H593="","TARIFPREIS FEHLT","OK"))))</f>
        <v>FEHLT</v>
      </c>
      <c r="K593" s="7">
        <f>IF(J593&lt;&gt;"OK","",C593*I593/100)</f>
        <v/>
      </c>
    </row>
    <row r="594" spans="1:11">
      <c r="A594" s="14">
        <v>46149</v>
      </c>
      <c r="B594" s="15">
        <v>0.125</v>
      </c>
      <c r="C594" s="5">
        <f>IF('96 Werte'!N12="","",'96 Werte'!N12)</f>
        <v/>
      </c>
      <c r="D594" t="str">
        <f>IF(IF(Eingaben!$B$21&lt;Eingaben!$B$22,AND(B594&gt;=Eingaben!$B$21,B594&lt;Eingaben!$B$22),OR(B594&gt;=Eingaben!$B$21,B594&lt;Eingaben!$B$22)),"GO",IF(AND(ISNUMBER(Eingaben!$B$23),ISNUMBER(Eingaben!$B$24),IF(Eingaben!$B$23&lt;Eingaben!$B$24,AND(B594&gt;=Eingaben!$B$23,B594&lt;Eingaben!$B$24),OR(B594&gt;=Eingaben!$B$23,B594&lt;Eingaben!$B$24))),"HEAT","STANDARD"))</f>
        <v>GO</v>
      </c>
      <c r="E594" s="9"/>
      <c r="F594" t="str">
        <f>IF(E594="",D594,E594)</f>
        <v>GO</v>
      </c>
      <c r="G594" t="str">
        <f>INDEX(Netzzeiten!$B$6:$B$29,HOUR(B594)+1)</f>
        <v>NT</v>
      </c>
      <c r="H594" s="6">
        <f>IF(F594="GO",Eingaben!$B$11,IF(F594="STANDARD",Eingaben!$B$12,IF(AND(F594="HEAT",ISNUMBER(Eingaben!$B$13)),Eingaben!$B$13,"")))</f>
        <v>15.0654</v>
      </c>
      <c r="I594" s="6">
        <f>INDEX(Netzzeiten!$C$6:$C$29,HOUR(B594)+1)</f>
        <v>1.64</v>
      </c>
      <c r="J594" t="str">
        <f>IF(C594="","FEHLT",IF(NOT(ISNUMBER(C594)),"MESSWERT UNGUELTIG",IF(C594&lt;0,"MESSWERT UNGUELTIG",IF(H594="","TARIFPREIS FEHLT","OK"))))</f>
        <v>FEHLT</v>
      </c>
      <c r="K594" s="7">
        <f>IF(J594&lt;&gt;"OK","",C594*I594/100)</f>
        <v/>
      </c>
    </row>
    <row r="595" spans="1:11">
      <c r="A595" s="14">
        <v>46149</v>
      </c>
      <c r="B595" s="15">
        <v>0.1354166666666667</v>
      </c>
      <c r="C595" s="5">
        <f>IF('96 Werte'!O12="","",'96 Werte'!O12)</f>
        <v/>
      </c>
      <c r="D595" t="str">
        <f>IF(IF(Eingaben!$B$21&lt;Eingaben!$B$22,AND(B595&gt;=Eingaben!$B$21,B595&lt;Eingaben!$B$22),OR(B595&gt;=Eingaben!$B$21,B595&lt;Eingaben!$B$22)),"GO",IF(AND(ISNUMBER(Eingaben!$B$23),ISNUMBER(Eingaben!$B$24),IF(Eingaben!$B$23&lt;Eingaben!$B$24,AND(B595&gt;=Eingaben!$B$23,B595&lt;Eingaben!$B$24),OR(B595&gt;=Eingaben!$B$23,B595&lt;Eingaben!$B$24))),"HEAT","STANDARD"))</f>
        <v>GO</v>
      </c>
      <c r="E595" s="9"/>
      <c r="F595" t="str">
        <f>IF(E595="",D595,E595)</f>
        <v>GO</v>
      </c>
      <c r="G595" t="str">
        <f>INDEX(Netzzeiten!$B$6:$B$29,HOUR(B595)+1)</f>
        <v>NT</v>
      </c>
      <c r="H595" s="6">
        <f>IF(F595="GO",Eingaben!$B$11,IF(F595="STANDARD",Eingaben!$B$12,IF(AND(F595="HEAT",ISNUMBER(Eingaben!$B$13)),Eingaben!$B$13,"")))</f>
        <v>15.0654</v>
      </c>
      <c r="I595" s="6">
        <f>INDEX(Netzzeiten!$C$6:$C$29,HOUR(B595)+1)</f>
        <v>1.64</v>
      </c>
      <c r="J595" t="str">
        <f>IF(C595="","FEHLT",IF(NOT(ISNUMBER(C595)),"MESSWERT UNGUELTIG",IF(C595&lt;0,"MESSWERT UNGUELTIG",IF(H595="","TARIFPREIS FEHLT","OK"))))</f>
        <v>FEHLT</v>
      </c>
      <c r="K595" s="7">
        <f>IF(J595&lt;&gt;"OK","",C595*I595/100)</f>
        <v/>
      </c>
    </row>
    <row r="596" spans="1:11">
      <c r="A596" s="14">
        <v>46149</v>
      </c>
      <c r="B596" s="15">
        <v>0.1458333333333333</v>
      </c>
      <c r="C596" s="5">
        <f>IF('96 Werte'!P12="","",'96 Werte'!P12)</f>
        <v/>
      </c>
      <c r="D596" t="str">
        <f>IF(IF(Eingaben!$B$21&lt;Eingaben!$B$22,AND(B596&gt;=Eingaben!$B$21,B596&lt;Eingaben!$B$22),OR(B596&gt;=Eingaben!$B$21,B596&lt;Eingaben!$B$22)),"GO",IF(AND(ISNUMBER(Eingaben!$B$23),ISNUMBER(Eingaben!$B$24),IF(Eingaben!$B$23&lt;Eingaben!$B$24,AND(B596&gt;=Eingaben!$B$23,B596&lt;Eingaben!$B$24),OR(B596&gt;=Eingaben!$B$23,B596&lt;Eingaben!$B$24))),"HEAT","STANDARD"))</f>
        <v>GO</v>
      </c>
      <c r="E596" s="9"/>
      <c r="F596" t="str">
        <f>IF(E596="",D596,E596)</f>
        <v>GO</v>
      </c>
      <c r="G596" t="str">
        <f>INDEX(Netzzeiten!$B$6:$B$29,HOUR(B596)+1)</f>
        <v>NT</v>
      </c>
      <c r="H596" s="6">
        <f>IF(F596="GO",Eingaben!$B$11,IF(F596="STANDARD",Eingaben!$B$12,IF(AND(F596="HEAT",ISNUMBER(Eingaben!$B$13)),Eingaben!$B$13,"")))</f>
        <v>15.0654</v>
      </c>
      <c r="I596" s="6">
        <f>INDEX(Netzzeiten!$C$6:$C$29,HOUR(B596)+1)</f>
        <v>1.64</v>
      </c>
      <c r="J596" t="str">
        <f>IF(C596="","FEHLT",IF(NOT(ISNUMBER(C596)),"MESSWERT UNGUELTIG",IF(C596&lt;0,"MESSWERT UNGUELTIG",IF(H596="","TARIFPREIS FEHLT","OK"))))</f>
        <v>FEHLT</v>
      </c>
      <c r="K596" s="7">
        <f>IF(J596&lt;&gt;"OK","",C596*I596/100)</f>
        <v/>
      </c>
    </row>
    <row r="597" spans="1:11">
      <c r="A597" s="14">
        <v>46149</v>
      </c>
      <c r="B597" s="15">
        <v>0.15625</v>
      </c>
      <c r="C597" s="5">
        <f>IF('96 Werte'!Q12="","",'96 Werte'!Q12)</f>
        <v/>
      </c>
      <c r="D597" t="str">
        <f>IF(IF(Eingaben!$B$21&lt;Eingaben!$B$22,AND(B597&gt;=Eingaben!$B$21,B597&lt;Eingaben!$B$22),OR(B597&gt;=Eingaben!$B$21,B597&lt;Eingaben!$B$22)),"GO",IF(AND(ISNUMBER(Eingaben!$B$23),ISNUMBER(Eingaben!$B$24),IF(Eingaben!$B$23&lt;Eingaben!$B$24,AND(B597&gt;=Eingaben!$B$23,B597&lt;Eingaben!$B$24),OR(B597&gt;=Eingaben!$B$23,B597&lt;Eingaben!$B$24))),"HEAT","STANDARD"))</f>
        <v>GO</v>
      </c>
      <c r="E597" s="9"/>
      <c r="F597" t="str">
        <f>IF(E597="",D597,E597)</f>
        <v>GO</v>
      </c>
      <c r="G597" t="str">
        <f>INDEX(Netzzeiten!$B$6:$B$29,HOUR(B597)+1)</f>
        <v>NT</v>
      </c>
      <c r="H597" s="6">
        <f>IF(F597="GO",Eingaben!$B$11,IF(F597="STANDARD",Eingaben!$B$12,IF(AND(F597="HEAT",ISNUMBER(Eingaben!$B$13)),Eingaben!$B$13,"")))</f>
        <v>15.0654</v>
      </c>
      <c r="I597" s="6">
        <f>INDEX(Netzzeiten!$C$6:$C$29,HOUR(B597)+1)</f>
        <v>1.64</v>
      </c>
      <c r="J597" t="str">
        <f>IF(C597="","FEHLT",IF(NOT(ISNUMBER(C597)),"MESSWERT UNGUELTIG",IF(C597&lt;0,"MESSWERT UNGUELTIG",IF(H597="","TARIFPREIS FEHLT","OK"))))</f>
        <v>FEHLT</v>
      </c>
      <c r="K597" s="7">
        <f>IF(J597&lt;&gt;"OK","",C597*I597/100)</f>
        <v/>
      </c>
    </row>
    <row r="598" spans="1:11">
      <c r="A598" s="14">
        <v>46149</v>
      </c>
      <c r="B598" s="15">
        <v>0.1666666666666667</v>
      </c>
      <c r="C598" s="5">
        <f>IF('96 Werte'!R12="","",'96 Werte'!R12)</f>
        <v/>
      </c>
      <c r="D598" t="str">
        <f>IF(IF(Eingaben!$B$21&lt;Eingaben!$B$22,AND(B598&gt;=Eingaben!$B$21,B598&lt;Eingaben!$B$22),OR(B598&gt;=Eingaben!$B$21,B598&lt;Eingaben!$B$22)),"GO",IF(AND(ISNUMBER(Eingaben!$B$23),ISNUMBER(Eingaben!$B$24),IF(Eingaben!$B$23&lt;Eingaben!$B$24,AND(B598&gt;=Eingaben!$B$23,B598&lt;Eingaben!$B$24),OR(B598&gt;=Eingaben!$B$23,B598&lt;Eingaben!$B$24))),"HEAT","STANDARD"))</f>
        <v>GO</v>
      </c>
      <c r="E598" s="9"/>
      <c r="F598" t="str">
        <f>IF(E598="",D598,E598)</f>
        <v>GO</v>
      </c>
      <c r="G598" t="str">
        <f>INDEX(Netzzeiten!$B$6:$B$29,HOUR(B598)+1)</f>
        <v>NT</v>
      </c>
      <c r="H598" s="6">
        <f>IF(F598="GO",Eingaben!$B$11,IF(F598="STANDARD",Eingaben!$B$12,IF(AND(F598="HEAT",ISNUMBER(Eingaben!$B$13)),Eingaben!$B$13,"")))</f>
        <v>15.0654</v>
      </c>
      <c r="I598" s="6">
        <f>INDEX(Netzzeiten!$C$6:$C$29,HOUR(B598)+1)</f>
        <v>1.64</v>
      </c>
      <c r="J598" t="str">
        <f>IF(C598="","FEHLT",IF(NOT(ISNUMBER(C598)),"MESSWERT UNGUELTIG",IF(C598&lt;0,"MESSWERT UNGUELTIG",IF(H598="","TARIFPREIS FEHLT","OK"))))</f>
        <v>FEHLT</v>
      </c>
      <c r="K598" s="7">
        <f>IF(J598&lt;&gt;"OK","",C598*I598/100)</f>
        <v/>
      </c>
    </row>
    <row r="599" spans="1:11">
      <c r="A599" s="14">
        <v>46149</v>
      </c>
      <c r="B599" s="15">
        <v>0.1770833333333333</v>
      </c>
      <c r="C599" s="5">
        <f>IF('96 Werte'!S12="","",'96 Werte'!S12)</f>
        <v/>
      </c>
      <c r="D599" t="str">
        <f>IF(IF(Eingaben!$B$21&lt;Eingaben!$B$22,AND(B599&gt;=Eingaben!$B$21,B599&lt;Eingaben!$B$22),OR(B599&gt;=Eingaben!$B$21,B599&lt;Eingaben!$B$22)),"GO",IF(AND(ISNUMBER(Eingaben!$B$23),ISNUMBER(Eingaben!$B$24),IF(Eingaben!$B$23&lt;Eingaben!$B$24,AND(B599&gt;=Eingaben!$B$23,B599&lt;Eingaben!$B$24),OR(B599&gt;=Eingaben!$B$23,B599&lt;Eingaben!$B$24))),"HEAT","STANDARD"))</f>
        <v>GO</v>
      </c>
      <c r="E599" s="9"/>
      <c r="F599" t="str">
        <f>IF(E599="",D599,E599)</f>
        <v>GO</v>
      </c>
      <c r="G599" t="str">
        <f>INDEX(Netzzeiten!$B$6:$B$29,HOUR(B599)+1)</f>
        <v>NT</v>
      </c>
      <c r="H599" s="6">
        <f>IF(F599="GO",Eingaben!$B$11,IF(F599="STANDARD",Eingaben!$B$12,IF(AND(F599="HEAT",ISNUMBER(Eingaben!$B$13)),Eingaben!$B$13,"")))</f>
        <v>15.0654</v>
      </c>
      <c r="I599" s="6">
        <f>INDEX(Netzzeiten!$C$6:$C$29,HOUR(B599)+1)</f>
        <v>1.64</v>
      </c>
      <c r="J599" t="str">
        <f>IF(C599="","FEHLT",IF(NOT(ISNUMBER(C599)),"MESSWERT UNGUELTIG",IF(C599&lt;0,"MESSWERT UNGUELTIG",IF(H599="","TARIFPREIS FEHLT","OK"))))</f>
        <v>FEHLT</v>
      </c>
      <c r="K599" s="7">
        <f>IF(J599&lt;&gt;"OK","",C599*I599/100)</f>
        <v/>
      </c>
    </row>
    <row r="600" spans="1:11">
      <c r="A600" s="14">
        <v>46149</v>
      </c>
      <c r="B600" s="15">
        <v>0.1875</v>
      </c>
      <c r="C600" s="5">
        <f>IF('96 Werte'!T12="","",'96 Werte'!T12)</f>
        <v/>
      </c>
      <c r="D600" t="str">
        <f>IF(IF(Eingaben!$B$21&lt;Eingaben!$B$22,AND(B600&gt;=Eingaben!$B$21,B600&lt;Eingaben!$B$22),OR(B600&gt;=Eingaben!$B$21,B600&lt;Eingaben!$B$22)),"GO",IF(AND(ISNUMBER(Eingaben!$B$23),ISNUMBER(Eingaben!$B$24),IF(Eingaben!$B$23&lt;Eingaben!$B$24,AND(B600&gt;=Eingaben!$B$23,B600&lt;Eingaben!$B$24),OR(B600&gt;=Eingaben!$B$23,B600&lt;Eingaben!$B$24))),"HEAT","STANDARD"))</f>
        <v>GO</v>
      </c>
      <c r="E600" s="9"/>
      <c r="F600" t="str">
        <f>IF(E600="",D600,E600)</f>
        <v>GO</v>
      </c>
      <c r="G600" t="str">
        <f>INDEX(Netzzeiten!$B$6:$B$29,HOUR(B600)+1)</f>
        <v>NT</v>
      </c>
      <c r="H600" s="6">
        <f>IF(F600="GO",Eingaben!$B$11,IF(F600="STANDARD",Eingaben!$B$12,IF(AND(F600="HEAT",ISNUMBER(Eingaben!$B$13)),Eingaben!$B$13,"")))</f>
        <v>15.0654</v>
      </c>
      <c r="I600" s="6">
        <f>INDEX(Netzzeiten!$C$6:$C$29,HOUR(B600)+1)</f>
        <v>1.64</v>
      </c>
      <c r="J600" t="str">
        <f>IF(C600="","FEHLT",IF(NOT(ISNUMBER(C600)),"MESSWERT UNGUELTIG",IF(C600&lt;0,"MESSWERT UNGUELTIG",IF(H600="","TARIFPREIS FEHLT","OK"))))</f>
        <v>FEHLT</v>
      </c>
      <c r="K600" s="7">
        <f>IF(J600&lt;&gt;"OK","",C600*I600/100)</f>
        <v/>
      </c>
    </row>
    <row r="601" spans="1:11">
      <c r="A601" s="14">
        <v>46149</v>
      </c>
      <c r="B601" s="15">
        <v>0.1979166666666667</v>
      </c>
      <c r="C601" s="5">
        <f>IF('96 Werte'!U12="","",'96 Werte'!U12)</f>
        <v/>
      </c>
      <c r="D601" t="str">
        <f>IF(IF(Eingaben!$B$21&lt;Eingaben!$B$22,AND(B601&gt;=Eingaben!$B$21,B601&lt;Eingaben!$B$22),OR(B601&gt;=Eingaben!$B$21,B601&lt;Eingaben!$B$22)),"GO",IF(AND(ISNUMBER(Eingaben!$B$23),ISNUMBER(Eingaben!$B$24),IF(Eingaben!$B$23&lt;Eingaben!$B$24,AND(B601&gt;=Eingaben!$B$23,B601&lt;Eingaben!$B$24),OR(B601&gt;=Eingaben!$B$23,B601&lt;Eingaben!$B$24))),"HEAT","STANDARD"))</f>
        <v>GO</v>
      </c>
      <c r="E601" s="9"/>
      <c r="F601" t="str">
        <f>IF(E601="",D601,E601)</f>
        <v>GO</v>
      </c>
      <c r="G601" t="str">
        <f>INDEX(Netzzeiten!$B$6:$B$29,HOUR(B601)+1)</f>
        <v>NT</v>
      </c>
      <c r="H601" s="6">
        <f>IF(F601="GO",Eingaben!$B$11,IF(F601="STANDARD",Eingaben!$B$12,IF(AND(F601="HEAT",ISNUMBER(Eingaben!$B$13)),Eingaben!$B$13,"")))</f>
        <v>15.0654</v>
      </c>
      <c r="I601" s="6">
        <f>INDEX(Netzzeiten!$C$6:$C$29,HOUR(B601)+1)</f>
        <v>1.64</v>
      </c>
      <c r="J601" t="str">
        <f>IF(C601="","FEHLT",IF(NOT(ISNUMBER(C601)),"MESSWERT UNGUELTIG",IF(C601&lt;0,"MESSWERT UNGUELTIG",IF(H601="","TARIFPREIS FEHLT","OK"))))</f>
        <v>FEHLT</v>
      </c>
      <c r="K601" s="7">
        <f>IF(J601&lt;&gt;"OK","",C601*I601/100)</f>
        <v/>
      </c>
    </row>
    <row r="602" spans="1:11">
      <c r="A602" s="14">
        <v>46149</v>
      </c>
      <c r="B602" s="15">
        <v>0.2083333333333333</v>
      </c>
      <c r="C602" s="5">
        <f>IF('96 Werte'!V12="","",'96 Werte'!V12)</f>
        <v/>
      </c>
      <c r="D602" t="str">
        <f>IF(IF(Eingaben!$B$21&lt;Eingaben!$B$22,AND(B602&gt;=Eingaben!$B$21,B602&lt;Eingaben!$B$22),OR(B602&gt;=Eingaben!$B$21,B602&lt;Eingaben!$B$22)),"GO",IF(AND(ISNUMBER(Eingaben!$B$23),ISNUMBER(Eingaben!$B$24),IF(Eingaben!$B$23&lt;Eingaben!$B$24,AND(B602&gt;=Eingaben!$B$23,B602&lt;Eingaben!$B$24),OR(B602&gt;=Eingaben!$B$23,B602&lt;Eingaben!$B$24))),"HEAT","STANDARD"))</f>
        <v>STANDARD</v>
      </c>
      <c r="E602" s="9"/>
      <c r="F602" t="str">
        <f>IF(E602="",D602,E602)</f>
        <v>STANDARD</v>
      </c>
      <c r="G602" t="str">
        <f>INDEX(Netzzeiten!$B$6:$B$29,HOUR(B602)+1)</f>
        <v>NT</v>
      </c>
      <c r="H602" s="6">
        <f>IF(F602="GO",Eingaben!$B$11,IF(F602="STANDARD",Eingaben!$B$12,IF(AND(F602="HEAT",ISNUMBER(Eingaben!$B$13)),Eingaben!$B$13,"")))</f>
        <v>28.2744</v>
      </c>
      <c r="I602" s="6">
        <f>INDEX(Netzzeiten!$C$6:$C$29,HOUR(B602)+1)</f>
        <v>1.64</v>
      </c>
      <c r="J602" t="str">
        <f>IF(C602="","FEHLT",IF(NOT(ISNUMBER(C602)),"MESSWERT UNGUELTIG",IF(C602&lt;0,"MESSWERT UNGUELTIG",IF(H602="","TARIFPREIS FEHLT","OK"))))</f>
        <v>FEHLT</v>
      </c>
      <c r="K602" s="7">
        <f>IF(J602&lt;&gt;"OK","",C602*I602/100)</f>
        <v/>
      </c>
    </row>
    <row r="603" spans="1:11">
      <c r="A603" s="14">
        <v>46149</v>
      </c>
      <c r="B603" s="15">
        <v>0.21875</v>
      </c>
      <c r="C603" s="5">
        <f>IF('96 Werte'!W12="","",'96 Werte'!W12)</f>
        <v/>
      </c>
      <c r="D603" t="str">
        <f>IF(IF(Eingaben!$B$21&lt;Eingaben!$B$22,AND(B603&gt;=Eingaben!$B$21,B603&lt;Eingaben!$B$22),OR(B603&gt;=Eingaben!$B$21,B603&lt;Eingaben!$B$22)),"GO",IF(AND(ISNUMBER(Eingaben!$B$23),ISNUMBER(Eingaben!$B$24),IF(Eingaben!$B$23&lt;Eingaben!$B$24,AND(B603&gt;=Eingaben!$B$23,B603&lt;Eingaben!$B$24),OR(B603&gt;=Eingaben!$B$23,B603&lt;Eingaben!$B$24))),"HEAT","STANDARD"))</f>
        <v>STANDARD</v>
      </c>
      <c r="E603" s="9"/>
      <c r="F603" t="str">
        <f>IF(E603="",D603,E603)</f>
        <v>STANDARD</v>
      </c>
      <c r="G603" t="str">
        <f>INDEX(Netzzeiten!$B$6:$B$29,HOUR(B603)+1)</f>
        <v>NT</v>
      </c>
      <c r="H603" s="6">
        <f>IF(F603="GO",Eingaben!$B$11,IF(F603="STANDARD",Eingaben!$B$12,IF(AND(F603="HEAT",ISNUMBER(Eingaben!$B$13)),Eingaben!$B$13,"")))</f>
        <v>28.2744</v>
      </c>
      <c r="I603" s="6">
        <f>INDEX(Netzzeiten!$C$6:$C$29,HOUR(B603)+1)</f>
        <v>1.64</v>
      </c>
      <c r="J603" t="str">
        <f>IF(C603="","FEHLT",IF(NOT(ISNUMBER(C603)),"MESSWERT UNGUELTIG",IF(C603&lt;0,"MESSWERT UNGUELTIG",IF(H603="","TARIFPREIS FEHLT","OK"))))</f>
        <v>FEHLT</v>
      </c>
      <c r="K603" s="7">
        <f>IF(J603&lt;&gt;"OK","",C603*I603/100)</f>
        <v/>
      </c>
    </row>
    <row r="604" spans="1:11">
      <c r="A604" s="14">
        <v>46149</v>
      </c>
      <c r="B604" s="15">
        <v>0.2291666666666667</v>
      </c>
      <c r="C604" s="5">
        <f>IF('96 Werte'!X12="","",'96 Werte'!X12)</f>
        <v/>
      </c>
      <c r="D604" t="str">
        <f>IF(IF(Eingaben!$B$21&lt;Eingaben!$B$22,AND(B604&gt;=Eingaben!$B$21,B604&lt;Eingaben!$B$22),OR(B604&gt;=Eingaben!$B$21,B604&lt;Eingaben!$B$22)),"GO",IF(AND(ISNUMBER(Eingaben!$B$23),ISNUMBER(Eingaben!$B$24),IF(Eingaben!$B$23&lt;Eingaben!$B$24,AND(B604&gt;=Eingaben!$B$23,B604&lt;Eingaben!$B$24),OR(B604&gt;=Eingaben!$B$23,B604&lt;Eingaben!$B$24))),"HEAT","STANDARD"))</f>
        <v>STANDARD</v>
      </c>
      <c r="E604" s="9"/>
      <c r="F604" t="str">
        <f>IF(E604="",D604,E604)</f>
        <v>STANDARD</v>
      </c>
      <c r="G604" t="str">
        <f>INDEX(Netzzeiten!$B$6:$B$29,HOUR(B604)+1)</f>
        <v>NT</v>
      </c>
      <c r="H604" s="6">
        <f>IF(F604="GO",Eingaben!$B$11,IF(F604="STANDARD",Eingaben!$B$12,IF(AND(F604="HEAT",ISNUMBER(Eingaben!$B$13)),Eingaben!$B$13,"")))</f>
        <v>28.2744</v>
      </c>
      <c r="I604" s="6">
        <f>INDEX(Netzzeiten!$C$6:$C$29,HOUR(B604)+1)</f>
        <v>1.64</v>
      </c>
      <c r="J604" t="str">
        <f>IF(C604="","FEHLT",IF(NOT(ISNUMBER(C604)),"MESSWERT UNGUELTIG",IF(C604&lt;0,"MESSWERT UNGUELTIG",IF(H604="","TARIFPREIS FEHLT","OK"))))</f>
        <v>FEHLT</v>
      </c>
      <c r="K604" s="7">
        <f>IF(J604&lt;&gt;"OK","",C604*I604/100)</f>
        <v/>
      </c>
    </row>
    <row r="605" spans="1:11">
      <c r="A605" s="14">
        <v>46149</v>
      </c>
      <c r="B605" s="15">
        <v>0.2395833333333333</v>
      </c>
      <c r="C605" s="5">
        <f>IF('96 Werte'!Y12="","",'96 Werte'!Y12)</f>
        <v/>
      </c>
      <c r="D605" t="str">
        <f>IF(IF(Eingaben!$B$21&lt;Eingaben!$B$22,AND(B605&gt;=Eingaben!$B$21,B605&lt;Eingaben!$B$22),OR(B605&gt;=Eingaben!$B$21,B605&lt;Eingaben!$B$22)),"GO",IF(AND(ISNUMBER(Eingaben!$B$23),ISNUMBER(Eingaben!$B$24),IF(Eingaben!$B$23&lt;Eingaben!$B$24,AND(B605&gt;=Eingaben!$B$23,B605&lt;Eingaben!$B$24),OR(B605&gt;=Eingaben!$B$23,B605&lt;Eingaben!$B$24))),"HEAT","STANDARD"))</f>
        <v>STANDARD</v>
      </c>
      <c r="E605" s="9"/>
      <c r="F605" t="str">
        <f>IF(E605="",D605,E605)</f>
        <v>STANDARD</v>
      </c>
      <c r="G605" t="str">
        <f>INDEX(Netzzeiten!$B$6:$B$29,HOUR(B605)+1)</f>
        <v>NT</v>
      </c>
      <c r="H605" s="6">
        <f>IF(F605="GO",Eingaben!$B$11,IF(F605="STANDARD",Eingaben!$B$12,IF(AND(F605="HEAT",ISNUMBER(Eingaben!$B$13)),Eingaben!$B$13,"")))</f>
        <v>28.2744</v>
      </c>
      <c r="I605" s="6">
        <f>INDEX(Netzzeiten!$C$6:$C$29,HOUR(B605)+1)</f>
        <v>1.64</v>
      </c>
      <c r="J605" t="str">
        <f>IF(C605="","FEHLT",IF(NOT(ISNUMBER(C605)),"MESSWERT UNGUELTIG",IF(C605&lt;0,"MESSWERT UNGUELTIG",IF(H605="","TARIFPREIS FEHLT","OK"))))</f>
        <v>FEHLT</v>
      </c>
      <c r="K605" s="7">
        <f>IF(J605&lt;&gt;"OK","",C605*I605/100)</f>
        <v/>
      </c>
    </row>
    <row r="606" spans="1:11">
      <c r="A606" s="14">
        <v>46149</v>
      </c>
      <c r="B606" s="15">
        <v>0.25</v>
      </c>
      <c r="C606" s="5">
        <f>IF('96 Werte'!Z12="","",'96 Werte'!Z12)</f>
        <v/>
      </c>
      <c r="D606" t="str">
        <f>IF(IF(Eingaben!$B$21&lt;Eingaben!$B$22,AND(B606&gt;=Eingaben!$B$21,B606&lt;Eingaben!$B$22),OR(B606&gt;=Eingaben!$B$21,B606&lt;Eingaben!$B$22)),"GO",IF(AND(ISNUMBER(Eingaben!$B$23),ISNUMBER(Eingaben!$B$24),IF(Eingaben!$B$23&lt;Eingaben!$B$24,AND(B606&gt;=Eingaben!$B$23,B606&lt;Eingaben!$B$24),OR(B606&gt;=Eingaben!$B$23,B606&lt;Eingaben!$B$24))),"HEAT","STANDARD"))</f>
        <v>STANDARD</v>
      </c>
      <c r="E606" s="9"/>
      <c r="F606" t="str">
        <f>IF(E606="",D606,E606)</f>
        <v>STANDARD</v>
      </c>
      <c r="G606" t="str">
        <f>INDEX(Netzzeiten!$B$6:$B$29,HOUR(B606)+1)</f>
        <v>ST</v>
      </c>
      <c r="H606" s="6">
        <f>IF(F606="GO",Eingaben!$B$11,IF(F606="STANDARD",Eingaben!$B$12,IF(AND(F606="HEAT",ISNUMBER(Eingaben!$B$13)),Eingaben!$B$13,"")))</f>
        <v>28.2744</v>
      </c>
      <c r="I606" s="6">
        <f>INDEX(Netzzeiten!$C$6:$C$29,HOUR(B606)+1)</f>
        <v>5.48</v>
      </c>
      <c r="J606" t="str">
        <f>IF(C606="","FEHLT",IF(NOT(ISNUMBER(C606)),"MESSWERT UNGUELTIG",IF(C606&lt;0,"MESSWERT UNGUELTIG",IF(H606="","TARIFPREIS FEHLT","OK"))))</f>
        <v>FEHLT</v>
      </c>
      <c r="K606" s="7">
        <f>IF(J606&lt;&gt;"OK","",C606*I606/100)</f>
        <v/>
      </c>
    </row>
    <row r="607" spans="1:11">
      <c r="A607" s="14">
        <v>46149</v>
      </c>
      <c r="B607" s="15">
        <v>0.2604166666666667</v>
      </c>
      <c r="C607" s="5">
        <f>IF('96 Werte'!AA12="","",'96 Werte'!AA12)</f>
        <v/>
      </c>
      <c r="D607" t="str">
        <f>IF(IF(Eingaben!$B$21&lt;Eingaben!$B$22,AND(B607&gt;=Eingaben!$B$21,B607&lt;Eingaben!$B$22),OR(B607&gt;=Eingaben!$B$21,B607&lt;Eingaben!$B$22)),"GO",IF(AND(ISNUMBER(Eingaben!$B$23),ISNUMBER(Eingaben!$B$24),IF(Eingaben!$B$23&lt;Eingaben!$B$24,AND(B607&gt;=Eingaben!$B$23,B607&lt;Eingaben!$B$24),OR(B607&gt;=Eingaben!$B$23,B607&lt;Eingaben!$B$24))),"HEAT","STANDARD"))</f>
        <v>STANDARD</v>
      </c>
      <c r="E607" s="9"/>
      <c r="F607" t="str">
        <f>IF(E607="",D607,E607)</f>
        <v>STANDARD</v>
      </c>
      <c r="G607" t="str">
        <f>INDEX(Netzzeiten!$B$6:$B$29,HOUR(B607)+1)</f>
        <v>ST</v>
      </c>
      <c r="H607" s="6">
        <f>IF(F607="GO",Eingaben!$B$11,IF(F607="STANDARD",Eingaben!$B$12,IF(AND(F607="HEAT",ISNUMBER(Eingaben!$B$13)),Eingaben!$B$13,"")))</f>
        <v>28.2744</v>
      </c>
      <c r="I607" s="6">
        <f>INDEX(Netzzeiten!$C$6:$C$29,HOUR(B607)+1)</f>
        <v>5.48</v>
      </c>
      <c r="J607" t="str">
        <f>IF(C607="","FEHLT",IF(NOT(ISNUMBER(C607)),"MESSWERT UNGUELTIG",IF(C607&lt;0,"MESSWERT UNGUELTIG",IF(H607="","TARIFPREIS FEHLT","OK"))))</f>
        <v>FEHLT</v>
      </c>
      <c r="K607" s="7">
        <f>IF(J607&lt;&gt;"OK","",C607*I607/100)</f>
        <v/>
      </c>
    </row>
    <row r="608" spans="1:11">
      <c r="A608" s="14">
        <v>46149</v>
      </c>
      <c r="B608" s="15">
        <v>0.2708333333333333</v>
      </c>
      <c r="C608" s="5">
        <f>IF('96 Werte'!AB12="","",'96 Werte'!AB12)</f>
        <v/>
      </c>
      <c r="D608" t="str">
        <f>IF(IF(Eingaben!$B$21&lt;Eingaben!$B$22,AND(B608&gt;=Eingaben!$B$21,B608&lt;Eingaben!$B$22),OR(B608&gt;=Eingaben!$B$21,B608&lt;Eingaben!$B$22)),"GO",IF(AND(ISNUMBER(Eingaben!$B$23),ISNUMBER(Eingaben!$B$24),IF(Eingaben!$B$23&lt;Eingaben!$B$24,AND(B608&gt;=Eingaben!$B$23,B608&lt;Eingaben!$B$24),OR(B608&gt;=Eingaben!$B$23,B608&lt;Eingaben!$B$24))),"HEAT","STANDARD"))</f>
        <v>STANDARD</v>
      </c>
      <c r="E608" s="9"/>
      <c r="F608" t="str">
        <f>IF(E608="",D608,E608)</f>
        <v>STANDARD</v>
      </c>
      <c r="G608" t="str">
        <f>INDEX(Netzzeiten!$B$6:$B$29,HOUR(B608)+1)</f>
        <v>ST</v>
      </c>
      <c r="H608" s="6">
        <f>IF(F608="GO",Eingaben!$B$11,IF(F608="STANDARD",Eingaben!$B$12,IF(AND(F608="HEAT",ISNUMBER(Eingaben!$B$13)),Eingaben!$B$13,"")))</f>
        <v>28.2744</v>
      </c>
      <c r="I608" s="6">
        <f>INDEX(Netzzeiten!$C$6:$C$29,HOUR(B608)+1)</f>
        <v>5.48</v>
      </c>
      <c r="J608" t="str">
        <f>IF(C608="","FEHLT",IF(NOT(ISNUMBER(C608)),"MESSWERT UNGUELTIG",IF(C608&lt;0,"MESSWERT UNGUELTIG",IF(H608="","TARIFPREIS FEHLT","OK"))))</f>
        <v>FEHLT</v>
      </c>
      <c r="K608" s="7">
        <f>IF(J608&lt;&gt;"OK","",C608*I608/100)</f>
        <v/>
      </c>
    </row>
    <row r="609" spans="1:11">
      <c r="A609" s="14">
        <v>46149</v>
      </c>
      <c r="B609" s="15">
        <v>0.28125</v>
      </c>
      <c r="C609" s="5">
        <f>IF('96 Werte'!AC12="","",'96 Werte'!AC12)</f>
        <v/>
      </c>
      <c r="D609" t="str">
        <f>IF(IF(Eingaben!$B$21&lt;Eingaben!$B$22,AND(B609&gt;=Eingaben!$B$21,B609&lt;Eingaben!$B$22),OR(B609&gt;=Eingaben!$B$21,B609&lt;Eingaben!$B$22)),"GO",IF(AND(ISNUMBER(Eingaben!$B$23),ISNUMBER(Eingaben!$B$24),IF(Eingaben!$B$23&lt;Eingaben!$B$24,AND(B609&gt;=Eingaben!$B$23,B609&lt;Eingaben!$B$24),OR(B609&gt;=Eingaben!$B$23,B609&lt;Eingaben!$B$24))),"HEAT","STANDARD"))</f>
        <v>STANDARD</v>
      </c>
      <c r="E609" s="9"/>
      <c r="F609" t="str">
        <f>IF(E609="",D609,E609)</f>
        <v>STANDARD</v>
      </c>
      <c r="G609" t="str">
        <f>INDEX(Netzzeiten!$B$6:$B$29,HOUR(B609)+1)</f>
        <v>ST</v>
      </c>
      <c r="H609" s="6">
        <f>IF(F609="GO",Eingaben!$B$11,IF(F609="STANDARD",Eingaben!$B$12,IF(AND(F609="HEAT",ISNUMBER(Eingaben!$B$13)),Eingaben!$B$13,"")))</f>
        <v>28.2744</v>
      </c>
      <c r="I609" s="6">
        <f>INDEX(Netzzeiten!$C$6:$C$29,HOUR(B609)+1)</f>
        <v>5.48</v>
      </c>
      <c r="J609" t="str">
        <f>IF(C609="","FEHLT",IF(NOT(ISNUMBER(C609)),"MESSWERT UNGUELTIG",IF(C609&lt;0,"MESSWERT UNGUELTIG",IF(H609="","TARIFPREIS FEHLT","OK"))))</f>
        <v>FEHLT</v>
      </c>
      <c r="K609" s="7">
        <f>IF(J609&lt;&gt;"OK","",C609*I609/100)</f>
        <v/>
      </c>
    </row>
    <row r="610" spans="1:11">
      <c r="A610" s="14">
        <v>46149</v>
      </c>
      <c r="B610" s="15">
        <v>0.2916666666666667</v>
      </c>
      <c r="C610" s="5">
        <f>IF('96 Werte'!AD12="","",'96 Werte'!AD12)</f>
        <v/>
      </c>
      <c r="D610" t="str">
        <f>IF(IF(Eingaben!$B$21&lt;Eingaben!$B$22,AND(B610&gt;=Eingaben!$B$21,B610&lt;Eingaben!$B$22),OR(B610&gt;=Eingaben!$B$21,B610&lt;Eingaben!$B$22)),"GO",IF(AND(ISNUMBER(Eingaben!$B$23),ISNUMBER(Eingaben!$B$24),IF(Eingaben!$B$23&lt;Eingaben!$B$24,AND(B610&gt;=Eingaben!$B$23,B610&lt;Eingaben!$B$24),OR(B610&gt;=Eingaben!$B$23,B610&lt;Eingaben!$B$24))),"HEAT","STANDARD"))</f>
        <v>STANDARD</v>
      </c>
      <c r="E610" s="9"/>
      <c r="F610" t="str">
        <f>IF(E610="",D610,E610)</f>
        <v>STANDARD</v>
      </c>
      <c r="G610" t="str">
        <f>INDEX(Netzzeiten!$B$6:$B$29,HOUR(B610)+1)</f>
        <v>ST</v>
      </c>
      <c r="H610" s="6">
        <f>IF(F610="GO",Eingaben!$B$11,IF(F610="STANDARD",Eingaben!$B$12,IF(AND(F610="HEAT",ISNUMBER(Eingaben!$B$13)),Eingaben!$B$13,"")))</f>
        <v>28.2744</v>
      </c>
      <c r="I610" s="6">
        <f>INDEX(Netzzeiten!$C$6:$C$29,HOUR(B610)+1)</f>
        <v>5.48</v>
      </c>
      <c r="J610" t="str">
        <f>IF(C610="","FEHLT",IF(NOT(ISNUMBER(C610)),"MESSWERT UNGUELTIG",IF(C610&lt;0,"MESSWERT UNGUELTIG",IF(H610="","TARIFPREIS FEHLT","OK"))))</f>
        <v>FEHLT</v>
      </c>
      <c r="K610" s="7">
        <f>IF(J610&lt;&gt;"OK","",C610*I610/100)</f>
        <v/>
      </c>
    </row>
    <row r="611" spans="1:11">
      <c r="A611" s="14">
        <v>46149</v>
      </c>
      <c r="B611" s="15">
        <v>0.3020833333333333</v>
      </c>
      <c r="C611" s="5">
        <f>IF('96 Werte'!AE12="","",'96 Werte'!AE12)</f>
        <v/>
      </c>
      <c r="D611" t="str">
        <f>IF(IF(Eingaben!$B$21&lt;Eingaben!$B$22,AND(B611&gt;=Eingaben!$B$21,B611&lt;Eingaben!$B$22),OR(B611&gt;=Eingaben!$B$21,B611&lt;Eingaben!$B$22)),"GO",IF(AND(ISNUMBER(Eingaben!$B$23),ISNUMBER(Eingaben!$B$24),IF(Eingaben!$B$23&lt;Eingaben!$B$24,AND(B611&gt;=Eingaben!$B$23,B611&lt;Eingaben!$B$24),OR(B611&gt;=Eingaben!$B$23,B611&lt;Eingaben!$B$24))),"HEAT","STANDARD"))</f>
        <v>STANDARD</v>
      </c>
      <c r="E611" s="9"/>
      <c r="F611" t="str">
        <f>IF(E611="",D611,E611)</f>
        <v>STANDARD</v>
      </c>
      <c r="G611" t="str">
        <f>INDEX(Netzzeiten!$B$6:$B$29,HOUR(B611)+1)</f>
        <v>ST</v>
      </c>
      <c r="H611" s="6">
        <f>IF(F611="GO",Eingaben!$B$11,IF(F611="STANDARD",Eingaben!$B$12,IF(AND(F611="HEAT",ISNUMBER(Eingaben!$B$13)),Eingaben!$B$13,"")))</f>
        <v>28.2744</v>
      </c>
      <c r="I611" s="6">
        <f>INDEX(Netzzeiten!$C$6:$C$29,HOUR(B611)+1)</f>
        <v>5.48</v>
      </c>
      <c r="J611" t="str">
        <f>IF(C611="","FEHLT",IF(NOT(ISNUMBER(C611)),"MESSWERT UNGUELTIG",IF(C611&lt;0,"MESSWERT UNGUELTIG",IF(H611="","TARIFPREIS FEHLT","OK"))))</f>
        <v>FEHLT</v>
      </c>
      <c r="K611" s="7">
        <f>IF(J611&lt;&gt;"OK","",C611*I611/100)</f>
        <v/>
      </c>
    </row>
    <row r="612" spans="1:11">
      <c r="A612" s="14">
        <v>46149</v>
      </c>
      <c r="B612" s="15">
        <v>0.3125</v>
      </c>
      <c r="C612" s="5">
        <f>IF('96 Werte'!AF12="","",'96 Werte'!AF12)</f>
        <v/>
      </c>
      <c r="D612" t="str">
        <f>IF(IF(Eingaben!$B$21&lt;Eingaben!$B$22,AND(B612&gt;=Eingaben!$B$21,B612&lt;Eingaben!$B$22),OR(B612&gt;=Eingaben!$B$21,B612&lt;Eingaben!$B$22)),"GO",IF(AND(ISNUMBER(Eingaben!$B$23),ISNUMBER(Eingaben!$B$24),IF(Eingaben!$B$23&lt;Eingaben!$B$24,AND(B612&gt;=Eingaben!$B$23,B612&lt;Eingaben!$B$24),OR(B612&gt;=Eingaben!$B$23,B612&lt;Eingaben!$B$24))),"HEAT","STANDARD"))</f>
        <v>STANDARD</v>
      </c>
      <c r="E612" s="9"/>
      <c r="F612" t="str">
        <f>IF(E612="",D612,E612)</f>
        <v>STANDARD</v>
      </c>
      <c r="G612" t="str">
        <f>INDEX(Netzzeiten!$B$6:$B$29,HOUR(B612)+1)</f>
        <v>ST</v>
      </c>
      <c r="H612" s="6">
        <f>IF(F612="GO",Eingaben!$B$11,IF(F612="STANDARD",Eingaben!$B$12,IF(AND(F612="HEAT",ISNUMBER(Eingaben!$B$13)),Eingaben!$B$13,"")))</f>
        <v>28.2744</v>
      </c>
      <c r="I612" s="6">
        <f>INDEX(Netzzeiten!$C$6:$C$29,HOUR(B612)+1)</f>
        <v>5.48</v>
      </c>
      <c r="J612" t="str">
        <f>IF(C612="","FEHLT",IF(NOT(ISNUMBER(C612)),"MESSWERT UNGUELTIG",IF(C612&lt;0,"MESSWERT UNGUELTIG",IF(H612="","TARIFPREIS FEHLT","OK"))))</f>
        <v>FEHLT</v>
      </c>
      <c r="K612" s="7">
        <f>IF(J612&lt;&gt;"OK","",C612*I612/100)</f>
        <v/>
      </c>
    </row>
    <row r="613" spans="1:11">
      <c r="A613" s="14">
        <v>46149</v>
      </c>
      <c r="B613" s="15">
        <v>0.3229166666666667</v>
      </c>
      <c r="C613" s="5">
        <f>IF('96 Werte'!AG12="","",'96 Werte'!AG12)</f>
        <v/>
      </c>
      <c r="D613" t="str">
        <f>IF(IF(Eingaben!$B$21&lt;Eingaben!$B$22,AND(B613&gt;=Eingaben!$B$21,B613&lt;Eingaben!$B$22),OR(B613&gt;=Eingaben!$B$21,B613&lt;Eingaben!$B$22)),"GO",IF(AND(ISNUMBER(Eingaben!$B$23),ISNUMBER(Eingaben!$B$24),IF(Eingaben!$B$23&lt;Eingaben!$B$24,AND(B613&gt;=Eingaben!$B$23,B613&lt;Eingaben!$B$24),OR(B613&gt;=Eingaben!$B$23,B613&lt;Eingaben!$B$24))),"HEAT","STANDARD"))</f>
        <v>STANDARD</v>
      </c>
      <c r="E613" s="9"/>
      <c r="F613" t="str">
        <f>IF(E613="",D613,E613)</f>
        <v>STANDARD</v>
      </c>
      <c r="G613" t="str">
        <f>INDEX(Netzzeiten!$B$6:$B$29,HOUR(B613)+1)</f>
        <v>ST</v>
      </c>
      <c r="H613" s="6">
        <f>IF(F613="GO",Eingaben!$B$11,IF(F613="STANDARD",Eingaben!$B$12,IF(AND(F613="HEAT",ISNUMBER(Eingaben!$B$13)),Eingaben!$B$13,"")))</f>
        <v>28.2744</v>
      </c>
      <c r="I613" s="6">
        <f>INDEX(Netzzeiten!$C$6:$C$29,HOUR(B613)+1)</f>
        <v>5.48</v>
      </c>
      <c r="J613" t="str">
        <f>IF(C613="","FEHLT",IF(NOT(ISNUMBER(C613)),"MESSWERT UNGUELTIG",IF(C613&lt;0,"MESSWERT UNGUELTIG",IF(H613="","TARIFPREIS FEHLT","OK"))))</f>
        <v>FEHLT</v>
      </c>
      <c r="K613" s="7">
        <f>IF(J613&lt;&gt;"OK","",C613*I613/100)</f>
        <v/>
      </c>
    </row>
    <row r="614" spans="1:11">
      <c r="A614" s="14">
        <v>46149</v>
      </c>
      <c r="B614" s="15">
        <v>0.3333333333333333</v>
      </c>
      <c r="C614" s="5">
        <f>IF('96 Werte'!AH12="","",'96 Werte'!AH12)</f>
        <v/>
      </c>
      <c r="D614" t="str">
        <f>IF(IF(Eingaben!$B$21&lt;Eingaben!$B$22,AND(B614&gt;=Eingaben!$B$21,B614&lt;Eingaben!$B$22),OR(B614&gt;=Eingaben!$B$21,B614&lt;Eingaben!$B$22)),"GO",IF(AND(ISNUMBER(Eingaben!$B$23),ISNUMBER(Eingaben!$B$24),IF(Eingaben!$B$23&lt;Eingaben!$B$24,AND(B614&gt;=Eingaben!$B$23,B614&lt;Eingaben!$B$24),OR(B614&gt;=Eingaben!$B$23,B614&lt;Eingaben!$B$24))),"HEAT","STANDARD"))</f>
        <v>STANDARD</v>
      </c>
      <c r="E614" s="9"/>
      <c r="F614" t="str">
        <f>IF(E614="",D614,E614)</f>
        <v>STANDARD</v>
      </c>
      <c r="G614" t="str">
        <f>INDEX(Netzzeiten!$B$6:$B$29,HOUR(B614)+1)</f>
        <v>ST</v>
      </c>
      <c r="H614" s="6">
        <f>IF(F614="GO",Eingaben!$B$11,IF(F614="STANDARD",Eingaben!$B$12,IF(AND(F614="HEAT",ISNUMBER(Eingaben!$B$13)),Eingaben!$B$13,"")))</f>
        <v>28.2744</v>
      </c>
      <c r="I614" s="6">
        <f>INDEX(Netzzeiten!$C$6:$C$29,HOUR(B614)+1)</f>
        <v>5.48</v>
      </c>
      <c r="J614" t="str">
        <f>IF(C614="","FEHLT",IF(NOT(ISNUMBER(C614)),"MESSWERT UNGUELTIG",IF(C614&lt;0,"MESSWERT UNGUELTIG",IF(H614="","TARIFPREIS FEHLT","OK"))))</f>
        <v>FEHLT</v>
      </c>
      <c r="K614" s="7">
        <f>IF(J614&lt;&gt;"OK","",C614*I614/100)</f>
        <v/>
      </c>
    </row>
    <row r="615" spans="1:11">
      <c r="A615" s="14">
        <v>46149</v>
      </c>
      <c r="B615" s="15">
        <v>0.34375</v>
      </c>
      <c r="C615" s="5">
        <f>IF('96 Werte'!AI12="","",'96 Werte'!AI12)</f>
        <v/>
      </c>
      <c r="D615" t="str">
        <f>IF(IF(Eingaben!$B$21&lt;Eingaben!$B$22,AND(B615&gt;=Eingaben!$B$21,B615&lt;Eingaben!$B$22),OR(B615&gt;=Eingaben!$B$21,B615&lt;Eingaben!$B$22)),"GO",IF(AND(ISNUMBER(Eingaben!$B$23),ISNUMBER(Eingaben!$B$24),IF(Eingaben!$B$23&lt;Eingaben!$B$24,AND(B615&gt;=Eingaben!$B$23,B615&lt;Eingaben!$B$24),OR(B615&gt;=Eingaben!$B$23,B615&lt;Eingaben!$B$24))),"HEAT","STANDARD"))</f>
        <v>STANDARD</v>
      </c>
      <c r="E615" s="9"/>
      <c r="F615" t="str">
        <f>IF(E615="",D615,E615)</f>
        <v>STANDARD</v>
      </c>
      <c r="G615" t="str">
        <f>INDEX(Netzzeiten!$B$6:$B$29,HOUR(B615)+1)</f>
        <v>ST</v>
      </c>
      <c r="H615" s="6">
        <f>IF(F615="GO",Eingaben!$B$11,IF(F615="STANDARD",Eingaben!$B$12,IF(AND(F615="HEAT",ISNUMBER(Eingaben!$B$13)),Eingaben!$B$13,"")))</f>
        <v>28.2744</v>
      </c>
      <c r="I615" s="6">
        <f>INDEX(Netzzeiten!$C$6:$C$29,HOUR(B615)+1)</f>
        <v>5.48</v>
      </c>
      <c r="J615" t="str">
        <f>IF(C615="","FEHLT",IF(NOT(ISNUMBER(C615)),"MESSWERT UNGUELTIG",IF(C615&lt;0,"MESSWERT UNGUELTIG",IF(H615="","TARIFPREIS FEHLT","OK"))))</f>
        <v>FEHLT</v>
      </c>
      <c r="K615" s="7">
        <f>IF(J615&lt;&gt;"OK","",C615*I615/100)</f>
        <v/>
      </c>
    </row>
    <row r="616" spans="1:11">
      <c r="A616" s="14">
        <v>46149</v>
      </c>
      <c r="B616" s="15">
        <v>0.3541666666666667</v>
      </c>
      <c r="C616" s="5">
        <f>IF('96 Werte'!AJ12="","",'96 Werte'!AJ12)</f>
        <v/>
      </c>
      <c r="D616" t="str">
        <f>IF(IF(Eingaben!$B$21&lt;Eingaben!$B$22,AND(B616&gt;=Eingaben!$B$21,B616&lt;Eingaben!$B$22),OR(B616&gt;=Eingaben!$B$21,B616&lt;Eingaben!$B$22)),"GO",IF(AND(ISNUMBER(Eingaben!$B$23),ISNUMBER(Eingaben!$B$24),IF(Eingaben!$B$23&lt;Eingaben!$B$24,AND(B616&gt;=Eingaben!$B$23,B616&lt;Eingaben!$B$24),OR(B616&gt;=Eingaben!$B$23,B616&lt;Eingaben!$B$24))),"HEAT","STANDARD"))</f>
        <v>STANDARD</v>
      </c>
      <c r="E616" s="9"/>
      <c r="F616" t="str">
        <f>IF(E616="",D616,E616)</f>
        <v>STANDARD</v>
      </c>
      <c r="G616" t="str">
        <f>INDEX(Netzzeiten!$B$6:$B$29,HOUR(B616)+1)</f>
        <v>ST</v>
      </c>
      <c r="H616" s="6">
        <f>IF(F616="GO",Eingaben!$B$11,IF(F616="STANDARD",Eingaben!$B$12,IF(AND(F616="HEAT",ISNUMBER(Eingaben!$B$13)),Eingaben!$B$13,"")))</f>
        <v>28.2744</v>
      </c>
      <c r="I616" s="6">
        <f>INDEX(Netzzeiten!$C$6:$C$29,HOUR(B616)+1)</f>
        <v>5.48</v>
      </c>
      <c r="J616" t="str">
        <f>IF(C616="","FEHLT",IF(NOT(ISNUMBER(C616)),"MESSWERT UNGUELTIG",IF(C616&lt;0,"MESSWERT UNGUELTIG",IF(H616="","TARIFPREIS FEHLT","OK"))))</f>
        <v>FEHLT</v>
      </c>
      <c r="K616" s="7">
        <f>IF(J616&lt;&gt;"OK","",C616*I616/100)</f>
        <v/>
      </c>
    </row>
    <row r="617" spans="1:11">
      <c r="A617" s="14">
        <v>46149</v>
      </c>
      <c r="B617" s="15">
        <v>0.3645833333333333</v>
      </c>
      <c r="C617" s="5">
        <f>IF('96 Werte'!AK12="","",'96 Werte'!AK12)</f>
        <v/>
      </c>
      <c r="D617" t="str">
        <f>IF(IF(Eingaben!$B$21&lt;Eingaben!$B$22,AND(B617&gt;=Eingaben!$B$21,B617&lt;Eingaben!$B$22),OR(B617&gt;=Eingaben!$B$21,B617&lt;Eingaben!$B$22)),"GO",IF(AND(ISNUMBER(Eingaben!$B$23),ISNUMBER(Eingaben!$B$24),IF(Eingaben!$B$23&lt;Eingaben!$B$24,AND(B617&gt;=Eingaben!$B$23,B617&lt;Eingaben!$B$24),OR(B617&gt;=Eingaben!$B$23,B617&lt;Eingaben!$B$24))),"HEAT","STANDARD"))</f>
        <v>STANDARD</v>
      </c>
      <c r="E617" s="9"/>
      <c r="F617" t="str">
        <f>IF(E617="",D617,E617)</f>
        <v>STANDARD</v>
      </c>
      <c r="G617" t="str">
        <f>INDEX(Netzzeiten!$B$6:$B$29,HOUR(B617)+1)</f>
        <v>ST</v>
      </c>
      <c r="H617" s="6">
        <f>IF(F617="GO",Eingaben!$B$11,IF(F617="STANDARD",Eingaben!$B$12,IF(AND(F617="HEAT",ISNUMBER(Eingaben!$B$13)),Eingaben!$B$13,"")))</f>
        <v>28.2744</v>
      </c>
      <c r="I617" s="6">
        <f>INDEX(Netzzeiten!$C$6:$C$29,HOUR(B617)+1)</f>
        <v>5.48</v>
      </c>
      <c r="J617" t="str">
        <f>IF(C617="","FEHLT",IF(NOT(ISNUMBER(C617)),"MESSWERT UNGUELTIG",IF(C617&lt;0,"MESSWERT UNGUELTIG",IF(H617="","TARIFPREIS FEHLT","OK"))))</f>
        <v>FEHLT</v>
      </c>
      <c r="K617" s="7">
        <f>IF(J617&lt;&gt;"OK","",C617*I617/100)</f>
        <v/>
      </c>
    </row>
    <row r="618" spans="1:11">
      <c r="A618" s="14">
        <v>46149</v>
      </c>
      <c r="B618" s="15">
        <v>0.375</v>
      </c>
      <c r="C618" s="5">
        <f>IF('96 Werte'!AL12="","",'96 Werte'!AL12)</f>
        <v/>
      </c>
      <c r="D618" t="str">
        <f>IF(IF(Eingaben!$B$21&lt;Eingaben!$B$22,AND(B618&gt;=Eingaben!$B$21,B618&lt;Eingaben!$B$22),OR(B618&gt;=Eingaben!$B$21,B618&lt;Eingaben!$B$22)),"GO",IF(AND(ISNUMBER(Eingaben!$B$23),ISNUMBER(Eingaben!$B$24),IF(Eingaben!$B$23&lt;Eingaben!$B$24,AND(B618&gt;=Eingaben!$B$23,B618&lt;Eingaben!$B$24),OR(B618&gt;=Eingaben!$B$23,B618&lt;Eingaben!$B$24))),"HEAT","STANDARD"))</f>
        <v>STANDARD</v>
      </c>
      <c r="E618" s="9"/>
      <c r="F618" t="str">
        <f>IF(E618="",D618,E618)</f>
        <v>STANDARD</v>
      </c>
      <c r="G618" t="str">
        <f>INDEX(Netzzeiten!$B$6:$B$29,HOUR(B618)+1)</f>
        <v>ST</v>
      </c>
      <c r="H618" s="6">
        <f>IF(F618="GO",Eingaben!$B$11,IF(F618="STANDARD",Eingaben!$B$12,IF(AND(F618="HEAT",ISNUMBER(Eingaben!$B$13)),Eingaben!$B$13,"")))</f>
        <v>28.2744</v>
      </c>
      <c r="I618" s="6">
        <f>INDEX(Netzzeiten!$C$6:$C$29,HOUR(B618)+1)</f>
        <v>5.48</v>
      </c>
      <c r="J618" t="str">
        <f>IF(C618="","FEHLT",IF(NOT(ISNUMBER(C618)),"MESSWERT UNGUELTIG",IF(C618&lt;0,"MESSWERT UNGUELTIG",IF(H618="","TARIFPREIS FEHLT","OK"))))</f>
        <v>FEHLT</v>
      </c>
      <c r="K618" s="7">
        <f>IF(J618&lt;&gt;"OK","",C618*I618/100)</f>
        <v/>
      </c>
    </row>
    <row r="619" spans="1:11">
      <c r="A619" s="14">
        <v>46149</v>
      </c>
      <c r="B619" s="15">
        <v>0.3854166666666667</v>
      </c>
      <c r="C619" s="5">
        <f>IF('96 Werte'!AM12="","",'96 Werte'!AM12)</f>
        <v/>
      </c>
      <c r="D619" t="str">
        <f>IF(IF(Eingaben!$B$21&lt;Eingaben!$B$22,AND(B619&gt;=Eingaben!$B$21,B619&lt;Eingaben!$B$22),OR(B619&gt;=Eingaben!$B$21,B619&lt;Eingaben!$B$22)),"GO",IF(AND(ISNUMBER(Eingaben!$B$23),ISNUMBER(Eingaben!$B$24),IF(Eingaben!$B$23&lt;Eingaben!$B$24,AND(B619&gt;=Eingaben!$B$23,B619&lt;Eingaben!$B$24),OR(B619&gt;=Eingaben!$B$23,B619&lt;Eingaben!$B$24))),"HEAT","STANDARD"))</f>
        <v>STANDARD</v>
      </c>
      <c r="E619" s="9"/>
      <c r="F619" t="str">
        <f>IF(E619="",D619,E619)</f>
        <v>STANDARD</v>
      </c>
      <c r="G619" t="str">
        <f>INDEX(Netzzeiten!$B$6:$B$29,HOUR(B619)+1)</f>
        <v>ST</v>
      </c>
      <c r="H619" s="6">
        <f>IF(F619="GO",Eingaben!$B$11,IF(F619="STANDARD",Eingaben!$B$12,IF(AND(F619="HEAT",ISNUMBER(Eingaben!$B$13)),Eingaben!$B$13,"")))</f>
        <v>28.2744</v>
      </c>
      <c r="I619" s="6">
        <f>INDEX(Netzzeiten!$C$6:$C$29,HOUR(B619)+1)</f>
        <v>5.48</v>
      </c>
      <c r="J619" t="str">
        <f>IF(C619="","FEHLT",IF(NOT(ISNUMBER(C619)),"MESSWERT UNGUELTIG",IF(C619&lt;0,"MESSWERT UNGUELTIG",IF(H619="","TARIFPREIS FEHLT","OK"))))</f>
        <v>FEHLT</v>
      </c>
      <c r="K619" s="7">
        <f>IF(J619&lt;&gt;"OK","",C619*I619/100)</f>
        <v/>
      </c>
    </row>
    <row r="620" spans="1:11">
      <c r="A620" s="14">
        <v>46149</v>
      </c>
      <c r="B620" s="15">
        <v>0.3958333333333333</v>
      </c>
      <c r="C620" s="5">
        <f>IF('96 Werte'!AN12="","",'96 Werte'!AN12)</f>
        <v/>
      </c>
      <c r="D620" t="str">
        <f>IF(IF(Eingaben!$B$21&lt;Eingaben!$B$22,AND(B620&gt;=Eingaben!$B$21,B620&lt;Eingaben!$B$22),OR(B620&gt;=Eingaben!$B$21,B620&lt;Eingaben!$B$22)),"GO",IF(AND(ISNUMBER(Eingaben!$B$23),ISNUMBER(Eingaben!$B$24),IF(Eingaben!$B$23&lt;Eingaben!$B$24,AND(B620&gt;=Eingaben!$B$23,B620&lt;Eingaben!$B$24),OR(B620&gt;=Eingaben!$B$23,B620&lt;Eingaben!$B$24))),"HEAT","STANDARD"))</f>
        <v>STANDARD</v>
      </c>
      <c r="E620" s="9"/>
      <c r="F620" t="str">
        <f>IF(E620="",D620,E620)</f>
        <v>STANDARD</v>
      </c>
      <c r="G620" t="str">
        <f>INDEX(Netzzeiten!$B$6:$B$29,HOUR(B620)+1)</f>
        <v>ST</v>
      </c>
      <c r="H620" s="6">
        <f>IF(F620="GO",Eingaben!$B$11,IF(F620="STANDARD",Eingaben!$B$12,IF(AND(F620="HEAT",ISNUMBER(Eingaben!$B$13)),Eingaben!$B$13,"")))</f>
        <v>28.2744</v>
      </c>
      <c r="I620" s="6">
        <f>INDEX(Netzzeiten!$C$6:$C$29,HOUR(B620)+1)</f>
        <v>5.48</v>
      </c>
      <c r="J620" t="str">
        <f>IF(C620="","FEHLT",IF(NOT(ISNUMBER(C620)),"MESSWERT UNGUELTIG",IF(C620&lt;0,"MESSWERT UNGUELTIG",IF(H620="","TARIFPREIS FEHLT","OK"))))</f>
        <v>FEHLT</v>
      </c>
      <c r="K620" s="7">
        <f>IF(J620&lt;&gt;"OK","",C620*I620/100)</f>
        <v/>
      </c>
    </row>
    <row r="621" spans="1:11">
      <c r="A621" s="14">
        <v>46149</v>
      </c>
      <c r="B621" s="15">
        <v>0.40625</v>
      </c>
      <c r="C621" s="5">
        <f>IF('96 Werte'!AO12="","",'96 Werte'!AO12)</f>
        <v/>
      </c>
      <c r="D621" t="str">
        <f>IF(IF(Eingaben!$B$21&lt;Eingaben!$B$22,AND(B621&gt;=Eingaben!$B$21,B621&lt;Eingaben!$B$22),OR(B621&gt;=Eingaben!$B$21,B621&lt;Eingaben!$B$22)),"GO",IF(AND(ISNUMBER(Eingaben!$B$23),ISNUMBER(Eingaben!$B$24),IF(Eingaben!$B$23&lt;Eingaben!$B$24,AND(B621&gt;=Eingaben!$B$23,B621&lt;Eingaben!$B$24),OR(B621&gt;=Eingaben!$B$23,B621&lt;Eingaben!$B$24))),"HEAT","STANDARD"))</f>
        <v>STANDARD</v>
      </c>
      <c r="E621" s="9"/>
      <c r="F621" t="str">
        <f>IF(E621="",D621,E621)</f>
        <v>STANDARD</v>
      </c>
      <c r="G621" t="str">
        <f>INDEX(Netzzeiten!$B$6:$B$29,HOUR(B621)+1)</f>
        <v>ST</v>
      </c>
      <c r="H621" s="6">
        <f>IF(F621="GO",Eingaben!$B$11,IF(F621="STANDARD",Eingaben!$B$12,IF(AND(F621="HEAT",ISNUMBER(Eingaben!$B$13)),Eingaben!$B$13,"")))</f>
        <v>28.2744</v>
      </c>
      <c r="I621" s="6">
        <f>INDEX(Netzzeiten!$C$6:$C$29,HOUR(B621)+1)</f>
        <v>5.48</v>
      </c>
      <c r="J621" t="str">
        <f>IF(C621="","FEHLT",IF(NOT(ISNUMBER(C621)),"MESSWERT UNGUELTIG",IF(C621&lt;0,"MESSWERT UNGUELTIG",IF(H621="","TARIFPREIS FEHLT","OK"))))</f>
        <v>FEHLT</v>
      </c>
      <c r="K621" s="7">
        <f>IF(J621&lt;&gt;"OK","",C621*I621/100)</f>
        <v/>
      </c>
    </row>
    <row r="622" spans="1:11">
      <c r="A622" s="14">
        <v>46149</v>
      </c>
      <c r="B622" s="15">
        <v>0.4166666666666667</v>
      </c>
      <c r="C622" s="5">
        <f>IF('96 Werte'!AP12="","",'96 Werte'!AP12)</f>
        <v/>
      </c>
      <c r="D622" t="str">
        <f>IF(IF(Eingaben!$B$21&lt;Eingaben!$B$22,AND(B622&gt;=Eingaben!$B$21,B622&lt;Eingaben!$B$22),OR(B622&gt;=Eingaben!$B$21,B622&lt;Eingaben!$B$22)),"GO",IF(AND(ISNUMBER(Eingaben!$B$23),ISNUMBER(Eingaben!$B$24),IF(Eingaben!$B$23&lt;Eingaben!$B$24,AND(B622&gt;=Eingaben!$B$23,B622&lt;Eingaben!$B$24),OR(B622&gt;=Eingaben!$B$23,B622&lt;Eingaben!$B$24))),"HEAT","STANDARD"))</f>
        <v>STANDARD</v>
      </c>
      <c r="E622" s="9"/>
      <c r="F622" t="str">
        <f>IF(E622="",D622,E622)</f>
        <v>STANDARD</v>
      </c>
      <c r="G622" t="str">
        <f>INDEX(Netzzeiten!$B$6:$B$29,HOUR(B622)+1)</f>
        <v>ST</v>
      </c>
      <c r="H622" s="6">
        <f>IF(F622="GO",Eingaben!$B$11,IF(F622="STANDARD",Eingaben!$B$12,IF(AND(F622="HEAT",ISNUMBER(Eingaben!$B$13)),Eingaben!$B$13,"")))</f>
        <v>28.2744</v>
      </c>
      <c r="I622" s="6">
        <f>INDEX(Netzzeiten!$C$6:$C$29,HOUR(B622)+1)</f>
        <v>5.48</v>
      </c>
      <c r="J622" t="str">
        <f>IF(C622="","FEHLT",IF(NOT(ISNUMBER(C622)),"MESSWERT UNGUELTIG",IF(C622&lt;0,"MESSWERT UNGUELTIG",IF(H622="","TARIFPREIS FEHLT","OK"))))</f>
        <v>FEHLT</v>
      </c>
      <c r="K622" s="7">
        <f>IF(J622&lt;&gt;"OK","",C622*I622/100)</f>
        <v/>
      </c>
    </row>
    <row r="623" spans="1:11">
      <c r="A623" s="14">
        <v>46149</v>
      </c>
      <c r="B623" s="15">
        <v>0.4270833333333333</v>
      </c>
      <c r="C623" s="5">
        <f>IF('96 Werte'!AQ12="","",'96 Werte'!AQ12)</f>
        <v/>
      </c>
      <c r="D623" t="str">
        <f>IF(IF(Eingaben!$B$21&lt;Eingaben!$B$22,AND(B623&gt;=Eingaben!$B$21,B623&lt;Eingaben!$B$22),OR(B623&gt;=Eingaben!$B$21,B623&lt;Eingaben!$B$22)),"GO",IF(AND(ISNUMBER(Eingaben!$B$23),ISNUMBER(Eingaben!$B$24),IF(Eingaben!$B$23&lt;Eingaben!$B$24,AND(B623&gt;=Eingaben!$B$23,B623&lt;Eingaben!$B$24),OR(B623&gt;=Eingaben!$B$23,B623&lt;Eingaben!$B$24))),"HEAT","STANDARD"))</f>
        <v>STANDARD</v>
      </c>
      <c r="E623" s="9"/>
      <c r="F623" t="str">
        <f>IF(E623="",D623,E623)</f>
        <v>STANDARD</v>
      </c>
      <c r="G623" t="str">
        <f>INDEX(Netzzeiten!$B$6:$B$29,HOUR(B623)+1)</f>
        <v>ST</v>
      </c>
      <c r="H623" s="6">
        <f>IF(F623="GO",Eingaben!$B$11,IF(F623="STANDARD",Eingaben!$B$12,IF(AND(F623="HEAT",ISNUMBER(Eingaben!$B$13)),Eingaben!$B$13,"")))</f>
        <v>28.2744</v>
      </c>
      <c r="I623" s="6">
        <f>INDEX(Netzzeiten!$C$6:$C$29,HOUR(B623)+1)</f>
        <v>5.48</v>
      </c>
      <c r="J623" t="str">
        <f>IF(C623="","FEHLT",IF(NOT(ISNUMBER(C623)),"MESSWERT UNGUELTIG",IF(C623&lt;0,"MESSWERT UNGUELTIG",IF(H623="","TARIFPREIS FEHLT","OK"))))</f>
        <v>FEHLT</v>
      </c>
      <c r="K623" s="7">
        <f>IF(J623&lt;&gt;"OK","",C623*I623/100)</f>
        <v/>
      </c>
    </row>
    <row r="624" spans="1:11">
      <c r="A624" s="14">
        <v>46149</v>
      </c>
      <c r="B624" s="15">
        <v>0.4375</v>
      </c>
      <c r="C624" s="5">
        <f>IF('96 Werte'!AR12="","",'96 Werte'!AR12)</f>
        <v/>
      </c>
      <c r="D624" t="str">
        <f>IF(IF(Eingaben!$B$21&lt;Eingaben!$B$22,AND(B624&gt;=Eingaben!$B$21,B624&lt;Eingaben!$B$22),OR(B624&gt;=Eingaben!$B$21,B624&lt;Eingaben!$B$22)),"GO",IF(AND(ISNUMBER(Eingaben!$B$23),ISNUMBER(Eingaben!$B$24),IF(Eingaben!$B$23&lt;Eingaben!$B$24,AND(B624&gt;=Eingaben!$B$23,B624&lt;Eingaben!$B$24),OR(B624&gt;=Eingaben!$B$23,B624&lt;Eingaben!$B$24))),"HEAT","STANDARD"))</f>
        <v>STANDARD</v>
      </c>
      <c r="E624" s="9"/>
      <c r="F624" t="str">
        <f>IF(E624="",D624,E624)</f>
        <v>STANDARD</v>
      </c>
      <c r="G624" t="str">
        <f>INDEX(Netzzeiten!$B$6:$B$29,HOUR(B624)+1)</f>
        <v>ST</v>
      </c>
      <c r="H624" s="6">
        <f>IF(F624="GO",Eingaben!$B$11,IF(F624="STANDARD",Eingaben!$B$12,IF(AND(F624="HEAT",ISNUMBER(Eingaben!$B$13)),Eingaben!$B$13,"")))</f>
        <v>28.2744</v>
      </c>
      <c r="I624" s="6">
        <f>INDEX(Netzzeiten!$C$6:$C$29,HOUR(B624)+1)</f>
        <v>5.48</v>
      </c>
      <c r="J624" t="str">
        <f>IF(C624="","FEHLT",IF(NOT(ISNUMBER(C624)),"MESSWERT UNGUELTIG",IF(C624&lt;0,"MESSWERT UNGUELTIG",IF(H624="","TARIFPREIS FEHLT","OK"))))</f>
        <v>FEHLT</v>
      </c>
      <c r="K624" s="7">
        <f>IF(J624&lt;&gt;"OK","",C624*I624/100)</f>
        <v/>
      </c>
    </row>
    <row r="625" spans="1:11">
      <c r="A625" s="14">
        <v>46149</v>
      </c>
      <c r="B625" s="15">
        <v>0.4479166666666667</v>
      </c>
      <c r="C625" s="5">
        <f>IF('96 Werte'!AS12="","",'96 Werte'!AS12)</f>
        <v/>
      </c>
      <c r="D625" t="str">
        <f>IF(IF(Eingaben!$B$21&lt;Eingaben!$B$22,AND(B625&gt;=Eingaben!$B$21,B625&lt;Eingaben!$B$22),OR(B625&gt;=Eingaben!$B$21,B625&lt;Eingaben!$B$22)),"GO",IF(AND(ISNUMBER(Eingaben!$B$23),ISNUMBER(Eingaben!$B$24),IF(Eingaben!$B$23&lt;Eingaben!$B$24,AND(B625&gt;=Eingaben!$B$23,B625&lt;Eingaben!$B$24),OR(B625&gt;=Eingaben!$B$23,B625&lt;Eingaben!$B$24))),"HEAT","STANDARD"))</f>
        <v>STANDARD</v>
      </c>
      <c r="E625" s="9"/>
      <c r="F625" t="str">
        <f>IF(E625="",D625,E625)</f>
        <v>STANDARD</v>
      </c>
      <c r="G625" t="str">
        <f>INDEX(Netzzeiten!$B$6:$B$29,HOUR(B625)+1)</f>
        <v>ST</v>
      </c>
      <c r="H625" s="6">
        <f>IF(F625="GO",Eingaben!$B$11,IF(F625="STANDARD",Eingaben!$B$12,IF(AND(F625="HEAT",ISNUMBER(Eingaben!$B$13)),Eingaben!$B$13,"")))</f>
        <v>28.2744</v>
      </c>
      <c r="I625" s="6">
        <f>INDEX(Netzzeiten!$C$6:$C$29,HOUR(B625)+1)</f>
        <v>5.48</v>
      </c>
      <c r="J625" t="str">
        <f>IF(C625="","FEHLT",IF(NOT(ISNUMBER(C625)),"MESSWERT UNGUELTIG",IF(C625&lt;0,"MESSWERT UNGUELTIG",IF(H625="","TARIFPREIS FEHLT","OK"))))</f>
        <v>FEHLT</v>
      </c>
      <c r="K625" s="7">
        <f>IF(J625&lt;&gt;"OK","",C625*I625/100)</f>
        <v/>
      </c>
    </row>
    <row r="626" spans="1:11">
      <c r="A626" s="14">
        <v>46149</v>
      </c>
      <c r="B626" s="15">
        <v>0.4583333333333333</v>
      </c>
      <c r="C626" s="5">
        <f>IF('96 Werte'!AT12="","",'96 Werte'!AT12)</f>
        <v/>
      </c>
      <c r="D626" t="str">
        <f>IF(IF(Eingaben!$B$21&lt;Eingaben!$B$22,AND(B626&gt;=Eingaben!$B$21,B626&lt;Eingaben!$B$22),OR(B626&gt;=Eingaben!$B$21,B626&lt;Eingaben!$B$22)),"GO",IF(AND(ISNUMBER(Eingaben!$B$23),ISNUMBER(Eingaben!$B$24),IF(Eingaben!$B$23&lt;Eingaben!$B$24,AND(B626&gt;=Eingaben!$B$23,B626&lt;Eingaben!$B$24),OR(B626&gt;=Eingaben!$B$23,B626&lt;Eingaben!$B$24))),"HEAT","STANDARD"))</f>
        <v>STANDARD</v>
      </c>
      <c r="E626" s="9"/>
      <c r="F626" t="str">
        <f>IF(E626="",D626,E626)</f>
        <v>STANDARD</v>
      </c>
      <c r="G626" t="str">
        <f>INDEX(Netzzeiten!$B$6:$B$29,HOUR(B626)+1)</f>
        <v>NT</v>
      </c>
      <c r="H626" s="6">
        <f>IF(F626="GO",Eingaben!$B$11,IF(F626="STANDARD",Eingaben!$B$12,IF(AND(F626="HEAT",ISNUMBER(Eingaben!$B$13)),Eingaben!$B$13,"")))</f>
        <v>28.2744</v>
      </c>
      <c r="I626" s="6">
        <f>INDEX(Netzzeiten!$C$6:$C$29,HOUR(B626)+1)</f>
        <v>1.64</v>
      </c>
      <c r="J626" t="str">
        <f>IF(C626="","FEHLT",IF(NOT(ISNUMBER(C626)),"MESSWERT UNGUELTIG",IF(C626&lt;0,"MESSWERT UNGUELTIG",IF(H626="","TARIFPREIS FEHLT","OK"))))</f>
        <v>FEHLT</v>
      </c>
      <c r="K626" s="7">
        <f>IF(J626&lt;&gt;"OK","",C626*I626/100)</f>
        <v/>
      </c>
    </row>
    <row r="627" spans="1:11">
      <c r="A627" s="14">
        <v>46149</v>
      </c>
      <c r="B627" s="15">
        <v>0.46875</v>
      </c>
      <c r="C627" s="5">
        <f>IF('96 Werte'!AU12="","",'96 Werte'!AU12)</f>
        <v/>
      </c>
      <c r="D627" t="str">
        <f>IF(IF(Eingaben!$B$21&lt;Eingaben!$B$22,AND(B627&gt;=Eingaben!$B$21,B627&lt;Eingaben!$B$22),OR(B627&gt;=Eingaben!$B$21,B627&lt;Eingaben!$B$22)),"GO",IF(AND(ISNUMBER(Eingaben!$B$23),ISNUMBER(Eingaben!$B$24),IF(Eingaben!$B$23&lt;Eingaben!$B$24,AND(B627&gt;=Eingaben!$B$23,B627&lt;Eingaben!$B$24),OR(B627&gt;=Eingaben!$B$23,B627&lt;Eingaben!$B$24))),"HEAT","STANDARD"))</f>
        <v>STANDARD</v>
      </c>
      <c r="E627" s="9"/>
      <c r="F627" t="str">
        <f>IF(E627="",D627,E627)</f>
        <v>STANDARD</v>
      </c>
      <c r="G627" t="str">
        <f>INDEX(Netzzeiten!$B$6:$B$29,HOUR(B627)+1)</f>
        <v>NT</v>
      </c>
      <c r="H627" s="6">
        <f>IF(F627="GO",Eingaben!$B$11,IF(F627="STANDARD",Eingaben!$B$12,IF(AND(F627="HEAT",ISNUMBER(Eingaben!$B$13)),Eingaben!$B$13,"")))</f>
        <v>28.2744</v>
      </c>
      <c r="I627" s="6">
        <f>INDEX(Netzzeiten!$C$6:$C$29,HOUR(B627)+1)</f>
        <v>1.64</v>
      </c>
      <c r="J627" t="str">
        <f>IF(C627="","FEHLT",IF(NOT(ISNUMBER(C627)),"MESSWERT UNGUELTIG",IF(C627&lt;0,"MESSWERT UNGUELTIG",IF(H627="","TARIFPREIS FEHLT","OK"))))</f>
        <v>FEHLT</v>
      </c>
      <c r="K627" s="7">
        <f>IF(J627&lt;&gt;"OK","",C627*I627/100)</f>
        <v/>
      </c>
    </row>
    <row r="628" spans="1:11">
      <c r="A628" s="14">
        <v>46149</v>
      </c>
      <c r="B628" s="15">
        <v>0.4791666666666667</v>
      </c>
      <c r="C628" s="5">
        <f>IF('96 Werte'!AV12="","",'96 Werte'!AV12)</f>
        <v/>
      </c>
      <c r="D628" t="str">
        <f>IF(IF(Eingaben!$B$21&lt;Eingaben!$B$22,AND(B628&gt;=Eingaben!$B$21,B628&lt;Eingaben!$B$22),OR(B628&gt;=Eingaben!$B$21,B628&lt;Eingaben!$B$22)),"GO",IF(AND(ISNUMBER(Eingaben!$B$23),ISNUMBER(Eingaben!$B$24),IF(Eingaben!$B$23&lt;Eingaben!$B$24,AND(B628&gt;=Eingaben!$B$23,B628&lt;Eingaben!$B$24),OR(B628&gt;=Eingaben!$B$23,B628&lt;Eingaben!$B$24))),"HEAT","STANDARD"))</f>
        <v>STANDARD</v>
      </c>
      <c r="E628" s="9"/>
      <c r="F628" t="str">
        <f>IF(E628="",D628,E628)</f>
        <v>STANDARD</v>
      </c>
      <c r="G628" t="str">
        <f>INDEX(Netzzeiten!$B$6:$B$29,HOUR(B628)+1)</f>
        <v>NT</v>
      </c>
      <c r="H628" s="6">
        <f>IF(F628="GO",Eingaben!$B$11,IF(F628="STANDARD",Eingaben!$B$12,IF(AND(F628="HEAT",ISNUMBER(Eingaben!$B$13)),Eingaben!$B$13,"")))</f>
        <v>28.2744</v>
      </c>
      <c r="I628" s="6">
        <f>INDEX(Netzzeiten!$C$6:$C$29,HOUR(B628)+1)</f>
        <v>1.64</v>
      </c>
      <c r="J628" t="str">
        <f>IF(C628="","FEHLT",IF(NOT(ISNUMBER(C628)),"MESSWERT UNGUELTIG",IF(C628&lt;0,"MESSWERT UNGUELTIG",IF(H628="","TARIFPREIS FEHLT","OK"))))</f>
        <v>FEHLT</v>
      </c>
      <c r="K628" s="7">
        <f>IF(J628&lt;&gt;"OK","",C628*I628/100)</f>
        <v/>
      </c>
    </row>
    <row r="629" spans="1:11">
      <c r="A629" s="14">
        <v>46149</v>
      </c>
      <c r="B629" s="15">
        <v>0.4895833333333333</v>
      </c>
      <c r="C629" s="5">
        <f>IF('96 Werte'!AW12="","",'96 Werte'!AW12)</f>
        <v/>
      </c>
      <c r="D629" t="str">
        <f>IF(IF(Eingaben!$B$21&lt;Eingaben!$B$22,AND(B629&gt;=Eingaben!$B$21,B629&lt;Eingaben!$B$22),OR(B629&gt;=Eingaben!$B$21,B629&lt;Eingaben!$B$22)),"GO",IF(AND(ISNUMBER(Eingaben!$B$23),ISNUMBER(Eingaben!$B$24),IF(Eingaben!$B$23&lt;Eingaben!$B$24,AND(B629&gt;=Eingaben!$B$23,B629&lt;Eingaben!$B$24),OR(B629&gt;=Eingaben!$B$23,B629&lt;Eingaben!$B$24))),"HEAT","STANDARD"))</f>
        <v>STANDARD</v>
      </c>
      <c r="E629" s="9"/>
      <c r="F629" t="str">
        <f>IF(E629="",D629,E629)</f>
        <v>STANDARD</v>
      </c>
      <c r="G629" t="str">
        <f>INDEX(Netzzeiten!$B$6:$B$29,HOUR(B629)+1)</f>
        <v>NT</v>
      </c>
      <c r="H629" s="6">
        <f>IF(F629="GO",Eingaben!$B$11,IF(F629="STANDARD",Eingaben!$B$12,IF(AND(F629="HEAT",ISNUMBER(Eingaben!$B$13)),Eingaben!$B$13,"")))</f>
        <v>28.2744</v>
      </c>
      <c r="I629" s="6">
        <f>INDEX(Netzzeiten!$C$6:$C$29,HOUR(B629)+1)</f>
        <v>1.64</v>
      </c>
      <c r="J629" t="str">
        <f>IF(C629="","FEHLT",IF(NOT(ISNUMBER(C629)),"MESSWERT UNGUELTIG",IF(C629&lt;0,"MESSWERT UNGUELTIG",IF(H629="","TARIFPREIS FEHLT","OK"))))</f>
        <v>FEHLT</v>
      </c>
      <c r="K629" s="7">
        <f>IF(J629&lt;&gt;"OK","",C629*I629/100)</f>
        <v/>
      </c>
    </row>
    <row r="630" spans="1:11">
      <c r="A630" s="14">
        <v>46149</v>
      </c>
      <c r="B630" s="15">
        <v>0.5</v>
      </c>
      <c r="C630" s="5">
        <f>IF('96 Werte'!AX12="","",'96 Werte'!AX12)</f>
        <v/>
      </c>
      <c r="D630" t="str">
        <f>IF(IF(Eingaben!$B$21&lt;Eingaben!$B$22,AND(B630&gt;=Eingaben!$B$21,B630&lt;Eingaben!$B$22),OR(B630&gt;=Eingaben!$B$21,B630&lt;Eingaben!$B$22)),"GO",IF(AND(ISNUMBER(Eingaben!$B$23),ISNUMBER(Eingaben!$B$24),IF(Eingaben!$B$23&lt;Eingaben!$B$24,AND(B630&gt;=Eingaben!$B$23,B630&lt;Eingaben!$B$24),OR(B630&gt;=Eingaben!$B$23,B630&lt;Eingaben!$B$24))),"HEAT","STANDARD"))</f>
        <v>STANDARD</v>
      </c>
      <c r="E630" s="9"/>
      <c r="F630" t="str">
        <f>IF(E630="",D630,E630)</f>
        <v>STANDARD</v>
      </c>
      <c r="G630" t="str">
        <f>INDEX(Netzzeiten!$B$6:$B$29,HOUR(B630)+1)</f>
        <v>NT</v>
      </c>
      <c r="H630" s="6">
        <f>IF(F630="GO",Eingaben!$B$11,IF(F630="STANDARD",Eingaben!$B$12,IF(AND(F630="HEAT",ISNUMBER(Eingaben!$B$13)),Eingaben!$B$13,"")))</f>
        <v>28.2744</v>
      </c>
      <c r="I630" s="6">
        <f>INDEX(Netzzeiten!$C$6:$C$29,HOUR(B630)+1)</f>
        <v>1.64</v>
      </c>
      <c r="J630" t="str">
        <f>IF(C630="","FEHLT",IF(NOT(ISNUMBER(C630)),"MESSWERT UNGUELTIG",IF(C630&lt;0,"MESSWERT UNGUELTIG",IF(H630="","TARIFPREIS FEHLT","OK"))))</f>
        <v>FEHLT</v>
      </c>
      <c r="K630" s="7">
        <f>IF(J630&lt;&gt;"OK","",C630*I630/100)</f>
        <v/>
      </c>
    </row>
    <row r="631" spans="1:11">
      <c r="A631" s="14">
        <v>46149</v>
      </c>
      <c r="B631" s="15">
        <v>0.5104166666666666</v>
      </c>
      <c r="C631" s="5">
        <f>IF('96 Werte'!AY12="","",'96 Werte'!AY12)</f>
        <v/>
      </c>
      <c r="D631" t="str">
        <f>IF(IF(Eingaben!$B$21&lt;Eingaben!$B$22,AND(B631&gt;=Eingaben!$B$21,B631&lt;Eingaben!$B$22),OR(B631&gt;=Eingaben!$B$21,B631&lt;Eingaben!$B$22)),"GO",IF(AND(ISNUMBER(Eingaben!$B$23),ISNUMBER(Eingaben!$B$24),IF(Eingaben!$B$23&lt;Eingaben!$B$24,AND(B631&gt;=Eingaben!$B$23,B631&lt;Eingaben!$B$24),OR(B631&gt;=Eingaben!$B$23,B631&lt;Eingaben!$B$24))),"HEAT","STANDARD"))</f>
        <v>STANDARD</v>
      </c>
      <c r="E631" s="9"/>
      <c r="F631" t="str">
        <f>IF(E631="",D631,E631)</f>
        <v>STANDARD</v>
      </c>
      <c r="G631" t="str">
        <f>INDEX(Netzzeiten!$B$6:$B$29,HOUR(B631)+1)</f>
        <v>NT</v>
      </c>
      <c r="H631" s="6">
        <f>IF(F631="GO",Eingaben!$B$11,IF(F631="STANDARD",Eingaben!$B$12,IF(AND(F631="HEAT",ISNUMBER(Eingaben!$B$13)),Eingaben!$B$13,"")))</f>
        <v>28.2744</v>
      </c>
      <c r="I631" s="6">
        <f>INDEX(Netzzeiten!$C$6:$C$29,HOUR(B631)+1)</f>
        <v>1.64</v>
      </c>
      <c r="J631" t="str">
        <f>IF(C631="","FEHLT",IF(NOT(ISNUMBER(C631)),"MESSWERT UNGUELTIG",IF(C631&lt;0,"MESSWERT UNGUELTIG",IF(H631="","TARIFPREIS FEHLT","OK"))))</f>
        <v>FEHLT</v>
      </c>
      <c r="K631" s="7">
        <f>IF(J631&lt;&gt;"OK","",C631*I631/100)</f>
        <v/>
      </c>
    </row>
    <row r="632" spans="1:11">
      <c r="A632" s="14">
        <v>46149</v>
      </c>
      <c r="B632" s="15">
        <v>0.5208333333333334</v>
      </c>
      <c r="C632" s="5">
        <f>IF('96 Werte'!AZ12="","",'96 Werte'!AZ12)</f>
        <v/>
      </c>
      <c r="D632" t="str">
        <f>IF(IF(Eingaben!$B$21&lt;Eingaben!$B$22,AND(B632&gt;=Eingaben!$B$21,B632&lt;Eingaben!$B$22),OR(B632&gt;=Eingaben!$B$21,B632&lt;Eingaben!$B$22)),"GO",IF(AND(ISNUMBER(Eingaben!$B$23),ISNUMBER(Eingaben!$B$24),IF(Eingaben!$B$23&lt;Eingaben!$B$24,AND(B632&gt;=Eingaben!$B$23,B632&lt;Eingaben!$B$24),OR(B632&gt;=Eingaben!$B$23,B632&lt;Eingaben!$B$24))),"HEAT","STANDARD"))</f>
        <v>STANDARD</v>
      </c>
      <c r="E632" s="9"/>
      <c r="F632" t="str">
        <f>IF(E632="",D632,E632)</f>
        <v>STANDARD</v>
      </c>
      <c r="G632" t="str">
        <f>INDEX(Netzzeiten!$B$6:$B$29,HOUR(B632)+1)</f>
        <v>NT</v>
      </c>
      <c r="H632" s="6">
        <f>IF(F632="GO",Eingaben!$B$11,IF(F632="STANDARD",Eingaben!$B$12,IF(AND(F632="HEAT",ISNUMBER(Eingaben!$B$13)),Eingaben!$B$13,"")))</f>
        <v>28.2744</v>
      </c>
      <c r="I632" s="6">
        <f>INDEX(Netzzeiten!$C$6:$C$29,HOUR(B632)+1)</f>
        <v>1.64</v>
      </c>
      <c r="J632" t="str">
        <f>IF(C632="","FEHLT",IF(NOT(ISNUMBER(C632)),"MESSWERT UNGUELTIG",IF(C632&lt;0,"MESSWERT UNGUELTIG",IF(H632="","TARIFPREIS FEHLT","OK"))))</f>
        <v>FEHLT</v>
      </c>
      <c r="K632" s="7">
        <f>IF(J632&lt;&gt;"OK","",C632*I632/100)</f>
        <v/>
      </c>
    </row>
    <row r="633" spans="1:11">
      <c r="A633" s="14">
        <v>46149</v>
      </c>
      <c r="B633" s="15">
        <v>0.53125</v>
      </c>
      <c r="C633" s="5">
        <f>IF('96 Werte'!BA12="","",'96 Werte'!BA12)</f>
        <v/>
      </c>
      <c r="D633" t="str">
        <f>IF(IF(Eingaben!$B$21&lt;Eingaben!$B$22,AND(B633&gt;=Eingaben!$B$21,B633&lt;Eingaben!$B$22),OR(B633&gt;=Eingaben!$B$21,B633&lt;Eingaben!$B$22)),"GO",IF(AND(ISNUMBER(Eingaben!$B$23),ISNUMBER(Eingaben!$B$24),IF(Eingaben!$B$23&lt;Eingaben!$B$24,AND(B633&gt;=Eingaben!$B$23,B633&lt;Eingaben!$B$24),OR(B633&gt;=Eingaben!$B$23,B633&lt;Eingaben!$B$24))),"HEAT","STANDARD"))</f>
        <v>STANDARD</v>
      </c>
      <c r="E633" s="9"/>
      <c r="F633" t="str">
        <f>IF(E633="",D633,E633)</f>
        <v>STANDARD</v>
      </c>
      <c r="G633" t="str">
        <f>INDEX(Netzzeiten!$B$6:$B$29,HOUR(B633)+1)</f>
        <v>NT</v>
      </c>
      <c r="H633" s="6">
        <f>IF(F633="GO",Eingaben!$B$11,IF(F633="STANDARD",Eingaben!$B$12,IF(AND(F633="HEAT",ISNUMBER(Eingaben!$B$13)),Eingaben!$B$13,"")))</f>
        <v>28.2744</v>
      </c>
      <c r="I633" s="6">
        <f>INDEX(Netzzeiten!$C$6:$C$29,HOUR(B633)+1)</f>
        <v>1.64</v>
      </c>
      <c r="J633" t="str">
        <f>IF(C633="","FEHLT",IF(NOT(ISNUMBER(C633)),"MESSWERT UNGUELTIG",IF(C633&lt;0,"MESSWERT UNGUELTIG",IF(H633="","TARIFPREIS FEHLT","OK"))))</f>
        <v>FEHLT</v>
      </c>
      <c r="K633" s="7">
        <f>IF(J633&lt;&gt;"OK","",C633*I633/100)</f>
        <v/>
      </c>
    </row>
    <row r="634" spans="1:11">
      <c r="A634" s="14">
        <v>46149</v>
      </c>
      <c r="B634" s="15">
        <v>0.5416666666666666</v>
      </c>
      <c r="C634" s="5">
        <f>IF('96 Werte'!BB12="","",'96 Werte'!BB12)</f>
        <v/>
      </c>
      <c r="D634" t="str">
        <f>IF(IF(Eingaben!$B$21&lt;Eingaben!$B$22,AND(B634&gt;=Eingaben!$B$21,B634&lt;Eingaben!$B$22),OR(B634&gt;=Eingaben!$B$21,B634&lt;Eingaben!$B$22)),"GO",IF(AND(ISNUMBER(Eingaben!$B$23),ISNUMBER(Eingaben!$B$24),IF(Eingaben!$B$23&lt;Eingaben!$B$24,AND(B634&gt;=Eingaben!$B$23,B634&lt;Eingaben!$B$24),OR(B634&gt;=Eingaben!$B$23,B634&lt;Eingaben!$B$24))),"HEAT","STANDARD"))</f>
        <v>STANDARD</v>
      </c>
      <c r="E634" s="9"/>
      <c r="F634" t="str">
        <f>IF(E634="",D634,E634)</f>
        <v>STANDARD</v>
      </c>
      <c r="G634" t="str">
        <f>INDEX(Netzzeiten!$B$6:$B$29,HOUR(B634)+1)</f>
        <v>NT</v>
      </c>
      <c r="H634" s="6">
        <f>IF(F634="GO",Eingaben!$B$11,IF(F634="STANDARD",Eingaben!$B$12,IF(AND(F634="HEAT",ISNUMBER(Eingaben!$B$13)),Eingaben!$B$13,"")))</f>
        <v>28.2744</v>
      </c>
      <c r="I634" s="6">
        <f>INDEX(Netzzeiten!$C$6:$C$29,HOUR(B634)+1)</f>
        <v>1.64</v>
      </c>
      <c r="J634" t="str">
        <f>IF(C634="","FEHLT",IF(NOT(ISNUMBER(C634)),"MESSWERT UNGUELTIG",IF(C634&lt;0,"MESSWERT UNGUELTIG",IF(H634="","TARIFPREIS FEHLT","OK"))))</f>
        <v>FEHLT</v>
      </c>
      <c r="K634" s="7">
        <f>IF(J634&lt;&gt;"OK","",C634*I634/100)</f>
        <v/>
      </c>
    </row>
    <row r="635" spans="1:11">
      <c r="A635" s="14">
        <v>46149</v>
      </c>
      <c r="B635" s="15">
        <v>0.5520833333333334</v>
      </c>
      <c r="C635" s="5">
        <f>IF('96 Werte'!BC12="","",'96 Werte'!BC12)</f>
        <v/>
      </c>
      <c r="D635" t="str">
        <f>IF(IF(Eingaben!$B$21&lt;Eingaben!$B$22,AND(B635&gt;=Eingaben!$B$21,B635&lt;Eingaben!$B$22),OR(B635&gt;=Eingaben!$B$21,B635&lt;Eingaben!$B$22)),"GO",IF(AND(ISNUMBER(Eingaben!$B$23),ISNUMBER(Eingaben!$B$24),IF(Eingaben!$B$23&lt;Eingaben!$B$24,AND(B635&gt;=Eingaben!$B$23,B635&lt;Eingaben!$B$24),OR(B635&gt;=Eingaben!$B$23,B635&lt;Eingaben!$B$24))),"HEAT","STANDARD"))</f>
        <v>STANDARD</v>
      </c>
      <c r="E635" s="9"/>
      <c r="F635" t="str">
        <f>IF(E635="",D635,E635)</f>
        <v>STANDARD</v>
      </c>
      <c r="G635" t="str">
        <f>INDEX(Netzzeiten!$B$6:$B$29,HOUR(B635)+1)</f>
        <v>NT</v>
      </c>
      <c r="H635" s="6">
        <f>IF(F635="GO",Eingaben!$B$11,IF(F635="STANDARD",Eingaben!$B$12,IF(AND(F635="HEAT",ISNUMBER(Eingaben!$B$13)),Eingaben!$B$13,"")))</f>
        <v>28.2744</v>
      </c>
      <c r="I635" s="6">
        <f>INDEX(Netzzeiten!$C$6:$C$29,HOUR(B635)+1)</f>
        <v>1.64</v>
      </c>
      <c r="J635" t="str">
        <f>IF(C635="","FEHLT",IF(NOT(ISNUMBER(C635)),"MESSWERT UNGUELTIG",IF(C635&lt;0,"MESSWERT UNGUELTIG",IF(H635="","TARIFPREIS FEHLT","OK"))))</f>
        <v>FEHLT</v>
      </c>
      <c r="K635" s="7">
        <f>IF(J635&lt;&gt;"OK","",C635*I635/100)</f>
        <v/>
      </c>
    </row>
    <row r="636" spans="1:11">
      <c r="A636" s="14">
        <v>46149</v>
      </c>
      <c r="B636" s="15">
        <v>0.5625</v>
      </c>
      <c r="C636" s="5">
        <f>IF('96 Werte'!BD12="","",'96 Werte'!BD12)</f>
        <v/>
      </c>
      <c r="D636" t="str">
        <f>IF(IF(Eingaben!$B$21&lt;Eingaben!$B$22,AND(B636&gt;=Eingaben!$B$21,B636&lt;Eingaben!$B$22),OR(B636&gt;=Eingaben!$B$21,B636&lt;Eingaben!$B$22)),"GO",IF(AND(ISNUMBER(Eingaben!$B$23),ISNUMBER(Eingaben!$B$24),IF(Eingaben!$B$23&lt;Eingaben!$B$24,AND(B636&gt;=Eingaben!$B$23,B636&lt;Eingaben!$B$24),OR(B636&gt;=Eingaben!$B$23,B636&lt;Eingaben!$B$24))),"HEAT","STANDARD"))</f>
        <v>STANDARD</v>
      </c>
      <c r="E636" s="9"/>
      <c r="F636" t="str">
        <f>IF(E636="",D636,E636)</f>
        <v>STANDARD</v>
      </c>
      <c r="G636" t="str">
        <f>INDEX(Netzzeiten!$B$6:$B$29,HOUR(B636)+1)</f>
        <v>NT</v>
      </c>
      <c r="H636" s="6">
        <f>IF(F636="GO",Eingaben!$B$11,IF(F636="STANDARD",Eingaben!$B$12,IF(AND(F636="HEAT",ISNUMBER(Eingaben!$B$13)),Eingaben!$B$13,"")))</f>
        <v>28.2744</v>
      </c>
      <c r="I636" s="6">
        <f>INDEX(Netzzeiten!$C$6:$C$29,HOUR(B636)+1)</f>
        <v>1.64</v>
      </c>
      <c r="J636" t="str">
        <f>IF(C636="","FEHLT",IF(NOT(ISNUMBER(C636)),"MESSWERT UNGUELTIG",IF(C636&lt;0,"MESSWERT UNGUELTIG",IF(H636="","TARIFPREIS FEHLT","OK"))))</f>
        <v>FEHLT</v>
      </c>
      <c r="K636" s="7">
        <f>IF(J636&lt;&gt;"OK","",C636*I636/100)</f>
        <v/>
      </c>
    </row>
    <row r="637" spans="1:11">
      <c r="A637" s="14">
        <v>46149</v>
      </c>
      <c r="B637" s="15">
        <v>0.5729166666666666</v>
      </c>
      <c r="C637" s="5">
        <f>IF('96 Werte'!BE12="","",'96 Werte'!BE12)</f>
        <v/>
      </c>
      <c r="D637" t="str">
        <f>IF(IF(Eingaben!$B$21&lt;Eingaben!$B$22,AND(B637&gt;=Eingaben!$B$21,B637&lt;Eingaben!$B$22),OR(B637&gt;=Eingaben!$B$21,B637&lt;Eingaben!$B$22)),"GO",IF(AND(ISNUMBER(Eingaben!$B$23),ISNUMBER(Eingaben!$B$24),IF(Eingaben!$B$23&lt;Eingaben!$B$24,AND(B637&gt;=Eingaben!$B$23,B637&lt;Eingaben!$B$24),OR(B637&gt;=Eingaben!$B$23,B637&lt;Eingaben!$B$24))),"HEAT","STANDARD"))</f>
        <v>STANDARD</v>
      </c>
      <c r="E637" s="9"/>
      <c r="F637" t="str">
        <f>IF(E637="",D637,E637)</f>
        <v>STANDARD</v>
      </c>
      <c r="G637" t="str">
        <f>INDEX(Netzzeiten!$B$6:$B$29,HOUR(B637)+1)</f>
        <v>NT</v>
      </c>
      <c r="H637" s="6">
        <f>IF(F637="GO",Eingaben!$B$11,IF(F637="STANDARD",Eingaben!$B$12,IF(AND(F637="HEAT",ISNUMBER(Eingaben!$B$13)),Eingaben!$B$13,"")))</f>
        <v>28.2744</v>
      </c>
      <c r="I637" s="6">
        <f>INDEX(Netzzeiten!$C$6:$C$29,HOUR(B637)+1)</f>
        <v>1.64</v>
      </c>
      <c r="J637" t="str">
        <f>IF(C637="","FEHLT",IF(NOT(ISNUMBER(C637)),"MESSWERT UNGUELTIG",IF(C637&lt;0,"MESSWERT UNGUELTIG",IF(H637="","TARIFPREIS FEHLT","OK"))))</f>
        <v>FEHLT</v>
      </c>
      <c r="K637" s="7">
        <f>IF(J637&lt;&gt;"OK","",C637*I637/100)</f>
        <v/>
      </c>
    </row>
    <row r="638" spans="1:11">
      <c r="A638" s="14">
        <v>46149</v>
      </c>
      <c r="B638" s="15">
        <v>0.5833333333333334</v>
      </c>
      <c r="C638" s="5">
        <f>IF('96 Werte'!BF12="","",'96 Werte'!BF12)</f>
        <v/>
      </c>
      <c r="D638" t="str">
        <f>IF(IF(Eingaben!$B$21&lt;Eingaben!$B$22,AND(B638&gt;=Eingaben!$B$21,B638&lt;Eingaben!$B$22),OR(B638&gt;=Eingaben!$B$21,B638&lt;Eingaben!$B$22)),"GO",IF(AND(ISNUMBER(Eingaben!$B$23),ISNUMBER(Eingaben!$B$24),IF(Eingaben!$B$23&lt;Eingaben!$B$24,AND(B638&gt;=Eingaben!$B$23,B638&lt;Eingaben!$B$24),OR(B638&gt;=Eingaben!$B$23,B638&lt;Eingaben!$B$24))),"HEAT","STANDARD"))</f>
        <v>STANDARD</v>
      </c>
      <c r="E638" s="9"/>
      <c r="F638" t="str">
        <f>IF(E638="",D638,E638)</f>
        <v>STANDARD</v>
      </c>
      <c r="G638" t="str">
        <f>INDEX(Netzzeiten!$B$6:$B$29,HOUR(B638)+1)</f>
        <v>NT</v>
      </c>
      <c r="H638" s="6">
        <f>IF(F638="GO",Eingaben!$B$11,IF(F638="STANDARD",Eingaben!$B$12,IF(AND(F638="HEAT",ISNUMBER(Eingaben!$B$13)),Eingaben!$B$13,"")))</f>
        <v>28.2744</v>
      </c>
      <c r="I638" s="6">
        <f>INDEX(Netzzeiten!$C$6:$C$29,HOUR(B638)+1)</f>
        <v>1.64</v>
      </c>
      <c r="J638" t="str">
        <f>IF(C638="","FEHLT",IF(NOT(ISNUMBER(C638)),"MESSWERT UNGUELTIG",IF(C638&lt;0,"MESSWERT UNGUELTIG",IF(H638="","TARIFPREIS FEHLT","OK"))))</f>
        <v>FEHLT</v>
      </c>
      <c r="K638" s="7">
        <f>IF(J638&lt;&gt;"OK","",C638*I638/100)</f>
        <v/>
      </c>
    </row>
    <row r="639" spans="1:11">
      <c r="A639" s="14">
        <v>46149</v>
      </c>
      <c r="B639" s="15">
        <v>0.59375</v>
      </c>
      <c r="C639" s="5">
        <f>IF('96 Werte'!BG12="","",'96 Werte'!BG12)</f>
        <v/>
      </c>
      <c r="D639" t="str">
        <f>IF(IF(Eingaben!$B$21&lt;Eingaben!$B$22,AND(B639&gt;=Eingaben!$B$21,B639&lt;Eingaben!$B$22),OR(B639&gt;=Eingaben!$B$21,B639&lt;Eingaben!$B$22)),"GO",IF(AND(ISNUMBER(Eingaben!$B$23),ISNUMBER(Eingaben!$B$24),IF(Eingaben!$B$23&lt;Eingaben!$B$24,AND(B639&gt;=Eingaben!$B$23,B639&lt;Eingaben!$B$24),OR(B639&gt;=Eingaben!$B$23,B639&lt;Eingaben!$B$24))),"HEAT","STANDARD"))</f>
        <v>STANDARD</v>
      </c>
      <c r="E639" s="9"/>
      <c r="F639" t="str">
        <f>IF(E639="",D639,E639)</f>
        <v>STANDARD</v>
      </c>
      <c r="G639" t="str">
        <f>INDEX(Netzzeiten!$B$6:$B$29,HOUR(B639)+1)</f>
        <v>NT</v>
      </c>
      <c r="H639" s="6">
        <f>IF(F639="GO",Eingaben!$B$11,IF(F639="STANDARD",Eingaben!$B$12,IF(AND(F639="HEAT",ISNUMBER(Eingaben!$B$13)),Eingaben!$B$13,"")))</f>
        <v>28.2744</v>
      </c>
      <c r="I639" s="6">
        <f>INDEX(Netzzeiten!$C$6:$C$29,HOUR(B639)+1)</f>
        <v>1.64</v>
      </c>
      <c r="J639" t="str">
        <f>IF(C639="","FEHLT",IF(NOT(ISNUMBER(C639)),"MESSWERT UNGUELTIG",IF(C639&lt;0,"MESSWERT UNGUELTIG",IF(H639="","TARIFPREIS FEHLT","OK"))))</f>
        <v>FEHLT</v>
      </c>
      <c r="K639" s="7">
        <f>IF(J639&lt;&gt;"OK","",C639*I639/100)</f>
        <v/>
      </c>
    </row>
    <row r="640" spans="1:11">
      <c r="A640" s="14">
        <v>46149</v>
      </c>
      <c r="B640" s="15">
        <v>0.6041666666666666</v>
      </c>
      <c r="C640" s="5">
        <f>IF('96 Werte'!BH12="","",'96 Werte'!BH12)</f>
        <v/>
      </c>
      <c r="D640" t="str">
        <f>IF(IF(Eingaben!$B$21&lt;Eingaben!$B$22,AND(B640&gt;=Eingaben!$B$21,B640&lt;Eingaben!$B$22),OR(B640&gt;=Eingaben!$B$21,B640&lt;Eingaben!$B$22)),"GO",IF(AND(ISNUMBER(Eingaben!$B$23),ISNUMBER(Eingaben!$B$24),IF(Eingaben!$B$23&lt;Eingaben!$B$24,AND(B640&gt;=Eingaben!$B$23,B640&lt;Eingaben!$B$24),OR(B640&gt;=Eingaben!$B$23,B640&lt;Eingaben!$B$24))),"HEAT","STANDARD"))</f>
        <v>STANDARD</v>
      </c>
      <c r="E640" s="9"/>
      <c r="F640" t="str">
        <f>IF(E640="",D640,E640)</f>
        <v>STANDARD</v>
      </c>
      <c r="G640" t="str">
        <f>INDEX(Netzzeiten!$B$6:$B$29,HOUR(B640)+1)</f>
        <v>NT</v>
      </c>
      <c r="H640" s="6">
        <f>IF(F640="GO",Eingaben!$B$11,IF(F640="STANDARD",Eingaben!$B$12,IF(AND(F640="HEAT",ISNUMBER(Eingaben!$B$13)),Eingaben!$B$13,"")))</f>
        <v>28.2744</v>
      </c>
      <c r="I640" s="6">
        <f>INDEX(Netzzeiten!$C$6:$C$29,HOUR(B640)+1)</f>
        <v>1.64</v>
      </c>
      <c r="J640" t="str">
        <f>IF(C640="","FEHLT",IF(NOT(ISNUMBER(C640)),"MESSWERT UNGUELTIG",IF(C640&lt;0,"MESSWERT UNGUELTIG",IF(H640="","TARIFPREIS FEHLT","OK"))))</f>
        <v>FEHLT</v>
      </c>
      <c r="K640" s="7">
        <f>IF(J640&lt;&gt;"OK","",C640*I640/100)</f>
        <v/>
      </c>
    </row>
    <row r="641" spans="1:11">
      <c r="A641" s="14">
        <v>46149</v>
      </c>
      <c r="B641" s="15">
        <v>0.6145833333333334</v>
      </c>
      <c r="C641" s="5">
        <f>IF('96 Werte'!BI12="","",'96 Werte'!BI12)</f>
        <v/>
      </c>
      <c r="D641" t="str">
        <f>IF(IF(Eingaben!$B$21&lt;Eingaben!$B$22,AND(B641&gt;=Eingaben!$B$21,B641&lt;Eingaben!$B$22),OR(B641&gt;=Eingaben!$B$21,B641&lt;Eingaben!$B$22)),"GO",IF(AND(ISNUMBER(Eingaben!$B$23),ISNUMBER(Eingaben!$B$24),IF(Eingaben!$B$23&lt;Eingaben!$B$24,AND(B641&gt;=Eingaben!$B$23,B641&lt;Eingaben!$B$24),OR(B641&gt;=Eingaben!$B$23,B641&lt;Eingaben!$B$24))),"HEAT","STANDARD"))</f>
        <v>STANDARD</v>
      </c>
      <c r="E641" s="9"/>
      <c r="F641" t="str">
        <f>IF(E641="",D641,E641)</f>
        <v>STANDARD</v>
      </c>
      <c r="G641" t="str">
        <f>INDEX(Netzzeiten!$B$6:$B$29,HOUR(B641)+1)</f>
        <v>NT</v>
      </c>
      <c r="H641" s="6">
        <f>IF(F641="GO",Eingaben!$B$11,IF(F641="STANDARD",Eingaben!$B$12,IF(AND(F641="HEAT",ISNUMBER(Eingaben!$B$13)),Eingaben!$B$13,"")))</f>
        <v>28.2744</v>
      </c>
      <c r="I641" s="6">
        <f>INDEX(Netzzeiten!$C$6:$C$29,HOUR(B641)+1)</f>
        <v>1.64</v>
      </c>
      <c r="J641" t="str">
        <f>IF(C641="","FEHLT",IF(NOT(ISNUMBER(C641)),"MESSWERT UNGUELTIG",IF(C641&lt;0,"MESSWERT UNGUELTIG",IF(H641="","TARIFPREIS FEHLT","OK"))))</f>
        <v>FEHLT</v>
      </c>
      <c r="K641" s="7">
        <f>IF(J641&lt;&gt;"OK","",C641*I641/100)</f>
        <v/>
      </c>
    </row>
    <row r="642" spans="1:11">
      <c r="A642" s="14">
        <v>46149</v>
      </c>
      <c r="B642" s="15">
        <v>0.625</v>
      </c>
      <c r="C642" s="5">
        <f>IF('96 Werte'!BJ12="","",'96 Werte'!BJ12)</f>
        <v/>
      </c>
      <c r="D642" t="str">
        <f>IF(IF(Eingaben!$B$21&lt;Eingaben!$B$22,AND(B642&gt;=Eingaben!$B$21,B642&lt;Eingaben!$B$22),OR(B642&gt;=Eingaben!$B$21,B642&lt;Eingaben!$B$22)),"GO",IF(AND(ISNUMBER(Eingaben!$B$23),ISNUMBER(Eingaben!$B$24),IF(Eingaben!$B$23&lt;Eingaben!$B$24,AND(B642&gt;=Eingaben!$B$23,B642&lt;Eingaben!$B$24),OR(B642&gt;=Eingaben!$B$23,B642&lt;Eingaben!$B$24))),"HEAT","STANDARD"))</f>
        <v>STANDARD</v>
      </c>
      <c r="E642" s="9"/>
      <c r="F642" t="str">
        <f>IF(E642="",D642,E642)</f>
        <v>STANDARD</v>
      </c>
      <c r="G642" t="str">
        <f>INDEX(Netzzeiten!$B$6:$B$29,HOUR(B642)+1)</f>
        <v>ST</v>
      </c>
      <c r="H642" s="6">
        <f>IF(F642="GO",Eingaben!$B$11,IF(F642="STANDARD",Eingaben!$B$12,IF(AND(F642="HEAT",ISNUMBER(Eingaben!$B$13)),Eingaben!$B$13,"")))</f>
        <v>28.2744</v>
      </c>
      <c r="I642" s="6">
        <f>INDEX(Netzzeiten!$C$6:$C$29,HOUR(B642)+1)</f>
        <v>5.48</v>
      </c>
      <c r="J642" t="str">
        <f>IF(C642="","FEHLT",IF(NOT(ISNUMBER(C642)),"MESSWERT UNGUELTIG",IF(C642&lt;0,"MESSWERT UNGUELTIG",IF(H642="","TARIFPREIS FEHLT","OK"))))</f>
        <v>FEHLT</v>
      </c>
      <c r="K642" s="7">
        <f>IF(J642&lt;&gt;"OK","",C642*I642/100)</f>
        <v/>
      </c>
    </row>
    <row r="643" spans="1:11">
      <c r="A643" s="14">
        <v>46149</v>
      </c>
      <c r="B643" s="15">
        <v>0.6354166666666666</v>
      </c>
      <c r="C643" s="5">
        <f>IF('96 Werte'!BK12="","",'96 Werte'!BK12)</f>
        <v/>
      </c>
      <c r="D643" t="str">
        <f>IF(IF(Eingaben!$B$21&lt;Eingaben!$B$22,AND(B643&gt;=Eingaben!$B$21,B643&lt;Eingaben!$B$22),OR(B643&gt;=Eingaben!$B$21,B643&lt;Eingaben!$B$22)),"GO",IF(AND(ISNUMBER(Eingaben!$B$23),ISNUMBER(Eingaben!$B$24),IF(Eingaben!$B$23&lt;Eingaben!$B$24,AND(B643&gt;=Eingaben!$B$23,B643&lt;Eingaben!$B$24),OR(B643&gt;=Eingaben!$B$23,B643&lt;Eingaben!$B$24))),"HEAT","STANDARD"))</f>
        <v>STANDARD</v>
      </c>
      <c r="E643" s="9"/>
      <c r="F643" t="str">
        <f>IF(E643="",D643,E643)</f>
        <v>STANDARD</v>
      </c>
      <c r="G643" t="str">
        <f>INDEX(Netzzeiten!$B$6:$B$29,HOUR(B643)+1)</f>
        <v>ST</v>
      </c>
      <c r="H643" s="6">
        <f>IF(F643="GO",Eingaben!$B$11,IF(F643="STANDARD",Eingaben!$B$12,IF(AND(F643="HEAT",ISNUMBER(Eingaben!$B$13)),Eingaben!$B$13,"")))</f>
        <v>28.2744</v>
      </c>
      <c r="I643" s="6">
        <f>INDEX(Netzzeiten!$C$6:$C$29,HOUR(B643)+1)</f>
        <v>5.48</v>
      </c>
      <c r="J643" t="str">
        <f>IF(C643="","FEHLT",IF(NOT(ISNUMBER(C643)),"MESSWERT UNGUELTIG",IF(C643&lt;0,"MESSWERT UNGUELTIG",IF(H643="","TARIFPREIS FEHLT","OK"))))</f>
        <v>FEHLT</v>
      </c>
      <c r="K643" s="7">
        <f>IF(J643&lt;&gt;"OK","",C643*I643/100)</f>
        <v/>
      </c>
    </row>
    <row r="644" spans="1:11">
      <c r="A644" s="14">
        <v>46149</v>
      </c>
      <c r="B644" s="15">
        <v>0.6458333333333334</v>
      </c>
      <c r="C644" s="5">
        <f>IF('96 Werte'!BL12="","",'96 Werte'!BL12)</f>
        <v/>
      </c>
      <c r="D644" t="str">
        <f>IF(IF(Eingaben!$B$21&lt;Eingaben!$B$22,AND(B644&gt;=Eingaben!$B$21,B644&lt;Eingaben!$B$22),OR(B644&gt;=Eingaben!$B$21,B644&lt;Eingaben!$B$22)),"GO",IF(AND(ISNUMBER(Eingaben!$B$23),ISNUMBER(Eingaben!$B$24),IF(Eingaben!$B$23&lt;Eingaben!$B$24,AND(B644&gt;=Eingaben!$B$23,B644&lt;Eingaben!$B$24),OR(B644&gt;=Eingaben!$B$23,B644&lt;Eingaben!$B$24))),"HEAT","STANDARD"))</f>
        <v>STANDARD</v>
      </c>
      <c r="E644" s="9"/>
      <c r="F644" t="str">
        <f>IF(E644="",D644,E644)</f>
        <v>STANDARD</v>
      </c>
      <c r="G644" t="str">
        <f>INDEX(Netzzeiten!$B$6:$B$29,HOUR(B644)+1)</f>
        <v>ST</v>
      </c>
      <c r="H644" s="6">
        <f>IF(F644="GO",Eingaben!$B$11,IF(F644="STANDARD",Eingaben!$B$12,IF(AND(F644="HEAT",ISNUMBER(Eingaben!$B$13)),Eingaben!$B$13,"")))</f>
        <v>28.2744</v>
      </c>
      <c r="I644" s="6">
        <f>INDEX(Netzzeiten!$C$6:$C$29,HOUR(B644)+1)</f>
        <v>5.48</v>
      </c>
      <c r="J644" t="str">
        <f>IF(C644="","FEHLT",IF(NOT(ISNUMBER(C644)),"MESSWERT UNGUELTIG",IF(C644&lt;0,"MESSWERT UNGUELTIG",IF(H644="","TARIFPREIS FEHLT","OK"))))</f>
        <v>FEHLT</v>
      </c>
      <c r="K644" s="7">
        <f>IF(J644&lt;&gt;"OK","",C644*I644/100)</f>
        <v/>
      </c>
    </row>
    <row r="645" spans="1:11">
      <c r="A645" s="14">
        <v>46149</v>
      </c>
      <c r="B645" s="15">
        <v>0.65625</v>
      </c>
      <c r="C645" s="5">
        <f>IF('96 Werte'!BM12="","",'96 Werte'!BM12)</f>
        <v/>
      </c>
      <c r="D645" t="str">
        <f>IF(IF(Eingaben!$B$21&lt;Eingaben!$B$22,AND(B645&gt;=Eingaben!$B$21,B645&lt;Eingaben!$B$22),OR(B645&gt;=Eingaben!$B$21,B645&lt;Eingaben!$B$22)),"GO",IF(AND(ISNUMBER(Eingaben!$B$23),ISNUMBER(Eingaben!$B$24),IF(Eingaben!$B$23&lt;Eingaben!$B$24,AND(B645&gt;=Eingaben!$B$23,B645&lt;Eingaben!$B$24),OR(B645&gt;=Eingaben!$B$23,B645&lt;Eingaben!$B$24))),"HEAT","STANDARD"))</f>
        <v>STANDARD</v>
      </c>
      <c r="E645" s="9"/>
      <c r="F645" t="str">
        <f>IF(E645="",D645,E645)</f>
        <v>STANDARD</v>
      </c>
      <c r="G645" t="str">
        <f>INDEX(Netzzeiten!$B$6:$B$29,HOUR(B645)+1)</f>
        <v>ST</v>
      </c>
      <c r="H645" s="6">
        <f>IF(F645="GO",Eingaben!$B$11,IF(F645="STANDARD",Eingaben!$B$12,IF(AND(F645="HEAT",ISNUMBER(Eingaben!$B$13)),Eingaben!$B$13,"")))</f>
        <v>28.2744</v>
      </c>
      <c r="I645" s="6">
        <f>INDEX(Netzzeiten!$C$6:$C$29,HOUR(B645)+1)</f>
        <v>5.48</v>
      </c>
      <c r="J645" t="str">
        <f>IF(C645="","FEHLT",IF(NOT(ISNUMBER(C645)),"MESSWERT UNGUELTIG",IF(C645&lt;0,"MESSWERT UNGUELTIG",IF(H645="","TARIFPREIS FEHLT","OK"))))</f>
        <v>FEHLT</v>
      </c>
      <c r="K645" s="7">
        <f>IF(J645&lt;&gt;"OK","",C645*I645/100)</f>
        <v/>
      </c>
    </row>
    <row r="646" spans="1:11">
      <c r="A646" s="14">
        <v>46149</v>
      </c>
      <c r="B646" s="15">
        <v>0.6666666666666666</v>
      </c>
      <c r="C646" s="5">
        <f>IF('96 Werte'!BN12="","",'96 Werte'!BN12)</f>
        <v/>
      </c>
      <c r="D646" t="str">
        <f>IF(IF(Eingaben!$B$21&lt;Eingaben!$B$22,AND(B646&gt;=Eingaben!$B$21,B646&lt;Eingaben!$B$22),OR(B646&gt;=Eingaben!$B$21,B646&lt;Eingaben!$B$22)),"GO",IF(AND(ISNUMBER(Eingaben!$B$23),ISNUMBER(Eingaben!$B$24),IF(Eingaben!$B$23&lt;Eingaben!$B$24,AND(B646&gt;=Eingaben!$B$23,B646&lt;Eingaben!$B$24),OR(B646&gt;=Eingaben!$B$23,B646&lt;Eingaben!$B$24))),"HEAT","STANDARD"))</f>
        <v>STANDARD</v>
      </c>
      <c r="E646" s="9"/>
      <c r="F646" t="str">
        <f>IF(E646="",D646,E646)</f>
        <v>STANDARD</v>
      </c>
      <c r="G646" t="str">
        <f>INDEX(Netzzeiten!$B$6:$B$29,HOUR(B646)+1)</f>
        <v>ST</v>
      </c>
      <c r="H646" s="6">
        <f>IF(F646="GO",Eingaben!$B$11,IF(F646="STANDARD",Eingaben!$B$12,IF(AND(F646="HEAT",ISNUMBER(Eingaben!$B$13)),Eingaben!$B$13,"")))</f>
        <v>28.2744</v>
      </c>
      <c r="I646" s="6">
        <f>INDEX(Netzzeiten!$C$6:$C$29,HOUR(B646)+1)</f>
        <v>5.48</v>
      </c>
      <c r="J646" t="str">
        <f>IF(C646="","FEHLT",IF(NOT(ISNUMBER(C646)),"MESSWERT UNGUELTIG",IF(C646&lt;0,"MESSWERT UNGUELTIG",IF(H646="","TARIFPREIS FEHLT","OK"))))</f>
        <v>FEHLT</v>
      </c>
      <c r="K646" s="7">
        <f>IF(J646&lt;&gt;"OK","",C646*I646/100)</f>
        <v/>
      </c>
    </row>
    <row r="647" spans="1:11">
      <c r="A647" s="14">
        <v>46149</v>
      </c>
      <c r="B647" s="15">
        <v>0.6770833333333334</v>
      </c>
      <c r="C647" s="5">
        <f>IF('96 Werte'!BO12="","",'96 Werte'!BO12)</f>
        <v/>
      </c>
      <c r="D647" t="str">
        <f>IF(IF(Eingaben!$B$21&lt;Eingaben!$B$22,AND(B647&gt;=Eingaben!$B$21,B647&lt;Eingaben!$B$22),OR(B647&gt;=Eingaben!$B$21,B647&lt;Eingaben!$B$22)),"GO",IF(AND(ISNUMBER(Eingaben!$B$23),ISNUMBER(Eingaben!$B$24),IF(Eingaben!$B$23&lt;Eingaben!$B$24,AND(B647&gt;=Eingaben!$B$23,B647&lt;Eingaben!$B$24),OR(B647&gt;=Eingaben!$B$23,B647&lt;Eingaben!$B$24))),"HEAT","STANDARD"))</f>
        <v>STANDARD</v>
      </c>
      <c r="E647" s="9"/>
      <c r="F647" t="str">
        <f>IF(E647="",D647,E647)</f>
        <v>STANDARD</v>
      </c>
      <c r="G647" t="str">
        <f>INDEX(Netzzeiten!$B$6:$B$29,HOUR(B647)+1)</f>
        <v>ST</v>
      </c>
      <c r="H647" s="6">
        <f>IF(F647="GO",Eingaben!$B$11,IF(F647="STANDARD",Eingaben!$B$12,IF(AND(F647="HEAT",ISNUMBER(Eingaben!$B$13)),Eingaben!$B$13,"")))</f>
        <v>28.2744</v>
      </c>
      <c r="I647" s="6">
        <f>INDEX(Netzzeiten!$C$6:$C$29,HOUR(B647)+1)</f>
        <v>5.48</v>
      </c>
      <c r="J647" t="str">
        <f>IF(C647="","FEHLT",IF(NOT(ISNUMBER(C647)),"MESSWERT UNGUELTIG",IF(C647&lt;0,"MESSWERT UNGUELTIG",IF(H647="","TARIFPREIS FEHLT","OK"))))</f>
        <v>FEHLT</v>
      </c>
      <c r="K647" s="7">
        <f>IF(J647&lt;&gt;"OK","",C647*I647/100)</f>
        <v/>
      </c>
    </row>
    <row r="648" spans="1:11">
      <c r="A648" s="14">
        <v>46149</v>
      </c>
      <c r="B648" s="15">
        <v>0.6875</v>
      </c>
      <c r="C648" s="5">
        <f>IF('96 Werte'!BP12="","",'96 Werte'!BP12)</f>
        <v/>
      </c>
      <c r="D648" t="str">
        <f>IF(IF(Eingaben!$B$21&lt;Eingaben!$B$22,AND(B648&gt;=Eingaben!$B$21,B648&lt;Eingaben!$B$22),OR(B648&gt;=Eingaben!$B$21,B648&lt;Eingaben!$B$22)),"GO",IF(AND(ISNUMBER(Eingaben!$B$23),ISNUMBER(Eingaben!$B$24),IF(Eingaben!$B$23&lt;Eingaben!$B$24,AND(B648&gt;=Eingaben!$B$23,B648&lt;Eingaben!$B$24),OR(B648&gt;=Eingaben!$B$23,B648&lt;Eingaben!$B$24))),"HEAT","STANDARD"))</f>
        <v>STANDARD</v>
      </c>
      <c r="E648" s="9"/>
      <c r="F648" t="str">
        <f>IF(E648="",D648,E648)</f>
        <v>STANDARD</v>
      </c>
      <c r="G648" t="str">
        <f>INDEX(Netzzeiten!$B$6:$B$29,HOUR(B648)+1)</f>
        <v>ST</v>
      </c>
      <c r="H648" s="6">
        <f>IF(F648="GO",Eingaben!$B$11,IF(F648="STANDARD",Eingaben!$B$12,IF(AND(F648="HEAT",ISNUMBER(Eingaben!$B$13)),Eingaben!$B$13,"")))</f>
        <v>28.2744</v>
      </c>
      <c r="I648" s="6">
        <f>INDEX(Netzzeiten!$C$6:$C$29,HOUR(B648)+1)</f>
        <v>5.48</v>
      </c>
      <c r="J648" t="str">
        <f>IF(C648="","FEHLT",IF(NOT(ISNUMBER(C648)),"MESSWERT UNGUELTIG",IF(C648&lt;0,"MESSWERT UNGUELTIG",IF(H648="","TARIFPREIS FEHLT","OK"))))</f>
        <v>FEHLT</v>
      </c>
      <c r="K648" s="7">
        <f>IF(J648&lt;&gt;"OK","",C648*I648/100)</f>
        <v/>
      </c>
    </row>
    <row r="649" spans="1:11">
      <c r="A649" s="14">
        <v>46149</v>
      </c>
      <c r="B649" s="15">
        <v>0.6979166666666666</v>
      </c>
      <c r="C649" s="5">
        <f>IF('96 Werte'!BQ12="","",'96 Werte'!BQ12)</f>
        <v/>
      </c>
      <c r="D649" t="str">
        <f>IF(IF(Eingaben!$B$21&lt;Eingaben!$B$22,AND(B649&gt;=Eingaben!$B$21,B649&lt;Eingaben!$B$22),OR(B649&gt;=Eingaben!$B$21,B649&lt;Eingaben!$B$22)),"GO",IF(AND(ISNUMBER(Eingaben!$B$23),ISNUMBER(Eingaben!$B$24),IF(Eingaben!$B$23&lt;Eingaben!$B$24,AND(B649&gt;=Eingaben!$B$23,B649&lt;Eingaben!$B$24),OR(B649&gt;=Eingaben!$B$23,B649&lt;Eingaben!$B$24))),"HEAT","STANDARD"))</f>
        <v>STANDARD</v>
      </c>
      <c r="E649" s="9"/>
      <c r="F649" t="str">
        <f>IF(E649="",D649,E649)</f>
        <v>STANDARD</v>
      </c>
      <c r="G649" t="str">
        <f>INDEX(Netzzeiten!$B$6:$B$29,HOUR(B649)+1)</f>
        <v>ST</v>
      </c>
      <c r="H649" s="6">
        <f>IF(F649="GO",Eingaben!$B$11,IF(F649="STANDARD",Eingaben!$B$12,IF(AND(F649="HEAT",ISNUMBER(Eingaben!$B$13)),Eingaben!$B$13,"")))</f>
        <v>28.2744</v>
      </c>
      <c r="I649" s="6">
        <f>INDEX(Netzzeiten!$C$6:$C$29,HOUR(B649)+1)</f>
        <v>5.48</v>
      </c>
      <c r="J649" t="str">
        <f>IF(C649="","FEHLT",IF(NOT(ISNUMBER(C649)),"MESSWERT UNGUELTIG",IF(C649&lt;0,"MESSWERT UNGUELTIG",IF(H649="","TARIFPREIS FEHLT","OK"))))</f>
        <v>FEHLT</v>
      </c>
      <c r="K649" s="7">
        <f>IF(J649&lt;&gt;"OK","",C649*I649/100)</f>
        <v/>
      </c>
    </row>
    <row r="650" spans="1:11">
      <c r="A650" s="14">
        <v>46149</v>
      </c>
      <c r="B650" s="15">
        <v>0.7083333333333334</v>
      </c>
      <c r="C650" s="5">
        <f>IF('96 Werte'!BR12="","",'96 Werte'!BR12)</f>
        <v/>
      </c>
      <c r="D650" t="str">
        <f>IF(IF(Eingaben!$B$21&lt;Eingaben!$B$22,AND(B650&gt;=Eingaben!$B$21,B650&lt;Eingaben!$B$22),OR(B650&gt;=Eingaben!$B$21,B650&lt;Eingaben!$B$22)),"GO",IF(AND(ISNUMBER(Eingaben!$B$23),ISNUMBER(Eingaben!$B$24),IF(Eingaben!$B$23&lt;Eingaben!$B$24,AND(B650&gt;=Eingaben!$B$23,B650&lt;Eingaben!$B$24),OR(B650&gt;=Eingaben!$B$23,B650&lt;Eingaben!$B$24))),"HEAT","STANDARD"))</f>
        <v>STANDARD</v>
      </c>
      <c r="E650" s="9"/>
      <c r="F650" t="str">
        <f>IF(E650="",D650,E650)</f>
        <v>STANDARD</v>
      </c>
      <c r="G650" t="str">
        <f>INDEX(Netzzeiten!$B$6:$B$29,HOUR(B650)+1)</f>
        <v>HT</v>
      </c>
      <c r="H650" s="6">
        <f>IF(F650="GO",Eingaben!$B$11,IF(F650="STANDARD",Eingaben!$B$12,IF(AND(F650="HEAT",ISNUMBER(Eingaben!$B$13)),Eingaben!$B$13,"")))</f>
        <v>28.2744</v>
      </c>
      <c r="I650" s="6">
        <f>INDEX(Netzzeiten!$C$6:$C$29,HOUR(B650)+1)</f>
        <v>10.52</v>
      </c>
      <c r="J650" t="str">
        <f>IF(C650="","FEHLT",IF(NOT(ISNUMBER(C650)),"MESSWERT UNGUELTIG",IF(C650&lt;0,"MESSWERT UNGUELTIG",IF(H650="","TARIFPREIS FEHLT","OK"))))</f>
        <v>FEHLT</v>
      </c>
      <c r="K650" s="7">
        <f>IF(J650&lt;&gt;"OK","",C650*I650/100)</f>
        <v/>
      </c>
    </row>
    <row r="651" spans="1:11">
      <c r="A651" s="14">
        <v>46149</v>
      </c>
      <c r="B651" s="15">
        <v>0.71875</v>
      </c>
      <c r="C651" s="5">
        <f>IF('96 Werte'!BS12="","",'96 Werte'!BS12)</f>
        <v/>
      </c>
      <c r="D651" t="str">
        <f>IF(IF(Eingaben!$B$21&lt;Eingaben!$B$22,AND(B651&gt;=Eingaben!$B$21,B651&lt;Eingaben!$B$22),OR(B651&gt;=Eingaben!$B$21,B651&lt;Eingaben!$B$22)),"GO",IF(AND(ISNUMBER(Eingaben!$B$23),ISNUMBER(Eingaben!$B$24),IF(Eingaben!$B$23&lt;Eingaben!$B$24,AND(B651&gt;=Eingaben!$B$23,B651&lt;Eingaben!$B$24),OR(B651&gt;=Eingaben!$B$23,B651&lt;Eingaben!$B$24))),"HEAT","STANDARD"))</f>
        <v>STANDARD</v>
      </c>
      <c r="E651" s="9"/>
      <c r="F651" t="str">
        <f>IF(E651="",D651,E651)</f>
        <v>STANDARD</v>
      </c>
      <c r="G651" t="str">
        <f>INDEX(Netzzeiten!$B$6:$B$29,HOUR(B651)+1)</f>
        <v>HT</v>
      </c>
      <c r="H651" s="6">
        <f>IF(F651="GO",Eingaben!$B$11,IF(F651="STANDARD",Eingaben!$B$12,IF(AND(F651="HEAT",ISNUMBER(Eingaben!$B$13)),Eingaben!$B$13,"")))</f>
        <v>28.2744</v>
      </c>
      <c r="I651" s="6">
        <f>INDEX(Netzzeiten!$C$6:$C$29,HOUR(B651)+1)</f>
        <v>10.52</v>
      </c>
      <c r="J651" t="str">
        <f>IF(C651="","FEHLT",IF(NOT(ISNUMBER(C651)),"MESSWERT UNGUELTIG",IF(C651&lt;0,"MESSWERT UNGUELTIG",IF(H651="","TARIFPREIS FEHLT","OK"))))</f>
        <v>FEHLT</v>
      </c>
      <c r="K651" s="7">
        <f>IF(J651&lt;&gt;"OK","",C651*I651/100)</f>
        <v/>
      </c>
    </row>
    <row r="652" spans="1:11">
      <c r="A652" s="14">
        <v>46149</v>
      </c>
      <c r="B652" s="15">
        <v>0.7291666666666666</v>
      </c>
      <c r="C652" s="5">
        <f>IF('96 Werte'!BT12="","",'96 Werte'!BT12)</f>
        <v/>
      </c>
      <c r="D652" t="str">
        <f>IF(IF(Eingaben!$B$21&lt;Eingaben!$B$22,AND(B652&gt;=Eingaben!$B$21,B652&lt;Eingaben!$B$22),OR(B652&gt;=Eingaben!$B$21,B652&lt;Eingaben!$B$22)),"GO",IF(AND(ISNUMBER(Eingaben!$B$23),ISNUMBER(Eingaben!$B$24),IF(Eingaben!$B$23&lt;Eingaben!$B$24,AND(B652&gt;=Eingaben!$B$23,B652&lt;Eingaben!$B$24),OR(B652&gt;=Eingaben!$B$23,B652&lt;Eingaben!$B$24))),"HEAT","STANDARD"))</f>
        <v>STANDARD</v>
      </c>
      <c r="E652" s="9"/>
      <c r="F652" t="str">
        <f>IF(E652="",D652,E652)</f>
        <v>STANDARD</v>
      </c>
      <c r="G652" t="str">
        <f>INDEX(Netzzeiten!$B$6:$B$29,HOUR(B652)+1)</f>
        <v>HT</v>
      </c>
      <c r="H652" s="6">
        <f>IF(F652="GO",Eingaben!$B$11,IF(F652="STANDARD",Eingaben!$B$12,IF(AND(F652="HEAT",ISNUMBER(Eingaben!$B$13)),Eingaben!$B$13,"")))</f>
        <v>28.2744</v>
      </c>
      <c r="I652" s="6">
        <f>INDEX(Netzzeiten!$C$6:$C$29,HOUR(B652)+1)</f>
        <v>10.52</v>
      </c>
      <c r="J652" t="str">
        <f>IF(C652="","FEHLT",IF(NOT(ISNUMBER(C652)),"MESSWERT UNGUELTIG",IF(C652&lt;0,"MESSWERT UNGUELTIG",IF(H652="","TARIFPREIS FEHLT","OK"))))</f>
        <v>FEHLT</v>
      </c>
      <c r="K652" s="7">
        <f>IF(J652&lt;&gt;"OK","",C652*I652/100)</f>
        <v/>
      </c>
    </row>
    <row r="653" spans="1:11">
      <c r="A653" s="14">
        <v>46149</v>
      </c>
      <c r="B653" s="15">
        <v>0.7395833333333334</v>
      </c>
      <c r="C653" s="5">
        <f>IF('96 Werte'!BU12="","",'96 Werte'!BU12)</f>
        <v/>
      </c>
      <c r="D653" t="str">
        <f>IF(IF(Eingaben!$B$21&lt;Eingaben!$B$22,AND(B653&gt;=Eingaben!$B$21,B653&lt;Eingaben!$B$22),OR(B653&gt;=Eingaben!$B$21,B653&lt;Eingaben!$B$22)),"GO",IF(AND(ISNUMBER(Eingaben!$B$23),ISNUMBER(Eingaben!$B$24),IF(Eingaben!$B$23&lt;Eingaben!$B$24,AND(B653&gt;=Eingaben!$B$23,B653&lt;Eingaben!$B$24),OR(B653&gt;=Eingaben!$B$23,B653&lt;Eingaben!$B$24))),"HEAT","STANDARD"))</f>
        <v>STANDARD</v>
      </c>
      <c r="E653" s="9"/>
      <c r="F653" t="str">
        <f>IF(E653="",D653,E653)</f>
        <v>STANDARD</v>
      </c>
      <c r="G653" t="str">
        <f>INDEX(Netzzeiten!$B$6:$B$29,HOUR(B653)+1)</f>
        <v>HT</v>
      </c>
      <c r="H653" s="6">
        <f>IF(F653="GO",Eingaben!$B$11,IF(F653="STANDARD",Eingaben!$B$12,IF(AND(F653="HEAT",ISNUMBER(Eingaben!$B$13)),Eingaben!$B$13,"")))</f>
        <v>28.2744</v>
      </c>
      <c r="I653" s="6">
        <f>INDEX(Netzzeiten!$C$6:$C$29,HOUR(B653)+1)</f>
        <v>10.52</v>
      </c>
      <c r="J653" t="str">
        <f>IF(C653="","FEHLT",IF(NOT(ISNUMBER(C653)),"MESSWERT UNGUELTIG",IF(C653&lt;0,"MESSWERT UNGUELTIG",IF(H653="","TARIFPREIS FEHLT","OK"))))</f>
        <v>FEHLT</v>
      </c>
      <c r="K653" s="7">
        <f>IF(J653&lt;&gt;"OK","",C653*I653/100)</f>
        <v/>
      </c>
    </row>
    <row r="654" spans="1:11">
      <c r="A654" s="14">
        <v>46149</v>
      </c>
      <c r="B654" s="15">
        <v>0.75</v>
      </c>
      <c r="C654" s="5">
        <f>IF('96 Werte'!BV12="","",'96 Werte'!BV12)</f>
        <v/>
      </c>
      <c r="D654" t="str">
        <f>IF(IF(Eingaben!$B$21&lt;Eingaben!$B$22,AND(B654&gt;=Eingaben!$B$21,B654&lt;Eingaben!$B$22),OR(B654&gt;=Eingaben!$B$21,B654&lt;Eingaben!$B$22)),"GO",IF(AND(ISNUMBER(Eingaben!$B$23),ISNUMBER(Eingaben!$B$24),IF(Eingaben!$B$23&lt;Eingaben!$B$24,AND(B654&gt;=Eingaben!$B$23,B654&lt;Eingaben!$B$24),OR(B654&gt;=Eingaben!$B$23,B654&lt;Eingaben!$B$24))),"HEAT","STANDARD"))</f>
        <v>STANDARD</v>
      </c>
      <c r="E654" s="9"/>
      <c r="F654" t="str">
        <f>IF(E654="",D654,E654)</f>
        <v>STANDARD</v>
      </c>
      <c r="G654" t="str">
        <f>INDEX(Netzzeiten!$B$6:$B$29,HOUR(B654)+1)</f>
        <v>HT</v>
      </c>
      <c r="H654" s="6">
        <f>IF(F654="GO",Eingaben!$B$11,IF(F654="STANDARD",Eingaben!$B$12,IF(AND(F654="HEAT",ISNUMBER(Eingaben!$B$13)),Eingaben!$B$13,"")))</f>
        <v>28.2744</v>
      </c>
      <c r="I654" s="6">
        <f>INDEX(Netzzeiten!$C$6:$C$29,HOUR(B654)+1)</f>
        <v>10.52</v>
      </c>
      <c r="J654" t="str">
        <f>IF(C654="","FEHLT",IF(NOT(ISNUMBER(C654)),"MESSWERT UNGUELTIG",IF(C654&lt;0,"MESSWERT UNGUELTIG",IF(H654="","TARIFPREIS FEHLT","OK"))))</f>
        <v>FEHLT</v>
      </c>
      <c r="K654" s="7">
        <f>IF(J654&lt;&gt;"OK","",C654*I654/100)</f>
        <v/>
      </c>
    </row>
    <row r="655" spans="1:11">
      <c r="A655" s="14">
        <v>46149</v>
      </c>
      <c r="B655" s="15">
        <v>0.7604166666666666</v>
      </c>
      <c r="C655" s="5">
        <f>IF('96 Werte'!BW12="","",'96 Werte'!BW12)</f>
        <v/>
      </c>
      <c r="D655" t="str">
        <f>IF(IF(Eingaben!$B$21&lt;Eingaben!$B$22,AND(B655&gt;=Eingaben!$B$21,B655&lt;Eingaben!$B$22),OR(B655&gt;=Eingaben!$B$21,B655&lt;Eingaben!$B$22)),"GO",IF(AND(ISNUMBER(Eingaben!$B$23),ISNUMBER(Eingaben!$B$24),IF(Eingaben!$B$23&lt;Eingaben!$B$24,AND(B655&gt;=Eingaben!$B$23,B655&lt;Eingaben!$B$24),OR(B655&gt;=Eingaben!$B$23,B655&lt;Eingaben!$B$24))),"HEAT","STANDARD"))</f>
        <v>STANDARD</v>
      </c>
      <c r="E655" s="9"/>
      <c r="F655" t="str">
        <f>IF(E655="",D655,E655)</f>
        <v>STANDARD</v>
      </c>
      <c r="G655" t="str">
        <f>INDEX(Netzzeiten!$B$6:$B$29,HOUR(B655)+1)</f>
        <v>HT</v>
      </c>
      <c r="H655" s="6">
        <f>IF(F655="GO",Eingaben!$B$11,IF(F655="STANDARD",Eingaben!$B$12,IF(AND(F655="HEAT",ISNUMBER(Eingaben!$B$13)),Eingaben!$B$13,"")))</f>
        <v>28.2744</v>
      </c>
      <c r="I655" s="6">
        <f>INDEX(Netzzeiten!$C$6:$C$29,HOUR(B655)+1)</f>
        <v>10.52</v>
      </c>
      <c r="J655" t="str">
        <f>IF(C655="","FEHLT",IF(NOT(ISNUMBER(C655)),"MESSWERT UNGUELTIG",IF(C655&lt;0,"MESSWERT UNGUELTIG",IF(H655="","TARIFPREIS FEHLT","OK"))))</f>
        <v>FEHLT</v>
      </c>
      <c r="K655" s="7">
        <f>IF(J655&lt;&gt;"OK","",C655*I655/100)</f>
        <v/>
      </c>
    </row>
    <row r="656" spans="1:11">
      <c r="A656" s="14">
        <v>46149</v>
      </c>
      <c r="B656" s="15">
        <v>0.7708333333333334</v>
      </c>
      <c r="C656" s="5">
        <f>IF('96 Werte'!BX12="","",'96 Werte'!BX12)</f>
        <v/>
      </c>
      <c r="D656" t="str">
        <f>IF(IF(Eingaben!$B$21&lt;Eingaben!$B$22,AND(B656&gt;=Eingaben!$B$21,B656&lt;Eingaben!$B$22),OR(B656&gt;=Eingaben!$B$21,B656&lt;Eingaben!$B$22)),"GO",IF(AND(ISNUMBER(Eingaben!$B$23),ISNUMBER(Eingaben!$B$24),IF(Eingaben!$B$23&lt;Eingaben!$B$24,AND(B656&gt;=Eingaben!$B$23,B656&lt;Eingaben!$B$24),OR(B656&gt;=Eingaben!$B$23,B656&lt;Eingaben!$B$24))),"HEAT","STANDARD"))</f>
        <v>STANDARD</v>
      </c>
      <c r="E656" s="9"/>
      <c r="F656" t="str">
        <f>IF(E656="",D656,E656)</f>
        <v>STANDARD</v>
      </c>
      <c r="G656" t="str">
        <f>INDEX(Netzzeiten!$B$6:$B$29,HOUR(B656)+1)</f>
        <v>HT</v>
      </c>
      <c r="H656" s="6">
        <f>IF(F656="GO",Eingaben!$B$11,IF(F656="STANDARD",Eingaben!$B$12,IF(AND(F656="HEAT",ISNUMBER(Eingaben!$B$13)),Eingaben!$B$13,"")))</f>
        <v>28.2744</v>
      </c>
      <c r="I656" s="6">
        <f>INDEX(Netzzeiten!$C$6:$C$29,HOUR(B656)+1)</f>
        <v>10.52</v>
      </c>
      <c r="J656" t="str">
        <f>IF(C656="","FEHLT",IF(NOT(ISNUMBER(C656)),"MESSWERT UNGUELTIG",IF(C656&lt;0,"MESSWERT UNGUELTIG",IF(H656="","TARIFPREIS FEHLT","OK"))))</f>
        <v>FEHLT</v>
      </c>
      <c r="K656" s="7">
        <f>IF(J656&lt;&gt;"OK","",C656*I656/100)</f>
        <v/>
      </c>
    </row>
    <row r="657" spans="1:11">
      <c r="A657" s="14">
        <v>46149</v>
      </c>
      <c r="B657" s="15">
        <v>0.78125</v>
      </c>
      <c r="C657" s="5">
        <f>IF('96 Werte'!BY12="","",'96 Werte'!BY12)</f>
        <v/>
      </c>
      <c r="D657" t="str">
        <f>IF(IF(Eingaben!$B$21&lt;Eingaben!$B$22,AND(B657&gt;=Eingaben!$B$21,B657&lt;Eingaben!$B$22),OR(B657&gt;=Eingaben!$B$21,B657&lt;Eingaben!$B$22)),"GO",IF(AND(ISNUMBER(Eingaben!$B$23),ISNUMBER(Eingaben!$B$24),IF(Eingaben!$B$23&lt;Eingaben!$B$24,AND(B657&gt;=Eingaben!$B$23,B657&lt;Eingaben!$B$24),OR(B657&gt;=Eingaben!$B$23,B657&lt;Eingaben!$B$24))),"HEAT","STANDARD"))</f>
        <v>STANDARD</v>
      </c>
      <c r="E657" s="9"/>
      <c r="F657" t="str">
        <f>IF(E657="",D657,E657)</f>
        <v>STANDARD</v>
      </c>
      <c r="G657" t="str">
        <f>INDEX(Netzzeiten!$B$6:$B$29,HOUR(B657)+1)</f>
        <v>HT</v>
      </c>
      <c r="H657" s="6">
        <f>IF(F657="GO",Eingaben!$B$11,IF(F657="STANDARD",Eingaben!$B$12,IF(AND(F657="HEAT",ISNUMBER(Eingaben!$B$13)),Eingaben!$B$13,"")))</f>
        <v>28.2744</v>
      </c>
      <c r="I657" s="6">
        <f>INDEX(Netzzeiten!$C$6:$C$29,HOUR(B657)+1)</f>
        <v>10.52</v>
      </c>
      <c r="J657" t="str">
        <f>IF(C657="","FEHLT",IF(NOT(ISNUMBER(C657)),"MESSWERT UNGUELTIG",IF(C657&lt;0,"MESSWERT UNGUELTIG",IF(H657="","TARIFPREIS FEHLT","OK"))))</f>
        <v>FEHLT</v>
      </c>
      <c r="K657" s="7">
        <f>IF(J657&lt;&gt;"OK","",C657*I657/100)</f>
        <v/>
      </c>
    </row>
    <row r="658" spans="1:11">
      <c r="A658" s="14">
        <v>46149</v>
      </c>
      <c r="B658" s="15">
        <v>0.7916666666666666</v>
      </c>
      <c r="C658" s="5">
        <f>IF('96 Werte'!BZ12="","",'96 Werte'!BZ12)</f>
        <v/>
      </c>
      <c r="D658" t="str">
        <f>IF(IF(Eingaben!$B$21&lt;Eingaben!$B$22,AND(B658&gt;=Eingaben!$B$21,B658&lt;Eingaben!$B$22),OR(B658&gt;=Eingaben!$B$21,B658&lt;Eingaben!$B$22)),"GO",IF(AND(ISNUMBER(Eingaben!$B$23),ISNUMBER(Eingaben!$B$24),IF(Eingaben!$B$23&lt;Eingaben!$B$24,AND(B658&gt;=Eingaben!$B$23,B658&lt;Eingaben!$B$24),OR(B658&gt;=Eingaben!$B$23,B658&lt;Eingaben!$B$24))),"HEAT","STANDARD"))</f>
        <v>STANDARD</v>
      </c>
      <c r="E658" s="9"/>
      <c r="F658" t="str">
        <f>IF(E658="",D658,E658)</f>
        <v>STANDARD</v>
      </c>
      <c r="G658" t="str">
        <f>INDEX(Netzzeiten!$B$6:$B$29,HOUR(B658)+1)</f>
        <v>HT</v>
      </c>
      <c r="H658" s="6">
        <f>IF(F658="GO",Eingaben!$B$11,IF(F658="STANDARD",Eingaben!$B$12,IF(AND(F658="HEAT",ISNUMBER(Eingaben!$B$13)),Eingaben!$B$13,"")))</f>
        <v>28.2744</v>
      </c>
      <c r="I658" s="6">
        <f>INDEX(Netzzeiten!$C$6:$C$29,HOUR(B658)+1)</f>
        <v>10.52</v>
      </c>
      <c r="J658" t="str">
        <f>IF(C658="","FEHLT",IF(NOT(ISNUMBER(C658)),"MESSWERT UNGUELTIG",IF(C658&lt;0,"MESSWERT UNGUELTIG",IF(H658="","TARIFPREIS FEHLT","OK"))))</f>
        <v>FEHLT</v>
      </c>
      <c r="K658" s="7">
        <f>IF(J658&lt;&gt;"OK","",C658*I658/100)</f>
        <v/>
      </c>
    </row>
    <row r="659" spans="1:11">
      <c r="A659" s="14">
        <v>46149</v>
      </c>
      <c r="B659" s="15">
        <v>0.8020833333333334</v>
      </c>
      <c r="C659" s="5">
        <f>IF('96 Werte'!CA12="","",'96 Werte'!CA12)</f>
        <v/>
      </c>
      <c r="D659" t="str">
        <f>IF(IF(Eingaben!$B$21&lt;Eingaben!$B$22,AND(B659&gt;=Eingaben!$B$21,B659&lt;Eingaben!$B$22),OR(B659&gt;=Eingaben!$B$21,B659&lt;Eingaben!$B$22)),"GO",IF(AND(ISNUMBER(Eingaben!$B$23),ISNUMBER(Eingaben!$B$24),IF(Eingaben!$B$23&lt;Eingaben!$B$24,AND(B659&gt;=Eingaben!$B$23,B659&lt;Eingaben!$B$24),OR(B659&gt;=Eingaben!$B$23,B659&lt;Eingaben!$B$24))),"HEAT","STANDARD"))</f>
        <v>STANDARD</v>
      </c>
      <c r="E659" s="9"/>
      <c r="F659" t="str">
        <f>IF(E659="",D659,E659)</f>
        <v>STANDARD</v>
      </c>
      <c r="G659" t="str">
        <f>INDEX(Netzzeiten!$B$6:$B$29,HOUR(B659)+1)</f>
        <v>HT</v>
      </c>
      <c r="H659" s="6">
        <f>IF(F659="GO",Eingaben!$B$11,IF(F659="STANDARD",Eingaben!$B$12,IF(AND(F659="HEAT",ISNUMBER(Eingaben!$B$13)),Eingaben!$B$13,"")))</f>
        <v>28.2744</v>
      </c>
      <c r="I659" s="6">
        <f>INDEX(Netzzeiten!$C$6:$C$29,HOUR(B659)+1)</f>
        <v>10.52</v>
      </c>
      <c r="J659" t="str">
        <f>IF(C659="","FEHLT",IF(NOT(ISNUMBER(C659)),"MESSWERT UNGUELTIG",IF(C659&lt;0,"MESSWERT UNGUELTIG",IF(H659="","TARIFPREIS FEHLT","OK"))))</f>
        <v>FEHLT</v>
      </c>
      <c r="K659" s="7">
        <f>IF(J659&lt;&gt;"OK","",C659*I659/100)</f>
        <v/>
      </c>
    </row>
    <row r="660" spans="1:11">
      <c r="A660" s="14">
        <v>46149</v>
      </c>
      <c r="B660" s="15">
        <v>0.8125</v>
      </c>
      <c r="C660" s="5">
        <f>IF('96 Werte'!CB12="","",'96 Werte'!CB12)</f>
        <v/>
      </c>
      <c r="D660" t="str">
        <f>IF(IF(Eingaben!$B$21&lt;Eingaben!$B$22,AND(B660&gt;=Eingaben!$B$21,B660&lt;Eingaben!$B$22),OR(B660&gt;=Eingaben!$B$21,B660&lt;Eingaben!$B$22)),"GO",IF(AND(ISNUMBER(Eingaben!$B$23),ISNUMBER(Eingaben!$B$24),IF(Eingaben!$B$23&lt;Eingaben!$B$24,AND(B660&gt;=Eingaben!$B$23,B660&lt;Eingaben!$B$24),OR(B660&gt;=Eingaben!$B$23,B660&lt;Eingaben!$B$24))),"HEAT","STANDARD"))</f>
        <v>STANDARD</v>
      </c>
      <c r="E660" s="9"/>
      <c r="F660" t="str">
        <f>IF(E660="",D660,E660)</f>
        <v>STANDARD</v>
      </c>
      <c r="G660" t="str">
        <f>INDEX(Netzzeiten!$B$6:$B$29,HOUR(B660)+1)</f>
        <v>HT</v>
      </c>
      <c r="H660" s="6">
        <f>IF(F660="GO",Eingaben!$B$11,IF(F660="STANDARD",Eingaben!$B$12,IF(AND(F660="HEAT",ISNUMBER(Eingaben!$B$13)),Eingaben!$B$13,"")))</f>
        <v>28.2744</v>
      </c>
      <c r="I660" s="6">
        <f>INDEX(Netzzeiten!$C$6:$C$29,HOUR(B660)+1)</f>
        <v>10.52</v>
      </c>
      <c r="J660" t="str">
        <f>IF(C660="","FEHLT",IF(NOT(ISNUMBER(C660)),"MESSWERT UNGUELTIG",IF(C660&lt;0,"MESSWERT UNGUELTIG",IF(H660="","TARIFPREIS FEHLT","OK"))))</f>
        <v>FEHLT</v>
      </c>
      <c r="K660" s="7">
        <f>IF(J660&lt;&gt;"OK","",C660*I660/100)</f>
        <v/>
      </c>
    </row>
    <row r="661" spans="1:11">
      <c r="A661" s="14">
        <v>46149</v>
      </c>
      <c r="B661" s="15">
        <v>0.8229166666666666</v>
      </c>
      <c r="C661" s="5">
        <f>IF('96 Werte'!CC12="","",'96 Werte'!CC12)</f>
        <v/>
      </c>
      <c r="D661" t="str">
        <f>IF(IF(Eingaben!$B$21&lt;Eingaben!$B$22,AND(B661&gt;=Eingaben!$B$21,B661&lt;Eingaben!$B$22),OR(B661&gt;=Eingaben!$B$21,B661&lt;Eingaben!$B$22)),"GO",IF(AND(ISNUMBER(Eingaben!$B$23),ISNUMBER(Eingaben!$B$24),IF(Eingaben!$B$23&lt;Eingaben!$B$24,AND(B661&gt;=Eingaben!$B$23,B661&lt;Eingaben!$B$24),OR(B661&gt;=Eingaben!$B$23,B661&lt;Eingaben!$B$24))),"HEAT","STANDARD"))</f>
        <v>STANDARD</v>
      </c>
      <c r="E661" s="9"/>
      <c r="F661" t="str">
        <f>IF(E661="",D661,E661)</f>
        <v>STANDARD</v>
      </c>
      <c r="G661" t="str">
        <f>INDEX(Netzzeiten!$B$6:$B$29,HOUR(B661)+1)</f>
        <v>HT</v>
      </c>
      <c r="H661" s="6">
        <f>IF(F661="GO",Eingaben!$B$11,IF(F661="STANDARD",Eingaben!$B$12,IF(AND(F661="HEAT",ISNUMBER(Eingaben!$B$13)),Eingaben!$B$13,"")))</f>
        <v>28.2744</v>
      </c>
      <c r="I661" s="6">
        <f>INDEX(Netzzeiten!$C$6:$C$29,HOUR(B661)+1)</f>
        <v>10.52</v>
      </c>
      <c r="J661" t="str">
        <f>IF(C661="","FEHLT",IF(NOT(ISNUMBER(C661)),"MESSWERT UNGUELTIG",IF(C661&lt;0,"MESSWERT UNGUELTIG",IF(H661="","TARIFPREIS FEHLT","OK"))))</f>
        <v>FEHLT</v>
      </c>
      <c r="K661" s="7">
        <f>IF(J661&lt;&gt;"OK","",C661*I661/100)</f>
        <v/>
      </c>
    </row>
    <row r="662" spans="1:11">
      <c r="A662" s="14">
        <v>46149</v>
      </c>
      <c r="B662" s="15">
        <v>0.8333333333333334</v>
      </c>
      <c r="C662" s="5">
        <f>IF('96 Werte'!CD12="","",'96 Werte'!CD12)</f>
        <v/>
      </c>
      <c r="D662" t="str">
        <f>IF(IF(Eingaben!$B$21&lt;Eingaben!$B$22,AND(B662&gt;=Eingaben!$B$21,B662&lt;Eingaben!$B$22),OR(B662&gt;=Eingaben!$B$21,B662&lt;Eingaben!$B$22)),"GO",IF(AND(ISNUMBER(Eingaben!$B$23),ISNUMBER(Eingaben!$B$24),IF(Eingaben!$B$23&lt;Eingaben!$B$24,AND(B662&gt;=Eingaben!$B$23,B662&lt;Eingaben!$B$24),OR(B662&gt;=Eingaben!$B$23,B662&lt;Eingaben!$B$24))),"HEAT","STANDARD"))</f>
        <v>STANDARD</v>
      </c>
      <c r="E662" s="9"/>
      <c r="F662" t="str">
        <f>IF(E662="",D662,E662)</f>
        <v>STANDARD</v>
      </c>
      <c r="G662" t="str">
        <f>INDEX(Netzzeiten!$B$6:$B$29,HOUR(B662)+1)</f>
        <v>HT</v>
      </c>
      <c r="H662" s="6">
        <f>IF(F662="GO",Eingaben!$B$11,IF(F662="STANDARD",Eingaben!$B$12,IF(AND(F662="HEAT",ISNUMBER(Eingaben!$B$13)),Eingaben!$B$13,"")))</f>
        <v>28.2744</v>
      </c>
      <c r="I662" s="6">
        <f>INDEX(Netzzeiten!$C$6:$C$29,HOUR(B662)+1)</f>
        <v>10.52</v>
      </c>
      <c r="J662" t="str">
        <f>IF(C662="","FEHLT",IF(NOT(ISNUMBER(C662)),"MESSWERT UNGUELTIG",IF(C662&lt;0,"MESSWERT UNGUELTIG",IF(H662="","TARIFPREIS FEHLT","OK"))))</f>
        <v>FEHLT</v>
      </c>
      <c r="K662" s="7">
        <f>IF(J662&lt;&gt;"OK","",C662*I662/100)</f>
        <v/>
      </c>
    </row>
    <row r="663" spans="1:11">
      <c r="A663" s="14">
        <v>46149</v>
      </c>
      <c r="B663" s="15">
        <v>0.84375</v>
      </c>
      <c r="C663" s="5">
        <f>IF('96 Werte'!CE12="","",'96 Werte'!CE12)</f>
        <v/>
      </c>
      <c r="D663" t="str">
        <f>IF(IF(Eingaben!$B$21&lt;Eingaben!$B$22,AND(B663&gt;=Eingaben!$B$21,B663&lt;Eingaben!$B$22),OR(B663&gt;=Eingaben!$B$21,B663&lt;Eingaben!$B$22)),"GO",IF(AND(ISNUMBER(Eingaben!$B$23),ISNUMBER(Eingaben!$B$24),IF(Eingaben!$B$23&lt;Eingaben!$B$24,AND(B663&gt;=Eingaben!$B$23,B663&lt;Eingaben!$B$24),OR(B663&gt;=Eingaben!$B$23,B663&lt;Eingaben!$B$24))),"HEAT","STANDARD"))</f>
        <v>STANDARD</v>
      </c>
      <c r="E663" s="9"/>
      <c r="F663" t="str">
        <f>IF(E663="",D663,E663)</f>
        <v>STANDARD</v>
      </c>
      <c r="G663" t="str">
        <f>INDEX(Netzzeiten!$B$6:$B$29,HOUR(B663)+1)</f>
        <v>HT</v>
      </c>
      <c r="H663" s="6">
        <f>IF(F663="GO",Eingaben!$B$11,IF(F663="STANDARD",Eingaben!$B$12,IF(AND(F663="HEAT",ISNUMBER(Eingaben!$B$13)),Eingaben!$B$13,"")))</f>
        <v>28.2744</v>
      </c>
      <c r="I663" s="6">
        <f>INDEX(Netzzeiten!$C$6:$C$29,HOUR(B663)+1)</f>
        <v>10.52</v>
      </c>
      <c r="J663" t="str">
        <f>IF(C663="","FEHLT",IF(NOT(ISNUMBER(C663)),"MESSWERT UNGUELTIG",IF(C663&lt;0,"MESSWERT UNGUELTIG",IF(H663="","TARIFPREIS FEHLT","OK"))))</f>
        <v>FEHLT</v>
      </c>
      <c r="K663" s="7">
        <f>IF(J663&lt;&gt;"OK","",C663*I663/100)</f>
        <v/>
      </c>
    </row>
    <row r="664" spans="1:11">
      <c r="A664" s="14">
        <v>46149</v>
      </c>
      <c r="B664" s="15">
        <v>0.8541666666666666</v>
      </c>
      <c r="C664" s="5">
        <f>IF('96 Werte'!CF12="","",'96 Werte'!CF12)</f>
        <v/>
      </c>
      <c r="D664" t="str">
        <f>IF(IF(Eingaben!$B$21&lt;Eingaben!$B$22,AND(B664&gt;=Eingaben!$B$21,B664&lt;Eingaben!$B$22),OR(B664&gt;=Eingaben!$B$21,B664&lt;Eingaben!$B$22)),"GO",IF(AND(ISNUMBER(Eingaben!$B$23),ISNUMBER(Eingaben!$B$24),IF(Eingaben!$B$23&lt;Eingaben!$B$24,AND(B664&gt;=Eingaben!$B$23,B664&lt;Eingaben!$B$24),OR(B664&gt;=Eingaben!$B$23,B664&lt;Eingaben!$B$24))),"HEAT","STANDARD"))</f>
        <v>STANDARD</v>
      </c>
      <c r="E664" s="9"/>
      <c r="F664" t="str">
        <f>IF(E664="",D664,E664)</f>
        <v>STANDARD</v>
      </c>
      <c r="G664" t="str">
        <f>INDEX(Netzzeiten!$B$6:$B$29,HOUR(B664)+1)</f>
        <v>HT</v>
      </c>
      <c r="H664" s="6">
        <f>IF(F664="GO",Eingaben!$B$11,IF(F664="STANDARD",Eingaben!$B$12,IF(AND(F664="HEAT",ISNUMBER(Eingaben!$B$13)),Eingaben!$B$13,"")))</f>
        <v>28.2744</v>
      </c>
      <c r="I664" s="6">
        <f>INDEX(Netzzeiten!$C$6:$C$29,HOUR(B664)+1)</f>
        <v>10.52</v>
      </c>
      <c r="J664" t="str">
        <f>IF(C664="","FEHLT",IF(NOT(ISNUMBER(C664)),"MESSWERT UNGUELTIG",IF(C664&lt;0,"MESSWERT UNGUELTIG",IF(H664="","TARIFPREIS FEHLT","OK"))))</f>
        <v>FEHLT</v>
      </c>
      <c r="K664" s="7">
        <f>IF(J664&lt;&gt;"OK","",C664*I664/100)</f>
        <v/>
      </c>
    </row>
    <row r="665" spans="1:11">
      <c r="A665" s="14">
        <v>46149</v>
      </c>
      <c r="B665" s="15">
        <v>0.8645833333333334</v>
      </c>
      <c r="C665" s="5">
        <f>IF('96 Werte'!CG12="","",'96 Werte'!CG12)</f>
        <v/>
      </c>
      <c r="D665" t="str">
        <f>IF(IF(Eingaben!$B$21&lt;Eingaben!$B$22,AND(B665&gt;=Eingaben!$B$21,B665&lt;Eingaben!$B$22),OR(B665&gt;=Eingaben!$B$21,B665&lt;Eingaben!$B$22)),"GO",IF(AND(ISNUMBER(Eingaben!$B$23),ISNUMBER(Eingaben!$B$24),IF(Eingaben!$B$23&lt;Eingaben!$B$24,AND(B665&gt;=Eingaben!$B$23,B665&lt;Eingaben!$B$24),OR(B665&gt;=Eingaben!$B$23,B665&lt;Eingaben!$B$24))),"HEAT","STANDARD"))</f>
        <v>STANDARD</v>
      </c>
      <c r="E665" s="9"/>
      <c r="F665" t="str">
        <f>IF(E665="",D665,E665)</f>
        <v>STANDARD</v>
      </c>
      <c r="G665" t="str">
        <f>INDEX(Netzzeiten!$B$6:$B$29,HOUR(B665)+1)</f>
        <v>HT</v>
      </c>
      <c r="H665" s="6">
        <f>IF(F665="GO",Eingaben!$B$11,IF(F665="STANDARD",Eingaben!$B$12,IF(AND(F665="HEAT",ISNUMBER(Eingaben!$B$13)),Eingaben!$B$13,"")))</f>
        <v>28.2744</v>
      </c>
      <c r="I665" s="6">
        <f>INDEX(Netzzeiten!$C$6:$C$29,HOUR(B665)+1)</f>
        <v>10.52</v>
      </c>
      <c r="J665" t="str">
        <f>IF(C665="","FEHLT",IF(NOT(ISNUMBER(C665)),"MESSWERT UNGUELTIG",IF(C665&lt;0,"MESSWERT UNGUELTIG",IF(H665="","TARIFPREIS FEHLT","OK"))))</f>
        <v>FEHLT</v>
      </c>
      <c r="K665" s="7">
        <f>IF(J665&lt;&gt;"OK","",C665*I665/100)</f>
        <v/>
      </c>
    </row>
    <row r="666" spans="1:11">
      <c r="A666" s="14">
        <v>46149</v>
      </c>
      <c r="B666" s="15">
        <v>0.875</v>
      </c>
      <c r="C666" s="5">
        <f>IF('96 Werte'!CH12="","",'96 Werte'!CH12)</f>
        <v/>
      </c>
      <c r="D666" t="str">
        <f>IF(IF(Eingaben!$B$21&lt;Eingaben!$B$22,AND(B666&gt;=Eingaben!$B$21,B666&lt;Eingaben!$B$22),OR(B666&gt;=Eingaben!$B$21,B666&lt;Eingaben!$B$22)),"GO",IF(AND(ISNUMBER(Eingaben!$B$23),ISNUMBER(Eingaben!$B$24),IF(Eingaben!$B$23&lt;Eingaben!$B$24,AND(B666&gt;=Eingaben!$B$23,B666&lt;Eingaben!$B$24),OR(B666&gt;=Eingaben!$B$23,B666&lt;Eingaben!$B$24))),"HEAT","STANDARD"))</f>
        <v>STANDARD</v>
      </c>
      <c r="E666" s="9"/>
      <c r="F666" t="str">
        <f>IF(E666="",D666,E666)</f>
        <v>STANDARD</v>
      </c>
      <c r="G666" t="str">
        <f>INDEX(Netzzeiten!$B$6:$B$29,HOUR(B666)+1)</f>
        <v>HT</v>
      </c>
      <c r="H666" s="6">
        <f>IF(F666="GO",Eingaben!$B$11,IF(F666="STANDARD",Eingaben!$B$12,IF(AND(F666="HEAT",ISNUMBER(Eingaben!$B$13)),Eingaben!$B$13,"")))</f>
        <v>28.2744</v>
      </c>
      <c r="I666" s="6">
        <f>INDEX(Netzzeiten!$C$6:$C$29,HOUR(B666)+1)</f>
        <v>10.52</v>
      </c>
      <c r="J666" t="str">
        <f>IF(C666="","FEHLT",IF(NOT(ISNUMBER(C666)),"MESSWERT UNGUELTIG",IF(C666&lt;0,"MESSWERT UNGUELTIG",IF(H666="","TARIFPREIS FEHLT","OK"))))</f>
        <v>FEHLT</v>
      </c>
      <c r="K666" s="7">
        <f>IF(J666&lt;&gt;"OK","",C666*I666/100)</f>
        <v/>
      </c>
    </row>
    <row r="667" spans="1:11">
      <c r="A667" s="14">
        <v>46149</v>
      </c>
      <c r="B667" s="15">
        <v>0.8854166666666666</v>
      </c>
      <c r="C667" s="5">
        <f>IF('96 Werte'!CI12="","",'96 Werte'!CI12)</f>
        <v/>
      </c>
      <c r="D667" t="str">
        <f>IF(IF(Eingaben!$B$21&lt;Eingaben!$B$22,AND(B667&gt;=Eingaben!$B$21,B667&lt;Eingaben!$B$22),OR(B667&gt;=Eingaben!$B$21,B667&lt;Eingaben!$B$22)),"GO",IF(AND(ISNUMBER(Eingaben!$B$23),ISNUMBER(Eingaben!$B$24),IF(Eingaben!$B$23&lt;Eingaben!$B$24,AND(B667&gt;=Eingaben!$B$23,B667&lt;Eingaben!$B$24),OR(B667&gt;=Eingaben!$B$23,B667&lt;Eingaben!$B$24))),"HEAT","STANDARD"))</f>
        <v>STANDARD</v>
      </c>
      <c r="E667" s="9"/>
      <c r="F667" t="str">
        <f>IF(E667="",D667,E667)</f>
        <v>STANDARD</v>
      </c>
      <c r="G667" t="str">
        <f>INDEX(Netzzeiten!$B$6:$B$29,HOUR(B667)+1)</f>
        <v>HT</v>
      </c>
      <c r="H667" s="6">
        <f>IF(F667="GO",Eingaben!$B$11,IF(F667="STANDARD",Eingaben!$B$12,IF(AND(F667="HEAT",ISNUMBER(Eingaben!$B$13)),Eingaben!$B$13,"")))</f>
        <v>28.2744</v>
      </c>
      <c r="I667" s="6">
        <f>INDEX(Netzzeiten!$C$6:$C$29,HOUR(B667)+1)</f>
        <v>10.52</v>
      </c>
      <c r="J667" t="str">
        <f>IF(C667="","FEHLT",IF(NOT(ISNUMBER(C667)),"MESSWERT UNGUELTIG",IF(C667&lt;0,"MESSWERT UNGUELTIG",IF(H667="","TARIFPREIS FEHLT","OK"))))</f>
        <v>FEHLT</v>
      </c>
      <c r="K667" s="7">
        <f>IF(J667&lt;&gt;"OK","",C667*I667/100)</f>
        <v/>
      </c>
    </row>
    <row r="668" spans="1:11">
      <c r="A668" s="14">
        <v>46149</v>
      </c>
      <c r="B668" s="15">
        <v>0.8958333333333334</v>
      </c>
      <c r="C668" s="5">
        <f>IF('96 Werte'!CJ12="","",'96 Werte'!CJ12)</f>
        <v/>
      </c>
      <c r="D668" t="str">
        <f>IF(IF(Eingaben!$B$21&lt;Eingaben!$B$22,AND(B668&gt;=Eingaben!$B$21,B668&lt;Eingaben!$B$22),OR(B668&gt;=Eingaben!$B$21,B668&lt;Eingaben!$B$22)),"GO",IF(AND(ISNUMBER(Eingaben!$B$23),ISNUMBER(Eingaben!$B$24),IF(Eingaben!$B$23&lt;Eingaben!$B$24,AND(B668&gt;=Eingaben!$B$23,B668&lt;Eingaben!$B$24),OR(B668&gt;=Eingaben!$B$23,B668&lt;Eingaben!$B$24))),"HEAT","STANDARD"))</f>
        <v>STANDARD</v>
      </c>
      <c r="E668" s="9"/>
      <c r="F668" t="str">
        <f>IF(E668="",D668,E668)</f>
        <v>STANDARD</v>
      </c>
      <c r="G668" t="str">
        <f>INDEX(Netzzeiten!$B$6:$B$29,HOUR(B668)+1)</f>
        <v>HT</v>
      </c>
      <c r="H668" s="6">
        <f>IF(F668="GO",Eingaben!$B$11,IF(F668="STANDARD",Eingaben!$B$12,IF(AND(F668="HEAT",ISNUMBER(Eingaben!$B$13)),Eingaben!$B$13,"")))</f>
        <v>28.2744</v>
      </c>
      <c r="I668" s="6">
        <f>INDEX(Netzzeiten!$C$6:$C$29,HOUR(B668)+1)</f>
        <v>10.52</v>
      </c>
      <c r="J668" t="str">
        <f>IF(C668="","FEHLT",IF(NOT(ISNUMBER(C668)),"MESSWERT UNGUELTIG",IF(C668&lt;0,"MESSWERT UNGUELTIG",IF(H668="","TARIFPREIS FEHLT","OK"))))</f>
        <v>FEHLT</v>
      </c>
      <c r="K668" s="7">
        <f>IF(J668&lt;&gt;"OK","",C668*I668/100)</f>
        <v/>
      </c>
    </row>
    <row r="669" spans="1:11">
      <c r="A669" s="14">
        <v>46149</v>
      </c>
      <c r="B669" s="15">
        <v>0.90625</v>
      </c>
      <c r="C669" s="5">
        <f>IF('96 Werte'!CK12="","",'96 Werte'!CK12)</f>
        <v/>
      </c>
      <c r="D669" t="str">
        <f>IF(IF(Eingaben!$B$21&lt;Eingaben!$B$22,AND(B669&gt;=Eingaben!$B$21,B669&lt;Eingaben!$B$22),OR(B669&gt;=Eingaben!$B$21,B669&lt;Eingaben!$B$22)),"GO",IF(AND(ISNUMBER(Eingaben!$B$23),ISNUMBER(Eingaben!$B$24),IF(Eingaben!$B$23&lt;Eingaben!$B$24,AND(B669&gt;=Eingaben!$B$23,B669&lt;Eingaben!$B$24),OR(B669&gt;=Eingaben!$B$23,B669&lt;Eingaben!$B$24))),"HEAT","STANDARD"))</f>
        <v>STANDARD</v>
      </c>
      <c r="E669" s="9"/>
      <c r="F669" t="str">
        <f>IF(E669="",D669,E669)</f>
        <v>STANDARD</v>
      </c>
      <c r="G669" t="str">
        <f>INDEX(Netzzeiten!$B$6:$B$29,HOUR(B669)+1)</f>
        <v>HT</v>
      </c>
      <c r="H669" s="6">
        <f>IF(F669="GO",Eingaben!$B$11,IF(F669="STANDARD",Eingaben!$B$12,IF(AND(F669="HEAT",ISNUMBER(Eingaben!$B$13)),Eingaben!$B$13,"")))</f>
        <v>28.2744</v>
      </c>
      <c r="I669" s="6">
        <f>INDEX(Netzzeiten!$C$6:$C$29,HOUR(B669)+1)</f>
        <v>10.52</v>
      </c>
      <c r="J669" t="str">
        <f>IF(C669="","FEHLT",IF(NOT(ISNUMBER(C669)),"MESSWERT UNGUELTIG",IF(C669&lt;0,"MESSWERT UNGUELTIG",IF(H669="","TARIFPREIS FEHLT","OK"))))</f>
        <v>FEHLT</v>
      </c>
      <c r="K669" s="7">
        <f>IF(J669&lt;&gt;"OK","",C669*I669/100)</f>
        <v/>
      </c>
    </row>
    <row r="670" spans="1:11">
      <c r="A670" s="14">
        <v>46149</v>
      </c>
      <c r="B670" s="15">
        <v>0.9166666666666666</v>
      </c>
      <c r="C670" s="5">
        <f>IF('96 Werte'!CL12="","",'96 Werte'!CL12)</f>
        <v/>
      </c>
      <c r="D670" t="str">
        <f>IF(IF(Eingaben!$B$21&lt;Eingaben!$B$22,AND(B670&gt;=Eingaben!$B$21,B670&lt;Eingaben!$B$22),OR(B670&gt;=Eingaben!$B$21,B670&lt;Eingaben!$B$22)),"GO",IF(AND(ISNUMBER(Eingaben!$B$23),ISNUMBER(Eingaben!$B$24),IF(Eingaben!$B$23&lt;Eingaben!$B$24,AND(B670&gt;=Eingaben!$B$23,B670&lt;Eingaben!$B$24),OR(B670&gt;=Eingaben!$B$23,B670&lt;Eingaben!$B$24))),"HEAT","STANDARD"))</f>
        <v>STANDARD</v>
      </c>
      <c r="E670" s="9"/>
      <c r="F670" t="str">
        <f>IF(E670="",D670,E670)</f>
        <v>STANDARD</v>
      </c>
      <c r="G670" t="str">
        <f>INDEX(Netzzeiten!$B$6:$B$29,HOUR(B670)+1)</f>
        <v>ST</v>
      </c>
      <c r="H670" s="6">
        <f>IF(F670="GO",Eingaben!$B$11,IF(F670="STANDARD",Eingaben!$B$12,IF(AND(F670="HEAT",ISNUMBER(Eingaben!$B$13)),Eingaben!$B$13,"")))</f>
        <v>28.2744</v>
      </c>
      <c r="I670" s="6">
        <f>INDEX(Netzzeiten!$C$6:$C$29,HOUR(B670)+1)</f>
        <v>5.48</v>
      </c>
      <c r="J670" t="str">
        <f>IF(C670="","FEHLT",IF(NOT(ISNUMBER(C670)),"MESSWERT UNGUELTIG",IF(C670&lt;0,"MESSWERT UNGUELTIG",IF(H670="","TARIFPREIS FEHLT","OK"))))</f>
        <v>FEHLT</v>
      </c>
      <c r="K670" s="7">
        <f>IF(J670&lt;&gt;"OK","",C670*I670/100)</f>
        <v/>
      </c>
    </row>
    <row r="671" spans="1:11">
      <c r="A671" s="14">
        <v>46149</v>
      </c>
      <c r="B671" s="15">
        <v>0.9270833333333334</v>
      </c>
      <c r="C671" s="5">
        <f>IF('96 Werte'!CM12="","",'96 Werte'!CM12)</f>
        <v/>
      </c>
      <c r="D671" t="str">
        <f>IF(IF(Eingaben!$B$21&lt;Eingaben!$B$22,AND(B671&gt;=Eingaben!$B$21,B671&lt;Eingaben!$B$22),OR(B671&gt;=Eingaben!$B$21,B671&lt;Eingaben!$B$22)),"GO",IF(AND(ISNUMBER(Eingaben!$B$23),ISNUMBER(Eingaben!$B$24),IF(Eingaben!$B$23&lt;Eingaben!$B$24,AND(B671&gt;=Eingaben!$B$23,B671&lt;Eingaben!$B$24),OR(B671&gt;=Eingaben!$B$23,B671&lt;Eingaben!$B$24))),"HEAT","STANDARD"))</f>
        <v>STANDARD</v>
      </c>
      <c r="E671" s="9"/>
      <c r="F671" t="str">
        <f>IF(E671="",D671,E671)</f>
        <v>STANDARD</v>
      </c>
      <c r="G671" t="str">
        <f>INDEX(Netzzeiten!$B$6:$B$29,HOUR(B671)+1)</f>
        <v>ST</v>
      </c>
      <c r="H671" s="6">
        <f>IF(F671="GO",Eingaben!$B$11,IF(F671="STANDARD",Eingaben!$B$12,IF(AND(F671="HEAT",ISNUMBER(Eingaben!$B$13)),Eingaben!$B$13,"")))</f>
        <v>28.2744</v>
      </c>
      <c r="I671" s="6">
        <f>INDEX(Netzzeiten!$C$6:$C$29,HOUR(B671)+1)</f>
        <v>5.48</v>
      </c>
      <c r="J671" t="str">
        <f>IF(C671="","FEHLT",IF(NOT(ISNUMBER(C671)),"MESSWERT UNGUELTIG",IF(C671&lt;0,"MESSWERT UNGUELTIG",IF(H671="","TARIFPREIS FEHLT","OK"))))</f>
        <v>FEHLT</v>
      </c>
      <c r="K671" s="7">
        <f>IF(J671&lt;&gt;"OK","",C671*I671/100)</f>
        <v/>
      </c>
    </row>
    <row r="672" spans="1:11">
      <c r="A672" s="14">
        <v>46149</v>
      </c>
      <c r="B672" s="15">
        <v>0.9375</v>
      </c>
      <c r="C672" s="5">
        <f>IF('96 Werte'!CN12="","",'96 Werte'!CN12)</f>
        <v/>
      </c>
      <c r="D672" t="str">
        <f>IF(IF(Eingaben!$B$21&lt;Eingaben!$B$22,AND(B672&gt;=Eingaben!$B$21,B672&lt;Eingaben!$B$22),OR(B672&gt;=Eingaben!$B$21,B672&lt;Eingaben!$B$22)),"GO",IF(AND(ISNUMBER(Eingaben!$B$23),ISNUMBER(Eingaben!$B$24),IF(Eingaben!$B$23&lt;Eingaben!$B$24,AND(B672&gt;=Eingaben!$B$23,B672&lt;Eingaben!$B$24),OR(B672&gt;=Eingaben!$B$23,B672&lt;Eingaben!$B$24))),"HEAT","STANDARD"))</f>
        <v>STANDARD</v>
      </c>
      <c r="E672" s="9"/>
      <c r="F672" t="str">
        <f>IF(E672="",D672,E672)</f>
        <v>STANDARD</v>
      </c>
      <c r="G672" t="str">
        <f>INDEX(Netzzeiten!$B$6:$B$29,HOUR(B672)+1)</f>
        <v>ST</v>
      </c>
      <c r="H672" s="6">
        <f>IF(F672="GO",Eingaben!$B$11,IF(F672="STANDARD",Eingaben!$B$12,IF(AND(F672="HEAT",ISNUMBER(Eingaben!$B$13)),Eingaben!$B$13,"")))</f>
        <v>28.2744</v>
      </c>
      <c r="I672" s="6">
        <f>INDEX(Netzzeiten!$C$6:$C$29,HOUR(B672)+1)</f>
        <v>5.48</v>
      </c>
      <c r="J672" t="str">
        <f>IF(C672="","FEHLT",IF(NOT(ISNUMBER(C672)),"MESSWERT UNGUELTIG",IF(C672&lt;0,"MESSWERT UNGUELTIG",IF(H672="","TARIFPREIS FEHLT","OK"))))</f>
        <v>FEHLT</v>
      </c>
      <c r="K672" s="7">
        <f>IF(J672&lt;&gt;"OK","",C672*I672/100)</f>
        <v/>
      </c>
    </row>
    <row r="673" spans="1:11">
      <c r="A673" s="14">
        <v>46149</v>
      </c>
      <c r="B673" s="15">
        <v>0.9479166666666666</v>
      </c>
      <c r="C673" s="5">
        <f>IF('96 Werte'!CO12="","",'96 Werte'!CO12)</f>
        <v/>
      </c>
      <c r="D673" t="str">
        <f>IF(IF(Eingaben!$B$21&lt;Eingaben!$B$22,AND(B673&gt;=Eingaben!$B$21,B673&lt;Eingaben!$B$22),OR(B673&gt;=Eingaben!$B$21,B673&lt;Eingaben!$B$22)),"GO",IF(AND(ISNUMBER(Eingaben!$B$23),ISNUMBER(Eingaben!$B$24),IF(Eingaben!$B$23&lt;Eingaben!$B$24,AND(B673&gt;=Eingaben!$B$23,B673&lt;Eingaben!$B$24),OR(B673&gt;=Eingaben!$B$23,B673&lt;Eingaben!$B$24))),"HEAT","STANDARD"))</f>
        <v>STANDARD</v>
      </c>
      <c r="E673" s="9"/>
      <c r="F673" t="str">
        <f>IF(E673="",D673,E673)</f>
        <v>STANDARD</v>
      </c>
      <c r="G673" t="str">
        <f>INDEX(Netzzeiten!$B$6:$B$29,HOUR(B673)+1)</f>
        <v>ST</v>
      </c>
      <c r="H673" s="6">
        <f>IF(F673="GO",Eingaben!$B$11,IF(F673="STANDARD",Eingaben!$B$12,IF(AND(F673="HEAT",ISNUMBER(Eingaben!$B$13)),Eingaben!$B$13,"")))</f>
        <v>28.2744</v>
      </c>
      <c r="I673" s="6">
        <f>INDEX(Netzzeiten!$C$6:$C$29,HOUR(B673)+1)</f>
        <v>5.48</v>
      </c>
      <c r="J673" t="str">
        <f>IF(C673="","FEHLT",IF(NOT(ISNUMBER(C673)),"MESSWERT UNGUELTIG",IF(C673&lt;0,"MESSWERT UNGUELTIG",IF(H673="","TARIFPREIS FEHLT","OK"))))</f>
        <v>FEHLT</v>
      </c>
      <c r="K673" s="7">
        <f>IF(J673&lt;&gt;"OK","",C673*I673/100)</f>
        <v/>
      </c>
    </row>
    <row r="674" spans="1:11">
      <c r="A674" s="14">
        <v>46149</v>
      </c>
      <c r="B674" s="15">
        <v>0.9583333333333334</v>
      </c>
      <c r="C674" s="5">
        <f>IF('96 Werte'!CP12="","",'96 Werte'!CP12)</f>
        <v/>
      </c>
      <c r="D674" t="str">
        <f>IF(IF(Eingaben!$B$21&lt;Eingaben!$B$22,AND(B674&gt;=Eingaben!$B$21,B674&lt;Eingaben!$B$22),OR(B674&gt;=Eingaben!$B$21,B674&lt;Eingaben!$B$22)),"GO",IF(AND(ISNUMBER(Eingaben!$B$23),ISNUMBER(Eingaben!$B$24),IF(Eingaben!$B$23&lt;Eingaben!$B$24,AND(B674&gt;=Eingaben!$B$23,B674&lt;Eingaben!$B$24),OR(B674&gt;=Eingaben!$B$23,B674&lt;Eingaben!$B$24))),"HEAT","STANDARD"))</f>
        <v>STANDARD</v>
      </c>
      <c r="E674" s="9"/>
      <c r="F674" t="str">
        <f>IF(E674="",D674,E674)</f>
        <v>STANDARD</v>
      </c>
      <c r="G674" t="str">
        <f>INDEX(Netzzeiten!$B$6:$B$29,HOUR(B674)+1)</f>
        <v>NT</v>
      </c>
      <c r="H674" s="6">
        <f>IF(F674="GO",Eingaben!$B$11,IF(F674="STANDARD",Eingaben!$B$12,IF(AND(F674="HEAT",ISNUMBER(Eingaben!$B$13)),Eingaben!$B$13,"")))</f>
        <v>28.2744</v>
      </c>
      <c r="I674" s="6">
        <f>INDEX(Netzzeiten!$C$6:$C$29,HOUR(B674)+1)</f>
        <v>1.64</v>
      </c>
      <c r="J674" t="str">
        <f>IF(C674="","FEHLT",IF(NOT(ISNUMBER(C674)),"MESSWERT UNGUELTIG",IF(C674&lt;0,"MESSWERT UNGUELTIG",IF(H674="","TARIFPREIS FEHLT","OK"))))</f>
        <v>FEHLT</v>
      </c>
      <c r="K674" s="7">
        <f>IF(J674&lt;&gt;"OK","",C674*I674/100)</f>
        <v/>
      </c>
    </row>
    <row r="675" spans="1:11">
      <c r="A675" s="14">
        <v>46149</v>
      </c>
      <c r="B675" s="15">
        <v>0.96875</v>
      </c>
      <c r="C675" s="5">
        <f>IF('96 Werte'!CQ12="","",'96 Werte'!CQ12)</f>
        <v/>
      </c>
      <c r="D675" t="str">
        <f>IF(IF(Eingaben!$B$21&lt;Eingaben!$B$22,AND(B675&gt;=Eingaben!$B$21,B675&lt;Eingaben!$B$22),OR(B675&gt;=Eingaben!$B$21,B675&lt;Eingaben!$B$22)),"GO",IF(AND(ISNUMBER(Eingaben!$B$23),ISNUMBER(Eingaben!$B$24),IF(Eingaben!$B$23&lt;Eingaben!$B$24,AND(B675&gt;=Eingaben!$B$23,B675&lt;Eingaben!$B$24),OR(B675&gt;=Eingaben!$B$23,B675&lt;Eingaben!$B$24))),"HEAT","STANDARD"))</f>
        <v>STANDARD</v>
      </c>
      <c r="E675" s="9"/>
      <c r="F675" t="str">
        <f>IF(E675="",D675,E675)</f>
        <v>STANDARD</v>
      </c>
      <c r="G675" t="str">
        <f>INDEX(Netzzeiten!$B$6:$B$29,HOUR(B675)+1)</f>
        <v>NT</v>
      </c>
      <c r="H675" s="6">
        <f>IF(F675="GO",Eingaben!$B$11,IF(F675="STANDARD",Eingaben!$B$12,IF(AND(F675="HEAT",ISNUMBER(Eingaben!$B$13)),Eingaben!$B$13,"")))</f>
        <v>28.2744</v>
      </c>
      <c r="I675" s="6">
        <f>INDEX(Netzzeiten!$C$6:$C$29,HOUR(B675)+1)</f>
        <v>1.64</v>
      </c>
      <c r="J675" t="str">
        <f>IF(C675="","FEHLT",IF(NOT(ISNUMBER(C675)),"MESSWERT UNGUELTIG",IF(C675&lt;0,"MESSWERT UNGUELTIG",IF(H675="","TARIFPREIS FEHLT","OK"))))</f>
        <v>FEHLT</v>
      </c>
      <c r="K675" s="7">
        <f>IF(J675&lt;&gt;"OK","",C675*I675/100)</f>
        <v/>
      </c>
    </row>
    <row r="676" spans="1:11">
      <c r="A676" s="14">
        <v>46149</v>
      </c>
      <c r="B676" s="15">
        <v>0.9791666666666666</v>
      </c>
      <c r="C676" s="5">
        <f>IF('96 Werte'!CR12="","",'96 Werte'!CR12)</f>
        <v/>
      </c>
      <c r="D676" t="str">
        <f>IF(IF(Eingaben!$B$21&lt;Eingaben!$B$22,AND(B676&gt;=Eingaben!$B$21,B676&lt;Eingaben!$B$22),OR(B676&gt;=Eingaben!$B$21,B676&lt;Eingaben!$B$22)),"GO",IF(AND(ISNUMBER(Eingaben!$B$23),ISNUMBER(Eingaben!$B$24),IF(Eingaben!$B$23&lt;Eingaben!$B$24,AND(B676&gt;=Eingaben!$B$23,B676&lt;Eingaben!$B$24),OR(B676&gt;=Eingaben!$B$23,B676&lt;Eingaben!$B$24))),"HEAT","STANDARD"))</f>
        <v>STANDARD</v>
      </c>
      <c r="E676" s="9"/>
      <c r="F676" t="str">
        <f>IF(E676="",D676,E676)</f>
        <v>STANDARD</v>
      </c>
      <c r="G676" t="str">
        <f>INDEX(Netzzeiten!$B$6:$B$29,HOUR(B676)+1)</f>
        <v>NT</v>
      </c>
      <c r="H676" s="6">
        <f>IF(F676="GO",Eingaben!$B$11,IF(F676="STANDARD",Eingaben!$B$12,IF(AND(F676="HEAT",ISNUMBER(Eingaben!$B$13)),Eingaben!$B$13,"")))</f>
        <v>28.2744</v>
      </c>
      <c r="I676" s="6">
        <f>INDEX(Netzzeiten!$C$6:$C$29,HOUR(B676)+1)</f>
        <v>1.64</v>
      </c>
      <c r="J676" t="str">
        <f>IF(C676="","FEHLT",IF(NOT(ISNUMBER(C676)),"MESSWERT UNGUELTIG",IF(C676&lt;0,"MESSWERT UNGUELTIG",IF(H676="","TARIFPREIS FEHLT","OK"))))</f>
        <v>FEHLT</v>
      </c>
      <c r="K676" s="7">
        <f>IF(J676&lt;&gt;"OK","",C676*I676/100)</f>
        <v/>
      </c>
    </row>
    <row r="677" spans="1:11">
      <c r="A677" s="14">
        <v>46149</v>
      </c>
      <c r="B677" s="15">
        <v>0.9895833333333334</v>
      </c>
      <c r="C677" s="5">
        <f>IF('96 Werte'!CS12="","",'96 Werte'!CS12)</f>
        <v/>
      </c>
      <c r="D677" t="str">
        <f>IF(IF(Eingaben!$B$21&lt;Eingaben!$B$22,AND(B677&gt;=Eingaben!$B$21,B677&lt;Eingaben!$B$22),OR(B677&gt;=Eingaben!$B$21,B677&lt;Eingaben!$B$22)),"GO",IF(AND(ISNUMBER(Eingaben!$B$23),ISNUMBER(Eingaben!$B$24),IF(Eingaben!$B$23&lt;Eingaben!$B$24,AND(B677&gt;=Eingaben!$B$23,B677&lt;Eingaben!$B$24),OR(B677&gt;=Eingaben!$B$23,B677&lt;Eingaben!$B$24))),"HEAT","STANDARD"))</f>
        <v>STANDARD</v>
      </c>
      <c r="E677" s="9"/>
      <c r="F677" t="str">
        <f>IF(E677="",D677,E677)</f>
        <v>STANDARD</v>
      </c>
      <c r="G677" t="str">
        <f>INDEX(Netzzeiten!$B$6:$B$29,HOUR(B677)+1)</f>
        <v>NT</v>
      </c>
      <c r="H677" s="6">
        <f>IF(F677="GO",Eingaben!$B$11,IF(F677="STANDARD",Eingaben!$B$12,IF(AND(F677="HEAT",ISNUMBER(Eingaben!$B$13)),Eingaben!$B$13,"")))</f>
        <v>28.2744</v>
      </c>
      <c r="I677" s="6">
        <f>INDEX(Netzzeiten!$C$6:$C$29,HOUR(B677)+1)</f>
        <v>1.64</v>
      </c>
      <c r="J677" t="str">
        <f>IF(C677="","FEHLT",IF(NOT(ISNUMBER(C677)),"MESSWERT UNGUELTIG",IF(C677&lt;0,"MESSWERT UNGUELTIG",IF(H677="","TARIFPREIS FEHLT","OK"))))</f>
        <v>FEHLT</v>
      </c>
      <c r="K677" s="7">
        <f>IF(J677&lt;&gt;"OK","",C677*I677/100)</f>
        <v/>
      </c>
    </row>
    <row r="678" spans="1:11">
      <c r="A678" s="14">
        <v>46150</v>
      </c>
      <c r="B678" s="15">
        <v>0</v>
      </c>
      <c r="C678" s="5">
        <f>IF('96 Werte'!B13="","",'96 Werte'!B13)</f>
        <v/>
      </c>
      <c r="D678" t="str">
        <f>IF(IF(Eingaben!$B$21&lt;Eingaben!$B$22,AND(B678&gt;=Eingaben!$B$21,B678&lt;Eingaben!$B$22),OR(B678&gt;=Eingaben!$B$21,B678&lt;Eingaben!$B$22)),"GO",IF(AND(ISNUMBER(Eingaben!$B$23),ISNUMBER(Eingaben!$B$24),IF(Eingaben!$B$23&lt;Eingaben!$B$24,AND(B678&gt;=Eingaben!$B$23,B678&lt;Eingaben!$B$24),OR(B678&gt;=Eingaben!$B$23,B678&lt;Eingaben!$B$24))),"HEAT","STANDARD"))</f>
        <v>GO</v>
      </c>
      <c r="E678" s="9"/>
      <c r="F678" t="str">
        <f>IF(E678="",D678,E678)</f>
        <v>GO</v>
      </c>
      <c r="G678" t="str">
        <f>INDEX(Netzzeiten!$B$6:$B$29,HOUR(B678)+1)</f>
        <v>NT</v>
      </c>
      <c r="H678" s="6">
        <f>IF(F678="GO",Eingaben!$B$11,IF(F678="STANDARD",Eingaben!$B$12,IF(AND(F678="HEAT",ISNUMBER(Eingaben!$B$13)),Eingaben!$B$13,"")))</f>
        <v>15.0654</v>
      </c>
      <c r="I678" s="6">
        <f>INDEX(Netzzeiten!$C$6:$C$29,HOUR(B678)+1)</f>
        <v>1.64</v>
      </c>
      <c r="J678" t="str">
        <f>IF(C678="","FEHLT",IF(NOT(ISNUMBER(C678)),"MESSWERT UNGUELTIG",IF(C678&lt;0,"MESSWERT UNGUELTIG",IF(H678="","TARIFPREIS FEHLT","OK"))))</f>
        <v>FEHLT</v>
      </c>
      <c r="K678" s="7">
        <f>IF(J678&lt;&gt;"OK","",C678*I678/100)</f>
        <v/>
      </c>
    </row>
    <row r="679" spans="1:11">
      <c r="A679" s="14">
        <v>46150</v>
      </c>
      <c r="B679" s="15">
        <v>0.01041666666666667</v>
      </c>
      <c r="C679" s="5">
        <f>IF('96 Werte'!C13="","",'96 Werte'!C13)</f>
        <v/>
      </c>
      <c r="D679" t="str">
        <f>IF(IF(Eingaben!$B$21&lt;Eingaben!$B$22,AND(B679&gt;=Eingaben!$B$21,B679&lt;Eingaben!$B$22),OR(B679&gt;=Eingaben!$B$21,B679&lt;Eingaben!$B$22)),"GO",IF(AND(ISNUMBER(Eingaben!$B$23),ISNUMBER(Eingaben!$B$24),IF(Eingaben!$B$23&lt;Eingaben!$B$24,AND(B679&gt;=Eingaben!$B$23,B679&lt;Eingaben!$B$24),OR(B679&gt;=Eingaben!$B$23,B679&lt;Eingaben!$B$24))),"HEAT","STANDARD"))</f>
        <v>GO</v>
      </c>
      <c r="E679" s="9"/>
      <c r="F679" t="str">
        <f>IF(E679="",D679,E679)</f>
        <v>GO</v>
      </c>
      <c r="G679" t="str">
        <f>INDEX(Netzzeiten!$B$6:$B$29,HOUR(B679)+1)</f>
        <v>NT</v>
      </c>
      <c r="H679" s="6">
        <f>IF(F679="GO",Eingaben!$B$11,IF(F679="STANDARD",Eingaben!$B$12,IF(AND(F679="HEAT",ISNUMBER(Eingaben!$B$13)),Eingaben!$B$13,"")))</f>
        <v>15.0654</v>
      </c>
      <c r="I679" s="6">
        <f>INDEX(Netzzeiten!$C$6:$C$29,HOUR(B679)+1)</f>
        <v>1.64</v>
      </c>
      <c r="J679" t="str">
        <f>IF(C679="","FEHLT",IF(NOT(ISNUMBER(C679)),"MESSWERT UNGUELTIG",IF(C679&lt;0,"MESSWERT UNGUELTIG",IF(H679="","TARIFPREIS FEHLT","OK"))))</f>
        <v>FEHLT</v>
      </c>
      <c r="K679" s="7">
        <f>IF(J679&lt;&gt;"OK","",C679*I679/100)</f>
        <v/>
      </c>
    </row>
    <row r="680" spans="1:11">
      <c r="A680" s="14">
        <v>46150</v>
      </c>
      <c r="B680" s="15">
        <v>0.02083333333333333</v>
      </c>
      <c r="C680" s="5">
        <f>IF('96 Werte'!D13="","",'96 Werte'!D13)</f>
        <v/>
      </c>
      <c r="D680" t="str">
        <f>IF(IF(Eingaben!$B$21&lt;Eingaben!$B$22,AND(B680&gt;=Eingaben!$B$21,B680&lt;Eingaben!$B$22),OR(B680&gt;=Eingaben!$B$21,B680&lt;Eingaben!$B$22)),"GO",IF(AND(ISNUMBER(Eingaben!$B$23),ISNUMBER(Eingaben!$B$24),IF(Eingaben!$B$23&lt;Eingaben!$B$24,AND(B680&gt;=Eingaben!$B$23,B680&lt;Eingaben!$B$24),OR(B680&gt;=Eingaben!$B$23,B680&lt;Eingaben!$B$24))),"HEAT","STANDARD"))</f>
        <v>GO</v>
      </c>
      <c r="E680" s="9"/>
      <c r="F680" t="str">
        <f>IF(E680="",D680,E680)</f>
        <v>GO</v>
      </c>
      <c r="G680" t="str">
        <f>INDEX(Netzzeiten!$B$6:$B$29,HOUR(B680)+1)</f>
        <v>NT</v>
      </c>
      <c r="H680" s="6">
        <f>IF(F680="GO",Eingaben!$B$11,IF(F680="STANDARD",Eingaben!$B$12,IF(AND(F680="HEAT",ISNUMBER(Eingaben!$B$13)),Eingaben!$B$13,"")))</f>
        <v>15.0654</v>
      </c>
      <c r="I680" s="6">
        <f>INDEX(Netzzeiten!$C$6:$C$29,HOUR(B680)+1)</f>
        <v>1.64</v>
      </c>
      <c r="J680" t="str">
        <f>IF(C680="","FEHLT",IF(NOT(ISNUMBER(C680)),"MESSWERT UNGUELTIG",IF(C680&lt;0,"MESSWERT UNGUELTIG",IF(H680="","TARIFPREIS FEHLT","OK"))))</f>
        <v>FEHLT</v>
      </c>
      <c r="K680" s="7">
        <f>IF(J680&lt;&gt;"OK","",C680*I680/100)</f>
        <v/>
      </c>
    </row>
    <row r="681" spans="1:11">
      <c r="A681" s="14">
        <v>46150</v>
      </c>
      <c r="B681" s="15">
        <v>0.03125</v>
      </c>
      <c r="C681" s="5">
        <f>IF('96 Werte'!E13="","",'96 Werte'!E13)</f>
        <v/>
      </c>
      <c r="D681" t="str">
        <f>IF(IF(Eingaben!$B$21&lt;Eingaben!$B$22,AND(B681&gt;=Eingaben!$B$21,B681&lt;Eingaben!$B$22),OR(B681&gt;=Eingaben!$B$21,B681&lt;Eingaben!$B$22)),"GO",IF(AND(ISNUMBER(Eingaben!$B$23),ISNUMBER(Eingaben!$B$24),IF(Eingaben!$B$23&lt;Eingaben!$B$24,AND(B681&gt;=Eingaben!$B$23,B681&lt;Eingaben!$B$24),OR(B681&gt;=Eingaben!$B$23,B681&lt;Eingaben!$B$24))),"HEAT","STANDARD"))</f>
        <v>GO</v>
      </c>
      <c r="E681" s="9"/>
      <c r="F681" t="str">
        <f>IF(E681="",D681,E681)</f>
        <v>GO</v>
      </c>
      <c r="G681" t="str">
        <f>INDEX(Netzzeiten!$B$6:$B$29,HOUR(B681)+1)</f>
        <v>NT</v>
      </c>
      <c r="H681" s="6">
        <f>IF(F681="GO",Eingaben!$B$11,IF(F681="STANDARD",Eingaben!$B$12,IF(AND(F681="HEAT",ISNUMBER(Eingaben!$B$13)),Eingaben!$B$13,"")))</f>
        <v>15.0654</v>
      </c>
      <c r="I681" s="6">
        <f>INDEX(Netzzeiten!$C$6:$C$29,HOUR(B681)+1)</f>
        <v>1.64</v>
      </c>
      <c r="J681" t="str">
        <f>IF(C681="","FEHLT",IF(NOT(ISNUMBER(C681)),"MESSWERT UNGUELTIG",IF(C681&lt;0,"MESSWERT UNGUELTIG",IF(H681="","TARIFPREIS FEHLT","OK"))))</f>
        <v>FEHLT</v>
      </c>
      <c r="K681" s="7">
        <f>IF(J681&lt;&gt;"OK","",C681*I681/100)</f>
        <v/>
      </c>
    </row>
    <row r="682" spans="1:11">
      <c r="A682" s="14">
        <v>46150</v>
      </c>
      <c r="B682" s="15">
        <v>0.04166666666666666</v>
      </c>
      <c r="C682" s="5">
        <f>IF('96 Werte'!F13="","",'96 Werte'!F13)</f>
        <v/>
      </c>
      <c r="D682" t="str">
        <f>IF(IF(Eingaben!$B$21&lt;Eingaben!$B$22,AND(B682&gt;=Eingaben!$B$21,B682&lt;Eingaben!$B$22),OR(B682&gt;=Eingaben!$B$21,B682&lt;Eingaben!$B$22)),"GO",IF(AND(ISNUMBER(Eingaben!$B$23),ISNUMBER(Eingaben!$B$24),IF(Eingaben!$B$23&lt;Eingaben!$B$24,AND(B682&gt;=Eingaben!$B$23,B682&lt;Eingaben!$B$24),OR(B682&gt;=Eingaben!$B$23,B682&lt;Eingaben!$B$24))),"HEAT","STANDARD"))</f>
        <v>GO</v>
      </c>
      <c r="E682" s="9"/>
      <c r="F682" t="str">
        <f>IF(E682="",D682,E682)</f>
        <v>GO</v>
      </c>
      <c r="G682" t="str">
        <f>INDEX(Netzzeiten!$B$6:$B$29,HOUR(B682)+1)</f>
        <v>NT</v>
      </c>
      <c r="H682" s="6">
        <f>IF(F682="GO",Eingaben!$B$11,IF(F682="STANDARD",Eingaben!$B$12,IF(AND(F682="HEAT",ISNUMBER(Eingaben!$B$13)),Eingaben!$B$13,"")))</f>
        <v>15.0654</v>
      </c>
      <c r="I682" s="6">
        <f>INDEX(Netzzeiten!$C$6:$C$29,HOUR(B682)+1)</f>
        <v>1.64</v>
      </c>
      <c r="J682" t="str">
        <f>IF(C682="","FEHLT",IF(NOT(ISNUMBER(C682)),"MESSWERT UNGUELTIG",IF(C682&lt;0,"MESSWERT UNGUELTIG",IF(H682="","TARIFPREIS FEHLT","OK"))))</f>
        <v>FEHLT</v>
      </c>
      <c r="K682" s="7">
        <f>IF(J682&lt;&gt;"OK","",C682*I682/100)</f>
        <v/>
      </c>
    </row>
    <row r="683" spans="1:11">
      <c r="A683" s="14">
        <v>46150</v>
      </c>
      <c r="B683" s="15">
        <v>0.05208333333333334</v>
      </c>
      <c r="C683" s="5">
        <f>IF('96 Werte'!G13="","",'96 Werte'!G13)</f>
        <v/>
      </c>
      <c r="D683" t="str">
        <f>IF(IF(Eingaben!$B$21&lt;Eingaben!$B$22,AND(B683&gt;=Eingaben!$B$21,B683&lt;Eingaben!$B$22),OR(B683&gt;=Eingaben!$B$21,B683&lt;Eingaben!$B$22)),"GO",IF(AND(ISNUMBER(Eingaben!$B$23),ISNUMBER(Eingaben!$B$24),IF(Eingaben!$B$23&lt;Eingaben!$B$24,AND(B683&gt;=Eingaben!$B$23,B683&lt;Eingaben!$B$24),OR(B683&gt;=Eingaben!$B$23,B683&lt;Eingaben!$B$24))),"HEAT","STANDARD"))</f>
        <v>GO</v>
      </c>
      <c r="E683" s="9"/>
      <c r="F683" t="str">
        <f>IF(E683="",D683,E683)</f>
        <v>GO</v>
      </c>
      <c r="G683" t="str">
        <f>INDEX(Netzzeiten!$B$6:$B$29,HOUR(B683)+1)</f>
        <v>NT</v>
      </c>
      <c r="H683" s="6">
        <f>IF(F683="GO",Eingaben!$B$11,IF(F683="STANDARD",Eingaben!$B$12,IF(AND(F683="HEAT",ISNUMBER(Eingaben!$B$13)),Eingaben!$B$13,"")))</f>
        <v>15.0654</v>
      </c>
      <c r="I683" s="6">
        <f>INDEX(Netzzeiten!$C$6:$C$29,HOUR(B683)+1)</f>
        <v>1.64</v>
      </c>
      <c r="J683" t="str">
        <f>IF(C683="","FEHLT",IF(NOT(ISNUMBER(C683)),"MESSWERT UNGUELTIG",IF(C683&lt;0,"MESSWERT UNGUELTIG",IF(H683="","TARIFPREIS FEHLT","OK"))))</f>
        <v>FEHLT</v>
      </c>
      <c r="K683" s="7">
        <f>IF(J683&lt;&gt;"OK","",C683*I683/100)</f>
        <v/>
      </c>
    </row>
    <row r="684" spans="1:11">
      <c r="A684" s="14">
        <v>46150</v>
      </c>
      <c r="B684" s="15">
        <v>0.0625</v>
      </c>
      <c r="C684" s="5">
        <f>IF('96 Werte'!H13="","",'96 Werte'!H13)</f>
        <v/>
      </c>
      <c r="D684" t="str">
        <f>IF(IF(Eingaben!$B$21&lt;Eingaben!$B$22,AND(B684&gt;=Eingaben!$B$21,B684&lt;Eingaben!$B$22),OR(B684&gt;=Eingaben!$B$21,B684&lt;Eingaben!$B$22)),"GO",IF(AND(ISNUMBER(Eingaben!$B$23),ISNUMBER(Eingaben!$B$24),IF(Eingaben!$B$23&lt;Eingaben!$B$24,AND(B684&gt;=Eingaben!$B$23,B684&lt;Eingaben!$B$24),OR(B684&gt;=Eingaben!$B$23,B684&lt;Eingaben!$B$24))),"HEAT","STANDARD"))</f>
        <v>GO</v>
      </c>
      <c r="E684" s="9"/>
      <c r="F684" t="str">
        <f>IF(E684="",D684,E684)</f>
        <v>GO</v>
      </c>
      <c r="G684" t="str">
        <f>INDEX(Netzzeiten!$B$6:$B$29,HOUR(B684)+1)</f>
        <v>NT</v>
      </c>
      <c r="H684" s="6">
        <f>IF(F684="GO",Eingaben!$B$11,IF(F684="STANDARD",Eingaben!$B$12,IF(AND(F684="HEAT",ISNUMBER(Eingaben!$B$13)),Eingaben!$B$13,"")))</f>
        <v>15.0654</v>
      </c>
      <c r="I684" s="6">
        <f>INDEX(Netzzeiten!$C$6:$C$29,HOUR(B684)+1)</f>
        <v>1.64</v>
      </c>
      <c r="J684" t="str">
        <f>IF(C684="","FEHLT",IF(NOT(ISNUMBER(C684)),"MESSWERT UNGUELTIG",IF(C684&lt;0,"MESSWERT UNGUELTIG",IF(H684="","TARIFPREIS FEHLT","OK"))))</f>
        <v>FEHLT</v>
      </c>
      <c r="K684" s="7">
        <f>IF(J684&lt;&gt;"OK","",C684*I684/100)</f>
        <v/>
      </c>
    </row>
    <row r="685" spans="1:11">
      <c r="A685" s="14">
        <v>46150</v>
      </c>
      <c r="B685" s="15">
        <v>0.07291666666666667</v>
      </c>
      <c r="C685" s="5">
        <f>IF('96 Werte'!I13="","",'96 Werte'!I13)</f>
        <v/>
      </c>
      <c r="D685" t="str">
        <f>IF(IF(Eingaben!$B$21&lt;Eingaben!$B$22,AND(B685&gt;=Eingaben!$B$21,B685&lt;Eingaben!$B$22),OR(B685&gt;=Eingaben!$B$21,B685&lt;Eingaben!$B$22)),"GO",IF(AND(ISNUMBER(Eingaben!$B$23),ISNUMBER(Eingaben!$B$24),IF(Eingaben!$B$23&lt;Eingaben!$B$24,AND(B685&gt;=Eingaben!$B$23,B685&lt;Eingaben!$B$24),OR(B685&gt;=Eingaben!$B$23,B685&lt;Eingaben!$B$24))),"HEAT","STANDARD"))</f>
        <v>GO</v>
      </c>
      <c r="E685" s="9"/>
      <c r="F685" t="str">
        <f>IF(E685="",D685,E685)</f>
        <v>GO</v>
      </c>
      <c r="G685" t="str">
        <f>INDEX(Netzzeiten!$B$6:$B$29,HOUR(B685)+1)</f>
        <v>NT</v>
      </c>
      <c r="H685" s="6">
        <f>IF(F685="GO",Eingaben!$B$11,IF(F685="STANDARD",Eingaben!$B$12,IF(AND(F685="HEAT",ISNUMBER(Eingaben!$B$13)),Eingaben!$B$13,"")))</f>
        <v>15.0654</v>
      </c>
      <c r="I685" s="6">
        <f>INDEX(Netzzeiten!$C$6:$C$29,HOUR(B685)+1)</f>
        <v>1.64</v>
      </c>
      <c r="J685" t="str">
        <f>IF(C685="","FEHLT",IF(NOT(ISNUMBER(C685)),"MESSWERT UNGUELTIG",IF(C685&lt;0,"MESSWERT UNGUELTIG",IF(H685="","TARIFPREIS FEHLT","OK"))))</f>
        <v>FEHLT</v>
      </c>
      <c r="K685" s="7">
        <f>IF(J685&lt;&gt;"OK","",C685*I685/100)</f>
        <v/>
      </c>
    </row>
    <row r="686" spans="1:11">
      <c r="A686" s="14">
        <v>46150</v>
      </c>
      <c r="B686" s="15">
        <v>0.08333333333333333</v>
      </c>
      <c r="C686" s="5">
        <f>IF('96 Werte'!J13="","",'96 Werte'!J13)</f>
        <v/>
      </c>
      <c r="D686" t="str">
        <f>IF(IF(Eingaben!$B$21&lt;Eingaben!$B$22,AND(B686&gt;=Eingaben!$B$21,B686&lt;Eingaben!$B$22),OR(B686&gt;=Eingaben!$B$21,B686&lt;Eingaben!$B$22)),"GO",IF(AND(ISNUMBER(Eingaben!$B$23),ISNUMBER(Eingaben!$B$24),IF(Eingaben!$B$23&lt;Eingaben!$B$24,AND(B686&gt;=Eingaben!$B$23,B686&lt;Eingaben!$B$24),OR(B686&gt;=Eingaben!$B$23,B686&lt;Eingaben!$B$24))),"HEAT","STANDARD"))</f>
        <v>GO</v>
      </c>
      <c r="E686" s="9"/>
      <c r="F686" t="str">
        <f>IF(E686="",D686,E686)</f>
        <v>GO</v>
      </c>
      <c r="G686" t="str">
        <f>INDEX(Netzzeiten!$B$6:$B$29,HOUR(B686)+1)</f>
        <v>NT</v>
      </c>
      <c r="H686" s="6">
        <f>IF(F686="GO",Eingaben!$B$11,IF(F686="STANDARD",Eingaben!$B$12,IF(AND(F686="HEAT",ISNUMBER(Eingaben!$B$13)),Eingaben!$B$13,"")))</f>
        <v>15.0654</v>
      </c>
      <c r="I686" s="6">
        <f>INDEX(Netzzeiten!$C$6:$C$29,HOUR(B686)+1)</f>
        <v>1.64</v>
      </c>
      <c r="J686" t="str">
        <f>IF(C686="","FEHLT",IF(NOT(ISNUMBER(C686)),"MESSWERT UNGUELTIG",IF(C686&lt;0,"MESSWERT UNGUELTIG",IF(H686="","TARIFPREIS FEHLT","OK"))))</f>
        <v>FEHLT</v>
      </c>
      <c r="K686" s="7">
        <f>IF(J686&lt;&gt;"OK","",C686*I686/100)</f>
        <v/>
      </c>
    </row>
    <row r="687" spans="1:11">
      <c r="A687" s="14">
        <v>46150</v>
      </c>
      <c r="B687" s="15">
        <v>0.09375</v>
      </c>
      <c r="C687" s="5">
        <f>IF('96 Werte'!K13="","",'96 Werte'!K13)</f>
        <v/>
      </c>
      <c r="D687" t="str">
        <f>IF(IF(Eingaben!$B$21&lt;Eingaben!$B$22,AND(B687&gt;=Eingaben!$B$21,B687&lt;Eingaben!$B$22),OR(B687&gt;=Eingaben!$B$21,B687&lt;Eingaben!$B$22)),"GO",IF(AND(ISNUMBER(Eingaben!$B$23),ISNUMBER(Eingaben!$B$24),IF(Eingaben!$B$23&lt;Eingaben!$B$24,AND(B687&gt;=Eingaben!$B$23,B687&lt;Eingaben!$B$24),OR(B687&gt;=Eingaben!$B$23,B687&lt;Eingaben!$B$24))),"HEAT","STANDARD"))</f>
        <v>GO</v>
      </c>
      <c r="E687" s="9"/>
      <c r="F687" t="str">
        <f>IF(E687="",D687,E687)</f>
        <v>GO</v>
      </c>
      <c r="G687" t="str">
        <f>INDEX(Netzzeiten!$B$6:$B$29,HOUR(B687)+1)</f>
        <v>NT</v>
      </c>
      <c r="H687" s="6">
        <f>IF(F687="GO",Eingaben!$B$11,IF(F687="STANDARD",Eingaben!$B$12,IF(AND(F687="HEAT",ISNUMBER(Eingaben!$B$13)),Eingaben!$B$13,"")))</f>
        <v>15.0654</v>
      </c>
      <c r="I687" s="6">
        <f>INDEX(Netzzeiten!$C$6:$C$29,HOUR(B687)+1)</f>
        <v>1.64</v>
      </c>
      <c r="J687" t="str">
        <f>IF(C687="","FEHLT",IF(NOT(ISNUMBER(C687)),"MESSWERT UNGUELTIG",IF(C687&lt;0,"MESSWERT UNGUELTIG",IF(H687="","TARIFPREIS FEHLT","OK"))))</f>
        <v>FEHLT</v>
      </c>
      <c r="K687" s="7">
        <f>IF(J687&lt;&gt;"OK","",C687*I687/100)</f>
        <v/>
      </c>
    </row>
    <row r="688" spans="1:11">
      <c r="A688" s="14">
        <v>46150</v>
      </c>
      <c r="B688" s="15">
        <v>0.1041666666666667</v>
      </c>
      <c r="C688" s="5">
        <f>IF('96 Werte'!L13="","",'96 Werte'!L13)</f>
        <v/>
      </c>
      <c r="D688" t="str">
        <f>IF(IF(Eingaben!$B$21&lt;Eingaben!$B$22,AND(B688&gt;=Eingaben!$B$21,B688&lt;Eingaben!$B$22),OR(B688&gt;=Eingaben!$B$21,B688&lt;Eingaben!$B$22)),"GO",IF(AND(ISNUMBER(Eingaben!$B$23),ISNUMBER(Eingaben!$B$24),IF(Eingaben!$B$23&lt;Eingaben!$B$24,AND(B688&gt;=Eingaben!$B$23,B688&lt;Eingaben!$B$24),OR(B688&gt;=Eingaben!$B$23,B688&lt;Eingaben!$B$24))),"HEAT","STANDARD"))</f>
        <v>GO</v>
      </c>
      <c r="E688" s="9"/>
      <c r="F688" t="str">
        <f>IF(E688="",D688,E688)</f>
        <v>GO</v>
      </c>
      <c r="G688" t="str">
        <f>INDEX(Netzzeiten!$B$6:$B$29,HOUR(B688)+1)</f>
        <v>NT</v>
      </c>
      <c r="H688" s="6">
        <f>IF(F688="GO",Eingaben!$B$11,IF(F688="STANDARD",Eingaben!$B$12,IF(AND(F688="HEAT",ISNUMBER(Eingaben!$B$13)),Eingaben!$B$13,"")))</f>
        <v>15.0654</v>
      </c>
      <c r="I688" s="6">
        <f>INDEX(Netzzeiten!$C$6:$C$29,HOUR(B688)+1)</f>
        <v>1.64</v>
      </c>
      <c r="J688" t="str">
        <f>IF(C688="","FEHLT",IF(NOT(ISNUMBER(C688)),"MESSWERT UNGUELTIG",IF(C688&lt;0,"MESSWERT UNGUELTIG",IF(H688="","TARIFPREIS FEHLT","OK"))))</f>
        <v>FEHLT</v>
      </c>
      <c r="K688" s="7">
        <f>IF(J688&lt;&gt;"OK","",C688*I688/100)</f>
        <v/>
      </c>
    </row>
    <row r="689" spans="1:11">
      <c r="A689" s="14">
        <v>46150</v>
      </c>
      <c r="B689" s="15">
        <v>0.1145833333333333</v>
      </c>
      <c r="C689" s="5">
        <f>IF('96 Werte'!M13="","",'96 Werte'!M13)</f>
        <v/>
      </c>
      <c r="D689" t="str">
        <f>IF(IF(Eingaben!$B$21&lt;Eingaben!$B$22,AND(B689&gt;=Eingaben!$B$21,B689&lt;Eingaben!$B$22),OR(B689&gt;=Eingaben!$B$21,B689&lt;Eingaben!$B$22)),"GO",IF(AND(ISNUMBER(Eingaben!$B$23),ISNUMBER(Eingaben!$B$24),IF(Eingaben!$B$23&lt;Eingaben!$B$24,AND(B689&gt;=Eingaben!$B$23,B689&lt;Eingaben!$B$24),OR(B689&gt;=Eingaben!$B$23,B689&lt;Eingaben!$B$24))),"HEAT","STANDARD"))</f>
        <v>GO</v>
      </c>
      <c r="E689" s="9"/>
      <c r="F689" t="str">
        <f>IF(E689="",D689,E689)</f>
        <v>GO</v>
      </c>
      <c r="G689" t="str">
        <f>INDEX(Netzzeiten!$B$6:$B$29,HOUR(B689)+1)</f>
        <v>NT</v>
      </c>
      <c r="H689" s="6">
        <f>IF(F689="GO",Eingaben!$B$11,IF(F689="STANDARD",Eingaben!$B$12,IF(AND(F689="HEAT",ISNUMBER(Eingaben!$B$13)),Eingaben!$B$13,"")))</f>
        <v>15.0654</v>
      </c>
      <c r="I689" s="6">
        <f>INDEX(Netzzeiten!$C$6:$C$29,HOUR(B689)+1)</f>
        <v>1.64</v>
      </c>
      <c r="J689" t="str">
        <f>IF(C689="","FEHLT",IF(NOT(ISNUMBER(C689)),"MESSWERT UNGUELTIG",IF(C689&lt;0,"MESSWERT UNGUELTIG",IF(H689="","TARIFPREIS FEHLT","OK"))))</f>
        <v>FEHLT</v>
      </c>
      <c r="K689" s="7">
        <f>IF(J689&lt;&gt;"OK","",C689*I689/100)</f>
        <v/>
      </c>
    </row>
    <row r="690" spans="1:11">
      <c r="A690" s="14">
        <v>46150</v>
      </c>
      <c r="B690" s="15">
        <v>0.125</v>
      </c>
      <c r="C690" s="5">
        <f>IF('96 Werte'!N13="","",'96 Werte'!N13)</f>
        <v/>
      </c>
      <c r="D690" t="str">
        <f>IF(IF(Eingaben!$B$21&lt;Eingaben!$B$22,AND(B690&gt;=Eingaben!$B$21,B690&lt;Eingaben!$B$22),OR(B690&gt;=Eingaben!$B$21,B690&lt;Eingaben!$B$22)),"GO",IF(AND(ISNUMBER(Eingaben!$B$23),ISNUMBER(Eingaben!$B$24),IF(Eingaben!$B$23&lt;Eingaben!$B$24,AND(B690&gt;=Eingaben!$B$23,B690&lt;Eingaben!$B$24),OR(B690&gt;=Eingaben!$B$23,B690&lt;Eingaben!$B$24))),"HEAT","STANDARD"))</f>
        <v>GO</v>
      </c>
      <c r="E690" s="9"/>
      <c r="F690" t="str">
        <f>IF(E690="",D690,E690)</f>
        <v>GO</v>
      </c>
      <c r="G690" t="str">
        <f>INDEX(Netzzeiten!$B$6:$B$29,HOUR(B690)+1)</f>
        <v>NT</v>
      </c>
      <c r="H690" s="6">
        <f>IF(F690="GO",Eingaben!$B$11,IF(F690="STANDARD",Eingaben!$B$12,IF(AND(F690="HEAT",ISNUMBER(Eingaben!$B$13)),Eingaben!$B$13,"")))</f>
        <v>15.0654</v>
      </c>
      <c r="I690" s="6">
        <f>INDEX(Netzzeiten!$C$6:$C$29,HOUR(B690)+1)</f>
        <v>1.64</v>
      </c>
      <c r="J690" t="str">
        <f>IF(C690="","FEHLT",IF(NOT(ISNUMBER(C690)),"MESSWERT UNGUELTIG",IF(C690&lt;0,"MESSWERT UNGUELTIG",IF(H690="","TARIFPREIS FEHLT","OK"))))</f>
        <v>FEHLT</v>
      </c>
      <c r="K690" s="7">
        <f>IF(J690&lt;&gt;"OK","",C690*I690/100)</f>
        <v/>
      </c>
    </row>
    <row r="691" spans="1:11">
      <c r="A691" s="14">
        <v>46150</v>
      </c>
      <c r="B691" s="15">
        <v>0.1354166666666667</v>
      </c>
      <c r="C691" s="5">
        <f>IF('96 Werte'!O13="","",'96 Werte'!O13)</f>
        <v/>
      </c>
      <c r="D691" t="str">
        <f>IF(IF(Eingaben!$B$21&lt;Eingaben!$B$22,AND(B691&gt;=Eingaben!$B$21,B691&lt;Eingaben!$B$22),OR(B691&gt;=Eingaben!$B$21,B691&lt;Eingaben!$B$22)),"GO",IF(AND(ISNUMBER(Eingaben!$B$23),ISNUMBER(Eingaben!$B$24),IF(Eingaben!$B$23&lt;Eingaben!$B$24,AND(B691&gt;=Eingaben!$B$23,B691&lt;Eingaben!$B$24),OR(B691&gt;=Eingaben!$B$23,B691&lt;Eingaben!$B$24))),"HEAT","STANDARD"))</f>
        <v>GO</v>
      </c>
      <c r="E691" s="9"/>
      <c r="F691" t="str">
        <f>IF(E691="",D691,E691)</f>
        <v>GO</v>
      </c>
      <c r="G691" t="str">
        <f>INDEX(Netzzeiten!$B$6:$B$29,HOUR(B691)+1)</f>
        <v>NT</v>
      </c>
      <c r="H691" s="6">
        <f>IF(F691="GO",Eingaben!$B$11,IF(F691="STANDARD",Eingaben!$B$12,IF(AND(F691="HEAT",ISNUMBER(Eingaben!$B$13)),Eingaben!$B$13,"")))</f>
        <v>15.0654</v>
      </c>
      <c r="I691" s="6">
        <f>INDEX(Netzzeiten!$C$6:$C$29,HOUR(B691)+1)</f>
        <v>1.64</v>
      </c>
      <c r="J691" t="str">
        <f>IF(C691="","FEHLT",IF(NOT(ISNUMBER(C691)),"MESSWERT UNGUELTIG",IF(C691&lt;0,"MESSWERT UNGUELTIG",IF(H691="","TARIFPREIS FEHLT","OK"))))</f>
        <v>FEHLT</v>
      </c>
      <c r="K691" s="7">
        <f>IF(J691&lt;&gt;"OK","",C691*I691/100)</f>
        <v/>
      </c>
    </row>
    <row r="692" spans="1:11">
      <c r="A692" s="14">
        <v>46150</v>
      </c>
      <c r="B692" s="15">
        <v>0.1458333333333333</v>
      </c>
      <c r="C692" s="5">
        <f>IF('96 Werte'!P13="","",'96 Werte'!P13)</f>
        <v/>
      </c>
      <c r="D692" t="str">
        <f>IF(IF(Eingaben!$B$21&lt;Eingaben!$B$22,AND(B692&gt;=Eingaben!$B$21,B692&lt;Eingaben!$B$22),OR(B692&gt;=Eingaben!$B$21,B692&lt;Eingaben!$B$22)),"GO",IF(AND(ISNUMBER(Eingaben!$B$23),ISNUMBER(Eingaben!$B$24),IF(Eingaben!$B$23&lt;Eingaben!$B$24,AND(B692&gt;=Eingaben!$B$23,B692&lt;Eingaben!$B$24),OR(B692&gt;=Eingaben!$B$23,B692&lt;Eingaben!$B$24))),"HEAT","STANDARD"))</f>
        <v>GO</v>
      </c>
      <c r="E692" s="9"/>
      <c r="F692" t="str">
        <f>IF(E692="",D692,E692)</f>
        <v>GO</v>
      </c>
      <c r="G692" t="str">
        <f>INDEX(Netzzeiten!$B$6:$B$29,HOUR(B692)+1)</f>
        <v>NT</v>
      </c>
      <c r="H692" s="6">
        <f>IF(F692="GO",Eingaben!$B$11,IF(F692="STANDARD",Eingaben!$B$12,IF(AND(F692="HEAT",ISNUMBER(Eingaben!$B$13)),Eingaben!$B$13,"")))</f>
        <v>15.0654</v>
      </c>
      <c r="I692" s="6">
        <f>INDEX(Netzzeiten!$C$6:$C$29,HOUR(B692)+1)</f>
        <v>1.64</v>
      </c>
      <c r="J692" t="str">
        <f>IF(C692="","FEHLT",IF(NOT(ISNUMBER(C692)),"MESSWERT UNGUELTIG",IF(C692&lt;0,"MESSWERT UNGUELTIG",IF(H692="","TARIFPREIS FEHLT","OK"))))</f>
        <v>FEHLT</v>
      </c>
      <c r="K692" s="7">
        <f>IF(J692&lt;&gt;"OK","",C692*I692/100)</f>
        <v/>
      </c>
    </row>
    <row r="693" spans="1:11">
      <c r="A693" s="14">
        <v>46150</v>
      </c>
      <c r="B693" s="15">
        <v>0.15625</v>
      </c>
      <c r="C693" s="5">
        <f>IF('96 Werte'!Q13="","",'96 Werte'!Q13)</f>
        <v/>
      </c>
      <c r="D693" t="str">
        <f>IF(IF(Eingaben!$B$21&lt;Eingaben!$B$22,AND(B693&gt;=Eingaben!$B$21,B693&lt;Eingaben!$B$22),OR(B693&gt;=Eingaben!$B$21,B693&lt;Eingaben!$B$22)),"GO",IF(AND(ISNUMBER(Eingaben!$B$23),ISNUMBER(Eingaben!$B$24),IF(Eingaben!$B$23&lt;Eingaben!$B$24,AND(B693&gt;=Eingaben!$B$23,B693&lt;Eingaben!$B$24),OR(B693&gt;=Eingaben!$B$23,B693&lt;Eingaben!$B$24))),"HEAT","STANDARD"))</f>
        <v>GO</v>
      </c>
      <c r="E693" s="9"/>
      <c r="F693" t="str">
        <f>IF(E693="",D693,E693)</f>
        <v>GO</v>
      </c>
      <c r="G693" t="str">
        <f>INDEX(Netzzeiten!$B$6:$B$29,HOUR(B693)+1)</f>
        <v>NT</v>
      </c>
      <c r="H693" s="6">
        <f>IF(F693="GO",Eingaben!$B$11,IF(F693="STANDARD",Eingaben!$B$12,IF(AND(F693="HEAT",ISNUMBER(Eingaben!$B$13)),Eingaben!$B$13,"")))</f>
        <v>15.0654</v>
      </c>
      <c r="I693" s="6">
        <f>INDEX(Netzzeiten!$C$6:$C$29,HOUR(B693)+1)</f>
        <v>1.64</v>
      </c>
      <c r="J693" t="str">
        <f>IF(C693="","FEHLT",IF(NOT(ISNUMBER(C693)),"MESSWERT UNGUELTIG",IF(C693&lt;0,"MESSWERT UNGUELTIG",IF(H693="","TARIFPREIS FEHLT","OK"))))</f>
        <v>FEHLT</v>
      </c>
      <c r="K693" s="7">
        <f>IF(J693&lt;&gt;"OK","",C693*I693/100)</f>
        <v/>
      </c>
    </row>
    <row r="694" spans="1:11">
      <c r="A694" s="14">
        <v>46150</v>
      </c>
      <c r="B694" s="15">
        <v>0.1666666666666667</v>
      </c>
      <c r="C694" s="5">
        <f>IF('96 Werte'!R13="","",'96 Werte'!R13)</f>
        <v/>
      </c>
      <c r="D694" t="str">
        <f>IF(IF(Eingaben!$B$21&lt;Eingaben!$B$22,AND(B694&gt;=Eingaben!$B$21,B694&lt;Eingaben!$B$22),OR(B694&gt;=Eingaben!$B$21,B694&lt;Eingaben!$B$22)),"GO",IF(AND(ISNUMBER(Eingaben!$B$23),ISNUMBER(Eingaben!$B$24),IF(Eingaben!$B$23&lt;Eingaben!$B$24,AND(B694&gt;=Eingaben!$B$23,B694&lt;Eingaben!$B$24),OR(B694&gt;=Eingaben!$B$23,B694&lt;Eingaben!$B$24))),"HEAT","STANDARD"))</f>
        <v>GO</v>
      </c>
      <c r="E694" s="9"/>
      <c r="F694" t="str">
        <f>IF(E694="",D694,E694)</f>
        <v>GO</v>
      </c>
      <c r="G694" t="str">
        <f>INDEX(Netzzeiten!$B$6:$B$29,HOUR(B694)+1)</f>
        <v>NT</v>
      </c>
      <c r="H694" s="6">
        <f>IF(F694="GO",Eingaben!$B$11,IF(F694="STANDARD",Eingaben!$B$12,IF(AND(F694="HEAT",ISNUMBER(Eingaben!$B$13)),Eingaben!$B$13,"")))</f>
        <v>15.0654</v>
      </c>
      <c r="I694" s="6">
        <f>INDEX(Netzzeiten!$C$6:$C$29,HOUR(B694)+1)</f>
        <v>1.64</v>
      </c>
      <c r="J694" t="str">
        <f>IF(C694="","FEHLT",IF(NOT(ISNUMBER(C694)),"MESSWERT UNGUELTIG",IF(C694&lt;0,"MESSWERT UNGUELTIG",IF(H694="","TARIFPREIS FEHLT","OK"))))</f>
        <v>FEHLT</v>
      </c>
      <c r="K694" s="7">
        <f>IF(J694&lt;&gt;"OK","",C694*I694/100)</f>
        <v/>
      </c>
    </row>
    <row r="695" spans="1:11">
      <c r="A695" s="14">
        <v>46150</v>
      </c>
      <c r="B695" s="15">
        <v>0.1770833333333333</v>
      </c>
      <c r="C695" s="5">
        <f>IF('96 Werte'!S13="","",'96 Werte'!S13)</f>
        <v/>
      </c>
      <c r="D695" t="str">
        <f>IF(IF(Eingaben!$B$21&lt;Eingaben!$B$22,AND(B695&gt;=Eingaben!$B$21,B695&lt;Eingaben!$B$22),OR(B695&gt;=Eingaben!$B$21,B695&lt;Eingaben!$B$22)),"GO",IF(AND(ISNUMBER(Eingaben!$B$23),ISNUMBER(Eingaben!$B$24),IF(Eingaben!$B$23&lt;Eingaben!$B$24,AND(B695&gt;=Eingaben!$B$23,B695&lt;Eingaben!$B$24),OR(B695&gt;=Eingaben!$B$23,B695&lt;Eingaben!$B$24))),"HEAT","STANDARD"))</f>
        <v>GO</v>
      </c>
      <c r="E695" s="9"/>
      <c r="F695" t="str">
        <f>IF(E695="",D695,E695)</f>
        <v>GO</v>
      </c>
      <c r="G695" t="str">
        <f>INDEX(Netzzeiten!$B$6:$B$29,HOUR(B695)+1)</f>
        <v>NT</v>
      </c>
      <c r="H695" s="6">
        <f>IF(F695="GO",Eingaben!$B$11,IF(F695="STANDARD",Eingaben!$B$12,IF(AND(F695="HEAT",ISNUMBER(Eingaben!$B$13)),Eingaben!$B$13,"")))</f>
        <v>15.0654</v>
      </c>
      <c r="I695" s="6">
        <f>INDEX(Netzzeiten!$C$6:$C$29,HOUR(B695)+1)</f>
        <v>1.64</v>
      </c>
      <c r="J695" t="str">
        <f>IF(C695="","FEHLT",IF(NOT(ISNUMBER(C695)),"MESSWERT UNGUELTIG",IF(C695&lt;0,"MESSWERT UNGUELTIG",IF(H695="","TARIFPREIS FEHLT","OK"))))</f>
        <v>FEHLT</v>
      </c>
      <c r="K695" s="7">
        <f>IF(J695&lt;&gt;"OK","",C695*I695/100)</f>
        <v/>
      </c>
    </row>
    <row r="696" spans="1:11">
      <c r="A696" s="14">
        <v>46150</v>
      </c>
      <c r="B696" s="15">
        <v>0.1875</v>
      </c>
      <c r="C696" s="5">
        <f>IF('96 Werte'!T13="","",'96 Werte'!T13)</f>
        <v/>
      </c>
      <c r="D696" t="str">
        <f>IF(IF(Eingaben!$B$21&lt;Eingaben!$B$22,AND(B696&gt;=Eingaben!$B$21,B696&lt;Eingaben!$B$22),OR(B696&gt;=Eingaben!$B$21,B696&lt;Eingaben!$B$22)),"GO",IF(AND(ISNUMBER(Eingaben!$B$23),ISNUMBER(Eingaben!$B$24),IF(Eingaben!$B$23&lt;Eingaben!$B$24,AND(B696&gt;=Eingaben!$B$23,B696&lt;Eingaben!$B$24),OR(B696&gt;=Eingaben!$B$23,B696&lt;Eingaben!$B$24))),"HEAT","STANDARD"))</f>
        <v>GO</v>
      </c>
      <c r="E696" s="9"/>
      <c r="F696" t="str">
        <f>IF(E696="",D696,E696)</f>
        <v>GO</v>
      </c>
      <c r="G696" t="str">
        <f>INDEX(Netzzeiten!$B$6:$B$29,HOUR(B696)+1)</f>
        <v>NT</v>
      </c>
      <c r="H696" s="6">
        <f>IF(F696="GO",Eingaben!$B$11,IF(F696="STANDARD",Eingaben!$B$12,IF(AND(F696="HEAT",ISNUMBER(Eingaben!$B$13)),Eingaben!$B$13,"")))</f>
        <v>15.0654</v>
      </c>
      <c r="I696" s="6">
        <f>INDEX(Netzzeiten!$C$6:$C$29,HOUR(B696)+1)</f>
        <v>1.64</v>
      </c>
      <c r="J696" t="str">
        <f>IF(C696="","FEHLT",IF(NOT(ISNUMBER(C696)),"MESSWERT UNGUELTIG",IF(C696&lt;0,"MESSWERT UNGUELTIG",IF(H696="","TARIFPREIS FEHLT","OK"))))</f>
        <v>FEHLT</v>
      </c>
      <c r="K696" s="7">
        <f>IF(J696&lt;&gt;"OK","",C696*I696/100)</f>
        <v/>
      </c>
    </row>
    <row r="697" spans="1:11">
      <c r="A697" s="14">
        <v>46150</v>
      </c>
      <c r="B697" s="15">
        <v>0.1979166666666667</v>
      </c>
      <c r="C697" s="5">
        <f>IF('96 Werte'!U13="","",'96 Werte'!U13)</f>
        <v/>
      </c>
      <c r="D697" t="str">
        <f>IF(IF(Eingaben!$B$21&lt;Eingaben!$B$22,AND(B697&gt;=Eingaben!$B$21,B697&lt;Eingaben!$B$22),OR(B697&gt;=Eingaben!$B$21,B697&lt;Eingaben!$B$22)),"GO",IF(AND(ISNUMBER(Eingaben!$B$23),ISNUMBER(Eingaben!$B$24),IF(Eingaben!$B$23&lt;Eingaben!$B$24,AND(B697&gt;=Eingaben!$B$23,B697&lt;Eingaben!$B$24),OR(B697&gt;=Eingaben!$B$23,B697&lt;Eingaben!$B$24))),"HEAT","STANDARD"))</f>
        <v>GO</v>
      </c>
      <c r="E697" s="9"/>
      <c r="F697" t="str">
        <f>IF(E697="",D697,E697)</f>
        <v>GO</v>
      </c>
      <c r="G697" t="str">
        <f>INDEX(Netzzeiten!$B$6:$B$29,HOUR(B697)+1)</f>
        <v>NT</v>
      </c>
      <c r="H697" s="6">
        <f>IF(F697="GO",Eingaben!$B$11,IF(F697="STANDARD",Eingaben!$B$12,IF(AND(F697="HEAT",ISNUMBER(Eingaben!$B$13)),Eingaben!$B$13,"")))</f>
        <v>15.0654</v>
      </c>
      <c r="I697" s="6">
        <f>INDEX(Netzzeiten!$C$6:$C$29,HOUR(B697)+1)</f>
        <v>1.64</v>
      </c>
      <c r="J697" t="str">
        <f>IF(C697="","FEHLT",IF(NOT(ISNUMBER(C697)),"MESSWERT UNGUELTIG",IF(C697&lt;0,"MESSWERT UNGUELTIG",IF(H697="","TARIFPREIS FEHLT","OK"))))</f>
        <v>FEHLT</v>
      </c>
      <c r="K697" s="7">
        <f>IF(J697&lt;&gt;"OK","",C697*I697/100)</f>
        <v/>
      </c>
    </row>
    <row r="698" spans="1:11">
      <c r="A698" s="14">
        <v>46150</v>
      </c>
      <c r="B698" s="15">
        <v>0.2083333333333333</v>
      </c>
      <c r="C698" s="5">
        <f>IF('96 Werte'!V13="","",'96 Werte'!V13)</f>
        <v/>
      </c>
      <c r="D698" t="str">
        <f>IF(IF(Eingaben!$B$21&lt;Eingaben!$B$22,AND(B698&gt;=Eingaben!$B$21,B698&lt;Eingaben!$B$22),OR(B698&gt;=Eingaben!$B$21,B698&lt;Eingaben!$B$22)),"GO",IF(AND(ISNUMBER(Eingaben!$B$23),ISNUMBER(Eingaben!$B$24),IF(Eingaben!$B$23&lt;Eingaben!$B$24,AND(B698&gt;=Eingaben!$B$23,B698&lt;Eingaben!$B$24),OR(B698&gt;=Eingaben!$B$23,B698&lt;Eingaben!$B$24))),"HEAT","STANDARD"))</f>
        <v>STANDARD</v>
      </c>
      <c r="E698" s="9"/>
      <c r="F698" t="str">
        <f>IF(E698="",D698,E698)</f>
        <v>STANDARD</v>
      </c>
      <c r="G698" t="str">
        <f>INDEX(Netzzeiten!$B$6:$B$29,HOUR(B698)+1)</f>
        <v>NT</v>
      </c>
      <c r="H698" s="6">
        <f>IF(F698="GO",Eingaben!$B$11,IF(F698="STANDARD",Eingaben!$B$12,IF(AND(F698="HEAT",ISNUMBER(Eingaben!$B$13)),Eingaben!$B$13,"")))</f>
        <v>28.2744</v>
      </c>
      <c r="I698" s="6">
        <f>INDEX(Netzzeiten!$C$6:$C$29,HOUR(B698)+1)</f>
        <v>1.64</v>
      </c>
      <c r="J698" t="str">
        <f>IF(C698="","FEHLT",IF(NOT(ISNUMBER(C698)),"MESSWERT UNGUELTIG",IF(C698&lt;0,"MESSWERT UNGUELTIG",IF(H698="","TARIFPREIS FEHLT","OK"))))</f>
        <v>FEHLT</v>
      </c>
      <c r="K698" s="7">
        <f>IF(J698&lt;&gt;"OK","",C698*I698/100)</f>
        <v/>
      </c>
    </row>
    <row r="699" spans="1:11">
      <c r="A699" s="14">
        <v>46150</v>
      </c>
      <c r="B699" s="15">
        <v>0.21875</v>
      </c>
      <c r="C699" s="5">
        <f>IF('96 Werte'!W13="","",'96 Werte'!W13)</f>
        <v/>
      </c>
      <c r="D699" t="str">
        <f>IF(IF(Eingaben!$B$21&lt;Eingaben!$B$22,AND(B699&gt;=Eingaben!$B$21,B699&lt;Eingaben!$B$22),OR(B699&gt;=Eingaben!$B$21,B699&lt;Eingaben!$B$22)),"GO",IF(AND(ISNUMBER(Eingaben!$B$23),ISNUMBER(Eingaben!$B$24),IF(Eingaben!$B$23&lt;Eingaben!$B$24,AND(B699&gt;=Eingaben!$B$23,B699&lt;Eingaben!$B$24),OR(B699&gt;=Eingaben!$B$23,B699&lt;Eingaben!$B$24))),"HEAT","STANDARD"))</f>
        <v>STANDARD</v>
      </c>
      <c r="E699" s="9"/>
      <c r="F699" t="str">
        <f>IF(E699="",D699,E699)</f>
        <v>STANDARD</v>
      </c>
      <c r="G699" t="str">
        <f>INDEX(Netzzeiten!$B$6:$B$29,HOUR(B699)+1)</f>
        <v>NT</v>
      </c>
      <c r="H699" s="6">
        <f>IF(F699="GO",Eingaben!$B$11,IF(F699="STANDARD",Eingaben!$B$12,IF(AND(F699="HEAT",ISNUMBER(Eingaben!$B$13)),Eingaben!$B$13,"")))</f>
        <v>28.2744</v>
      </c>
      <c r="I699" s="6">
        <f>INDEX(Netzzeiten!$C$6:$C$29,HOUR(B699)+1)</f>
        <v>1.64</v>
      </c>
      <c r="J699" t="str">
        <f>IF(C699="","FEHLT",IF(NOT(ISNUMBER(C699)),"MESSWERT UNGUELTIG",IF(C699&lt;0,"MESSWERT UNGUELTIG",IF(H699="","TARIFPREIS FEHLT","OK"))))</f>
        <v>FEHLT</v>
      </c>
      <c r="K699" s="7">
        <f>IF(J699&lt;&gt;"OK","",C699*I699/100)</f>
        <v/>
      </c>
    </row>
    <row r="700" spans="1:11">
      <c r="A700" s="14">
        <v>46150</v>
      </c>
      <c r="B700" s="15">
        <v>0.2291666666666667</v>
      </c>
      <c r="C700" s="5">
        <f>IF('96 Werte'!X13="","",'96 Werte'!X13)</f>
        <v/>
      </c>
      <c r="D700" t="str">
        <f>IF(IF(Eingaben!$B$21&lt;Eingaben!$B$22,AND(B700&gt;=Eingaben!$B$21,B700&lt;Eingaben!$B$22),OR(B700&gt;=Eingaben!$B$21,B700&lt;Eingaben!$B$22)),"GO",IF(AND(ISNUMBER(Eingaben!$B$23),ISNUMBER(Eingaben!$B$24),IF(Eingaben!$B$23&lt;Eingaben!$B$24,AND(B700&gt;=Eingaben!$B$23,B700&lt;Eingaben!$B$24),OR(B700&gt;=Eingaben!$B$23,B700&lt;Eingaben!$B$24))),"HEAT","STANDARD"))</f>
        <v>STANDARD</v>
      </c>
      <c r="E700" s="9"/>
      <c r="F700" t="str">
        <f>IF(E700="",D700,E700)</f>
        <v>STANDARD</v>
      </c>
      <c r="G700" t="str">
        <f>INDEX(Netzzeiten!$B$6:$B$29,HOUR(B700)+1)</f>
        <v>NT</v>
      </c>
      <c r="H700" s="6">
        <f>IF(F700="GO",Eingaben!$B$11,IF(F700="STANDARD",Eingaben!$B$12,IF(AND(F700="HEAT",ISNUMBER(Eingaben!$B$13)),Eingaben!$B$13,"")))</f>
        <v>28.2744</v>
      </c>
      <c r="I700" s="6">
        <f>INDEX(Netzzeiten!$C$6:$C$29,HOUR(B700)+1)</f>
        <v>1.64</v>
      </c>
      <c r="J700" t="str">
        <f>IF(C700="","FEHLT",IF(NOT(ISNUMBER(C700)),"MESSWERT UNGUELTIG",IF(C700&lt;0,"MESSWERT UNGUELTIG",IF(H700="","TARIFPREIS FEHLT","OK"))))</f>
        <v>FEHLT</v>
      </c>
      <c r="K700" s="7">
        <f>IF(J700&lt;&gt;"OK","",C700*I700/100)</f>
        <v/>
      </c>
    </row>
    <row r="701" spans="1:11">
      <c r="A701" s="14">
        <v>46150</v>
      </c>
      <c r="B701" s="15">
        <v>0.2395833333333333</v>
      </c>
      <c r="C701" s="5">
        <f>IF('96 Werte'!Y13="","",'96 Werte'!Y13)</f>
        <v/>
      </c>
      <c r="D701" t="str">
        <f>IF(IF(Eingaben!$B$21&lt;Eingaben!$B$22,AND(B701&gt;=Eingaben!$B$21,B701&lt;Eingaben!$B$22),OR(B701&gt;=Eingaben!$B$21,B701&lt;Eingaben!$B$22)),"GO",IF(AND(ISNUMBER(Eingaben!$B$23),ISNUMBER(Eingaben!$B$24),IF(Eingaben!$B$23&lt;Eingaben!$B$24,AND(B701&gt;=Eingaben!$B$23,B701&lt;Eingaben!$B$24),OR(B701&gt;=Eingaben!$B$23,B701&lt;Eingaben!$B$24))),"HEAT","STANDARD"))</f>
        <v>STANDARD</v>
      </c>
      <c r="E701" s="9"/>
      <c r="F701" t="str">
        <f>IF(E701="",D701,E701)</f>
        <v>STANDARD</v>
      </c>
      <c r="G701" t="str">
        <f>INDEX(Netzzeiten!$B$6:$B$29,HOUR(B701)+1)</f>
        <v>NT</v>
      </c>
      <c r="H701" s="6">
        <f>IF(F701="GO",Eingaben!$B$11,IF(F701="STANDARD",Eingaben!$B$12,IF(AND(F701="HEAT",ISNUMBER(Eingaben!$B$13)),Eingaben!$B$13,"")))</f>
        <v>28.2744</v>
      </c>
      <c r="I701" s="6">
        <f>INDEX(Netzzeiten!$C$6:$C$29,HOUR(B701)+1)</f>
        <v>1.64</v>
      </c>
      <c r="J701" t="str">
        <f>IF(C701="","FEHLT",IF(NOT(ISNUMBER(C701)),"MESSWERT UNGUELTIG",IF(C701&lt;0,"MESSWERT UNGUELTIG",IF(H701="","TARIFPREIS FEHLT","OK"))))</f>
        <v>FEHLT</v>
      </c>
      <c r="K701" s="7">
        <f>IF(J701&lt;&gt;"OK","",C701*I701/100)</f>
        <v/>
      </c>
    </row>
    <row r="702" spans="1:11">
      <c r="A702" s="14">
        <v>46150</v>
      </c>
      <c r="B702" s="15">
        <v>0.25</v>
      </c>
      <c r="C702" s="5">
        <f>IF('96 Werte'!Z13="","",'96 Werte'!Z13)</f>
        <v/>
      </c>
      <c r="D702" t="str">
        <f>IF(IF(Eingaben!$B$21&lt;Eingaben!$B$22,AND(B702&gt;=Eingaben!$B$21,B702&lt;Eingaben!$B$22),OR(B702&gt;=Eingaben!$B$21,B702&lt;Eingaben!$B$22)),"GO",IF(AND(ISNUMBER(Eingaben!$B$23),ISNUMBER(Eingaben!$B$24),IF(Eingaben!$B$23&lt;Eingaben!$B$24,AND(B702&gt;=Eingaben!$B$23,B702&lt;Eingaben!$B$24),OR(B702&gt;=Eingaben!$B$23,B702&lt;Eingaben!$B$24))),"HEAT","STANDARD"))</f>
        <v>STANDARD</v>
      </c>
      <c r="E702" s="9"/>
      <c r="F702" t="str">
        <f>IF(E702="",D702,E702)</f>
        <v>STANDARD</v>
      </c>
      <c r="G702" t="str">
        <f>INDEX(Netzzeiten!$B$6:$B$29,HOUR(B702)+1)</f>
        <v>ST</v>
      </c>
      <c r="H702" s="6">
        <f>IF(F702="GO",Eingaben!$B$11,IF(F702="STANDARD",Eingaben!$B$12,IF(AND(F702="HEAT",ISNUMBER(Eingaben!$B$13)),Eingaben!$B$13,"")))</f>
        <v>28.2744</v>
      </c>
      <c r="I702" s="6">
        <f>INDEX(Netzzeiten!$C$6:$C$29,HOUR(B702)+1)</f>
        <v>5.48</v>
      </c>
      <c r="J702" t="str">
        <f>IF(C702="","FEHLT",IF(NOT(ISNUMBER(C702)),"MESSWERT UNGUELTIG",IF(C702&lt;0,"MESSWERT UNGUELTIG",IF(H702="","TARIFPREIS FEHLT","OK"))))</f>
        <v>FEHLT</v>
      </c>
      <c r="K702" s="7">
        <f>IF(J702&lt;&gt;"OK","",C702*I702/100)</f>
        <v/>
      </c>
    </row>
    <row r="703" spans="1:11">
      <c r="A703" s="14">
        <v>46150</v>
      </c>
      <c r="B703" s="15">
        <v>0.2604166666666667</v>
      </c>
      <c r="C703" s="5">
        <f>IF('96 Werte'!AA13="","",'96 Werte'!AA13)</f>
        <v/>
      </c>
      <c r="D703" t="str">
        <f>IF(IF(Eingaben!$B$21&lt;Eingaben!$B$22,AND(B703&gt;=Eingaben!$B$21,B703&lt;Eingaben!$B$22),OR(B703&gt;=Eingaben!$B$21,B703&lt;Eingaben!$B$22)),"GO",IF(AND(ISNUMBER(Eingaben!$B$23),ISNUMBER(Eingaben!$B$24),IF(Eingaben!$B$23&lt;Eingaben!$B$24,AND(B703&gt;=Eingaben!$B$23,B703&lt;Eingaben!$B$24),OR(B703&gt;=Eingaben!$B$23,B703&lt;Eingaben!$B$24))),"HEAT","STANDARD"))</f>
        <v>STANDARD</v>
      </c>
      <c r="E703" s="9"/>
      <c r="F703" t="str">
        <f>IF(E703="",D703,E703)</f>
        <v>STANDARD</v>
      </c>
      <c r="G703" t="str">
        <f>INDEX(Netzzeiten!$B$6:$B$29,HOUR(B703)+1)</f>
        <v>ST</v>
      </c>
      <c r="H703" s="6">
        <f>IF(F703="GO",Eingaben!$B$11,IF(F703="STANDARD",Eingaben!$B$12,IF(AND(F703="HEAT",ISNUMBER(Eingaben!$B$13)),Eingaben!$B$13,"")))</f>
        <v>28.2744</v>
      </c>
      <c r="I703" s="6">
        <f>INDEX(Netzzeiten!$C$6:$C$29,HOUR(B703)+1)</f>
        <v>5.48</v>
      </c>
      <c r="J703" t="str">
        <f>IF(C703="","FEHLT",IF(NOT(ISNUMBER(C703)),"MESSWERT UNGUELTIG",IF(C703&lt;0,"MESSWERT UNGUELTIG",IF(H703="","TARIFPREIS FEHLT","OK"))))</f>
        <v>FEHLT</v>
      </c>
      <c r="K703" s="7">
        <f>IF(J703&lt;&gt;"OK","",C703*I703/100)</f>
        <v/>
      </c>
    </row>
    <row r="704" spans="1:11">
      <c r="A704" s="14">
        <v>46150</v>
      </c>
      <c r="B704" s="15">
        <v>0.2708333333333333</v>
      </c>
      <c r="C704" s="5">
        <f>IF('96 Werte'!AB13="","",'96 Werte'!AB13)</f>
        <v/>
      </c>
      <c r="D704" t="str">
        <f>IF(IF(Eingaben!$B$21&lt;Eingaben!$B$22,AND(B704&gt;=Eingaben!$B$21,B704&lt;Eingaben!$B$22),OR(B704&gt;=Eingaben!$B$21,B704&lt;Eingaben!$B$22)),"GO",IF(AND(ISNUMBER(Eingaben!$B$23),ISNUMBER(Eingaben!$B$24),IF(Eingaben!$B$23&lt;Eingaben!$B$24,AND(B704&gt;=Eingaben!$B$23,B704&lt;Eingaben!$B$24),OR(B704&gt;=Eingaben!$B$23,B704&lt;Eingaben!$B$24))),"HEAT","STANDARD"))</f>
        <v>STANDARD</v>
      </c>
      <c r="E704" s="9"/>
      <c r="F704" t="str">
        <f>IF(E704="",D704,E704)</f>
        <v>STANDARD</v>
      </c>
      <c r="G704" t="str">
        <f>INDEX(Netzzeiten!$B$6:$B$29,HOUR(B704)+1)</f>
        <v>ST</v>
      </c>
      <c r="H704" s="6">
        <f>IF(F704="GO",Eingaben!$B$11,IF(F704="STANDARD",Eingaben!$B$12,IF(AND(F704="HEAT",ISNUMBER(Eingaben!$B$13)),Eingaben!$B$13,"")))</f>
        <v>28.2744</v>
      </c>
      <c r="I704" s="6">
        <f>INDEX(Netzzeiten!$C$6:$C$29,HOUR(B704)+1)</f>
        <v>5.48</v>
      </c>
      <c r="J704" t="str">
        <f>IF(C704="","FEHLT",IF(NOT(ISNUMBER(C704)),"MESSWERT UNGUELTIG",IF(C704&lt;0,"MESSWERT UNGUELTIG",IF(H704="","TARIFPREIS FEHLT","OK"))))</f>
        <v>FEHLT</v>
      </c>
      <c r="K704" s="7">
        <f>IF(J704&lt;&gt;"OK","",C704*I704/100)</f>
        <v/>
      </c>
    </row>
    <row r="705" spans="1:11">
      <c r="A705" s="14">
        <v>46150</v>
      </c>
      <c r="B705" s="15">
        <v>0.28125</v>
      </c>
      <c r="C705" s="5">
        <f>IF('96 Werte'!AC13="","",'96 Werte'!AC13)</f>
        <v/>
      </c>
      <c r="D705" t="str">
        <f>IF(IF(Eingaben!$B$21&lt;Eingaben!$B$22,AND(B705&gt;=Eingaben!$B$21,B705&lt;Eingaben!$B$22),OR(B705&gt;=Eingaben!$B$21,B705&lt;Eingaben!$B$22)),"GO",IF(AND(ISNUMBER(Eingaben!$B$23),ISNUMBER(Eingaben!$B$24),IF(Eingaben!$B$23&lt;Eingaben!$B$24,AND(B705&gt;=Eingaben!$B$23,B705&lt;Eingaben!$B$24),OR(B705&gt;=Eingaben!$B$23,B705&lt;Eingaben!$B$24))),"HEAT","STANDARD"))</f>
        <v>STANDARD</v>
      </c>
      <c r="E705" s="9"/>
      <c r="F705" t="str">
        <f>IF(E705="",D705,E705)</f>
        <v>STANDARD</v>
      </c>
      <c r="G705" t="str">
        <f>INDEX(Netzzeiten!$B$6:$B$29,HOUR(B705)+1)</f>
        <v>ST</v>
      </c>
      <c r="H705" s="6">
        <f>IF(F705="GO",Eingaben!$B$11,IF(F705="STANDARD",Eingaben!$B$12,IF(AND(F705="HEAT",ISNUMBER(Eingaben!$B$13)),Eingaben!$B$13,"")))</f>
        <v>28.2744</v>
      </c>
      <c r="I705" s="6">
        <f>INDEX(Netzzeiten!$C$6:$C$29,HOUR(B705)+1)</f>
        <v>5.48</v>
      </c>
      <c r="J705" t="str">
        <f>IF(C705="","FEHLT",IF(NOT(ISNUMBER(C705)),"MESSWERT UNGUELTIG",IF(C705&lt;0,"MESSWERT UNGUELTIG",IF(H705="","TARIFPREIS FEHLT","OK"))))</f>
        <v>FEHLT</v>
      </c>
      <c r="K705" s="7">
        <f>IF(J705&lt;&gt;"OK","",C705*I705/100)</f>
        <v/>
      </c>
    </row>
    <row r="706" spans="1:11">
      <c r="A706" s="14">
        <v>46150</v>
      </c>
      <c r="B706" s="15">
        <v>0.2916666666666667</v>
      </c>
      <c r="C706" s="5">
        <f>IF('96 Werte'!AD13="","",'96 Werte'!AD13)</f>
        <v/>
      </c>
      <c r="D706" t="str">
        <f>IF(IF(Eingaben!$B$21&lt;Eingaben!$B$22,AND(B706&gt;=Eingaben!$B$21,B706&lt;Eingaben!$B$22),OR(B706&gt;=Eingaben!$B$21,B706&lt;Eingaben!$B$22)),"GO",IF(AND(ISNUMBER(Eingaben!$B$23),ISNUMBER(Eingaben!$B$24),IF(Eingaben!$B$23&lt;Eingaben!$B$24,AND(B706&gt;=Eingaben!$B$23,B706&lt;Eingaben!$B$24),OR(B706&gt;=Eingaben!$B$23,B706&lt;Eingaben!$B$24))),"HEAT","STANDARD"))</f>
        <v>STANDARD</v>
      </c>
      <c r="E706" s="9"/>
      <c r="F706" t="str">
        <f>IF(E706="",D706,E706)</f>
        <v>STANDARD</v>
      </c>
      <c r="G706" t="str">
        <f>INDEX(Netzzeiten!$B$6:$B$29,HOUR(B706)+1)</f>
        <v>ST</v>
      </c>
      <c r="H706" s="6">
        <f>IF(F706="GO",Eingaben!$B$11,IF(F706="STANDARD",Eingaben!$B$12,IF(AND(F706="HEAT",ISNUMBER(Eingaben!$B$13)),Eingaben!$B$13,"")))</f>
        <v>28.2744</v>
      </c>
      <c r="I706" s="6">
        <f>INDEX(Netzzeiten!$C$6:$C$29,HOUR(B706)+1)</f>
        <v>5.48</v>
      </c>
      <c r="J706" t="str">
        <f>IF(C706="","FEHLT",IF(NOT(ISNUMBER(C706)),"MESSWERT UNGUELTIG",IF(C706&lt;0,"MESSWERT UNGUELTIG",IF(H706="","TARIFPREIS FEHLT","OK"))))</f>
        <v>FEHLT</v>
      </c>
      <c r="K706" s="7">
        <f>IF(J706&lt;&gt;"OK","",C706*I706/100)</f>
        <v/>
      </c>
    </row>
    <row r="707" spans="1:11">
      <c r="A707" s="14">
        <v>46150</v>
      </c>
      <c r="B707" s="15">
        <v>0.3020833333333333</v>
      </c>
      <c r="C707" s="5">
        <f>IF('96 Werte'!AE13="","",'96 Werte'!AE13)</f>
        <v/>
      </c>
      <c r="D707" t="str">
        <f>IF(IF(Eingaben!$B$21&lt;Eingaben!$B$22,AND(B707&gt;=Eingaben!$B$21,B707&lt;Eingaben!$B$22),OR(B707&gt;=Eingaben!$B$21,B707&lt;Eingaben!$B$22)),"GO",IF(AND(ISNUMBER(Eingaben!$B$23),ISNUMBER(Eingaben!$B$24),IF(Eingaben!$B$23&lt;Eingaben!$B$24,AND(B707&gt;=Eingaben!$B$23,B707&lt;Eingaben!$B$24),OR(B707&gt;=Eingaben!$B$23,B707&lt;Eingaben!$B$24))),"HEAT","STANDARD"))</f>
        <v>STANDARD</v>
      </c>
      <c r="E707" s="9"/>
      <c r="F707" t="str">
        <f>IF(E707="",D707,E707)</f>
        <v>STANDARD</v>
      </c>
      <c r="G707" t="str">
        <f>INDEX(Netzzeiten!$B$6:$B$29,HOUR(B707)+1)</f>
        <v>ST</v>
      </c>
      <c r="H707" s="6">
        <f>IF(F707="GO",Eingaben!$B$11,IF(F707="STANDARD",Eingaben!$B$12,IF(AND(F707="HEAT",ISNUMBER(Eingaben!$B$13)),Eingaben!$B$13,"")))</f>
        <v>28.2744</v>
      </c>
      <c r="I707" s="6">
        <f>INDEX(Netzzeiten!$C$6:$C$29,HOUR(B707)+1)</f>
        <v>5.48</v>
      </c>
      <c r="J707" t="str">
        <f>IF(C707="","FEHLT",IF(NOT(ISNUMBER(C707)),"MESSWERT UNGUELTIG",IF(C707&lt;0,"MESSWERT UNGUELTIG",IF(H707="","TARIFPREIS FEHLT","OK"))))</f>
        <v>FEHLT</v>
      </c>
      <c r="K707" s="7">
        <f>IF(J707&lt;&gt;"OK","",C707*I707/100)</f>
        <v/>
      </c>
    </row>
    <row r="708" spans="1:11">
      <c r="A708" s="14">
        <v>46150</v>
      </c>
      <c r="B708" s="15">
        <v>0.3125</v>
      </c>
      <c r="C708" s="5">
        <f>IF('96 Werte'!AF13="","",'96 Werte'!AF13)</f>
        <v/>
      </c>
      <c r="D708" t="str">
        <f>IF(IF(Eingaben!$B$21&lt;Eingaben!$B$22,AND(B708&gt;=Eingaben!$B$21,B708&lt;Eingaben!$B$22),OR(B708&gt;=Eingaben!$B$21,B708&lt;Eingaben!$B$22)),"GO",IF(AND(ISNUMBER(Eingaben!$B$23),ISNUMBER(Eingaben!$B$24),IF(Eingaben!$B$23&lt;Eingaben!$B$24,AND(B708&gt;=Eingaben!$B$23,B708&lt;Eingaben!$B$24),OR(B708&gt;=Eingaben!$B$23,B708&lt;Eingaben!$B$24))),"HEAT","STANDARD"))</f>
        <v>STANDARD</v>
      </c>
      <c r="E708" s="9"/>
      <c r="F708" t="str">
        <f>IF(E708="",D708,E708)</f>
        <v>STANDARD</v>
      </c>
      <c r="G708" t="str">
        <f>INDEX(Netzzeiten!$B$6:$B$29,HOUR(B708)+1)</f>
        <v>ST</v>
      </c>
      <c r="H708" s="6">
        <f>IF(F708="GO",Eingaben!$B$11,IF(F708="STANDARD",Eingaben!$B$12,IF(AND(F708="HEAT",ISNUMBER(Eingaben!$B$13)),Eingaben!$B$13,"")))</f>
        <v>28.2744</v>
      </c>
      <c r="I708" s="6">
        <f>INDEX(Netzzeiten!$C$6:$C$29,HOUR(B708)+1)</f>
        <v>5.48</v>
      </c>
      <c r="J708" t="str">
        <f>IF(C708="","FEHLT",IF(NOT(ISNUMBER(C708)),"MESSWERT UNGUELTIG",IF(C708&lt;0,"MESSWERT UNGUELTIG",IF(H708="","TARIFPREIS FEHLT","OK"))))</f>
        <v>FEHLT</v>
      </c>
      <c r="K708" s="7">
        <f>IF(J708&lt;&gt;"OK","",C708*I708/100)</f>
        <v/>
      </c>
    </row>
    <row r="709" spans="1:11">
      <c r="A709" s="14">
        <v>46150</v>
      </c>
      <c r="B709" s="15">
        <v>0.3229166666666667</v>
      </c>
      <c r="C709" s="5">
        <f>IF('96 Werte'!AG13="","",'96 Werte'!AG13)</f>
        <v/>
      </c>
      <c r="D709" t="str">
        <f>IF(IF(Eingaben!$B$21&lt;Eingaben!$B$22,AND(B709&gt;=Eingaben!$B$21,B709&lt;Eingaben!$B$22),OR(B709&gt;=Eingaben!$B$21,B709&lt;Eingaben!$B$22)),"GO",IF(AND(ISNUMBER(Eingaben!$B$23),ISNUMBER(Eingaben!$B$24),IF(Eingaben!$B$23&lt;Eingaben!$B$24,AND(B709&gt;=Eingaben!$B$23,B709&lt;Eingaben!$B$24),OR(B709&gt;=Eingaben!$B$23,B709&lt;Eingaben!$B$24))),"HEAT","STANDARD"))</f>
        <v>STANDARD</v>
      </c>
      <c r="E709" s="9"/>
      <c r="F709" t="str">
        <f>IF(E709="",D709,E709)</f>
        <v>STANDARD</v>
      </c>
      <c r="G709" t="str">
        <f>INDEX(Netzzeiten!$B$6:$B$29,HOUR(B709)+1)</f>
        <v>ST</v>
      </c>
      <c r="H709" s="6">
        <f>IF(F709="GO",Eingaben!$B$11,IF(F709="STANDARD",Eingaben!$B$12,IF(AND(F709="HEAT",ISNUMBER(Eingaben!$B$13)),Eingaben!$B$13,"")))</f>
        <v>28.2744</v>
      </c>
      <c r="I709" s="6">
        <f>INDEX(Netzzeiten!$C$6:$C$29,HOUR(B709)+1)</f>
        <v>5.48</v>
      </c>
      <c r="J709" t="str">
        <f>IF(C709="","FEHLT",IF(NOT(ISNUMBER(C709)),"MESSWERT UNGUELTIG",IF(C709&lt;0,"MESSWERT UNGUELTIG",IF(H709="","TARIFPREIS FEHLT","OK"))))</f>
        <v>FEHLT</v>
      </c>
      <c r="K709" s="7">
        <f>IF(J709&lt;&gt;"OK","",C709*I709/100)</f>
        <v/>
      </c>
    </row>
    <row r="710" spans="1:11">
      <c r="A710" s="14">
        <v>46150</v>
      </c>
      <c r="B710" s="15">
        <v>0.3333333333333333</v>
      </c>
      <c r="C710" s="5">
        <f>IF('96 Werte'!AH13="","",'96 Werte'!AH13)</f>
        <v/>
      </c>
      <c r="D710" t="str">
        <f>IF(IF(Eingaben!$B$21&lt;Eingaben!$B$22,AND(B710&gt;=Eingaben!$B$21,B710&lt;Eingaben!$B$22),OR(B710&gt;=Eingaben!$B$21,B710&lt;Eingaben!$B$22)),"GO",IF(AND(ISNUMBER(Eingaben!$B$23),ISNUMBER(Eingaben!$B$24),IF(Eingaben!$B$23&lt;Eingaben!$B$24,AND(B710&gt;=Eingaben!$B$23,B710&lt;Eingaben!$B$24),OR(B710&gt;=Eingaben!$B$23,B710&lt;Eingaben!$B$24))),"HEAT","STANDARD"))</f>
        <v>STANDARD</v>
      </c>
      <c r="E710" s="9"/>
      <c r="F710" t="str">
        <f>IF(E710="",D710,E710)</f>
        <v>STANDARD</v>
      </c>
      <c r="G710" t="str">
        <f>INDEX(Netzzeiten!$B$6:$B$29,HOUR(B710)+1)</f>
        <v>ST</v>
      </c>
      <c r="H710" s="6">
        <f>IF(F710="GO",Eingaben!$B$11,IF(F710="STANDARD",Eingaben!$B$12,IF(AND(F710="HEAT",ISNUMBER(Eingaben!$B$13)),Eingaben!$B$13,"")))</f>
        <v>28.2744</v>
      </c>
      <c r="I710" s="6">
        <f>INDEX(Netzzeiten!$C$6:$C$29,HOUR(B710)+1)</f>
        <v>5.48</v>
      </c>
      <c r="J710" t="str">
        <f>IF(C710="","FEHLT",IF(NOT(ISNUMBER(C710)),"MESSWERT UNGUELTIG",IF(C710&lt;0,"MESSWERT UNGUELTIG",IF(H710="","TARIFPREIS FEHLT","OK"))))</f>
        <v>FEHLT</v>
      </c>
      <c r="K710" s="7">
        <f>IF(J710&lt;&gt;"OK","",C710*I710/100)</f>
        <v/>
      </c>
    </row>
    <row r="711" spans="1:11">
      <c r="A711" s="14">
        <v>46150</v>
      </c>
      <c r="B711" s="15">
        <v>0.34375</v>
      </c>
      <c r="C711" s="5">
        <f>IF('96 Werte'!AI13="","",'96 Werte'!AI13)</f>
        <v/>
      </c>
      <c r="D711" t="str">
        <f>IF(IF(Eingaben!$B$21&lt;Eingaben!$B$22,AND(B711&gt;=Eingaben!$B$21,B711&lt;Eingaben!$B$22),OR(B711&gt;=Eingaben!$B$21,B711&lt;Eingaben!$B$22)),"GO",IF(AND(ISNUMBER(Eingaben!$B$23),ISNUMBER(Eingaben!$B$24),IF(Eingaben!$B$23&lt;Eingaben!$B$24,AND(B711&gt;=Eingaben!$B$23,B711&lt;Eingaben!$B$24),OR(B711&gt;=Eingaben!$B$23,B711&lt;Eingaben!$B$24))),"HEAT","STANDARD"))</f>
        <v>STANDARD</v>
      </c>
      <c r="E711" s="9"/>
      <c r="F711" t="str">
        <f>IF(E711="",D711,E711)</f>
        <v>STANDARD</v>
      </c>
      <c r="G711" t="str">
        <f>INDEX(Netzzeiten!$B$6:$B$29,HOUR(B711)+1)</f>
        <v>ST</v>
      </c>
      <c r="H711" s="6">
        <f>IF(F711="GO",Eingaben!$B$11,IF(F711="STANDARD",Eingaben!$B$12,IF(AND(F711="HEAT",ISNUMBER(Eingaben!$B$13)),Eingaben!$B$13,"")))</f>
        <v>28.2744</v>
      </c>
      <c r="I711" s="6">
        <f>INDEX(Netzzeiten!$C$6:$C$29,HOUR(B711)+1)</f>
        <v>5.48</v>
      </c>
      <c r="J711" t="str">
        <f>IF(C711="","FEHLT",IF(NOT(ISNUMBER(C711)),"MESSWERT UNGUELTIG",IF(C711&lt;0,"MESSWERT UNGUELTIG",IF(H711="","TARIFPREIS FEHLT","OK"))))</f>
        <v>FEHLT</v>
      </c>
      <c r="K711" s="7">
        <f>IF(J711&lt;&gt;"OK","",C711*I711/100)</f>
        <v/>
      </c>
    </row>
    <row r="712" spans="1:11">
      <c r="A712" s="14">
        <v>46150</v>
      </c>
      <c r="B712" s="15">
        <v>0.3541666666666667</v>
      </c>
      <c r="C712" s="5">
        <f>IF('96 Werte'!AJ13="","",'96 Werte'!AJ13)</f>
        <v/>
      </c>
      <c r="D712" t="str">
        <f>IF(IF(Eingaben!$B$21&lt;Eingaben!$B$22,AND(B712&gt;=Eingaben!$B$21,B712&lt;Eingaben!$B$22),OR(B712&gt;=Eingaben!$B$21,B712&lt;Eingaben!$B$22)),"GO",IF(AND(ISNUMBER(Eingaben!$B$23),ISNUMBER(Eingaben!$B$24),IF(Eingaben!$B$23&lt;Eingaben!$B$24,AND(B712&gt;=Eingaben!$B$23,B712&lt;Eingaben!$B$24),OR(B712&gt;=Eingaben!$B$23,B712&lt;Eingaben!$B$24))),"HEAT","STANDARD"))</f>
        <v>STANDARD</v>
      </c>
      <c r="E712" s="9"/>
      <c r="F712" t="str">
        <f>IF(E712="",D712,E712)</f>
        <v>STANDARD</v>
      </c>
      <c r="G712" t="str">
        <f>INDEX(Netzzeiten!$B$6:$B$29,HOUR(B712)+1)</f>
        <v>ST</v>
      </c>
      <c r="H712" s="6">
        <f>IF(F712="GO",Eingaben!$B$11,IF(F712="STANDARD",Eingaben!$B$12,IF(AND(F712="HEAT",ISNUMBER(Eingaben!$B$13)),Eingaben!$B$13,"")))</f>
        <v>28.2744</v>
      </c>
      <c r="I712" s="6">
        <f>INDEX(Netzzeiten!$C$6:$C$29,HOUR(B712)+1)</f>
        <v>5.48</v>
      </c>
      <c r="J712" t="str">
        <f>IF(C712="","FEHLT",IF(NOT(ISNUMBER(C712)),"MESSWERT UNGUELTIG",IF(C712&lt;0,"MESSWERT UNGUELTIG",IF(H712="","TARIFPREIS FEHLT","OK"))))</f>
        <v>FEHLT</v>
      </c>
      <c r="K712" s="7">
        <f>IF(J712&lt;&gt;"OK","",C712*I712/100)</f>
        <v/>
      </c>
    </row>
    <row r="713" spans="1:11">
      <c r="A713" s="14">
        <v>46150</v>
      </c>
      <c r="B713" s="15">
        <v>0.3645833333333333</v>
      </c>
      <c r="C713" s="5">
        <f>IF('96 Werte'!AK13="","",'96 Werte'!AK13)</f>
        <v/>
      </c>
      <c r="D713" t="str">
        <f>IF(IF(Eingaben!$B$21&lt;Eingaben!$B$22,AND(B713&gt;=Eingaben!$B$21,B713&lt;Eingaben!$B$22),OR(B713&gt;=Eingaben!$B$21,B713&lt;Eingaben!$B$22)),"GO",IF(AND(ISNUMBER(Eingaben!$B$23),ISNUMBER(Eingaben!$B$24),IF(Eingaben!$B$23&lt;Eingaben!$B$24,AND(B713&gt;=Eingaben!$B$23,B713&lt;Eingaben!$B$24),OR(B713&gt;=Eingaben!$B$23,B713&lt;Eingaben!$B$24))),"HEAT","STANDARD"))</f>
        <v>STANDARD</v>
      </c>
      <c r="E713" s="9"/>
      <c r="F713" t="str">
        <f>IF(E713="",D713,E713)</f>
        <v>STANDARD</v>
      </c>
      <c r="G713" t="str">
        <f>INDEX(Netzzeiten!$B$6:$B$29,HOUR(B713)+1)</f>
        <v>ST</v>
      </c>
      <c r="H713" s="6">
        <f>IF(F713="GO",Eingaben!$B$11,IF(F713="STANDARD",Eingaben!$B$12,IF(AND(F713="HEAT",ISNUMBER(Eingaben!$B$13)),Eingaben!$B$13,"")))</f>
        <v>28.2744</v>
      </c>
      <c r="I713" s="6">
        <f>INDEX(Netzzeiten!$C$6:$C$29,HOUR(B713)+1)</f>
        <v>5.48</v>
      </c>
      <c r="J713" t="str">
        <f>IF(C713="","FEHLT",IF(NOT(ISNUMBER(C713)),"MESSWERT UNGUELTIG",IF(C713&lt;0,"MESSWERT UNGUELTIG",IF(H713="","TARIFPREIS FEHLT","OK"))))</f>
        <v>FEHLT</v>
      </c>
      <c r="K713" s="7">
        <f>IF(J713&lt;&gt;"OK","",C713*I713/100)</f>
        <v/>
      </c>
    </row>
    <row r="714" spans="1:11">
      <c r="A714" s="14">
        <v>46150</v>
      </c>
      <c r="B714" s="15">
        <v>0.375</v>
      </c>
      <c r="C714" s="5">
        <f>IF('96 Werte'!AL13="","",'96 Werte'!AL13)</f>
        <v/>
      </c>
      <c r="D714" t="str">
        <f>IF(IF(Eingaben!$B$21&lt;Eingaben!$B$22,AND(B714&gt;=Eingaben!$B$21,B714&lt;Eingaben!$B$22),OR(B714&gt;=Eingaben!$B$21,B714&lt;Eingaben!$B$22)),"GO",IF(AND(ISNUMBER(Eingaben!$B$23),ISNUMBER(Eingaben!$B$24),IF(Eingaben!$B$23&lt;Eingaben!$B$24,AND(B714&gt;=Eingaben!$B$23,B714&lt;Eingaben!$B$24),OR(B714&gt;=Eingaben!$B$23,B714&lt;Eingaben!$B$24))),"HEAT","STANDARD"))</f>
        <v>STANDARD</v>
      </c>
      <c r="E714" s="9"/>
      <c r="F714" t="str">
        <f>IF(E714="",D714,E714)</f>
        <v>STANDARD</v>
      </c>
      <c r="G714" t="str">
        <f>INDEX(Netzzeiten!$B$6:$B$29,HOUR(B714)+1)</f>
        <v>ST</v>
      </c>
      <c r="H714" s="6">
        <f>IF(F714="GO",Eingaben!$B$11,IF(F714="STANDARD",Eingaben!$B$12,IF(AND(F714="HEAT",ISNUMBER(Eingaben!$B$13)),Eingaben!$B$13,"")))</f>
        <v>28.2744</v>
      </c>
      <c r="I714" s="6">
        <f>INDEX(Netzzeiten!$C$6:$C$29,HOUR(B714)+1)</f>
        <v>5.48</v>
      </c>
      <c r="J714" t="str">
        <f>IF(C714="","FEHLT",IF(NOT(ISNUMBER(C714)),"MESSWERT UNGUELTIG",IF(C714&lt;0,"MESSWERT UNGUELTIG",IF(H714="","TARIFPREIS FEHLT","OK"))))</f>
        <v>FEHLT</v>
      </c>
      <c r="K714" s="7">
        <f>IF(J714&lt;&gt;"OK","",C714*I714/100)</f>
        <v/>
      </c>
    </row>
    <row r="715" spans="1:11">
      <c r="A715" s="14">
        <v>46150</v>
      </c>
      <c r="B715" s="15">
        <v>0.3854166666666667</v>
      </c>
      <c r="C715" s="5">
        <f>IF('96 Werte'!AM13="","",'96 Werte'!AM13)</f>
        <v/>
      </c>
      <c r="D715" t="str">
        <f>IF(IF(Eingaben!$B$21&lt;Eingaben!$B$22,AND(B715&gt;=Eingaben!$B$21,B715&lt;Eingaben!$B$22),OR(B715&gt;=Eingaben!$B$21,B715&lt;Eingaben!$B$22)),"GO",IF(AND(ISNUMBER(Eingaben!$B$23),ISNUMBER(Eingaben!$B$24),IF(Eingaben!$B$23&lt;Eingaben!$B$24,AND(B715&gt;=Eingaben!$B$23,B715&lt;Eingaben!$B$24),OR(B715&gt;=Eingaben!$B$23,B715&lt;Eingaben!$B$24))),"HEAT","STANDARD"))</f>
        <v>STANDARD</v>
      </c>
      <c r="E715" s="9"/>
      <c r="F715" t="str">
        <f>IF(E715="",D715,E715)</f>
        <v>STANDARD</v>
      </c>
      <c r="G715" t="str">
        <f>INDEX(Netzzeiten!$B$6:$B$29,HOUR(B715)+1)</f>
        <v>ST</v>
      </c>
      <c r="H715" s="6">
        <f>IF(F715="GO",Eingaben!$B$11,IF(F715="STANDARD",Eingaben!$B$12,IF(AND(F715="HEAT",ISNUMBER(Eingaben!$B$13)),Eingaben!$B$13,"")))</f>
        <v>28.2744</v>
      </c>
      <c r="I715" s="6">
        <f>INDEX(Netzzeiten!$C$6:$C$29,HOUR(B715)+1)</f>
        <v>5.48</v>
      </c>
      <c r="J715" t="str">
        <f>IF(C715="","FEHLT",IF(NOT(ISNUMBER(C715)),"MESSWERT UNGUELTIG",IF(C715&lt;0,"MESSWERT UNGUELTIG",IF(H715="","TARIFPREIS FEHLT","OK"))))</f>
        <v>FEHLT</v>
      </c>
      <c r="K715" s="7">
        <f>IF(J715&lt;&gt;"OK","",C715*I715/100)</f>
        <v/>
      </c>
    </row>
    <row r="716" spans="1:11">
      <c r="A716" s="14">
        <v>46150</v>
      </c>
      <c r="B716" s="15">
        <v>0.3958333333333333</v>
      </c>
      <c r="C716" s="5">
        <f>IF('96 Werte'!AN13="","",'96 Werte'!AN13)</f>
        <v/>
      </c>
      <c r="D716" t="str">
        <f>IF(IF(Eingaben!$B$21&lt;Eingaben!$B$22,AND(B716&gt;=Eingaben!$B$21,B716&lt;Eingaben!$B$22),OR(B716&gt;=Eingaben!$B$21,B716&lt;Eingaben!$B$22)),"GO",IF(AND(ISNUMBER(Eingaben!$B$23),ISNUMBER(Eingaben!$B$24),IF(Eingaben!$B$23&lt;Eingaben!$B$24,AND(B716&gt;=Eingaben!$B$23,B716&lt;Eingaben!$B$24),OR(B716&gt;=Eingaben!$B$23,B716&lt;Eingaben!$B$24))),"HEAT","STANDARD"))</f>
        <v>STANDARD</v>
      </c>
      <c r="E716" s="9"/>
      <c r="F716" t="str">
        <f>IF(E716="",D716,E716)</f>
        <v>STANDARD</v>
      </c>
      <c r="G716" t="str">
        <f>INDEX(Netzzeiten!$B$6:$B$29,HOUR(B716)+1)</f>
        <v>ST</v>
      </c>
      <c r="H716" s="6">
        <f>IF(F716="GO",Eingaben!$B$11,IF(F716="STANDARD",Eingaben!$B$12,IF(AND(F716="HEAT",ISNUMBER(Eingaben!$B$13)),Eingaben!$B$13,"")))</f>
        <v>28.2744</v>
      </c>
      <c r="I716" s="6">
        <f>INDEX(Netzzeiten!$C$6:$C$29,HOUR(B716)+1)</f>
        <v>5.48</v>
      </c>
      <c r="J716" t="str">
        <f>IF(C716="","FEHLT",IF(NOT(ISNUMBER(C716)),"MESSWERT UNGUELTIG",IF(C716&lt;0,"MESSWERT UNGUELTIG",IF(H716="","TARIFPREIS FEHLT","OK"))))</f>
        <v>FEHLT</v>
      </c>
      <c r="K716" s="7">
        <f>IF(J716&lt;&gt;"OK","",C716*I716/100)</f>
        <v/>
      </c>
    </row>
    <row r="717" spans="1:11">
      <c r="A717" s="14">
        <v>46150</v>
      </c>
      <c r="B717" s="15">
        <v>0.40625</v>
      </c>
      <c r="C717" s="5">
        <f>IF('96 Werte'!AO13="","",'96 Werte'!AO13)</f>
        <v/>
      </c>
      <c r="D717" t="str">
        <f>IF(IF(Eingaben!$B$21&lt;Eingaben!$B$22,AND(B717&gt;=Eingaben!$B$21,B717&lt;Eingaben!$B$22),OR(B717&gt;=Eingaben!$B$21,B717&lt;Eingaben!$B$22)),"GO",IF(AND(ISNUMBER(Eingaben!$B$23),ISNUMBER(Eingaben!$B$24),IF(Eingaben!$B$23&lt;Eingaben!$B$24,AND(B717&gt;=Eingaben!$B$23,B717&lt;Eingaben!$B$24),OR(B717&gt;=Eingaben!$B$23,B717&lt;Eingaben!$B$24))),"HEAT","STANDARD"))</f>
        <v>STANDARD</v>
      </c>
      <c r="E717" s="9"/>
      <c r="F717" t="str">
        <f>IF(E717="",D717,E717)</f>
        <v>STANDARD</v>
      </c>
      <c r="G717" t="str">
        <f>INDEX(Netzzeiten!$B$6:$B$29,HOUR(B717)+1)</f>
        <v>ST</v>
      </c>
      <c r="H717" s="6">
        <f>IF(F717="GO",Eingaben!$B$11,IF(F717="STANDARD",Eingaben!$B$12,IF(AND(F717="HEAT",ISNUMBER(Eingaben!$B$13)),Eingaben!$B$13,"")))</f>
        <v>28.2744</v>
      </c>
      <c r="I717" s="6">
        <f>INDEX(Netzzeiten!$C$6:$C$29,HOUR(B717)+1)</f>
        <v>5.48</v>
      </c>
      <c r="J717" t="str">
        <f>IF(C717="","FEHLT",IF(NOT(ISNUMBER(C717)),"MESSWERT UNGUELTIG",IF(C717&lt;0,"MESSWERT UNGUELTIG",IF(H717="","TARIFPREIS FEHLT","OK"))))</f>
        <v>FEHLT</v>
      </c>
      <c r="K717" s="7">
        <f>IF(J717&lt;&gt;"OK","",C717*I717/100)</f>
        <v/>
      </c>
    </row>
    <row r="718" spans="1:11">
      <c r="A718" s="14">
        <v>46150</v>
      </c>
      <c r="B718" s="15">
        <v>0.4166666666666667</v>
      </c>
      <c r="C718" s="5">
        <f>IF('96 Werte'!AP13="","",'96 Werte'!AP13)</f>
        <v/>
      </c>
      <c r="D718" t="str">
        <f>IF(IF(Eingaben!$B$21&lt;Eingaben!$B$22,AND(B718&gt;=Eingaben!$B$21,B718&lt;Eingaben!$B$22),OR(B718&gt;=Eingaben!$B$21,B718&lt;Eingaben!$B$22)),"GO",IF(AND(ISNUMBER(Eingaben!$B$23),ISNUMBER(Eingaben!$B$24),IF(Eingaben!$B$23&lt;Eingaben!$B$24,AND(B718&gt;=Eingaben!$B$23,B718&lt;Eingaben!$B$24),OR(B718&gt;=Eingaben!$B$23,B718&lt;Eingaben!$B$24))),"HEAT","STANDARD"))</f>
        <v>STANDARD</v>
      </c>
      <c r="E718" s="9"/>
      <c r="F718" t="str">
        <f>IF(E718="",D718,E718)</f>
        <v>STANDARD</v>
      </c>
      <c r="G718" t="str">
        <f>INDEX(Netzzeiten!$B$6:$B$29,HOUR(B718)+1)</f>
        <v>ST</v>
      </c>
      <c r="H718" s="6">
        <f>IF(F718="GO",Eingaben!$B$11,IF(F718="STANDARD",Eingaben!$B$12,IF(AND(F718="HEAT",ISNUMBER(Eingaben!$B$13)),Eingaben!$B$13,"")))</f>
        <v>28.2744</v>
      </c>
      <c r="I718" s="6">
        <f>INDEX(Netzzeiten!$C$6:$C$29,HOUR(B718)+1)</f>
        <v>5.48</v>
      </c>
      <c r="J718" t="str">
        <f>IF(C718="","FEHLT",IF(NOT(ISNUMBER(C718)),"MESSWERT UNGUELTIG",IF(C718&lt;0,"MESSWERT UNGUELTIG",IF(H718="","TARIFPREIS FEHLT","OK"))))</f>
        <v>FEHLT</v>
      </c>
      <c r="K718" s="7">
        <f>IF(J718&lt;&gt;"OK","",C718*I718/100)</f>
        <v/>
      </c>
    </row>
    <row r="719" spans="1:11">
      <c r="A719" s="14">
        <v>46150</v>
      </c>
      <c r="B719" s="15">
        <v>0.4270833333333333</v>
      </c>
      <c r="C719" s="5">
        <f>IF('96 Werte'!AQ13="","",'96 Werte'!AQ13)</f>
        <v/>
      </c>
      <c r="D719" t="str">
        <f>IF(IF(Eingaben!$B$21&lt;Eingaben!$B$22,AND(B719&gt;=Eingaben!$B$21,B719&lt;Eingaben!$B$22),OR(B719&gt;=Eingaben!$B$21,B719&lt;Eingaben!$B$22)),"GO",IF(AND(ISNUMBER(Eingaben!$B$23),ISNUMBER(Eingaben!$B$24),IF(Eingaben!$B$23&lt;Eingaben!$B$24,AND(B719&gt;=Eingaben!$B$23,B719&lt;Eingaben!$B$24),OR(B719&gt;=Eingaben!$B$23,B719&lt;Eingaben!$B$24))),"HEAT","STANDARD"))</f>
        <v>STANDARD</v>
      </c>
      <c r="E719" s="9"/>
      <c r="F719" t="str">
        <f>IF(E719="",D719,E719)</f>
        <v>STANDARD</v>
      </c>
      <c r="G719" t="str">
        <f>INDEX(Netzzeiten!$B$6:$B$29,HOUR(B719)+1)</f>
        <v>ST</v>
      </c>
      <c r="H719" s="6">
        <f>IF(F719="GO",Eingaben!$B$11,IF(F719="STANDARD",Eingaben!$B$12,IF(AND(F719="HEAT",ISNUMBER(Eingaben!$B$13)),Eingaben!$B$13,"")))</f>
        <v>28.2744</v>
      </c>
      <c r="I719" s="6">
        <f>INDEX(Netzzeiten!$C$6:$C$29,HOUR(B719)+1)</f>
        <v>5.48</v>
      </c>
      <c r="J719" t="str">
        <f>IF(C719="","FEHLT",IF(NOT(ISNUMBER(C719)),"MESSWERT UNGUELTIG",IF(C719&lt;0,"MESSWERT UNGUELTIG",IF(H719="","TARIFPREIS FEHLT","OK"))))</f>
        <v>FEHLT</v>
      </c>
      <c r="K719" s="7">
        <f>IF(J719&lt;&gt;"OK","",C719*I719/100)</f>
        <v/>
      </c>
    </row>
    <row r="720" spans="1:11">
      <c r="A720" s="14">
        <v>46150</v>
      </c>
      <c r="B720" s="15">
        <v>0.4375</v>
      </c>
      <c r="C720" s="5">
        <f>IF('96 Werte'!AR13="","",'96 Werte'!AR13)</f>
        <v/>
      </c>
      <c r="D720" t="str">
        <f>IF(IF(Eingaben!$B$21&lt;Eingaben!$B$22,AND(B720&gt;=Eingaben!$B$21,B720&lt;Eingaben!$B$22),OR(B720&gt;=Eingaben!$B$21,B720&lt;Eingaben!$B$22)),"GO",IF(AND(ISNUMBER(Eingaben!$B$23),ISNUMBER(Eingaben!$B$24),IF(Eingaben!$B$23&lt;Eingaben!$B$24,AND(B720&gt;=Eingaben!$B$23,B720&lt;Eingaben!$B$24),OR(B720&gt;=Eingaben!$B$23,B720&lt;Eingaben!$B$24))),"HEAT","STANDARD"))</f>
        <v>STANDARD</v>
      </c>
      <c r="E720" s="9"/>
      <c r="F720" t="str">
        <f>IF(E720="",D720,E720)</f>
        <v>STANDARD</v>
      </c>
      <c r="G720" t="str">
        <f>INDEX(Netzzeiten!$B$6:$B$29,HOUR(B720)+1)</f>
        <v>ST</v>
      </c>
      <c r="H720" s="6">
        <f>IF(F720="GO",Eingaben!$B$11,IF(F720="STANDARD",Eingaben!$B$12,IF(AND(F720="HEAT",ISNUMBER(Eingaben!$B$13)),Eingaben!$B$13,"")))</f>
        <v>28.2744</v>
      </c>
      <c r="I720" s="6">
        <f>INDEX(Netzzeiten!$C$6:$C$29,HOUR(B720)+1)</f>
        <v>5.48</v>
      </c>
      <c r="J720" t="str">
        <f>IF(C720="","FEHLT",IF(NOT(ISNUMBER(C720)),"MESSWERT UNGUELTIG",IF(C720&lt;0,"MESSWERT UNGUELTIG",IF(H720="","TARIFPREIS FEHLT","OK"))))</f>
        <v>FEHLT</v>
      </c>
      <c r="K720" s="7">
        <f>IF(J720&lt;&gt;"OK","",C720*I720/100)</f>
        <v/>
      </c>
    </row>
    <row r="721" spans="1:11">
      <c r="A721" s="14">
        <v>46150</v>
      </c>
      <c r="B721" s="15">
        <v>0.4479166666666667</v>
      </c>
      <c r="C721" s="5">
        <f>IF('96 Werte'!AS13="","",'96 Werte'!AS13)</f>
        <v/>
      </c>
      <c r="D721" t="str">
        <f>IF(IF(Eingaben!$B$21&lt;Eingaben!$B$22,AND(B721&gt;=Eingaben!$B$21,B721&lt;Eingaben!$B$22),OR(B721&gt;=Eingaben!$B$21,B721&lt;Eingaben!$B$22)),"GO",IF(AND(ISNUMBER(Eingaben!$B$23),ISNUMBER(Eingaben!$B$24),IF(Eingaben!$B$23&lt;Eingaben!$B$24,AND(B721&gt;=Eingaben!$B$23,B721&lt;Eingaben!$B$24),OR(B721&gt;=Eingaben!$B$23,B721&lt;Eingaben!$B$24))),"HEAT","STANDARD"))</f>
        <v>STANDARD</v>
      </c>
      <c r="E721" s="9"/>
      <c r="F721" t="str">
        <f>IF(E721="",D721,E721)</f>
        <v>STANDARD</v>
      </c>
      <c r="G721" t="str">
        <f>INDEX(Netzzeiten!$B$6:$B$29,HOUR(B721)+1)</f>
        <v>ST</v>
      </c>
      <c r="H721" s="6">
        <f>IF(F721="GO",Eingaben!$B$11,IF(F721="STANDARD",Eingaben!$B$12,IF(AND(F721="HEAT",ISNUMBER(Eingaben!$B$13)),Eingaben!$B$13,"")))</f>
        <v>28.2744</v>
      </c>
      <c r="I721" s="6">
        <f>INDEX(Netzzeiten!$C$6:$C$29,HOUR(B721)+1)</f>
        <v>5.48</v>
      </c>
      <c r="J721" t="str">
        <f>IF(C721="","FEHLT",IF(NOT(ISNUMBER(C721)),"MESSWERT UNGUELTIG",IF(C721&lt;0,"MESSWERT UNGUELTIG",IF(H721="","TARIFPREIS FEHLT","OK"))))</f>
        <v>FEHLT</v>
      </c>
      <c r="K721" s="7">
        <f>IF(J721&lt;&gt;"OK","",C721*I721/100)</f>
        <v/>
      </c>
    </row>
    <row r="722" spans="1:11">
      <c r="A722" s="14">
        <v>46150</v>
      </c>
      <c r="B722" s="15">
        <v>0.4583333333333333</v>
      </c>
      <c r="C722" s="5">
        <f>IF('96 Werte'!AT13="","",'96 Werte'!AT13)</f>
        <v/>
      </c>
      <c r="D722" t="str">
        <f>IF(IF(Eingaben!$B$21&lt;Eingaben!$B$22,AND(B722&gt;=Eingaben!$B$21,B722&lt;Eingaben!$B$22),OR(B722&gt;=Eingaben!$B$21,B722&lt;Eingaben!$B$22)),"GO",IF(AND(ISNUMBER(Eingaben!$B$23),ISNUMBER(Eingaben!$B$24),IF(Eingaben!$B$23&lt;Eingaben!$B$24,AND(B722&gt;=Eingaben!$B$23,B722&lt;Eingaben!$B$24),OR(B722&gt;=Eingaben!$B$23,B722&lt;Eingaben!$B$24))),"HEAT","STANDARD"))</f>
        <v>STANDARD</v>
      </c>
      <c r="E722" s="9"/>
      <c r="F722" t="str">
        <f>IF(E722="",D722,E722)</f>
        <v>STANDARD</v>
      </c>
      <c r="G722" t="str">
        <f>INDEX(Netzzeiten!$B$6:$B$29,HOUR(B722)+1)</f>
        <v>NT</v>
      </c>
      <c r="H722" s="6">
        <f>IF(F722="GO",Eingaben!$B$11,IF(F722="STANDARD",Eingaben!$B$12,IF(AND(F722="HEAT",ISNUMBER(Eingaben!$B$13)),Eingaben!$B$13,"")))</f>
        <v>28.2744</v>
      </c>
      <c r="I722" s="6">
        <f>INDEX(Netzzeiten!$C$6:$C$29,HOUR(B722)+1)</f>
        <v>1.64</v>
      </c>
      <c r="J722" t="str">
        <f>IF(C722="","FEHLT",IF(NOT(ISNUMBER(C722)),"MESSWERT UNGUELTIG",IF(C722&lt;0,"MESSWERT UNGUELTIG",IF(H722="","TARIFPREIS FEHLT","OK"))))</f>
        <v>FEHLT</v>
      </c>
      <c r="K722" s="7">
        <f>IF(J722&lt;&gt;"OK","",C722*I722/100)</f>
        <v/>
      </c>
    </row>
    <row r="723" spans="1:11">
      <c r="A723" s="14">
        <v>46150</v>
      </c>
      <c r="B723" s="15">
        <v>0.46875</v>
      </c>
      <c r="C723" s="5">
        <f>IF('96 Werte'!AU13="","",'96 Werte'!AU13)</f>
        <v/>
      </c>
      <c r="D723" t="str">
        <f>IF(IF(Eingaben!$B$21&lt;Eingaben!$B$22,AND(B723&gt;=Eingaben!$B$21,B723&lt;Eingaben!$B$22),OR(B723&gt;=Eingaben!$B$21,B723&lt;Eingaben!$B$22)),"GO",IF(AND(ISNUMBER(Eingaben!$B$23),ISNUMBER(Eingaben!$B$24),IF(Eingaben!$B$23&lt;Eingaben!$B$24,AND(B723&gt;=Eingaben!$B$23,B723&lt;Eingaben!$B$24),OR(B723&gt;=Eingaben!$B$23,B723&lt;Eingaben!$B$24))),"HEAT","STANDARD"))</f>
        <v>STANDARD</v>
      </c>
      <c r="E723" s="9"/>
      <c r="F723" t="str">
        <f>IF(E723="",D723,E723)</f>
        <v>STANDARD</v>
      </c>
      <c r="G723" t="str">
        <f>INDEX(Netzzeiten!$B$6:$B$29,HOUR(B723)+1)</f>
        <v>NT</v>
      </c>
      <c r="H723" s="6">
        <f>IF(F723="GO",Eingaben!$B$11,IF(F723="STANDARD",Eingaben!$B$12,IF(AND(F723="HEAT",ISNUMBER(Eingaben!$B$13)),Eingaben!$B$13,"")))</f>
        <v>28.2744</v>
      </c>
      <c r="I723" s="6">
        <f>INDEX(Netzzeiten!$C$6:$C$29,HOUR(B723)+1)</f>
        <v>1.64</v>
      </c>
      <c r="J723" t="str">
        <f>IF(C723="","FEHLT",IF(NOT(ISNUMBER(C723)),"MESSWERT UNGUELTIG",IF(C723&lt;0,"MESSWERT UNGUELTIG",IF(H723="","TARIFPREIS FEHLT","OK"))))</f>
        <v>FEHLT</v>
      </c>
      <c r="K723" s="7">
        <f>IF(J723&lt;&gt;"OK","",C723*I723/100)</f>
        <v/>
      </c>
    </row>
    <row r="724" spans="1:11">
      <c r="A724" s="14">
        <v>46150</v>
      </c>
      <c r="B724" s="15">
        <v>0.4791666666666667</v>
      </c>
      <c r="C724" s="5">
        <f>IF('96 Werte'!AV13="","",'96 Werte'!AV13)</f>
        <v/>
      </c>
      <c r="D724" t="str">
        <f>IF(IF(Eingaben!$B$21&lt;Eingaben!$B$22,AND(B724&gt;=Eingaben!$B$21,B724&lt;Eingaben!$B$22),OR(B724&gt;=Eingaben!$B$21,B724&lt;Eingaben!$B$22)),"GO",IF(AND(ISNUMBER(Eingaben!$B$23),ISNUMBER(Eingaben!$B$24),IF(Eingaben!$B$23&lt;Eingaben!$B$24,AND(B724&gt;=Eingaben!$B$23,B724&lt;Eingaben!$B$24),OR(B724&gt;=Eingaben!$B$23,B724&lt;Eingaben!$B$24))),"HEAT","STANDARD"))</f>
        <v>STANDARD</v>
      </c>
      <c r="E724" s="9"/>
      <c r="F724" t="str">
        <f>IF(E724="",D724,E724)</f>
        <v>STANDARD</v>
      </c>
      <c r="G724" t="str">
        <f>INDEX(Netzzeiten!$B$6:$B$29,HOUR(B724)+1)</f>
        <v>NT</v>
      </c>
      <c r="H724" s="6">
        <f>IF(F724="GO",Eingaben!$B$11,IF(F724="STANDARD",Eingaben!$B$12,IF(AND(F724="HEAT",ISNUMBER(Eingaben!$B$13)),Eingaben!$B$13,"")))</f>
        <v>28.2744</v>
      </c>
      <c r="I724" s="6">
        <f>INDEX(Netzzeiten!$C$6:$C$29,HOUR(B724)+1)</f>
        <v>1.64</v>
      </c>
      <c r="J724" t="str">
        <f>IF(C724="","FEHLT",IF(NOT(ISNUMBER(C724)),"MESSWERT UNGUELTIG",IF(C724&lt;0,"MESSWERT UNGUELTIG",IF(H724="","TARIFPREIS FEHLT","OK"))))</f>
        <v>FEHLT</v>
      </c>
      <c r="K724" s="7">
        <f>IF(J724&lt;&gt;"OK","",C724*I724/100)</f>
        <v/>
      </c>
    </row>
    <row r="725" spans="1:11">
      <c r="A725" s="14">
        <v>46150</v>
      </c>
      <c r="B725" s="15">
        <v>0.4895833333333333</v>
      </c>
      <c r="C725" s="5">
        <f>IF('96 Werte'!AW13="","",'96 Werte'!AW13)</f>
        <v/>
      </c>
      <c r="D725" t="str">
        <f>IF(IF(Eingaben!$B$21&lt;Eingaben!$B$22,AND(B725&gt;=Eingaben!$B$21,B725&lt;Eingaben!$B$22),OR(B725&gt;=Eingaben!$B$21,B725&lt;Eingaben!$B$22)),"GO",IF(AND(ISNUMBER(Eingaben!$B$23),ISNUMBER(Eingaben!$B$24),IF(Eingaben!$B$23&lt;Eingaben!$B$24,AND(B725&gt;=Eingaben!$B$23,B725&lt;Eingaben!$B$24),OR(B725&gt;=Eingaben!$B$23,B725&lt;Eingaben!$B$24))),"HEAT","STANDARD"))</f>
        <v>STANDARD</v>
      </c>
      <c r="E725" s="9"/>
      <c r="F725" t="str">
        <f>IF(E725="",D725,E725)</f>
        <v>STANDARD</v>
      </c>
      <c r="G725" t="str">
        <f>INDEX(Netzzeiten!$B$6:$B$29,HOUR(B725)+1)</f>
        <v>NT</v>
      </c>
      <c r="H725" s="6">
        <f>IF(F725="GO",Eingaben!$B$11,IF(F725="STANDARD",Eingaben!$B$12,IF(AND(F725="HEAT",ISNUMBER(Eingaben!$B$13)),Eingaben!$B$13,"")))</f>
        <v>28.2744</v>
      </c>
      <c r="I725" s="6">
        <f>INDEX(Netzzeiten!$C$6:$C$29,HOUR(B725)+1)</f>
        <v>1.64</v>
      </c>
      <c r="J725" t="str">
        <f>IF(C725="","FEHLT",IF(NOT(ISNUMBER(C725)),"MESSWERT UNGUELTIG",IF(C725&lt;0,"MESSWERT UNGUELTIG",IF(H725="","TARIFPREIS FEHLT","OK"))))</f>
        <v>FEHLT</v>
      </c>
      <c r="K725" s="7">
        <f>IF(J725&lt;&gt;"OK","",C725*I725/100)</f>
        <v/>
      </c>
    </row>
    <row r="726" spans="1:11">
      <c r="A726" s="14">
        <v>46150</v>
      </c>
      <c r="B726" s="15">
        <v>0.5</v>
      </c>
      <c r="C726" s="5">
        <f>IF('96 Werte'!AX13="","",'96 Werte'!AX13)</f>
        <v/>
      </c>
      <c r="D726" t="str">
        <f>IF(IF(Eingaben!$B$21&lt;Eingaben!$B$22,AND(B726&gt;=Eingaben!$B$21,B726&lt;Eingaben!$B$22),OR(B726&gt;=Eingaben!$B$21,B726&lt;Eingaben!$B$22)),"GO",IF(AND(ISNUMBER(Eingaben!$B$23),ISNUMBER(Eingaben!$B$24),IF(Eingaben!$B$23&lt;Eingaben!$B$24,AND(B726&gt;=Eingaben!$B$23,B726&lt;Eingaben!$B$24),OR(B726&gt;=Eingaben!$B$23,B726&lt;Eingaben!$B$24))),"HEAT","STANDARD"))</f>
        <v>STANDARD</v>
      </c>
      <c r="E726" s="9"/>
      <c r="F726" t="str">
        <f>IF(E726="",D726,E726)</f>
        <v>STANDARD</v>
      </c>
      <c r="G726" t="str">
        <f>INDEX(Netzzeiten!$B$6:$B$29,HOUR(B726)+1)</f>
        <v>NT</v>
      </c>
      <c r="H726" s="6">
        <f>IF(F726="GO",Eingaben!$B$11,IF(F726="STANDARD",Eingaben!$B$12,IF(AND(F726="HEAT",ISNUMBER(Eingaben!$B$13)),Eingaben!$B$13,"")))</f>
        <v>28.2744</v>
      </c>
      <c r="I726" s="6">
        <f>INDEX(Netzzeiten!$C$6:$C$29,HOUR(B726)+1)</f>
        <v>1.64</v>
      </c>
      <c r="J726" t="str">
        <f>IF(C726="","FEHLT",IF(NOT(ISNUMBER(C726)),"MESSWERT UNGUELTIG",IF(C726&lt;0,"MESSWERT UNGUELTIG",IF(H726="","TARIFPREIS FEHLT","OK"))))</f>
        <v>FEHLT</v>
      </c>
      <c r="K726" s="7">
        <f>IF(J726&lt;&gt;"OK","",C726*I726/100)</f>
        <v/>
      </c>
    </row>
    <row r="727" spans="1:11">
      <c r="A727" s="14">
        <v>46150</v>
      </c>
      <c r="B727" s="15">
        <v>0.5104166666666666</v>
      </c>
      <c r="C727" s="5">
        <f>IF('96 Werte'!AY13="","",'96 Werte'!AY13)</f>
        <v/>
      </c>
      <c r="D727" t="str">
        <f>IF(IF(Eingaben!$B$21&lt;Eingaben!$B$22,AND(B727&gt;=Eingaben!$B$21,B727&lt;Eingaben!$B$22),OR(B727&gt;=Eingaben!$B$21,B727&lt;Eingaben!$B$22)),"GO",IF(AND(ISNUMBER(Eingaben!$B$23),ISNUMBER(Eingaben!$B$24),IF(Eingaben!$B$23&lt;Eingaben!$B$24,AND(B727&gt;=Eingaben!$B$23,B727&lt;Eingaben!$B$24),OR(B727&gt;=Eingaben!$B$23,B727&lt;Eingaben!$B$24))),"HEAT","STANDARD"))</f>
        <v>STANDARD</v>
      </c>
      <c r="E727" s="9"/>
      <c r="F727" t="str">
        <f>IF(E727="",D727,E727)</f>
        <v>STANDARD</v>
      </c>
      <c r="G727" t="str">
        <f>INDEX(Netzzeiten!$B$6:$B$29,HOUR(B727)+1)</f>
        <v>NT</v>
      </c>
      <c r="H727" s="6">
        <f>IF(F727="GO",Eingaben!$B$11,IF(F727="STANDARD",Eingaben!$B$12,IF(AND(F727="HEAT",ISNUMBER(Eingaben!$B$13)),Eingaben!$B$13,"")))</f>
        <v>28.2744</v>
      </c>
      <c r="I727" s="6">
        <f>INDEX(Netzzeiten!$C$6:$C$29,HOUR(B727)+1)</f>
        <v>1.64</v>
      </c>
      <c r="J727" t="str">
        <f>IF(C727="","FEHLT",IF(NOT(ISNUMBER(C727)),"MESSWERT UNGUELTIG",IF(C727&lt;0,"MESSWERT UNGUELTIG",IF(H727="","TARIFPREIS FEHLT","OK"))))</f>
        <v>FEHLT</v>
      </c>
      <c r="K727" s="7">
        <f>IF(J727&lt;&gt;"OK","",C727*I727/100)</f>
        <v/>
      </c>
    </row>
    <row r="728" spans="1:11">
      <c r="A728" s="14">
        <v>46150</v>
      </c>
      <c r="B728" s="15">
        <v>0.5208333333333334</v>
      </c>
      <c r="C728" s="5">
        <f>IF('96 Werte'!AZ13="","",'96 Werte'!AZ13)</f>
        <v/>
      </c>
      <c r="D728" t="str">
        <f>IF(IF(Eingaben!$B$21&lt;Eingaben!$B$22,AND(B728&gt;=Eingaben!$B$21,B728&lt;Eingaben!$B$22),OR(B728&gt;=Eingaben!$B$21,B728&lt;Eingaben!$B$22)),"GO",IF(AND(ISNUMBER(Eingaben!$B$23),ISNUMBER(Eingaben!$B$24),IF(Eingaben!$B$23&lt;Eingaben!$B$24,AND(B728&gt;=Eingaben!$B$23,B728&lt;Eingaben!$B$24),OR(B728&gt;=Eingaben!$B$23,B728&lt;Eingaben!$B$24))),"HEAT","STANDARD"))</f>
        <v>STANDARD</v>
      </c>
      <c r="E728" s="9"/>
      <c r="F728" t="str">
        <f>IF(E728="",D728,E728)</f>
        <v>STANDARD</v>
      </c>
      <c r="G728" t="str">
        <f>INDEX(Netzzeiten!$B$6:$B$29,HOUR(B728)+1)</f>
        <v>NT</v>
      </c>
      <c r="H728" s="6">
        <f>IF(F728="GO",Eingaben!$B$11,IF(F728="STANDARD",Eingaben!$B$12,IF(AND(F728="HEAT",ISNUMBER(Eingaben!$B$13)),Eingaben!$B$13,"")))</f>
        <v>28.2744</v>
      </c>
      <c r="I728" s="6">
        <f>INDEX(Netzzeiten!$C$6:$C$29,HOUR(B728)+1)</f>
        <v>1.64</v>
      </c>
      <c r="J728" t="str">
        <f>IF(C728="","FEHLT",IF(NOT(ISNUMBER(C728)),"MESSWERT UNGUELTIG",IF(C728&lt;0,"MESSWERT UNGUELTIG",IF(H728="","TARIFPREIS FEHLT","OK"))))</f>
        <v>FEHLT</v>
      </c>
      <c r="K728" s="7">
        <f>IF(J728&lt;&gt;"OK","",C728*I728/100)</f>
        <v/>
      </c>
    </row>
    <row r="729" spans="1:11">
      <c r="A729" s="14">
        <v>46150</v>
      </c>
      <c r="B729" s="15">
        <v>0.53125</v>
      </c>
      <c r="C729" s="5">
        <f>IF('96 Werte'!BA13="","",'96 Werte'!BA13)</f>
        <v/>
      </c>
      <c r="D729" t="str">
        <f>IF(IF(Eingaben!$B$21&lt;Eingaben!$B$22,AND(B729&gt;=Eingaben!$B$21,B729&lt;Eingaben!$B$22),OR(B729&gt;=Eingaben!$B$21,B729&lt;Eingaben!$B$22)),"GO",IF(AND(ISNUMBER(Eingaben!$B$23),ISNUMBER(Eingaben!$B$24),IF(Eingaben!$B$23&lt;Eingaben!$B$24,AND(B729&gt;=Eingaben!$B$23,B729&lt;Eingaben!$B$24),OR(B729&gt;=Eingaben!$B$23,B729&lt;Eingaben!$B$24))),"HEAT","STANDARD"))</f>
        <v>STANDARD</v>
      </c>
      <c r="E729" s="9"/>
      <c r="F729" t="str">
        <f>IF(E729="",D729,E729)</f>
        <v>STANDARD</v>
      </c>
      <c r="G729" t="str">
        <f>INDEX(Netzzeiten!$B$6:$B$29,HOUR(B729)+1)</f>
        <v>NT</v>
      </c>
      <c r="H729" s="6">
        <f>IF(F729="GO",Eingaben!$B$11,IF(F729="STANDARD",Eingaben!$B$12,IF(AND(F729="HEAT",ISNUMBER(Eingaben!$B$13)),Eingaben!$B$13,"")))</f>
        <v>28.2744</v>
      </c>
      <c r="I729" s="6">
        <f>INDEX(Netzzeiten!$C$6:$C$29,HOUR(B729)+1)</f>
        <v>1.64</v>
      </c>
      <c r="J729" t="str">
        <f>IF(C729="","FEHLT",IF(NOT(ISNUMBER(C729)),"MESSWERT UNGUELTIG",IF(C729&lt;0,"MESSWERT UNGUELTIG",IF(H729="","TARIFPREIS FEHLT","OK"))))</f>
        <v>FEHLT</v>
      </c>
      <c r="K729" s="7">
        <f>IF(J729&lt;&gt;"OK","",C729*I729/100)</f>
        <v/>
      </c>
    </row>
    <row r="730" spans="1:11">
      <c r="A730" s="14">
        <v>46150</v>
      </c>
      <c r="B730" s="15">
        <v>0.5416666666666666</v>
      </c>
      <c r="C730" s="5">
        <f>IF('96 Werte'!BB13="","",'96 Werte'!BB13)</f>
        <v/>
      </c>
      <c r="D730" t="str">
        <f>IF(IF(Eingaben!$B$21&lt;Eingaben!$B$22,AND(B730&gt;=Eingaben!$B$21,B730&lt;Eingaben!$B$22),OR(B730&gt;=Eingaben!$B$21,B730&lt;Eingaben!$B$22)),"GO",IF(AND(ISNUMBER(Eingaben!$B$23),ISNUMBER(Eingaben!$B$24),IF(Eingaben!$B$23&lt;Eingaben!$B$24,AND(B730&gt;=Eingaben!$B$23,B730&lt;Eingaben!$B$24),OR(B730&gt;=Eingaben!$B$23,B730&lt;Eingaben!$B$24))),"HEAT","STANDARD"))</f>
        <v>STANDARD</v>
      </c>
      <c r="E730" s="9"/>
      <c r="F730" t="str">
        <f>IF(E730="",D730,E730)</f>
        <v>STANDARD</v>
      </c>
      <c r="G730" t="str">
        <f>INDEX(Netzzeiten!$B$6:$B$29,HOUR(B730)+1)</f>
        <v>NT</v>
      </c>
      <c r="H730" s="6">
        <f>IF(F730="GO",Eingaben!$B$11,IF(F730="STANDARD",Eingaben!$B$12,IF(AND(F730="HEAT",ISNUMBER(Eingaben!$B$13)),Eingaben!$B$13,"")))</f>
        <v>28.2744</v>
      </c>
      <c r="I730" s="6">
        <f>INDEX(Netzzeiten!$C$6:$C$29,HOUR(B730)+1)</f>
        <v>1.64</v>
      </c>
      <c r="J730" t="str">
        <f>IF(C730="","FEHLT",IF(NOT(ISNUMBER(C730)),"MESSWERT UNGUELTIG",IF(C730&lt;0,"MESSWERT UNGUELTIG",IF(H730="","TARIFPREIS FEHLT","OK"))))</f>
        <v>FEHLT</v>
      </c>
      <c r="K730" s="7">
        <f>IF(J730&lt;&gt;"OK","",C730*I730/100)</f>
        <v/>
      </c>
    </row>
    <row r="731" spans="1:11">
      <c r="A731" s="14">
        <v>46150</v>
      </c>
      <c r="B731" s="15">
        <v>0.5520833333333334</v>
      </c>
      <c r="C731" s="5">
        <f>IF('96 Werte'!BC13="","",'96 Werte'!BC13)</f>
        <v/>
      </c>
      <c r="D731" t="str">
        <f>IF(IF(Eingaben!$B$21&lt;Eingaben!$B$22,AND(B731&gt;=Eingaben!$B$21,B731&lt;Eingaben!$B$22),OR(B731&gt;=Eingaben!$B$21,B731&lt;Eingaben!$B$22)),"GO",IF(AND(ISNUMBER(Eingaben!$B$23),ISNUMBER(Eingaben!$B$24),IF(Eingaben!$B$23&lt;Eingaben!$B$24,AND(B731&gt;=Eingaben!$B$23,B731&lt;Eingaben!$B$24),OR(B731&gt;=Eingaben!$B$23,B731&lt;Eingaben!$B$24))),"HEAT","STANDARD"))</f>
        <v>STANDARD</v>
      </c>
      <c r="E731" s="9"/>
      <c r="F731" t="str">
        <f>IF(E731="",D731,E731)</f>
        <v>STANDARD</v>
      </c>
      <c r="G731" t="str">
        <f>INDEX(Netzzeiten!$B$6:$B$29,HOUR(B731)+1)</f>
        <v>NT</v>
      </c>
      <c r="H731" s="6">
        <f>IF(F731="GO",Eingaben!$B$11,IF(F731="STANDARD",Eingaben!$B$12,IF(AND(F731="HEAT",ISNUMBER(Eingaben!$B$13)),Eingaben!$B$13,"")))</f>
        <v>28.2744</v>
      </c>
      <c r="I731" s="6">
        <f>INDEX(Netzzeiten!$C$6:$C$29,HOUR(B731)+1)</f>
        <v>1.64</v>
      </c>
      <c r="J731" t="str">
        <f>IF(C731="","FEHLT",IF(NOT(ISNUMBER(C731)),"MESSWERT UNGUELTIG",IF(C731&lt;0,"MESSWERT UNGUELTIG",IF(H731="","TARIFPREIS FEHLT","OK"))))</f>
        <v>FEHLT</v>
      </c>
      <c r="K731" s="7">
        <f>IF(J731&lt;&gt;"OK","",C731*I731/100)</f>
        <v/>
      </c>
    </row>
    <row r="732" spans="1:11">
      <c r="A732" s="14">
        <v>46150</v>
      </c>
      <c r="B732" s="15">
        <v>0.5625</v>
      </c>
      <c r="C732" s="5">
        <f>IF('96 Werte'!BD13="","",'96 Werte'!BD13)</f>
        <v/>
      </c>
      <c r="D732" t="str">
        <f>IF(IF(Eingaben!$B$21&lt;Eingaben!$B$22,AND(B732&gt;=Eingaben!$B$21,B732&lt;Eingaben!$B$22),OR(B732&gt;=Eingaben!$B$21,B732&lt;Eingaben!$B$22)),"GO",IF(AND(ISNUMBER(Eingaben!$B$23),ISNUMBER(Eingaben!$B$24),IF(Eingaben!$B$23&lt;Eingaben!$B$24,AND(B732&gt;=Eingaben!$B$23,B732&lt;Eingaben!$B$24),OR(B732&gt;=Eingaben!$B$23,B732&lt;Eingaben!$B$24))),"HEAT","STANDARD"))</f>
        <v>STANDARD</v>
      </c>
      <c r="E732" s="9"/>
      <c r="F732" t="str">
        <f>IF(E732="",D732,E732)</f>
        <v>STANDARD</v>
      </c>
      <c r="G732" t="str">
        <f>INDEX(Netzzeiten!$B$6:$B$29,HOUR(B732)+1)</f>
        <v>NT</v>
      </c>
      <c r="H732" s="6">
        <f>IF(F732="GO",Eingaben!$B$11,IF(F732="STANDARD",Eingaben!$B$12,IF(AND(F732="HEAT",ISNUMBER(Eingaben!$B$13)),Eingaben!$B$13,"")))</f>
        <v>28.2744</v>
      </c>
      <c r="I732" s="6">
        <f>INDEX(Netzzeiten!$C$6:$C$29,HOUR(B732)+1)</f>
        <v>1.64</v>
      </c>
      <c r="J732" t="str">
        <f>IF(C732="","FEHLT",IF(NOT(ISNUMBER(C732)),"MESSWERT UNGUELTIG",IF(C732&lt;0,"MESSWERT UNGUELTIG",IF(H732="","TARIFPREIS FEHLT","OK"))))</f>
        <v>FEHLT</v>
      </c>
      <c r="K732" s="7">
        <f>IF(J732&lt;&gt;"OK","",C732*I732/100)</f>
        <v/>
      </c>
    </row>
    <row r="733" spans="1:11">
      <c r="A733" s="14">
        <v>46150</v>
      </c>
      <c r="B733" s="15">
        <v>0.5729166666666666</v>
      </c>
      <c r="C733" s="5">
        <f>IF('96 Werte'!BE13="","",'96 Werte'!BE13)</f>
        <v/>
      </c>
      <c r="D733" t="str">
        <f>IF(IF(Eingaben!$B$21&lt;Eingaben!$B$22,AND(B733&gt;=Eingaben!$B$21,B733&lt;Eingaben!$B$22),OR(B733&gt;=Eingaben!$B$21,B733&lt;Eingaben!$B$22)),"GO",IF(AND(ISNUMBER(Eingaben!$B$23),ISNUMBER(Eingaben!$B$24),IF(Eingaben!$B$23&lt;Eingaben!$B$24,AND(B733&gt;=Eingaben!$B$23,B733&lt;Eingaben!$B$24),OR(B733&gt;=Eingaben!$B$23,B733&lt;Eingaben!$B$24))),"HEAT","STANDARD"))</f>
        <v>STANDARD</v>
      </c>
      <c r="E733" s="9"/>
      <c r="F733" t="str">
        <f>IF(E733="",D733,E733)</f>
        <v>STANDARD</v>
      </c>
      <c r="G733" t="str">
        <f>INDEX(Netzzeiten!$B$6:$B$29,HOUR(B733)+1)</f>
        <v>NT</v>
      </c>
      <c r="H733" s="6">
        <f>IF(F733="GO",Eingaben!$B$11,IF(F733="STANDARD",Eingaben!$B$12,IF(AND(F733="HEAT",ISNUMBER(Eingaben!$B$13)),Eingaben!$B$13,"")))</f>
        <v>28.2744</v>
      </c>
      <c r="I733" s="6">
        <f>INDEX(Netzzeiten!$C$6:$C$29,HOUR(B733)+1)</f>
        <v>1.64</v>
      </c>
      <c r="J733" t="str">
        <f>IF(C733="","FEHLT",IF(NOT(ISNUMBER(C733)),"MESSWERT UNGUELTIG",IF(C733&lt;0,"MESSWERT UNGUELTIG",IF(H733="","TARIFPREIS FEHLT","OK"))))</f>
        <v>FEHLT</v>
      </c>
      <c r="K733" s="7">
        <f>IF(J733&lt;&gt;"OK","",C733*I733/100)</f>
        <v/>
      </c>
    </row>
    <row r="734" spans="1:11">
      <c r="A734" s="14">
        <v>46150</v>
      </c>
      <c r="B734" s="15">
        <v>0.5833333333333334</v>
      </c>
      <c r="C734" s="5">
        <f>IF('96 Werte'!BF13="","",'96 Werte'!BF13)</f>
        <v/>
      </c>
      <c r="D734" t="str">
        <f>IF(IF(Eingaben!$B$21&lt;Eingaben!$B$22,AND(B734&gt;=Eingaben!$B$21,B734&lt;Eingaben!$B$22),OR(B734&gt;=Eingaben!$B$21,B734&lt;Eingaben!$B$22)),"GO",IF(AND(ISNUMBER(Eingaben!$B$23),ISNUMBER(Eingaben!$B$24),IF(Eingaben!$B$23&lt;Eingaben!$B$24,AND(B734&gt;=Eingaben!$B$23,B734&lt;Eingaben!$B$24),OR(B734&gt;=Eingaben!$B$23,B734&lt;Eingaben!$B$24))),"HEAT","STANDARD"))</f>
        <v>STANDARD</v>
      </c>
      <c r="E734" s="9"/>
      <c r="F734" t="str">
        <f>IF(E734="",D734,E734)</f>
        <v>STANDARD</v>
      </c>
      <c r="G734" t="str">
        <f>INDEX(Netzzeiten!$B$6:$B$29,HOUR(B734)+1)</f>
        <v>NT</v>
      </c>
      <c r="H734" s="6">
        <f>IF(F734="GO",Eingaben!$B$11,IF(F734="STANDARD",Eingaben!$B$12,IF(AND(F734="HEAT",ISNUMBER(Eingaben!$B$13)),Eingaben!$B$13,"")))</f>
        <v>28.2744</v>
      </c>
      <c r="I734" s="6">
        <f>INDEX(Netzzeiten!$C$6:$C$29,HOUR(B734)+1)</f>
        <v>1.64</v>
      </c>
      <c r="J734" t="str">
        <f>IF(C734="","FEHLT",IF(NOT(ISNUMBER(C734)),"MESSWERT UNGUELTIG",IF(C734&lt;0,"MESSWERT UNGUELTIG",IF(H734="","TARIFPREIS FEHLT","OK"))))</f>
        <v>FEHLT</v>
      </c>
      <c r="K734" s="7">
        <f>IF(J734&lt;&gt;"OK","",C734*I734/100)</f>
        <v/>
      </c>
    </row>
    <row r="735" spans="1:11">
      <c r="A735" s="14">
        <v>46150</v>
      </c>
      <c r="B735" s="15">
        <v>0.59375</v>
      </c>
      <c r="C735" s="5">
        <f>IF('96 Werte'!BG13="","",'96 Werte'!BG13)</f>
        <v/>
      </c>
      <c r="D735" t="str">
        <f>IF(IF(Eingaben!$B$21&lt;Eingaben!$B$22,AND(B735&gt;=Eingaben!$B$21,B735&lt;Eingaben!$B$22),OR(B735&gt;=Eingaben!$B$21,B735&lt;Eingaben!$B$22)),"GO",IF(AND(ISNUMBER(Eingaben!$B$23),ISNUMBER(Eingaben!$B$24),IF(Eingaben!$B$23&lt;Eingaben!$B$24,AND(B735&gt;=Eingaben!$B$23,B735&lt;Eingaben!$B$24),OR(B735&gt;=Eingaben!$B$23,B735&lt;Eingaben!$B$24))),"HEAT","STANDARD"))</f>
        <v>STANDARD</v>
      </c>
      <c r="E735" s="9"/>
      <c r="F735" t="str">
        <f>IF(E735="",D735,E735)</f>
        <v>STANDARD</v>
      </c>
      <c r="G735" t="str">
        <f>INDEX(Netzzeiten!$B$6:$B$29,HOUR(B735)+1)</f>
        <v>NT</v>
      </c>
      <c r="H735" s="6">
        <f>IF(F735="GO",Eingaben!$B$11,IF(F735="STANDARD",Eingaben!$B$12,IF(AND(F735="HEAT",ISNUMBER(Eingaben!$B$13)),Eingaben!$B$13,"")))</f>
        <v>28.2744</v>
      </c>
      <c r="I735" s="6">
        <f>INDEX(Netzzeiten!$C$6:$C$29,HOUR(B735)+1)</f>
        <v>1.64</v>
      </c>
      <c r="J735" t="str">
        <f>IF(C735="","FEHLT",IF(NOT(ISNUMBER(C735)),"MESSWERT UNGUELTIG",IF(C735&lt;0,"MESSWERT UNGUELTIG",IF(H735="","TARIFPREIS FEHLT","OK"))))</f>
        <v>FEHLT</v>
      </c>
      <c r="K735" s="7">
        <f>IF(J735&lt;&gt;"OK","",C735*I735/100)</f>
        <v/>
      </c>
    </row>
    <row r="736" spans="1:11">
      <c r="A736" s="14">
        <v>46150</v>
      </c>
      <c r="B736" s="15">
        <v>0.6041666666666666</v>
      </c>
      <c r="C736" s="5">
        <f>IF('96 Werte'!BH13="","",'96 Werte'!BH13)</f>
        <v/>
      </c>
      <c r="D736" t="str">
        <f>IF(IF(Eingaben!$B$21&lt;Eingaben!$B$22,AND(B736&gt;=Eingaben!$B$21,B736&lt;Eingaben!$B$22),OR(B736&gt;=Eingaben!$B$21,B736&lt;Eingaben!$B$22)),"GO",IF(AND(ISNUMBER(Eingaben!$B$23),ISNUMBER(Eingaben!$B$24),IF(Eingaben!$B$23&lt;Eingaben!$B$24,AND(B736&gt;=Eingaben!$B$23,B736&lt;Eingaben!$B$24),OR(B736&gt;=Eingaben!$B$23,B736&lt;Eingaben!$B$24))),"HEAT","STANDARD"))</f>
        <v>STANDARD</v>
      </c>
      <c r="E736" s="9"/>
      <c r="F736" t="str">
        <f>IF(E736="",D736,E736)</f>
        <v>STANDARD</v>
      </c>
      <c r="G736" t="str">
        <f>INDEX(Netzzeiten!$B$6:$B$29,HOUR(B736)+1)</f>
        <v>NT</v>
      </c>
      <c r="H736" s="6">
        <f>IF(F736="GO",Eingaben!$B$11,IF(F736="STANDARD",Eingaben!$B$12,IF(AND(F736="HEAT",ISNUMBER(Eingaben!$B$13)),Eingaben!$B$13,"")))</f>
        <v>28.2744</v>
      </c>
      <c r="I736" s="6">
        <f>INDEX(Netzzeiten!$C$6:$C$29,HOUR(B736)+1)</f>
        <v>1.64</v>
      </c>
      <c r="J736" t="str">
        <f>IF(C736="","FEHLT",IF(NOT(ISNUMBER(C736)),"MESSWERT UNGUELTIG",IF(C736&lt;0,"MESSWERT UNGUELTIG",IF(H736="","TARIFPREIS FEHLT","OK"))))</f>
        <v>FEHLT</v>
      </c>
      <c r="K736" s="7">
        <f>IF(J736&lt;&gt;"OK","",C736*I736/100)</f>
        <v/>
      </c>
    </row>
    <row r="737" spans="1:11">
      <c r="A737" s="14">
        <v>46150</v>
      </c>
      <c r="B737" s="15">
        <v>0.6145833333333334</v>
      </c>
      <c r="C737" s="5">
        <f>IF('96 Werte'!BI13="","",'96 Werte'!BI13)</f>
        <v/>
      </c>
      <c r="D737" t="str">
        <f>IF(IF(Eingaben!$B$21&lt;Eingaben!$B$22,AND(B737&gt;=Eingaben!$B$21,B737&lt;Eingaben!$B$22),OR(B737&gt;=Eingaben!$B$21,B737&lt;Eingaben!$B$22)),"GO",IF(AND(ISNUMBER(Eingaben!$B$23),ISNUMBER(Eingaben!$B$24),IF(Eingaben!$B$23&lt;Eingaben!$B$24,AND(B737&gt;=Eingaben!$B$23,B737&lt;Eingaben!$B$24),OR(B737&gt;=Eingaben!$B$23,B737&lt;Eingaben!$B$24))),"HEAT","STANDARD"))</f>
        <v>STANDARD</v>
      </c>
      <c r="E737" s="9"/>
      <c r="F737" t="str">
        <f>IF(E737="",D737,E737)</f>
        <v>STANDARD</v>
      </c>
      <c r="G737" t="str">
        <f>INDEX(Netzzeiten!$B$6:$B$29,HOUR(B737)+1)</f>
        <v>NT</v>
      </c>
      <c r="H737" s="6">
        <f>IF(F737="GO",Eingaben!$B$11,IF(F737="STANDARD",Eingaben!$B$12,IF(AND(F737="HEAT",ISNUMBER(Eingaben!$B$13)),Eingaben!$B$13,"")))</f>
        <v>28.2744</v>
      </c>
      <c r="I737" s="6">
        <f>INDEX(Netzzeiten!$C$6:$C$29,HOUR(B737)+1)</f>
        <v>1.64</v>
      </c>
      <c r="J737" t="str">
        <f>IF(C737="","FEHLT",IF(NOT(ISNUMBER(C737)),"MESSWERT UNGUELTIG",IF(C737&lt;0,"MESSWERT UNGUELTIG",IF(H737="","TARIFPREIS FEHLT","OK"))))</f>
        <v>FEHLT</v>
      </c>
      <c r="K737" s="7">
        <f>IF(J737&lt;&gt;"OK","",C737*I737/100)</f>
        <v/>
      </c>
    </row>
    <row r="738" spans="1:11">
      <c r="A738" s="14">
        <v>46150</v>
      </c>
      <c r="B738" s="15">
        <v>0.625</v>
      </c>
      <c r="C738" s="5">
        <f>IF('96 Werte'!BJ13="","",'96 Werte'!BJ13)</f>
        <v/>
      </c>
      <c r="D738" t="str">
        <f>IF(IF(Eingaben!$B$21&lt;Eingaben!$B$22,AND(B738&gt;=Eingaben!$B$21,B738&lt;Eingaben!$B$22),OR(B738&gt;=Eingaben!$B$21,B738&lt;Eingaben!$B$22)),"GO",IF(AND(ISNUMBER(Eingaben!$B$23),ISNUMBER(Eingaben!$B$24),IF(Eingaben!$B$23&lt;Eingaben!$B$24,AND(B738&gt;=Eingaben!$B$23,B738&lt;Eingaben!$B$24),OR(B738&gt;=Eingaben!$B$23,B738&lt;Eingaben!$B$24))),"HEAT","STANDARD"))</f>
        <v>STANDARD</v>
      </c>
      <c r="E738" s="9"/>
      <c r="F738" t="str">
        <f>IF(E738="",D738,E738)</f>
        <v>STANDARD</v>
      </c>
      <c r="G738" t="str">
        <f>INDEX(Netzzeiten!$B$6:$B$29,HOUR(B738)+1)</f>
        <v>ST</v>
      </c>
      <c r="H738" s="6">
        <f>IF(F738="GO",Eingaben!$B$11,IF(F738="STANDARD",Eingaben!$B$12,IF(AND(F738="HEAT",ISNUMBER(Eingaben!$B$13)),Eingaben!$B$13,"")))</f>
        <v>28.2744</v>
      </c>
      <c r="I738" s="6">
        <f>INDEX(Netzzeiten!$C$6:$C$29,HOUR(B738)+1)</f>
        <v>5.48</v>
      </c>
      <c r="J738" t="str">
        <f>IF(C738="","FEHLT",IF(NOT(ISNUMBER(C738)),"MESSWERT UNGUELTIG",IF(C738&lt;0,"MESSWERT UNGUELTIG",IF(H738="","TARIFPREIS FEHLT","OK"))))</f>
        <v>FEHLT</v>
      </c>
      <c r="K738" s="7">
        <f>IF(J738&lt;&gt;"OK","",C738*I738/100)</f>
        <v/>
      </c>
    </row>
    <row r="739" spans="1:11">
      <c r="A739" s="14">
        <v>46150</v>
      </c>
      <c r="B739" s="15">
        <v>0.6354166666666666</v>
      </c>
      <c r="C739" s="5">
        <f>IF('96 Werte'!BK13="","",'96 Werte'!BK13)</f>
        <v/>
      </c>
      <c r="D739" t="str">
        <f>IF(IF(Eingaben!$B$21&lt;Eingaben!$B$22,AND(B739&gt;=Eingaben!$B$21,B739&lt;Eingaben!$B$22),OR(B739&gt;=Eingaben!$B$21,B739&lt;Eingaben!$B$22)),"GO",IF(AND(ISNUMBER(Eingaben!$B$23),ISNUMBER(Eingaben!$B$24),IF(Eingaben!$B$23&lt;Eingaben!$B$24,AND(B739&gt;=Eingaben!$B$23,B739&lt;Eingaben!$B$24),OR(B739&gt;=Eingaben!$B$23,B739&lt;Eingaben!$B$24))),"HEAT","STANDARD"))</f>
        <v>STANDARD</v>
      </c>
      <c r="E739" s="9"/>
      <c r="F739" t="str">
        <f>IF(E739="",D739,E739)</f>
        <v>STANDARD</v>
      </c>
      <c r="G739" t="str">
        <f>INDEX(Netzzeiten!$B$6:$B$29,HOUR(B739)+1)</f>
        <v>ST</v>
      </c>
      <c r="H739" s="6">
        <f>IF(F739="GO",Eingaben!$B$11,IF(F739="STANDARD",Eingaben!$B$12,IF(AND(F739="HEAT",ISNUMBER(Eingaben!$B$13)),Eingaben!$B$13,"")))</f>
        <v>28.2744</v>
      </c>
      <c r="I739" s="6">
        <f>INDEX(Netzzeiten!$C$6:$C$29,HOUR(B739)+1)</f>
        <v>5.48</v>
      </c>
      <c r="J739" t="str">
        <f>IF(C739="","FEHLT",IF(NOT(ISNUMBER(C739)),"MESSWERT UNGUELTIG",IF(C739&lt;0,"MESSWERT UNGUELTIG",IF(H739="","TARIFPREIS FEHLT","OK"))))</f>
        <v>FEHLT</v>
      </c>
      <c r="K739" s="7">
        <f>IF(J739&lt;&gt;"OK","",C739*I739/100)</f>
        <v/>
      </c>
    </row>
    <row r="740" spans="1:11">
      <c r="A740" s="14">
        <v>46150</v>
      </c>
      <c r="B740" s="15">
        <v>0.6458333333333334</v>
      </c>
      <c r="C740" s="5">
        <f>IF('96 Werte'!BL13="","",'96 Werte'!BL13)</f>
        <v/>
      </c>
      <c r="D740" t="str">
        <f>IF(IF(Eingaben!$B$21&lt;Eingaben!$B$22,AND(B740&gt;=Eingaben!$B$21,B740&lt;Eingaben!$B$22),OR(B740&gt;=Eingaben!$B$21,B740&lt;Eingaben!$B$22)),"GO",IF(AND(ISNUMBER(Eingaben!$B$23),ISNUMBER(Eingaben!$B$24),IF(Eingaben!$B$23&lt;Eingaben!$B$24,AND(B740&gt;=Eingaben!$B$23,B740&lt;Eingaben!$B$24),OR(B740&gt;=Eingaben!$B$23,B740&lt;Eingaben!$B$24))),"HEAT","STANDARD"))</f>
        <v>STANDARD</v>
      </c>
      <c r="E740" s="9"/>
      <c r="F740" t="str">
        <f>IF(E740="",D740,E740)</f>
        <v>STANDARD</v>
      </c>
      <c r="G740" t="str">
        <f>INDEX(Netzzeiten!$B$6:$B$29,HOUR(B740)+1)</f>
        <v>ST</v>
      </c>
      <c r="H740" s="6">
        <f>IF(F740="GO",Eingaben!$B$11,IF(F740="STANDARD",Eingaben!$B$12,IF(AND(F740="HEAT",ISNUMBER(Eingaben!$B$13)),Eingaben!$B$13,"")))</f>
        <v>28.2744</v>
      </c>
      <c r="I740" s="6">
        <f>INDEX(Netzzeiten!$C$6:$C$29,HOUR(B740)+1)</f>
        <v>5.48</v>
      </c>
      <c r="J740" t="str">
        <f>IF(C740="","FEHLT",IF(NOT(ISNUMBER(C740)),"MESSWERT UNGUELTIG",IF(C740&lt;0,"MESSWERT UNGUELTIG",IF(H740="","TARIFPREIS FEHLT","OK"))))</f>
        <v>FEHLT</v>
      </c>
      <c r="K740" s="7">
        <f>IF(J740&lt;&gt;"OK","",C740*I740/100)</f>
        <v/>
      </c>
    </row>
    <row r="741" spans="1:11">
      <c r="A741" s="14">
        <v>46150</v>
      </c>
      <c r="B741" s="15">
        <v>0.65625</v>
      </c>
      <c r="C741" s="5">
        <f>IF('96 Werte'!BM13="","",'96 Werte'!BM13)</f>
        <v/>
      </c>
      <c r="D741" t="str">
        <f>IF(IF(Eingaben!$B$21&lt;Eingaben!$B$22,AND(B741&gt;=Eingaben!$B$21,B741&lt;Eingaben!$B$22),OR(B741&gt;=Eingaben!$B$21,B741&lt;Eingaben!$B$22)),"GO",IF(AND(ISNUMBER(Eingaben!$B$23),ISNUMBER(Eingaben!$B$24),IF(Eingaben!$B$23&lt;Eingaben!$B$24,AND(B741&gt;=Eingaben!$B$23,B741&lt;Eingaben!$B$24),OR(B741&gt;=Eingaben!$B$23,B741&lt;Eingaben!$B$24))),"HEAT","STANDARD"))</f>
        <v>STANDARD</v>
      </c>
      <c r="E741" s="9"/>
      <c r="F741" t="str">
        <f>IF(E741="",D741,E741)</f>
        <v>STANDARD</v>
      </c>
      <c r="G741" t="str">
        <f>INDEX(Netzzeiten!$B$6:$B$29,HOUR(B741)+1)</f>
        <v>ST</v>
      </c>
      <c r="H741" s="6">
        <f>IF(F741="GO",Eingaben!$B$11,IF(F741="STANDARD",Eingaben!$B$12,IF(AND(F741="HEAT",ISNUMBER(Eingaben!$B$13)),Eingaben!$B$13,"")))</f>
        <v>28.2744</v>
      </c>
      <c r="I741" s="6">
        <f>INDEX(Netzzeiten!$C$6:$C$29,HOUR(B741)+1)</f>
        <v>5.48</v>
      </c>
      <c r="J741" t="str">
        <f>IF(C741="","FEHLT",IF(NOT(ISNUMBER(C741)),"MESSWERT UNGUELTIG",IF(C741&lt;0,"MESSWERT UNGUELTIG",IF(H741="","TARIFPREIS FEHLT","OK"))))</f>
        <v>FEHLT</v>
      </c>
      <c r="K741" s="7">
        <f>IF(J741&lt;&gt;"OK","",C741*I741/100)</f>
        <v/>
      </c>
    </row>
    <row r="742" spans="1:11">
      <c r="A742" s="14">
        <v>46150</v>
      </c>
      <c r="B742" s="15">
        <v>0.6666666666666666</v>
      </c>
      <c r="C742" s="5">
        <f>IF('96 Werte'!BN13="","",'96 Werte'!BN13)</f>
        <v/>
      </c>
      <c r="D742" t="str">
        <f>IF(IF(Eingaben!$B$21&lt;Eingaben!$B$22,AND(B742&gt;=Eingaben!$B$21,B742&lt;Eingaben!$B$22),OR(B742&gt;=Eingaben!$B$21,B742&lt;Eingaben!$B$22)),"GO",IF(AND(ISNUMBER(Eingaben!$B$23),ISNUMBER(Eingaben!$B$24),IF(Eingaben!$B$23&lt;Eingaben!$B$24,AND(B742&gt;=Eingaben!$B$23,B742&lt;Eingaben!$B$24),OR(B742&gt;=Eingaben!$B$23,B742&lt;Eingaben!$B$24))),"HEAT","STANDARD"))</f>
        <v>STANDARD</v>
      </c>
      <c r="E742" s="9"/>
      <c r="F742" t="str">
        <f>IF(E742="",D742,E742)</f>
        <v>STANDARD</v>
      </c>
      <c r="G742" t="str">
        <f>INDEX(Netzzeiten!$B$6:$B$29,HOUR(B742)+1)</f>
        <v>ST</v>
      </c>
      <c r="H742" s="6">
        <f>IF(F742="GO",Eingaben!$B$11,IF(F742="STANDARD",Eingaben!$B$12,IF(AND(F742="HEAT",ISNUMBER(Eingaben!$B$13)),Eingaben!$B$13,"")))</f>
        <v>28.2744</v>
      </c>
      <c r="I742" s="6">
        <f>INDEX(Netzzeiten!$C$6:$C$29,HOUR(B742)+1)</f>
        <v>5.48</v>
      </c>
      <c r="J742" t="str">
        <f>IF(C742="","FEHLT",IF(NOT(ISNUMBER(C742)),"MESSWERT UNGUELTIG",IF(C742&lt;0,"MESSWERT UNGUELTIG",IF(H742="","TARIFPREIS FEHLT","OK"))))</f>
        <v>FEHLT</v>
      </c>
      <c r="K742" s="7">
        <f>IF(J742&lt;&gt;"OK","",C742*I742/100)</f>
        <v/>
      </c>
    </row>
    <row r="743" spans="1:11">
      <c r="A743" s="14">
        <v>46150</v>
      </c>
      <c r="B743" s="15">
        <v>0.6770833333333334</v>
      </c>
      <c r="C743" s="5">
        <f>IF('96 Werte'!BO13="","",'96 Werte'!BO13)</f>
        <v/>
      </c>
      <c r="D743" t="str">
        <f>IF(IF(Eingaben!$B$21&lt;Eingaben!$B$22,AND(B743&gt;=Eingaben!$B$21,B743&lt;Eingaben!$B$22),OR(B743&gt;=Eingaben!$B$21,B743&lt;Eingaben!$B$22)),"GO",IF(AND(ISNUMBER(Eingaben!$B$23),ISNUMBER(Eingaben!$B$24),IF(Eingaben!$B$23&lt;Eingaben!$B$24,AND(B743&gt;=Eingaben!$B$23,B743&lt;Eingaben!$B$24),OR(B743&gt;=Eingaben!$B$23,B743&lt;Eingaben!$B$24))),"HEAT","STANDARD"))</f>
        <v>STANDARD</v>
      </c>
      <c r="E743" s="9"/>
      <c r="F743" t="str">
        <f>IF(E743="",D743,E743)</f>
        <v>STANDARD</v>
      </c>
      <c r="G743" t="str">
        <f>INDEX(Netzzeiten!$B$6:$B$29,HOUR(B743)+1)</f>
        <v>ST</v>
      </c>
      <c r="H743" s="6">
        <f>IF(F743="GO",Eingaben!$B$11,IF(F743="STANDARD",Eingaben!$B$12,IF(AND(F743="HEAT",ISNUMBER(Eingaben!$B$13)),Eingaben!$B$13,"")))</f>
        <v>28.2744</v>
      </c>
      <c r="I743" s="6">
        <f>INDEX(Netzzeiten!$C$6:$C$29,HOUR(B743)+1)</f>
        <v>5.48</v>
      </c>
      <c r="J743" t="str">
        <f>IF(C743="","FEHLT",IF(NOT(ISNUMBER(C743)),"MESSWERT UNGUELTIG",IF(C743&lt;0,"MESSWERT UNGUELTIG",IF(H743="","TARIFPREIS FEHLT","OK"))))</f>
        <v>FEHLT</v>
      </c>
      <c r="K743" s="7">
        <f>IF(J743&lt;&gt;"OK","",C743*I743/100)</f>
        <v/>
      </c>
    </row>
    <row r="744" spans="1:11">
      <c r="A744" s="14">
        <v>46150</v>
      </c>
      <c r="B744" s="15">
        <v>0.6875</v>
      </c>
      <c r="C744" s="5">
        <f>IF('96 Werte'!BP13="","",'96 Werte'!BP13)</f>
        <v/>
      </c>
      <c r="D744" t="str">
        <f>IF(IF(Eingaben!$B$21&lt;Eingaben!$B$22,AND(B744&gt;=Eingaben!$B$21,B744&lt;Eingaben!$B$22),OR(B744&gt;=Eingaben!$B$21,B744&lt;Eingaben!$B$22)),"GO",IF(AND(ISNUMBER(Eingaben!$B$23),ISNUMBER(Eingaben!$B$24),IF(Eingaben!$B$23&lt;Eingaben!$B$24,AND(B744&gt;=Eingaben!$B$23,B744&lt;Eingaben!$B$24),OR(B744&gt;=Eingaben!$B$23,B744&lt;Eingaben!$B$24))),"HEAT","STANDARD"))</f>
        <v>STANDARD</v>
      </c>
      <c r="E744" s="9"/>
      <c r="F744" t="str">
        <f>IF(E744="",D744,E744)</f>
        <v>STANDARD</v>
      </c>
      <c r="G744" t="str">
        <f>INDEX(Netzzeiten!$B$6:$B$29,HOUR(B744)+1)</f>
        <v>ST</v>
      </c>
      <c r="H744" s="6">
        <f>IF(F744="GO",Eingaben!$B$11,IF(F744="STANDARD",Eingaben!$B$12,IF(AND(F744="HEAT",ISNUMBER(Eingaben!$B$13)),Eingaben!$B$13,"")))</f>
        <v>28.2744</v>
      </c>
      <c r="I744" s="6">
        <f>INDEX(Netzzeiten!$C$6:$C$29,HOUR(B744)+1)</f>
        <v>5.48</v>
      </c>
      <c r="J744" t="str">
        <f>IF(C744="","FEHLT",IF(NOT(ISNUMBER(C744)),"MESSWERT UNGUELTIG",IF(C744&lt;0,"MESSWERT UNGUELTIG",IF(H744="","TARIFPREIS FEHLT","OK"))))</f>
        <v>FEHLT</v>
      </c>
      <c r="K744" s="7">
        <f>IF(J744&lt;&gt;"OK","",C744*I744/100)</f>
        <v/>
      </c>
    </row>
    <row r="745" spans="1:11">
      <c r="A745" s="14">
        <v>46150</v>
      </c>
      <c r="B745" s="15">
        <v>0.6979166666666666</v>
      </c>
      <c r="C745" s="5">
        <f>IF('96 Werte'!BQ13="","",'96 Werte'!BQ13)</f>
        <v/>
      </c>
      <c r="D745" t="str">
        <f>IF(IF(Eingaben!$B$21&lt;Eingaben!$B$22,AND(B745&gt;=Eingaben!$B$21,B745&lt;Eingaben!$B$22),OR(B745&gt;=Eingaben!$B$21,B745&lt;Eingaben!$B$22)),"GO",IF(AND(ISNUMBER(Eingaben!$B$23),ISNUMBER(Eingaben!$B$24),IF(Eingaben!$B$23&lt;Eingaben!$B$24,AND(B745&gt;=Eingaben!$B$23,B745&lt;Eingaben!$B$24),OR(B745&gt;=Eingaben!$B$23,B745&lt;Eingaben!$B$24))),"HEAT","STANDARD"))</f>
        <v>STANDARD</v>
      </c>
      <c r="E745" s="9"/>
      <c r="F745" t="str">
        <f>IF(E745="",D745,E745)</f>
        <v>STANDARD</v>
      </c>
      <c r="G745" t="str">
        <f>INDEX(Netzzeiten!$B$6:$B$29,HOUR(B745)+1)</f>
        <v>ST</v>
      </c>
      <c r="H745" s="6">
        <f>IF(F745="GO",Eingaben!$B$11,IF(F745="STANDARD",Eingaben!$B$12,IF(AND(F745="HEAT",ISNUMBER(Eingaben!$B$13)),Eingaben!$B$13,"")))</f>
        <v>28.2744</v>
      </c>
      <c r="I745" s="6">
        <f>INDEX(Netzzeiten!$C$6:$C$29,HOUR(B745)+1)</f>
        <v>5.48</v>
      </c>
      <c r="J745" t="str">
        <f>IF(C745="","FEHLT",IF(NOT(ISNUMBER(C745)),"MESSWERT UNGUELTIG",IF(C745&lt;0,"MESSWERT UNGUELTIG",IF(H745="","TARIFPREIS FEHLT","OK"))))</f>
        <v>FEHLT</v>
      </c>
      <c r="K745" s="7">
        <f>IF(J745&lt;&gt;"OK","",C745*I745/100)</f>
        <v/>
      </c>
    </row>
    <row r="746" spans="1:11">
      <c r="A746" s="14">
        <v>46150</v>
      </c>
      <c r="B746" s="15">
        <v>0.7083333333333334</v>
      </c>
      <c r="C746" s="5">
        <f>IF('96 Werte'!BR13="","",'96 Werte'!BR13)</f>
        <v/>
      </c>
      <c r="D746" t="str">
        <f>IF(IF(Eingaben!$B$21&lt;Eingaben!$B$22,AND(B746&gt;=Eingaben!$B$21,B746&lt;Eingaben!$B$22),OR(B746&gt;=Eingaben!$B$21,B746&lt;Eingaben!$B$22)),"GO",IF(AND(ISNUMBER(Eingaben!$B$23),ISNUMBER(Eingaben!$B$24),IF(Eingaben!$B$23&lt;Eingaben!$B$24,AND(B746&gt;=Eingaben!$B$23,B746&lt;Eingaben!$B$24),OR(B746&gt;=Eingaben!$B$23,B746&lt;Eingaben!$B$24))),"HEAT","STANDARD"))</f>
        <v>STANDARD</v>
      </c>
      <c r="E746" s="9"/>
      <c r="F746" t="str">
        <f>IF(E746="",D746,E746)</f>
        <v>STANDARD</v>
      </c>
      <c r="G746" t="str">
        <f>INDEX(Netzzeiten!$B$6:$B$29,HOUR(B746)+1)</f>
        <v>HT</v>
      </c>
      <c r="H746" s="6">
        <f>IF(F746="GO",Eingaben!$B$11,IF(F746="STANDARD",Eingaben!$B$12,IF(AND(F746="HEAT",ISNUMBER(Eingaben!$B$13)),Eingaben!$B$13,"")))</f>
        <v>28.2744</v>
      </c>
      <c r="I746" s="6">
        <f>INDEX(Netzzeiten!$C$6:$C$29,HOUR(B746)+1)</f>
        <v>10.52</v>
      </c>
      <c r="J746" t="str">
        <f>IF(C746="","FEHLT",IF(NOT(ISNUMBER(C746)),"MESSWERT UNGUELTIG",IF(C746&lt;0,"MESSWERT UNGUELTIG",IF(H746="","TARIFPREIS FEHLT","OK"))))</f>
        <v>FEHLT</v>
      </c>
      <c r="K746" s="7">
        <f>IF(J746&lt;&gt;"OK","",C746*I746/100)</f>
        <v/>
      </c>
    </row>
    <row r="747" spans="1:11">
      <c r="A747" s="14">
        <v>46150</v>
      </c>
      <c r="B747" s="15">
        <v>0.71875</v>
      </c>
      <c r="C747" s="5">
        <f>IF('96 Werte'!BS13="","",'96 Werte'!BS13)</f>
        <v/>
      </c>
      <c r="D747" t="str">
        <f>IF(IF(Eingaben!$B$21&lt;Eingaben!$B$22,AND(B747&gt;=Eingaben!$B$21,B747&lt;Eingaben!$B$22),OR(B747&gt;=Eingaben!$B$21,B747&lt;Eingaben!$B$22)),"GO",IF(AND(ISNUMBER(Eingaben!$B$23),ISNUMBER(Eingaben!$B$24),IF(Eingaben!$B$23&lt;Eingaben!$B$24,AND(B747&gt;=Eingaben!$B$23,B747&lt;Eingaben!$B$24),OR(B747&gt;=Eingaben!$B$23,B747&lt;Eingaben!$B$24))),"HEAT","STANDARD"))</f>
        <v>STANDARD</v>
      </c>
      <c r="E747" s="9"/>
      <c r="F747" t="str">
        <f>IF(E747="",D747,E747)</f>
        <v>STANDARD</v>
      </c>
      <c r="G747" t="str">
        <f>INDEX(Netzzeiten!$B$6:$B$29,HOUR(B747)+1)</f>
        <v>HT</v>
      </c>
      <c r="H747" s="6">
        <f>IF(F747="GO",Eingaben!$B$11,IF(F747="STANDARD",Eingaben!$B$12,IF(AND(F747="HEAT",ISNUMBER(Eingaben!$B$13)),Eingaben!$B$13,"")))</f>
        <v>28.2744</v>
      </c>
      <c r="I747" s="6">
        <f>INDEX(Netzzeiten!$C$6:$C$29,HOUR(B747)+1)</f>
        <v>10.52</v>
      </c>
      <c r="J747" t="str">
        <f>IF(C747="","FEHLT",IF(NOT(ISNUMBER(C747)),"MESSWERT UNGUELTIG",IF(C747&lt;0,"MESSWERT UNGUELTIG",IF(H747="","TARIFPREIS FEHLT","OK"))))</f>
        <v>FEHLT</v>
      </c>
      <c r="K747" s="7">
        <f>IF(J747&lt;&gt;"OK","",C747*I747/100)</f>
        <v/>
      </c>
    </row>
    <row r="748" spans="1:11">
      <c r="A748" s="14">
        <v>46150</v>
      </c>
      <c r="B748" s="15">
        <v>0.7291666666666666</v>
      </c>
      <c r="C748" s="5">
        <f>IF('96 Werte'!BT13="","",'96 Werte'!BT13)</f>
        <v/>
      </c>
      <c r="D748" t="str">
        <f>IF(IF(Eingaben!$B$21&lt;Eingaben!$B$22,AND(B748&gt;=Eingaben!$B$21,B748&lt;Eingaben!$B$22),OR(B748&gt;=Eingaben!$B$21,B748&lt;Eingaben!$B$22)),"GO",IF(AND(ISNUMBER(Eingaben!$B$23),ISNUMBER(Eingaben!$B$24),IF(Eingaben!$B$23&lt;Eingaben!$B$24,AND(B748&gt;=Eingaben!$B$23,B748&lt;Eingaben!$B$24),OR(B748&gt;=Eingaben!$B$23,B748&lt;Eingaben!$B$24))),"HEAT","STANDARD"))</f>
        <v>STANDARD</v>
      </c>
      <c r="E748" s="9"/>
      <c r="F748" t="str">
        <f>IF(E748="",D748,E748)</f>
        <v>STANDARD</v>
      </c>
      <c r="G748" t="str">
        <f>INDEX(Netzzeiten!$B$6:$B$29,HOUR(B748)+1)</f>
        <v>HT</v>
      </c>
      <c r="H748" s="6">
        <f>IF(F748="GO",Eingaben!$B$11,IF(F748="STANDARD",Eingaben!$B$12,IF(AND(F748="HEAT",ISNUMBER(Eingaben!$B$13)),Eingaben!$B$13,"")))</f>
        <v>28.2744</v>
      </c>
      <c r="I748" s="6">
        <f>INDEX(Netzzeiten!$C$6:$C$29,HOUR(B748)+1)</f>
        <v>10.52</v>
      </c>
      <c r="J748" t="str">
        <f>IF(C748="","FEHLT",IF(NOT(ISNUMBER(C748)),"MESSWERT UNGUELTIG",IF(C748&lt;0,"MESSWERT UNGUELTIG",IF(H748="","TARIFPREIS FEHLT","OK"))))</f>
        <v>FEHLT</v>
      </c>
      <c r="K748" s="7">
        <f>IF(J748&lt;&gt;"OK","",C748*I748/100)</f>
        <v/>
      </c>
    </row>
    <row r="749" spans="1:11">
      <c r="A749" s="14">
        <v>46150</v>
      </c>
      <c r="B749" s="15">
        <v>0.7395833333333334</v>
      </c>
      <c r="C749" s="5">
        <f>IF('96 Werte'!BU13="","",'96 Werte'!BU13)</f>
        <v/>
      </c>
      <c r="D749" t="str">
        <f>IF(IF(Eingaben!$B$21&lt;Eingaben!$B$22,AND(B749&gt;=Eingaben!$B$21,B749&lt;Eingaben!$B$22),OR(B749&gt;=Eingaben!$B$21,B749&lt;Eingaben!$B$22)),"GO",IF(AND(ISNUMBER(Eingaben!$B$23),ISNUMBER(Eingaben!$B$24),IF(Eingaben!$B$23&lt;Eingaben!$B$24,AND(B749&gt;=Eingaben!$B$23,B749&lt;Eingaben!$B$24),OR(B749&gt;=Eingaben!$B$23,B749&lt;Eingaben!$B$24))),"HEAT","STANDARD"))</f>
        <v>STANDARD</v>
      </c>
      <c r="E749" s="9"/>
      <c r="F749" t="str">
        <f>IF(E749="",D749,E749)</f>
        <v>STANDARD</v>
      </c>
      <c r="G749" t="str">
        <f>INDEX(Netzzeiten!$B$6:$B$29,HOUR(B749)+1)</f>
        <v>HT</v>
      </c>
      <c r="H749" s="6">
        <f>IF(F749="GO",Eingaben!$B$11,IF(F749="STANDARD",Eingaben!$B$12,IF(AND(F749="HEAT",ISNUMBER(Eingaben!$B$13)),Eingaben!$B$13,"")))</f>
        <v>28.2744</v>
      </c>
      <c r="I749" s="6">
        <f>INDEX(Netzzeiten!$C$6:$C$29,HOUR(B749)+1)</f>
        <v>10.52</v>
      </c>
      <c r="J749" t="str">
        <f>IF(C749="","FEHLT",IF(NOT(ISNUMBER(C749)),"MESSWERT UNGUELTIG",IF(C749&lt;0,"MESSWERT UNGUELTIG",IF(H749="","TARIFPREIS FEHLT","OK"))))</f>
        <v>FEHLT</v>
      </c>
      <c r="K749" s="7">
        <f>IF(J749&lt;&gt;"OK","",C749*I749/100)</f>
        <v/>
      </c>
    </row>
    <row r="750" spans="1:11">
      <c r="A750" s="14">
        <v>46150</v>
      </c>
      <c r="B750" s="15">
        <v>0.75</v>
      </c>
      <c r="C750" s="5">
        <f>IF('96 Werte'!BV13="","",'96 Werte'!BV13)</f>
        <v/>
      </c>
      <c r="D750" t="str">
        <f>IF(IF(Eingaben!$B$21&lt;Eingaben!$B$22,AND(B750&gt;=Eingaben!$B$21,B750&lt;Eingaben!$B$22),OR(B750&gt;=Eingaben!$B$21,B750&lt;Eingaben!$B$22)),"GO",IF(AND(ISNUMBER(Eingaben!$B$23),ISNUMBER(Eingaben!$B$24),IF(Eingaben!$B$23&lt;Eingaben!$B$24,AND(B750&gt;=Eingaben!$B$23,B750&lt;Eingaben!$B$24),OR(B750&gt;=Eingaben!$B$23,B750&lt;Eingaben!$B$24))),"HEAT","STANDARD"))</f>
        <v>STANDARD</v>
      </c>
      <c r="E750" s="9"/>
      <c r="F750" t="str">
        <f>IF(E750="",D750,E750)</f>
        <v>STANDARD</v>
      </c>
      <c r="G750" t="str">
        <f>INDEX(Netzzeiten!$B$6:$B$29,HOUR(B750)+1)</f>
        <v>HT</v>
      </c>
      <c r="H750" s="6">
        <f>IF(F750="GO",Eingaben!$B$11,IF(F750="STANDARD",Eingaben!$B$12,IF(AND(F750="HEAT",ISNUMBER(Eingaben!$B$13)),Eingaben!$B$13,"")))</f>
        <v>28.2744</v>
      </c>
      <c r="I750" s="6">
        <f>INDEX(Netzzeiten!$C$6:$C$29,HOUR(B750)+1)</f>
        <v>10.52</v>
      </c>
      <c r="J750" t="str">
        <f>IF(C750="","FEHLT",IF(NOT(ISNUMBER(C750)),"MESSWERT UNGUELTIG",IF(C750&lt;0,"MESSWERT UNGUELTIG",IF(H750="","TARIFPREIS FEHLT","OK"))))</f>
        <v>FEHLT</v>
      </c>
      <c r="K750" s="7">
        <f>IF(J750&lt;&gt;"OK","",C750*I750/100)</f>
        <v/>
      </c>
    </row>
    <row r="751" spans="1:11">
      <c r="A751" s="14">
        <v>46150</v>
      </c>
      <c r="B751" s="15">
        <v>0.7604166666666666</v>
      </c>
      <c r="C751" s="5">
        <f>IF('96 Werte'!BW13="","",'96 Werte'!BW13)</f>
        <v/>
      </c>
      <c r="D751" t="str">
        <f>IF(IF(Eingaben!$B$21&lt;Eingaben!$B$22,AND(B751&gt;=Eingaben!$B$21,B751&lt;Eingaben!$B$22),OR(B751&gt;=Eingaben!$B$21,B751&lt;Eingaben!$B$22)),"GO",IF(AND(ISNUMBER(Eingaben!$B$23),ISNUMBER(Eingaben!$B$24),IF(Eingaben!$B$23&lt;Eingaben!$B$24,AND(B751&gt;=Eingaben!$B$23,B751&lt;Eingaben!$B$24),OR(B751&gt;=Eingaben!$B$23,B751&lt;Eingaben!$B$24))),"HEAT","STANDARD"))</f>
        <v>STANDARD</v>
      </c>
      <c r="E751" s="9"/>
      <c r="F751" t="str">
        <f>IF(E751="",D751,E751)</f>
        <v>STANDARD</v>
      </c>
      <c r="G751" t="str">
        <f>INDEX(Netzzeiten!$B$6:$B$29,HOUR(B751)+1)</f>
        <v>HT</v>
      </c>
      <c r="H751" s="6">
        <f>IF(F751="GO",Eingaben!$B$11,IF(F751="STANDARD",Eingaben!$B$12,IF(AND(F751="HEAT",ISNUMBER(Eingaben!$B$13)),Eingaben!$B$13,"")))</f>
        <v>28.2744</v>
      </c>
      <c r="I751" s="6">
        <f>INDEX(Netzzeiten!$C$6:$C$29,HOUR(B751)+1)</f>
        <v>10.52</v>
      </c>
      <c r="J751" t="str">
        <f>IF(C751="","FEHLT",IF(NOT(ISNUMBER(C751)),"MESSWERT UNGUELTIG",IF(C751&lt;0,"MESSWERT UNGUELTIG",IF(H751="","TARIFPREIS FEHLT","OK"))))</f>
        <v>FEHLT</v>
      </c>
      <c r="K751" s="7">
        <f>IF(J751&lt;&gt;"OK","",C751*I751/100)</f>
        <v/>
      </c>
    </row>
    <row r="752" spans="1:11">
      <c r="A752" s="14">
        <v>46150</v>
      </c>
      <c r="B752" s="15">
        <v>0.7708333333333334</v>
      </c>
      <c r="C752" s="5">
        <f>IF('96 Werte'!BX13="","",'96 Werte'!BX13)</f>
        <v/>
      </c>
      <c r="D752" t="str">
        <f>IF(IF(Eingaben!$B$21&lt;Eingaben!$B$22,AND(B752&gt;=Eingaben!$B$21,B752&lt;Eingaben!$B$22),OR(B752&gt;=Eingaben!$B$21,B752&lt;Eingaben!$B$22)),"GO",IF(AND(ISNUMBER(Eingaben!$B$23),ISNUMBER(Eingaben!$B$24),IF(Eingaben!$B$23&lt;Eingaben!$B$24,AND(B752&gt;=Eingaben!$B$23,B752&lt;Eingaben!$B$24),OR(B752&gt;=Eingaben!$B$23,B752&lt;Eingaben!$B$24))),"HEAT","STANDARD"))</f>
        <v>STANDARD</v>
      </c>
      <c r="E752" s="9"/>
      <c r="F752" t="str">
        <f>IF(E752="",D752,E752)</f>
        <v>STANDARD</v>
      </c>
      <c r="G752" t="str">
        <f>INDEX(Netzzeiten!$B$6:$B$29,HOUR(B752)+1)</f>
        <v>HT</v>
      </c>
      <c r="H752" s="6">
        <f>IF(F752="GO",Eingaben!$B$11,IF(F752="STANDARD",Eingaben!$B$12,IF(AND(F752="HEAT",ISNUMBER(Eingaben!$B$13)),Eingaben!$B$13,"")))</f>
        <v>28.2744</v>
      </c>
      <c r="I752" s="6">
        <f>INDEX(Netzzeiten!$C$6:$C$29,HOUR(B752)+1)</f>
        <v>10.52</v>
      </c>
      <c r="J752" t="str">
        <f>IF(C752="","FEHLT",IF(NOT(ISNUMBER(C752)),"MESSWERT UNGUELTIG",IF(C752&lt;0,"MESSWERT UNGUELTIG",IF(H752="","TARIFPREIS FEHLT","OK"))))</f>
        <v>FEHLT</v>
      </c>
      <c r="K752" s="7">
        <f>IF(J752&lt;&gt;"OK","",C752*I752/100)</f>
        <v/>
      </c>
    </row>
    <row r="753" spans="1:11">
      <c r="A753" s="14">
        <v>46150</v>
      </c>
      <c r="B753" s="15">
        <v>0.78125</v>
      </c>
      <c r="C753" s="5">
        <f>IF('96 Werte'!BY13="","",'96 Werte'!BY13)</f>
        <v/>
      </c>
      <c r="D753" t="str">
        <f>IF(IF(Eingaben!$B$21&lt;Eingaben!$B$22,AND(B753&gt;=Eingaben!$B$21,B753&lt;Eingaben!$B$22),OR(B753&gt;=Eingaben!$B$21,B753&lt;Eingaben!$B$22)),"GO",IF(AND(ISNUMBER(Eingaben!$B$23),ISNUMBER(Eingaben!$B$24),IF(Eingaben!$B$23&lt;Eingaben!$B$24,AND(B753&gt;=Eingaben!$B$23,B753&lt;Eingaben!$B$24),OR(B753&gt;=Eingaben!$B$23,B753&lt;Eingaben!$B$24))),"HEAT","STANDARD"))</f>
        <v>STANDARD</v>
      </c>
      <c r="E753" s="9"/>
      <c r="F753" t="str">
        <f>IF(E753="",D753,E753)</f>
        <v>STANDARD</v>
      </c>
      <c r="G753" t="str">
        <f>INDEX(Netzzeiten!$B$6:$B$29,HOUR(B753)+1)</f>
        <v>HT</v>
      </c>
      <c r="H753" s="6">
        <f>IF(F753="GO",Eingaben!$B$11,IF(F753="STANDARD",Eingaben!$B$12,IF(AND(F753="HEAT",ISNUMBER(Eingaben!$B$13)),Eingaben!$B$13,"")))</f>
        <v>28.2744</v>
      </c>
      <c r="I753" s="6">
        <f>INDEX(Netzzeiten!$C$6:$C$29,HOUR(B753)+1)</f>
        <v>10.52</v>
      </c>
      <c r="J753" t="str">
        <f>IF(C753="","FEHLT",IF(NOT(ISNUMBER(C753)),"MESSWERT UNGUELTIG",IF(C753&lt;0,"MESSWERT UNGUELTIG",IF(H753="","TARIFPREIS FEHLT","OK"))))</f>
        <v>FEHLT</v>
      </c>
      <c r="K753" s="7">
        <f>IF(J753&lt;&gt;"OK","",C753*I753/100)</f>
        <v/>
      </c>
    </row>
    <row r="754" spans="1:11">
      <c r="A754" s="14">
        <v>46150</v>
      </c>
      <c r="B754" s="15">
        <v>0.7916666666666666</v>
      </c>
      <c r="C754" s="5">
        <f>IF('96 Werte'!BZ13="","",'96 Werte'!BZ13)</f>
        <v/>
      </c>
      <c r="D754" t="str">
        <f>IF(IF(Eingaben!$B$21&lt;Eingaben!$B$22,AND(B754&gt;=Eingaben!$B$21,B754&lt;Eingaben!$B$22),OR(B754&gt;=Eingaben!$B$21,B754&lt;Eingaben!$B$22)),"GO",IF(AND(ISNUMBER(Eingaben!$B$23),ISNUMBER(Eingaben!$B$24),IF(Eingaben!$B$23&lt;Eingaben!$B$24,AND(B754&gt;=Eingaben!$B$23,B754&lt;Eingaben!$B$24),OR(B754&gt;=Eingaben!$B$23,B754&lt;Eingaben!$B$24))),"HEAT","STANDARD"))</f>
        <v>STANDARD</v>
      </c>
      <c r="E754" s="9"/>
      <c r="F754" t="str">
        <f>IF(E754="",D754,E754)</f>
        <v>STANDARD</v>
      </c>
      <c r="G754" t="str">
        <f>INDEX(Netzzeiten!$B$6:$B$29,HOUR(B754)+1)</f>
        <v>HT</v>
      </c>
      <c r="H754" s="6">
        <f>IF(F754="GO",Eingaben!$B$11,IF(F754="STANDARD",Eingaben!$B$12,IF(AND(F754="HEAT",ISNUMBER(Eingaben!$B$13)),Eingaben!$B$13,"")))</f>
        <v>28.2744</v>
      </c>
      <c r="I754" s="6">
        <f>INDEX(Netzzeiten!$C$6:$C$29,HOUR(B754)+1)</f>
        <v>10.52</v>
      </c>
      <c r="J754" t="str">
        <f>IF(C754="","FEHLT",IF(NOT(ISNUMBER(C754)),"MESSWERT UNGUELTIG",IF(C754&lt;0,"MESSWERT UNGUELTIG",IF(H754="","TARIFPREIS FEHLT","OK"))))</f>
        <v>FEHLT</v>
      </c>
      <c r="K754" s="7">
        <f>IF(J754&lt;&gt;"OK","",C754*I754/100)</f>
        <v/>
      </c>
    </row>
    <row r="755" spans="1:11">
      <c r="A755" s="14">
        <v>46150</v>
      </c>
      <c r="B755" s="15">
        <v>0.8020833333333334</v>
      </c>
      <c r="C755" s="5">
        <f>IF('96 Werte'!CA13="","",'96 Werte'!CA13)</f>
        <v/>
      </c>
      <c r="D755" t="str">
        <f>IF(IF(Eingaben!$B$21&lt;Eingaben!$B$22,AND(B755&gt;=Eingaben!$B$21,B755&lt;Eingaben!$B$22),OR(B755&gt;=Eingaben!$B$21,B755&lt;Eingaben!$B$22)),"GO",IF(AND(ISNUMBER(Eingaben!$B$23),ISNUMBER(Eingaben!$B$24),IF(Eingaben!$B$23&lt;Eingaben!$B$24,AND(B755&gt;=Eingaben!$B$23,B755&lt;Eingaben!$B$24),OR(B755&gt;=Eingaben!$B$23,B755&lt;Eingaben!$B$24))),"HEAT","STANDARD"))</f>
        <v>STANDARD</v>
      </c>
      <c r="E755" s="9"/>
      <c r="F755" t="str">
        <f>IF(E755="",D755,E755)</f>
        <v>STANDARD</v>
      </c>
      <c r="G755" t="str">
        <f>INDEX(Netzzeiten!$B$6:$B$29,HOUR(B755)+1)</f>
        <v>HT</v>
      </c>
      <c r="H755" s="6">
        <f>IF(F755="GO",Eingaben!$B$11,IF(F755="STANDARD",Eingaben!$B$12,IF(AND(F755="HEAT",ISNUMBER(Eingaben!$B$13)),Eingaben!$B$13,"")))</f>
        <v>28.2744</v>
      </c>
      <c r="I755" s="6">
        <f>INDEX(Netzzeiten!$C$6:$C$29,HOUR(B755)+1)</f>
        <v>10.52</v>
      </c>
      <c r="J755" t="str">
        <f>IF(C755="","FEHLT",IF(NOT(ISNUMBER(C755)),"MESSWERT UNGUELTIG",IF(C755&lt;0,"MESSWERT UNGUELTIG",IF(H755="","TARIFPREIS FEHLT","OK"))))</f>
        <v>FEHLT</v>
      </c>
      <c r="K755" s="7">
        <f>IF(J755&lt;&gt;"OK","",C755*I755/100)</f>
        <v/>
      </c>
    </row>
    <row r="756" spans="1:11">
      <c r="A756" s="14">
        <v>46150</v>
      </c>
      <c r="B756" s="15">
        <v>0.8125</v>
      </c>
      <c r="C756" s="5">
        <f>IF('96 Werte'!CB13="","",'96 Werte'!CB13)</f>
        <v/>
      </c>
      <c r="D756" t="str">
        <f>IF(IF(Eingaben!$B$21&lt;Eingaben!$B$22,AND(B756&gt;=Eingaben!$B$21,B756&lt;Eingaben!$B$22),OR(B756&gt;=Eingaben!$B$21,B756&lt;Eingaben!$B$22)),"GO",IF(AND(ISNUMBER(Eingaben!$B$23),ISNUMBER(Eingaben!$B$24),IF(Eingaben!$B$23&lt;Eingaben!$B$24,AND(B756&gt;=Eingaben!$B$23,B756&lt;Eingaben!$B$24),OR(B756&gt;=Eingaben!$B$23,B756&lt;Eingaben!$B$24))),"HEAT","STANDARD"))</f>
        <v>STANDARD</v>
      </c>
      <c r="E756" s="9"/>
      <c r="F756" t="str">
        <f>IF(E756="",D756,E756)</f>
        <v>STANDARD</v>
      </c>
      <c r="G756" t="str">
        <f>INDEX(Netzzeiten!$B$6:$B$29,HOUR(B756)+1)</f>
        <v>HT</v>
      </c>
      <c r="H756" s="6">
        <f>IF(F756="GO",Eingaben!$B$11,IF(F756="STANDARD",Eingaben!$B$12,IF(AND(F756="HEAT",ISNUMBER(Eingaben!$B$13)),Eingaben!$B$13,"")))</f>
        <v>28.2744</v>
      </c>
      <c r="I756" s="6">
        <f>INDEX(Netzzeiten!$C$6:$C$29,HOUR(B756)+1)</f>
        <v>10.52</v>
      </c>
      <c r="J756" t="str">
        <f>IF(C756="","FEHLT",IF(NOT(ISNUMBER(C756)),"MESSWERT UNGUELTIG",IF(C756&lt;0,"MESSWERT UNGUELTIG",IF(H756="","TARIFPREIS FEHLT","OK"))))</f>
        <v>FEHLT</v>
      </c>
      <c r="K756" s="7">
        <f>IF(J756&lt;&gt;"OK","",C756*I756/100)</f>
        <v/>
      </c>
    </row>
    <row r="757" spans="1:11">
      <c r="A757" s="14">
        <v>46150</v>
      </c>
      <c r="B757" s="15">
        <v>0.8229166666666666</v>
      </c>
      <c r="C757" s="5">
        <f>IF('96 Werte'!CC13="","",'96 Werte'!CC13)</f>
        <v/>
      </c>
      <c r="D757" t="str">
        <f>IF(IF(Eingaben!$B$21&lt;Eingaben!$B$22,AND(B757&gt;=Eingaben!$B$21,B757&lt;Eingaben!$B$22),OR(B757&gt;=Eingaben!$B$21,B757&lt;Eingaben!$B$22)),"GO",IF(AND(ISNUMBER(Eingaben!$B$23),ISNUMBER(Eingaben!$B$24),IF(Eingaben!$B$23&lt;Eingaben!$B$24,AND(B757&gt;=Eingaben!$B$23,B757&lt;Eingaben!$B$24),OR(B757&gt;=Eingaben!$B$23,B757&lt;Eingaben!$B$24))),"HEAT","STANDARD"))</f>
        <v>STANDARD</v>
      </c>
      <c r="E757" s="9"/>
      <c r="F757" t="str">
        <f>IF(E757="",D757,E757)</f>
        <v>STANDARD</v>
      </c>
      <c r="G757" t="str">
        <f>INDEX(Netzzeiten!$B$6:$B$29,HOUR(B757)+1)</f>
        <v>HT</v>
      </c>
      <c r="H757" s="6">
        <f>IF(F757="GO",Eingaben!$B$11,IF(F757="STANDARD",Eingaben!$B$12,IF(AND(F757="HEAT",ISNUMBER(Eingaben!$B$13)),Eingaben!$B$13,"")))</f>
        <v>28.2744</v>
      </c>
      <c r="I757" s="6">
        <f>INDEX(Netzzeiten!$C$6:$C$29,HOUR(B757)+1)</f>
        <v>10.52</v>
      </c>
      <c r="J757" t="str">
        <f>IF(C757="","FEHLT",IF(NOT(ISNUMBER(C757)),"MESSWERT UNGUELTIG",IF(C757&lt;0,"MESSWERT UNGUELTIG",IF(H757="","TARIFPREIS FEHLT","OK"))))</f>
        <v>FEHLT</v>
      </c>
      <c r="K757" s="7">
        <f>IF(J757&lt;&gt;"OK","",C757*I757/100)</f>
        <v/>
      </c>
    </row>
    <row r="758" spans="1:11">
      <c r="A758" s="14">
        <v>46150</v>
      </c>
      <c r="B758" s="15">
        <v>0.8333333333333334</v>
      </c>
      <c r="C758" s="5">
        <f>IF('96 Werte'!CD13="","",'96 Werte'!CD13)</f>
        <v/>
      </c>
      <c r="D758" t="str">
        <f>IF(IF(Eingaben!$B$21&lt;Eingaben!$B$22,AND(B758&gt;=Eingaben!$B$21,B758&lt;Eingaben!$B$22),OR(B758&gt;=Eingaben!$B$21,B758&lt;Eingaben!$B$22)),"GO",IF(AND(ISNUMBER(Eingaben!$B$23),ISNUMBER(Eingaben!$B$24),IF(Eingaben!$B$23&lt;Eingaben!$B$24,AND(B758&gt;=Eingaben!$B$23,B758&lt;Eingaben!$B$24),OR(B758&gt;=Eingaben!$B$23,B758&lt;Eingaben!$B$24))),"HEAT","STANDARD"))</f>
        <v>STANDARD</v>
      </c>
      <c r="E758" s="9"/>
      <c r="F758" t="str">
        <f>IF(E758="",D758,E758)</f>
        <v>STANDARD</v>
      </c>
      <c r="G758" t="str">
        <f>INDEX(Netzzeiten!$B$6:$B$29,HOUR(B758)+1)</f>
        <v>HT</v>
      </c>
      <c r="H758" s="6">
        <f>IF(F758="GO",Eingaben!$B$11,IF(F758="STANDARD",Eingaben!$B$12,IF(AND(F758="HEAT",ISNUMBER(Eingaben!$B$13)),Eingaben!$B$13,"")))</f>
        <v>28.2744</v>
      </c>
      <c r="I758" s="6">
        <f>INDEX(Netzzeiten!$C$6:$C$29,HOUR(B758)+1)</f>
        <v>10.52</v>
      </c>
      <c r="J758" t="str">
        <f>IF(C758="","FEHLT",IF(NOT(ISNUMBER(C758)),"MESSWERT UNGUELTIG",IF(C758&lt;0,"MESSWERT UNGUELTIG",IF(H758="","TARIFPREIS FEHLT","OK"))))</f>
        <v>FEHLT</v>
      </c>
      <c r="K758" s="7">
        <f>IF(J758&lt;&gt;"OK","",C758*I758/100)</f>
        <v/>
      </c>
    </row>
    <row r="759" spans="1:11">
      <c r="A759" s="14">
        <v>46150</v>
      </c>
      <c r="B759" s="15">
        <v>0.84375</v>
      </c>
      <c r="C759" s="5">
        <f>IF('96 Werte'!CE13="","",'96 Werte'!CE13)</f>
        <v/>
      </c>
      <c r="D759" t="str">
        <f>IF(IF(Eingaben!$B$21&lt;Eingaben!$B$22,AND(B759&gt;=Eingaben!$B$21,B759&lt;Eingaben!$B$22),OR(B759&gt;=Eingaben!$B$21,B759&lt;Eingaben!$B$22)),"GO",IF(AND(ISNUMBER(Eingaben!$B$23),ISNUMBER(Eingaben!$B$24),IF(Eingaben!$B$23&lt;Eingaben!$B$24,AND(B759&gt;=Eingaben!$B$23,B759&lt;Eingaben!$B$24),OR(B759&gt;=Eingaben!$B$23,B759&lt;Eingaben!$B$24))),"HEAT","STANDARD"))</f>
        <v>STANDARD</v>
      </c>
      <c r="E759" s="9"/>
      <c r="F759" t="str">
        <f>IF(E759="",D759,E759)</f>
        <v>STANDARD</v>
      </c>
      <c r="G759" t="str">
        <f>INDEX(Netzzeiten!$B$6:$B$29,HOUR(B759)+1)</f>
        <v>HT</v>
      </c>
      <c r="H759" s="6">
        <f>IF(F759="GO",Eingaben!$B$11,IF(F759="STANDARD",Eingaben!$B$12,IF(AND(F759="HEAT",ISNUMBER(Eingaben!$B$13)),Eingaben!$B$13,"")))</f>
        <v>28.2744</v>
      </c>
      <c r="I759" s="6">
        <f>INDEX(Netzzeiten!$C$6:$C$29,HOUR(B759)+1)</f>
        <v>10.52</v>
      </c>
      <c r="J759" t="str">
        <f>IF(C759="","FEHLT",IF(NOT(ISNUMBER(C759)),"MESSWERT UNGUELTIG",IF(C759&lt;0,"MESSWERT UNGUELTIG",IF(H759="","TARIFPREIS FEHLT","OK"))))</f>
        <v>FEHLT</v>
      </c>
      <c r="K759" s="7">
        <f>IF(J759&lt;&gt;"OK","",C759*I759/100)</f>
        <v/>
      </c>
    </row>
    <row r="760" spans="1:11">
      <c r="A760" s="14">
        <v>46150</v>
      </c>
      <c r="B760" s="15">
        <v>0.8541666666666666</v>
      </c>
      <c r="C760" s="5">
        <f>IF('96 Werte'!CF13="","",'96 Werte'!CF13)</f>
        <v/>
      </c>
      <c r="D760" t="str">
        <f>IF(IF(Eingaben!$B$21&lt;Eingaben!$B$22,AND(B760&gt;=Eingaben!$B$21,B760&lt;Eingaben!$B$22),OR(B760&gt;=Eingaben!$B$21,B760&lt;Eingaben!$B$22)),"GO",IF(AND(ISNUMBER(Eingaben!$B$23),ISNUMBER(Eingaben!$B$24),IF(Eingaben!$B$23&lt;Eingaben!$B$24,AND(B760&gt;=Eingaben!$B$23,B760&lt;Eingaben!$B$24),OR(B760&gt;=Eingaben!$B$23,B760&lt;Eingaben!$B$24))),"HEAT","STANDARD"))</f>
        <v>STANDARD</v>
      </c>
      <c r="E760" s="9"/>
      <c r="F760" t="str">
        <f>IF(E760="",D760,E760)</f>
        <v>STANDARD</v>
      </c>
      <c r="G760" t="str">
        <f>INDEX(Netzzeiten!$B$6:$B$29,HOUR(B760)+1)</f>
        <v>HT</v>
      </c>
      <c r="H760" s="6">
        <f>IF(F760="GO",Eingaben!$B$11,IF(F760="STANDARD",Eingaben!$B$12,IF(AND(F760="HEAT",ISNUMBER(Eingaben!$B$13)),Eingaben!$B$13,"")))</f>
        <v>28.2744</v>
      </c>
      <c r="I760" s="6">
        <f>INDEX(Netzzeiten!$C$6:$C$29,HOUR(B760)+1)</f>
        <v>10.52</v>
      </c>
      <c r="J760" t="str">
        <f>IF(C760="","FEHLT",IF(NOT(ISNUMBER(C760)),"MESSWERT UNGUELTIG",IF(C760&lt;0,"MESSWERT UNGUELTIG",IF(H760="","TARIFPREIS FEHLT","OK"))))</f>
        <v>FEHLT</v>
      </c>
      <c r="K760" s="7">
        <f>IF(J760&lt;&gt;"OK","",C760*I760/100)</f>
        <v/>
      </c>
    </row>
    <row r="761" spans="1:11">
      <c r="A761" s="14">
        <v>46150</v>
      </c>
      <c r="B761" s="15">
        <v>0.8645833333333334</v>
      </c>
      <c r="C761" s="5">
        <f>IF('96 Werte'!CG13="","",'96 Werte'!CG13)</f>
        <v/>
      </c>
      <c r="D761" t="str">
        <f>IF(IF(Eingaben!$B$21&lt;Eingaben!$B$22,AND(B761&gt;=Eingaben!$B$21,B761&lt;Eingaben!$B$22),OR(B761&gt;=Eingaben!$B$21,B761&lt;Eingaben!$B$22)),"GO",IF(AND(ISNUMBER(Eingaben!$B$23),ISNUMBER(Eingaben!$B$24),IF(Eingaben!$B$23&lt;Eingaben!$B$24,AND(B761&gt;=Eingaben!$B$23,B761&lt;Eingaben!$B$24),OR(B761&gt;=Eingaben!$B$23,B761&lt;Eingaben!$B$24))),"HEAT","STANDARD"))</f>
        <v>STANDARD</v>
      </c>
      <c r="E761" s="9"/>
      <c r="F761" t="str">
        <f>IF(E761="",D761,E761)</f>
        <v>STANDARD</v>
      </c>
      <c r="G761" t="str">
        <f>INDEX(Netzzeiten!$B$6:$B$29,HOUR(B761)+1)</f>
        <v>HT</v>
      </c>
      <c r="H761" s="6">
        <f>IF(F761="GO",Eingaben!$B$11,IF(F761="STANDARD",Eingaben!$B$12,IF(AND(F761="HEAT",ISNUMBER(Eingaben!$B$13)),Eingaben!$B$13,"")))</f>
        <v>28.2744</v>
      </c>
      <c r="I761" s="6">
        <f>INDEX(Netzzeiten!$C$6:$C$29,HOUR(B761)+1)</f>
        <v>10.52</v>
      </c>
      <c r="J761" t="str">
        <f>IF(C761="","FEHLT",IF(NOT(ISNUMBER(C761)),"MESSWERT UNGUELTIG",IF(C761&lt;0,"MESSWERT UNGUELTIG",IF(H761="","TARIFPREIS FEHLT","OK"))))</f>
        <v>FEHLT</v>
      </c>
      <c r="K761" s="7">
        <f>IF(J761&lt;&gt;"OK","",C761*I761/100)</f>
        <v/>
      </c>
    </row>
    <row r="762" spans="1:11">
      <c r="A762" s="14">
        <v>46150</v>
      </c>
      <c r="B762" s="15">
        <v>0.875</v>
      </c>
      <c r="C762" s="5">
        <f>IF('96 Werte'!CH13="","",'96 Werte'!CH13)</f>
        <v/>
      </c>
      <c r="D762" t="str">
        <f>IF(IF(Eingaben!$B$21&lt;Eingaben!$B$22,AND(B762&gt;=Eingaben!$B$21,B762&lt;Eingaben!$B$22),OR(B762&gt;=Eingaben!$B$21,B762&lt;Eingaben!$B$22)),"GO",IF(AND(ISNUMBER(Eingaben!$B$23),ISNUMBER(Eingaben!$B$24),IF(Eingaben!$B$23&lt;Eingaben!$B$24,AND(B762&gt;=Eingaben!$B$23,B762&lt;Eingaben!$B$24),OR(B762&gt;=Eingaben!$B$23,B762&lt;Eingaben!$B$24))),"HEAT","STANDARD"))</f>
        <v>STANDARD</v>
      </c>
      <c r="E762" s="9"/>
      <c r="F762" t="str">
        <f>IF(E762="",D762,E762)</f>
        <v>STANDARD</v>
      </c>
      <c r="G762" t="str">
        <f>INDEX(Netzzeiten!$B$6:$B$29,HOUR(B762)+1)</f>
        <v>HT</v>
      </c>
      <c r="H762" s="6">
        <f>IF(F762="GO",Eingaben!$B$11,IF(F762="STANDARD",Eingaben!$B$12,IF(AND(F762="HEAT",ISNUMBER(Eingaben!$B$13)),Eingaben!$B$13,"")))</f>
        <v>28.2744</v>
      </c>
      <c r="I762" s="6">
        <f>INDEX(Netzzeiten!$C$6:$C$29,HOUR(B762)+1)</f>
        <v>10.52</v>
      </c>
      <c r="J762" t="str">
        <f>IF(C762="","FEHLT",IF(NOT(ISNUMBER(C762)),"MESSWERT UNGUELTIG",IF(C762&lt;0,"MESSWERT UNGUELTIG",IF(H762="","TARIFPREIS FEHLT","OK"))))</f>
        <v>FEHLT</v>
      </c>
      <c r="K762" s="7">
        <f>IF(J762&lt;&gt;"OK","",C762*I762/100)</f>
        <v/>
      </c>
    </row>
    <row r="763" spans="1:11">
      <c r="A763" s="14">
        <v>46150</v>
      </c>
      <c r="B763" s="15">
        <v>0.8854166666666666</v>
      </c>
      <c r="C763" s="5">
        <f>IF('96 Werte'!CI13="","",'96 Werte'!CI13)</f>
        <v/>
      </c>
      <c r="D763" t="str">
        <f>IF(IF(Eingaben!$B$21&lt;Eingaben!$B$22,AND(B763&gt;=Eingaben!$B$21,B763&lt;Eingaben!$B$22),OR(B763&gt;=Eingaben!$B$21,B763&lt;Eingaben!$B$22)),"GO",IF(AND(ISNUMBER(Eingaben!$B$23),ISNUMBER(Eingaben!$B$24),IF(Eingaben!$B$23&lt;Eingaben!$B$24,AND(B763&gt;=Eingaben!$B$23,B763&lt;Eingaben!$B$24),OR(B763&gt;=Eingaben!$B$23,B763&lt;Eingaben!$B$24))),"HEAT","STANDARD"))</f>
        <v>STANDARD</v>
      </c>
      <c r="E763" s="9"/>
      <c r="F763" t="str">
        <f>IF(E763="",D763,E763)</f>
        <v>STANDARD</v>
      </c>
      <c r="G763" t="str">
        <f>INDEX(Netzzeiten!$B$6:$B$29,HOUR(B763)+1)</f>
        <v>HT</v>
      </c>
      <c r="H763" s="6">
        <f>IF(F763="GO",Eingaben!$B$11,IF(F763="STANDARD",Eingaben!$B$12,IF(AND(F763="HEAT",ISNUMBER(Eingaben!$B$13)),Eingaben!$B$13,"")))</f>
        <v>28.2744</v>
      </c>
      <c r="I763" s="6">
        <f>INDEX(Netzzeiten!$C$6:$C$29,HOUR(B763)+1)</f>
        <v>10.52</v>
      </c>
      <c r="J763" t="str">
        <f>IF(C763="","FEHLT",IF(NOT(ISNUMBER(C763)),"MESSWERT UNGUELTIG",IF(C763&lt;0,"MESSWERT UNGUELTIG",IF(H763="","TARIFPREIS FEHLT","OK"))))</f>
        <v>FEHLT</v>
      </c>
      <c r="K763" s="7">
        <f>IF(J763&lt;&gt;"OK","",C763*I763/100)</f>
        <v/>
      </c>
    </row>
    <row r="764" spans="1:11">
      <c r="A764" s="14">
        <v>46150</v>
      </c>
      <c r="B764" s="15">
        <v>0.8958333333333334</v>
      </c>
      <c r="C764" s="5">
        <f>IF('96 Werte'!CJ13="","",'96 Werte'!CJ13)</f>
        <v/>
      </c>
      <c r="D764" t="str">
        <f>IF(IF(Eingaben!$B$21&lt;Eingaben!$B$22,AND(B764&gt;=Eingaben!$B$21,B764&lt;Eingaben!$B$22),OR(B764&gt;=Eingaben!$B$21,B764&lt;Eingaben!$B$22)),"GO",IF(AND(ISNUMBER(Eingaben!$B$23),ISNUMBER(Eingaben!$B$24),IF(Eingaben!$B$23&lt;Eingaben!$B$24,AND(B764&gt;=Eingaben!$B$23,B764&lt;Eingaben!$B$24),OR(B764&gt;=Eingaben!$B$23,B764&lt;Eingaben!$B$24))),"HEAT","STANDARD"))</f>
        <v>STANDARD</v>
      </c>
      <c r="E764" s="9"/>
      <c r="F764" t="str">
        <f>IF(E764="",D764,E764)</f>
        <v>STANDARD</v>
      </c>
      <c r="G764" t="str">
        <f>INDEX(Netzzeiten!$B$6:$B$29,HOUR(B764)+1)</f>
        <v>HT</v>
      </c>
      <c r="H764" s="6">
        <f>IF(F764="GO",Eingaben!$B$11,IF(F764="STANDARD",Eingaben!$B$12,IF(AND(F764="HEAT",ISNUMBER(Eingaben!$B$13)),Eingaben!$B$13,"")))</f>
        <v>28.2744</v>
      </c>
      <c r="I764" s="6">
        <f>INDEX(Netzzeiten!$C$6:$C$29,HOUR(B764)+1)</f>
        <v>10.52</v>
      </c>
      <c r="J764" t="str">
        <f>IF(C764="","FEHLT",IF(NOT(ISNUMBER(C764)),"MESSWERT UNGUELTIG",IF(C764&lt;0,"MESSWERT UNGUELTIG",IF(H764="","TARIFPREIS FEHLT","OK"))))</f>
        <v>FEHLT</v>
      </c>
      <c r="K764" s="7">
        <f>IF(J764&lt;&gt;"OK","",C764*I764/100)</f>
        <v/>
      </c>
    </row>
    <row r="765" spans="1:11">
      <c r="A765" s="14">
        <v>46150</v>
      </c>
      <c r="B765" s="15">
        <v>0.90625</v>
      </c>
      <c r="C765" s="5">
        <f>IF('96 Werte'!CK13="","",'96 Werte'!CK13)</f>
        <v/>
      </c>
      <c r="D765" t="str">
        <f>IF(IF(Eingaben!$B$21&lt;Eingaben!$B$22,AND(B765&gt;=Eingaben!$B$21,B765&lt;Eingaben!$B$22),OR(B765&gt;=Eingaben!$B$21,B765&lt;Eingaben!$B$22)),"GO",IF(AND(ISNUMBER(Eingaben!$B$23),ISNUMBER(Eingaben!$B$24),IF(Eingaben!$B$23&lt;Eingaben!$B$24,AND(B765&gt;=Eingaben!$B$23,B765&lt;Eingaben!$B$24),OR(B765&gt;=Eingaben!$B$23,B765&lt;Eingaben!$B$24))),"HEAT","STANDARD"))</f>
        <v>STANDARD</v>
      </c>
      <c r="E765" s="9"/>
      <c r="F765" t="str">
        <f>IF(E765="",D765,E765)</f>
        <v>STANDARD</v>
      </c>
      <c r="G765" t="str">
        <f>INDEX(Netzzeiten!$B$6:$B$29,HOUR(B765)+1)</f>
        <v>HT</v>
      </c>
      <c r="H765" s="6">
        <f>IF(F765="GO",Eingaben!$B$11,IF(F765="STANDARD",Eingaben!$B$12,IF(AND(F765="HEAT",ISNUMBER(Eingaben!$B$13)),Eingaben!$B$13,"")))</f>
        <v>28.2744</v>
      </c>
      <c r="I765" s="6">
        <f>INDEX(Netzzeiten!$C$6:$C$29,HOUR(B765)+1)</f>
        <v>10.52</v>
      </c>
      <c r="J765" t="str">
        <f>IF(C765="","FEHLT",IF(NOT(ISNUMBER(C765)),"MESSWERT UNGUELTIG",IF(C765&lt;0,"MESSWERT UNGUELTIG",IF(H765="","TARIFPREIS FEHLT","OK"))))</f>
        <v>FEHLT</v>
      </c>
      <c r="K765" s="7">
        <f>IF(J765&lt;&gt;"OK","",C765*I765/100)</f>
        <v/>
      </c>
    </row>
    <row r="766" spans="1:11">
      <c r="A766" s="14">
        <v>46150</v>
      </c>
      <c r="B766" s="15">
        <v>0.9166666666666666</v>
      </c>
      <c r="C766" s="5">
        <f>IF('96 Werte'!CL13="","",'96 Werte'!CL13)</f>
        <v/>
      </c>
      <c r="D766" t="str">
        <f>IF(IF(Eingaben!$B$21&lt;Eingaben!$B$22,AND(B766&gt;=Eingaben!$B$21,B766&lt;Eingaben!$B$22),OR(B766&gt;=Eingaben!$B$21,B766&lt;Eingaben!$B$22)),"GO",IF(AND(ISNUMBER(Eingaben!$B$23),ISNUMBER(Eingaben!$B$24),IF(Eingaben!$B$23&lt;Eingaben!$B$24,AND(B766&gt;=Eingaben!$B$23,B766&lt;Eingaben!$B$24),OR(B766&gt;=Eingaben!$B$23,B766&lt;Eingaben!$B$24))),"HEAT","STANDARD"))</f>
        <v>STANDARD</v>
      </c>
      <c r="E766" s="9"/>
      <c r="F766" t="str">
        <f>IF(E766="",D766,E766)</f>
        <v>STANDARD</v>
      </c>
      <c r="G766" t="str">
        <f>INDEX(Netzzeiten!$B$6:$B$29,HOUR(B766)+1)</f>
        <v>ST</v>
      </c>
      <c r="H766" s="6">
        <f>IF(F766="GO",Eingaben!$B$11,IF(F766="STANDARD",Eingaben!$B$12,IF(AND(F766="HEAT",ISNUMBER(Eingaben!$B$13)),Eingaben!$B$13,"")))</f>
        <v>28.2744</v>
      </c>
      <c r="I766" s="6">
        <f>INDEX(Netzzeiten!$C$6:$C$29,HOUR(B766)+1)</f>
        <v>5.48</v>
      </c>
      <c r="J766" t="str">
        <f>IF(C766="","FEHLT",IF(NOT(ISNUMBER(C766)),"MESSWERT UNGUELTIG",IF(C766&lt;0,"MESSWERT UNGUELTIG",IF(H766="","TARIFPREIS FEHLT","OK"))))</f>
        <v>FEHLT</v>
      </c>
      <c r="K766" s="7">
        <f>IF(J766&lt;&gt;"OK","",C766*I766/100)</f>
        <v/>
      </c>
    </row>
    <row r="767" spans="1:11">
      <c r="A767" s="14">
        <v>46150</v>
      </c>
      <c r="B767" s="15">
        <v>0.9270833333333334</v>
      </c>
      <c r="C767" s="5">
        <f>IF('96 Werte'!CM13="","",'96 Werte'!CM13)</f>
        <v/>
      </c>
      <c r="D767" t="str">
        <f>IF(IF(Eingaben!$B$21&lt;Eingaben!$B$22,AND(B767&gt;=Eingaben!$B$21,B767&lt;Eingaben!$B$22),OR(B767&gt;=Eingaben!$B$21,B767&lt;Eingaben!$B$22)),"GO",IF(AND(ISNUMBER(Eingaben!$B$23),ISNUMBER(Eingaben!$B$24),IF(Eingaben!$B$23&lt;Eingaben!$B$24,AND(B767&gt;=Eingaben!$B$23,B767&lt;Eingaben!$B$24),OR(B767&gt;=Eingaben!$B$23,B767&lt;Eingaben!$B$24))),"HEAT","STANDARD"))</f>
        <v>STANDARD</v>
      </c>
      <c r="E767" s="9"/>
      <c r="F767" t="str">
        <f>IF(E767="",D767,E767)</f>
        <v>STANDARD</v>
      </c>
      <c r="G767" t="str">
        <f>INDEX(Netzzeiten!$B$6:$B$29,HOUR(B767)+1)</f>
        <v>ST</v>
      </c>
      <c r="H767" s="6">
        <f>IF(F767="GO",Eingaben!$B$11,IF(F767="STANDARD",Eingaben!$B$12,IF(AND(F767="HEAT",ISNUMBER(Eingaben!$B$13)),Eingaben!$B$13,"")))</f>
        <v>28.2744</v>
      </c>
      <c r="I767" s="6">
        <f>INDEX(Netzzeiten!$C$6:$C$29,HOUR(B767)+1)</f>
        <v>5.48</v>
      </c>
      <c r="J767" t="str">
        <f>IF(C767="","FEHLT",IF(NOT(ISNUMBER(C767)),"MESSWERT UNGUELTIG",IF(C767&lt;0,"MESSWERT UNGUELTIG",IF(H767="","TARIFPREIS FEHLT","OK"))))</f>
        <v>FEHLT</v>
      </c>
      <c r="K767" s="7">
        <f>IF(J767&lt;&gt;"OK","",C767*I767/100)</f>
        <v/>
      </c>
    </row>
    <row r="768" spans="1:11">
      <c r="A768" s="14">
        <v>46150</v>
      </c>
      <c r="B768" s="15">
        <v>0.9375</v>
      </c>
      <c r="C768" s="5">
        <f>IF('96 Werte'!CN13="","",'96 Werte'!CN13)</f>
        <v/>
      </c>
      <c r="D768" t="str">
        <f>IF(IF(Eingaben!$B$21&lt;Eingaben!$B$22,AND(B768&gt;=Eingaben!$B$21,B768&lt;Eingaben!$B$22),OR(B768&gt;=Eingaben!$B$21,B768&lt;Eingaben!$B$22)),"GO",IF(AND(ISNUMBER(Eingaben!$B$23),ISNUMBER(Eingaben!$B$24),IF(Eingaben!$B$23&lt;Eingaben!$B$24,AND(B768&gt;=Eingaben!$B$23,B768&lt;Eingaben!$B$24),OR(B768&gt;=Eingaben!$B$23,B768&lt;Eingaben!$B$24))),"HEAT","STANDARD"))</f>
        <v>STANDARD</v>
      </c>
      <c r="E768" s="9"/>
      <c r="F768" t="str">
        <f>IF(E768="",D768,E768)</f>
        <v>STANDARD</v>
      </c>
      <c r="G768" t="str">
        <f>INDEX(Netzzeiten!$B$6:$B$29,HOUR(B768)+1)</f>
        <v>ST</v>
      </c>
      <c r="H768" s="6">
        <f>IF(F768="GO",Eingaben!$B$11,IF(F768="STANDARD",Eingaben!$B$12,IF(AND(F768="HEAT",ISNUMBER(Eingaben!$B$13)),Eingaben!$B$13,"")))</f>
        <v>28.2744</v>
      </c>
      <c r="I768" s="6">
        <f>INDEX(Netzzeiten!$C$6:$C$29,HOUR(B768)+1)</f>
        <v>5.48</v>
      </c>
      <c r="J768" t="str">
        <f>IF(C768="","FEHLT",IF(NOT(ISNUMBER(C768)),"MESSWERT UNGUELTIG",IF(C768&lt;0,"MESSWERT UNGUELTIG",IF(H768="","TARIFPREIS FEHLT","OK"))))</f>
        <v>FEHLT</v>
      </c>
      <c r="K768" s="7">
        <f>IF(J768&lt;&gt;"OK","",C768*I768/100)</f>
        <v/>
      </c>
    </row>
    <row r="769" spans="1:11">
      <c r="A769" s="14">
        <v>46150</v>
      </c>
      <c r="B769" s="15">
        <v>0.9479166666666666</v>
      </c>
      <c r="C769" s="5">
        <f>IF('96 Werte'!CO13="","",'96 Werte'!CO13)</f>
        <v/>
      </c>
      <c r="D769" t="str">
        <f>IF(IF(Eingaben!$B$21&lt;Eingaben!$B$22,AND(B769&gt;=Eingaben!$B$21,B769&lt;Eingaben!$B$22),OR(B769&gt;=Eingaben!$B$21,B769&lt;Eingaben!$B$22)),"GO",IF(AND(ISNUMBER(Eingaben!$B$23),ISNUMBER(Eingaben!$B$24),IF(Eingaben!$B$23&lt;Eingaben!$B$24,AND(B769&gt;=Eingaben!$B$23,B769&lt;Eingaben!$B$24),OR(B769&gt;=Eingaben!$B$23,B769&lt;Eingaben!$B$24))),"HEAT","STANDARD"))</f>
        <v>STANDARD</v>
      </c>
      <c r="E769" s="9"/>
      <c r="F769" t="str">
        <f>IF(E769="",D769,E769)</f>
        <v>STANDARD</v>
      </c>
      <c r="G769" t="str">
        <f>INDEX(Netzzeiten!$B$6:$B$29,HOUR(B769)+1)</f>
        <v>ST</v>
      </c>
      <c r="H769" s="6">
        <f>IF(F769="GO",Eingaben!$B$11,IF(F769="STANDARD",Eingaben!$B$12,IF(AND(F769="HEAT",ISNUMBER(Eingaben!$B$13)),Eingaben!$B$13,"")))</f>
        <v>28.2744</v>
      </c>
      <c r="I769" s="6">
        <f>INDEX(Netzzeiten!$C$6:$C$29,HOUR(B769)+1)</f>
        <v>5.48</v>
      </c>
      <c r="J769" t="str">
        <f>IF(C769="","FEHLT",IF(NOT(ISNUMBER(C769)),"MESSWERT UNGUELTIG",IF(C769&lt;0,"MESSWERT UNGUELTIG",IF(H769="","TARIFPREIS FEHLT","OK"))))</f>
        <v>FEHLT</v>
      </c>
      <c r="K769" s="7">
        <f>IF(J769&lt;&gt;"OK","",C769*I769/100)</f>
        <v/>
      </c>
    </row>
    <row r="770" spans="1:11">
      <c r="A770" s="14">
        <v>46150</v>
      </c>
      <c r="B770" s="15">
        <v>0.9583333333333334</v>
      </c>
      <c r="C770" s="5">
        <f>IF('96 Werte'!CP13="","",'96 Werte'!CP13)</f>
        <v/>
      </c>
      <c r="D770" t="str">
        <f>IF(IF(Eingaben!$B$21&lt;Eingaben!$B$22,AND(B770&gt;=Eingaben!$B$21,B770&lt;Eingaben!$B$22),OR(B770&gt;=Eingaben!$B$21,B770&lt;Eingaben!$B$22)),"GO",IF(AND(ISNUMBER(Eingaben!$B$23),ISNUMBER(Eingaben!$B$24),IF(Eingaben!$B$23&lt;Eingaben!$B$24,AND(B770&gt;=Eingaben!$B$23,B770&lt;Eingaben!$B$24),OR(B770&gt;=Eingaben!$B$23,B770&lt;Eingaben!$B$24))),"HEAT","STANDARD"))</f>
        <v>STANDARD</v>
      </c>
      <c r="E770" s="9"/>
      <c r="F770" t="str">
        <f>IF(E770="",D770,E770)</f>
        <v>STANDARD</v>
      </c>
      <c r="G770" t="str">
        <f>INDEX(Netzzeiten!$B$6:$B$29,HOUR(B770)+1)</f>
        <v>NT</v>
      </c>
      <c r="H770" s="6">
        <f>IF(F770="GO",Eingaben!$B$11,IF(F770="STANDARD",Eingaben!$B$12,IF(AND(F770="HEAT",ISNUMBER(Eingaben!$B$13)),Eingaben!$B$13,"")))</f>
        <v>28.2744</v>
      </c>
      <c r="I770" s="6">
        <f>INDEX(Netzzeiten!$C$6:$C$29,HOUR(B770)+1)</f>
        <v>1.64</v>
      </c>
      <c r="J770" t="str">
        <f>IF(C770="","FEHLT",IF(NOT(ISNUMBER(C770)),"MESSWERT UNGUELTIG",IF(C770&lt;0,"MESSWERT UNGUELTIG",IF(H770="","TARIFPREIS FEHLT","OK"))))</f>
        <v>FEHLT</v>
      </c>
      <c r="K770" s="7">
        <f>IF(J770&lt;&gt;"OK","",C770*I770/100)</f>
        <v/>
      </c>
    </row>
    <row r="771" spans="1:11">
      <c r="A771" s="14">
        <v>46150</v>
      </c>
      <c r="B771" s="15">
        <v>0.96875</v>
      </c>
      <c r="C771" s="5">
        <f>IF('96 Werte'!CQ13="","",'96 Werte'!CQ13)</f>
        <v/>
      </c>
      <c r="D771" t="str">
        <f>IF(IF(Eingaben!$B$21&lt;Eingaben!$B$22,AND(B771&gt;=Eingaben!$B$21,B771&lt;Eingaben!$B$22),OR(B771&gt;=Eingaben!$B$21,B771&lt;Eingaben!$B$22)),"GO",IF(AND(ISNUMBER(Eingaben!$B$23),ISNUMBER(Eingaben!$B$24),IF(Eingaben!$B$23&lt;Eingaben!$B$24,AND(B771&gt;=Eingaben!$B$23,B771&lt;Eingaben!$B$24),OR(B771&gt;=Eingaben!$B$23,B771&lt;Eingaben!$B$24))),"HEAT","STANDARD"))</f>
        <v>STANDARD</v>
      </c>
      <c r="E771" s="9"/>
      <c r="F771" t="str">
        <f>IF(E771="",D771,E771)</f>
        <v>STANDARD</v>
      </c>
      <c r="G771" t="str">
        <f>INDEX(Netzzeiten!$B$6:$B$29,HOUR(B771)+1)</f>
        <v>NT</v>
      </c>
      <c r="H771" s="6">
        <f>IF(F771="GO",Eingaben!$B$11,IF(F771="STANDARD",Eingaben!$B$12,IF(AND(F771="HEAT",ISNUMBER(Eingaben!$B$13)),Eingaben!$B$13,"")))</f>
        <v>28.2744</v>
      </c>
      <c r="I771" s="6">
        <f>INDEX(Netzzeiten!$C$6:$C$29,HOUR(B771)+1)</f>
        <v>1.64</v>
      </c>
      <c r="J771" t="str">
        <f>IF(C771="","FEHLT",IF(NOT(ISNUMBER(C771)),"MESSWERT UNGUELTIG",IF(C771&lt;0,"MESSWERT UNGUELTIG",IF(H771="","TARIFPREIS FEHLT","OK"))))</f>
        <v>FEHLT</v>
      </c>
      <c r="K771" s="7">
        <f>IF(J771&lt;&gt;"OK","",C771*I771/100)</f>
        <v/>
      </c>
    </row>
    <row r="772" spans="1:11">
      <c r="A772" s="14">
        <v>46150</v>
      </c>
      <c r="B772" s="15">
        <v>0.9791666666666666</v>
      </c>
      <c r="C772" s="5">
        <f>IF('96 Werte'!CR13="","",'96 Werte'!CR13)</f>
        <v/>
      </c>
      <c r="D772" t="str">
        <f>IF(IF(Eingaben!$B$21&lt;Eingaben!$B$22,AND(B772&gt;=Eingaben!$B$21,B772&lt;Eingaben!$B$22),OR(B772&gt;=Eingaben!$B$21,B772&lt;Eingaben!$B$22)),"GO",IF(AND(ISNUMBER(Eingaben!$B$23),ISNUMBER(Eingaben!$B$24),IF(Eingaben!$B$23&lt;Eingaben!$B$24,AND(B772&gt;=Eingaben!$B$23,B772&lt;Eingaben!$B$24),OR(B772&gt;=Eingaben!$B$23,B772&lt;Eingaben!$B$24))),"HEAT","STANDARD"))</f>
        <v>STANDARD</v>
      </c>
      <c r="E772" s="9"/>
      <c r="F772" t="str">
        <f>IF(E772="",D772,E772)</f>
        <v>STANDARD</v>
      </c>
      <c r="G772" t="str">
        <f>INDEX(Netzzeiten!$B$6:$B$29,HOUR(B772)+1)</f>
        <v>NT</v>
      </c>
      <c r="H772" s="6">
        <f>IF(F772="GO",Eingaben!$B$11,IF(F772="STANDARD",Eingaben!$B$12,IF(AND(F772="HEAT",ISNUMBER(Eingaben!$B$13)),Eingaben!$B$13,"")))</f>
        <v>28.2744</v>
      </c>
      <c r="I772" s="6">
        <f>INDEX(Netzzeiten!$C$6:$C$29,HOUR(B772)+1)</f>
        <v>1.64</v>
      </c>
      <c r="J772" t="str">
        <f>IF(C772="","FEHLT",IF(NOT(ISNUMBER(C772)),"MESSWERT UNGUELTIG",IF(C772&lt;0,"MESSWERT UNGUELTIG",IF(H772="","TARIFPREIS FEHLT","OK"))))</f>
        <v>FEHLT</v>
      </c>
      <c r="K772" s="7">
        <f>IF(J772&lt;&gt;"OK","",C772*I772/100)</f>
        <v/>
      </c>
    </row>
    <row r="773" spans="1:11">
      <c r="A773" s="14">
        <v>46150</v>
      </c>
      <c r="B773" s="15">
        <v>0.9895833333333334</v>
      </c>
      <c r="C773" s="5">
        <f>IF('96 Werte'!CS13="","",'96 Werte'!CS13)</f>
        <v/>
      </c>
      <c r="D773" t="str">
        <f>IF(IF(Eingaben!$B$21&lt;Eingaben!$B$22,AND(B773&gt;=Eingaben!$B$21,B773&lt;Eingaben!$B$22),OR(B773&gt;=Eingaben!$B$21,B773&lt;Eingaben!$B$22)),"GO",IF(AND(ISNUMBER(Eingaben!$B$23),ISNUMBER(Eingaben!$B$24),IF(Eingaben!$B$23&lt;Eingaben!$B$24,AND(B773&gt;=Eingaben!$B$23,B773&lt;Eingaben!$B$24),OR(B773&gt;=Eingaben!$B$23,B773&lt;Eingaben!$B$24))),"HEAT","STANDARD"))</f>
        <v>STANDARD</v>
      </c>
      <c r="E773" s="9"/>
      <c r="F773" t="str">
        <f>IF(E773="",D773,E773)</f>
        <v>STANDARD</v>
      </c>
      <c r="G773" t="str">
        <f>INDEX(Netzzeiten!$B$6:$B$29,HOUR(B773)+1)</f>
        <v>NT</v>
      </c>
      <c r="H773" s="6">
        <f>IF(F773="GO",Eingaben!$B$11,IF(F773="STANDARD",Eingaben!$B$12,IF(AND(F773="HEAT",ISNUMBER(Eingaben!$B$13)),Eingaben!$B$13,"")))</f>
        <v>28.2744</v>
      </c>
      <c r="I773" s="6">
        <f>INDEX(Netzzeiten!$C$6:$C$29,HOUR(B773)+1)</f>
        <v>1.64</v>
      </c>
      <c r="J773" t="str">
        <f>IF(C773="","FEHLT",IF(NOT(ISNUMBER(C773)),"MESSWERT UNGUELTIG",IF(C773&lt;0,"MESSWERT UNGUELTIG",IF(H773="","TARIFPREIS FEHLT","OK"))))</f>
        <v>FEHLT</v>
      </c>
      <c r="K773" s="7">
        <f>IF(J773&lt;&gt;"OK","",C773*I773/100)</f>
        <v/>
      </c>
    </row>
    <row r="774" spans="1:11">
      <c r="A774" s="14">
        <v>46151</v>
      </c>
      <c r="B774" s="15">
        <v>0</v>
      </c>
      <c r="C774" s="5">
        <f>IF('96 Werte'!B14="","",'96 Werte'!B14)</f>
        <v/>
      </c>
      <c r="D774" t="str">
        <f>IF(IF(Eingaben!$B$21&lt;Eingaben!$B$22,AND(B774&gt;=Eingaben!$B$21,B774&lt;Eingaben!$B$22),OR(B774&gt;=Eingaben!$B$21,B774&lt;Eingaben!$B$22)),"GO",IF(AND(ISNUMBER(Eingaben!$B$23),ISNUMBER(Eingaben!$B$24),IF(Eingaben!$B$23&lt;Eingaben!$B$24,AND(B774&gt;=Eingaben!$B$23,B774&lt;Eingaben!$B$24),OR(B774&gt;=Eingaben!$B$23,B774&lt;Eingaben!$B$24))),"HEAT","STANDARD"))</f>
        <v>GO</v>
      </c>
      <c r="E774" s="9"/>
      <c r="F774" t="str">
        <f>IF(E774="",D774,E774)</f>
        <v>GO</v>
      </c>
      <c r="G774" t="str">
        <f>INDEX(Netzzeiten!$B$6:$B$29,HOUR(B774)+1)</f>
        <v>NT</v>
      </c>
      <c r="H774" s="6">
        <f>IF(F774="GO",Eingaben!$B$11,IF(F774="STANDARD",Eingaben!$B$12,IF(AND(F774="HEAT",ISNUMBER(Eingaben!$B$13)),Eingaben!$B$13,"")))</f>
        <v>15.0654</v>
      </c>
      <c r="I774" s="6">
        <f>INDEX(Netzzeiten!$C$6:$C$29,HOUR(B774)+1)</f>
        <v>1.64</v>
      </c>
      <c r="J774" t="str">
        <f>IF(C774="","FEHLT",IF(NOT(ISNUMBER(C774)),"MESSWERT UNGUELTIG",IF(C774&lt;0,"MESSWERT UNGUELTIG",IF(H774="","TARIFPREIS FEHLT","OK"))))</f>
        <v>FEHLT</v>
      </c>
      <c r="K774" s="7">
        <f>IF(J774&lt;&gt;"OK","",C774*I774/100)</f>
        <v/>
      </c>
    </row>
    <row r="775" spans="1:11">
      <c r="A775" s="14">
        <v>46151</v>
      </c>
      <c r="B775" s="15">
        <v>0.01041666666666667</v>
      </c>
      <c r="C775" s="5">
        <f>IF('96 Werte'!C14="","",'96 Werte'!C14)</f>
        <v/>
      </c>
      <c r="D775" t="str">
        <f>IF(IF(Eingaben!$B$21&lt;Eingaben!$B$22,AND(B775&gt;=Eingaben!$B$21,B775&lt;Eingaben!$B$22),OR(B775&gt;=Eingaben!$B$21,B775&lt;Eingaben!$B$22)),"GO",IF(AND(ISNUMBER(Eingaben!$B$23),ISNUMBER(Eingaben!$B$24),IF(Eingaben!$B$23&lt;Eingaben!$B$24,AND(B775&gt;=Eingaben!$B$23,B775&lt;Eingaben!$B$24),OR(B775&gt;=Eingaben!$B$23,B775&lt;Eingaben!$B$24))),"HEAT","STANDARD"))</f>
        <v>GO</v>
      </c>
      <c r="E775" s="9"/>
      <c r="F775" t="str">
        <f>IF(E775="",D775,E775)</f>
        <v>GO</v>
      </c>
      <c r="G775" t="str">
        <f>INDEX(Netzzeiten!$B$6:$B$29,HOUR(B775)+1)</f>
        <v>NT</v>
      </c>
      <c r="H775" s="6">
        <f>IF(F775="GO",Eingaben!$B$11,IF(F775="STANDARD",Eingaben!$B$12,IF(AND(F775="HEAT",ISNUMBER(Eingaben!$B$13)),Eingaben!$B$13,"")))</f>
        <v>15.0654</v>
      </c>
      <c r="I775" s="6">
        <f>INDEX(Netzzeiten!$C$6:$C$29,HOUR(B775)+1)</f>
        <v>1.64</v>
      </c>
      <c r="J775" t="str">
        <f>IF(C775="","FEHLT",IF(NOT(ISNUMBER(C775)),"MESSWERT UNGUELTIG",IF(C775&lt;0,"MESSWERT UNGUELTIG",IF(H775="","TARIFPREIS FEHLT","OK"))))</f>
        <v>FEHLT</v>
      </c>
      <c r="K775" s="7">
        <f>IF(J775&lt;&gt;"OK","",C775*I775/100)</f>
        <v/>
      </c>
    </row>
    <row r="776" spans="1:11">
      <c r="A776" s="14">
        <v>46151</v>
      </c>
      <c r="B776" s="15">
        <v>0.02083333333333333</v>
      </c>
      <c r="C776" s="5">
        <f>IF('96 Werte'!D14="","",'96 Werte'!D14)</f>
        <v/>
      </c>
      <c r="D776" t="str">
        <f>IF(IF(Eingaben!$B$21&lt;Eingaben!$B$22,AND(B776&gt;=Eingaben!$B$21,B776&lt;Eingaben!$B$22),OR(B776&gt;=Eingaben!$B$21,B776&lt;Eingaben!$B$22)),"GO",IF(AND(ISNUMBER(Eingaben!$B$23),ISNUMBER(Eingaben!$B$24),IF(Eingaben!$B$23&lt;Eingaben!$B$24,AND(B776&gt;=Eingaben!$B$23,B776&lt;Eingaben!$B$24),OR(B776&gt;=Eingaben!$B$23,B776&lt;Eingaben!$B$24))),"HEAT","STANDARD"))</f>
        <v>GO</v>
      </c>
      <c r="E776" s="9"/>
      <c r="F776" t="str">
        <f>IF(E776="",D776,E776)</f>
        <v>GO</v>
      </c>
      <c r="G776" t="str">
        <f>INDEX(Netzzeiten!$B$6:$B$29,HOUR(B776)+1)</f>
        <v>NT</v>
      </c>
      <c r="H776" s="6">
        <f>IF(F776="GO",Eingaben!$B$11,IF(F776="STANDARD",Eingaben!$B$12,IF(AND(F776="HEAT",ISNUMBER(Eingaben!$B$13)),Eingaben!$B$13,"")))</f>
        <v>15.0654</v>
      </c>
      <c r="I776" s="6">
        <f>INDEX(Netzzeiten!$C$6:$C$29,HOUR(B776)+1)</f>
        <v>1.64</v>
      </c>
      <c r="J776" t="str">
        <f>IF(C776="","FEHLT",IF(NOT(ISNUMBER(C776)),"MESSWERT UNGUELTIG",IF(C776&lt;0,"MESSWERT UNGUELTIG",IF(H776="","TARIFPREIS FEHLT","OK"))))</f>
        <v>FEHLT</v>
      </c>
      <c r="K776" s="7">
        <f>IF(J776&lt;&gt;"OK","",C776*I776/100)</f>
        <v/>
      </c>
    </row>
    <row r="777" spans="1:11">
      <c r="A777" s="14">
        <v>46151</v>
      </c>
      <c r="B777" s="15">
        <v>0.03125</v>
      </c>
      <c r="C777" s="5">
        <f>IF('96 Werte'!E14="","",'96 Werte'!E14)</f>
        <v/>
      </c>
      <c r="D777" t="str">
        <f>IF(IF(Eingaben!$B$21&lt;Eingaben!$B$22,AND(B777&gt;=Eingaben!$B$21,B777&lt;Eingaben!$B$22),OR(B777&gt;=Eingaben!$B$21,B777&lt;Eingaben!$B$22)),"GO",IF(AND(ISNUMBER(Eingaben!$B$23),ISNUMBER(Eingaben!$B$24),IF(Eingaben!$B$23&lt;Eingaben!$B$24,AND(B777&gt;=Eingaben!$B$23,B777&lt;Eingaben!$B$24),OR(B777&gt;=Eingaben!$B$23,B777&lt;Eingaben!$B$24))),"HEAT","STANDARD"))</f>
        <v>GO</v>
      </c>
      <c r="E777" s="9"/>
      <c r="F777" t="str">
        <f>IF(E777="",D777,E777)</f>
        <v>GO</v>
      </c>
      <c r="G777" t="str">
        <f>INDEX(Netzzeiten!$B$6:$B$29,HOUR(B777)+1)</f>
        <v>NT</v>
      </c>
      <c r="H777" s="6">
        <f>IF(F777="GO",Eingaben!$B$11,IF(F777="STANDARD",Eingaben!$B$12,IF(AND(F777="HEAT",ISNUMBER(Eingaben!$B$13)),Eingaben!$B$13,"")))</f>
        <v>15.0654</v>
      </c>
      <c r="I777" s="6">
        <f>INDEX(Netzzeiten!$C$6:$C$29,HOUR(B777)+1)</f>
        <v>1.64</v>
      </c>
      <c r="J777" t="str">
        <f>IF(C777="","FEHLT",IF(NOT(ISNUMBER(C777)),"MESSWERT UNGUELTIG",IF(C777&lt;0,"MESSWERT UNGUELTIG",IF(H777="","TARIFPREIS FEHLT","OK"))))</f>
        <v>FEHLT</v>
      </c>
      <c r="K777" s="7">
        <f>IF(J777&lt;&gt;"OK","",C777*I777/100)</f>
        <v/>
      </c>
    </row>
    <row r="778" spans="1:11">
      <c r="A778" s="14">
        <v>46151</v>
      </c>
      <c r="B778" s="15">
        <v>0.04166666666666666</v>
      </c>
      <c r="C778" s="5">
        <f>IF('96 Werte'!F14="","",'96 Werte'!F14)</f>
        <v/>
      </c>
      <c r="D778" t="str">
        <f>IF(IF(Eingaben!$B$21&lt;Eingaben!$B$22,AND(B778&gt;=Eingaben!$B$21,B778&lt;Eingaben!$B$22),OR(B778&gt;=Eingaben!$B$21,B778&lt;Eingaben!$B$22)),"GO",IF(AND(ISNUMBER(Eingaben!$B$23),ISNUMBER(Eingaben!$B$24),IF(Eingaben!$B$23&lt;Eingaben!$B$24,AND(B778&gt;=Eingaben!$B$23,B778&lt;Eingaben!$B$24),OR(B778&gt;=Eingaben!$B$23,B778&lt;Eingaben!$B$24))),"HEAT","STANDARD"))</f>
        <v>GO</v>
      </c>
      <c r="E778" s="9"/>
      <c r="F778" t="str">
        <f>IF(E778="",D778,E778)</f>
        <v>GO</v>
      </c>
      <c r="G778" t="str">
        <f>INDEX(Netzzeiten!$B$6:$B$29,HOUR(B778)+1)</f>
        <v>NT</v>
      </c>
      <c r="H778" s="6">
        <f>IF(F778="GO",Eingaben!$B$11,IF(F778="STANDARD",Eingaben!$B$12,IF(AND(F778="HEAT",ISNUMBER(Eingaben!$B$13)),Eingaben!$B$13,"")))</f>
        <v>15.0654</v>
      </c>
      <c r="I778" s="6">
        <f>INDEX(Netzzeiten!$C$6:$C$29,HOUR(B778)+1)</f>
        <v>1.64</v>
      </c>
      <c r="J778" t="str">
        <f>IF(C778="","FEHLT",IF(NOT(ISNUMBER(C778)),"MESSWERT UNGUELTIG",IF(C778&lt;0,"MESSWERT UNGUELTIG",IF(H778="","TARIFPREIS FEHLT","OK"))))</f>
        <v>FEHLT</v>
      </c>
      <c r="K778" s="7">
        <f>IF(J778&lt;&gt;"OK","",C778*I778/100)</f>
        <v/>
      </c>
    </row>
    <row r="779" spans="1:11">
      <c r="A779" s="14">
        <v>46151</v>
      </c>
      <c r="B779" s="15">
        <v>0.05208333333333334</v>
      </c>
      <c r="C779" s="5">
        <f>IF('96 Werte'!G14="","",'96 Werte'!G14)</f>
        <v/>
      </c>
      <c r="D779" t="str">
        <f>IF(IF(Eingaben!$B$21&lt;Eingaben!$B$22,AND(B779&gt;=Eingaben!$B$21,B779&lt;Eingaben!$B$22),OR(B779&gt;=Eingaben!$B$21,B779&lt;Eingaben!$B$22)),"GO",IF(AND(ISNUMBER(Eingaben!$B$23),ISNUMBER(Eingaben!$B$24),IF(Eingaben!$B$23&lt;Eingaben!$B$24,AND(B779&gt;=Eingaben!$B$23,B779&lt;Eingaben!$B$24),OR(B779&gt;=Eingaben!$B$23,B779&lt;Eingaben!$B$24))),"HEAT","STANDARD"))</f>
        <v>GO</v>
      </c>
      <c r="E779" s="9"/>
      <c r="F779" t="str">
        <f>IF(E779="",D779,E779)</f>
        <v>GO</v>
      </c>
      <c r="G779" t="str">
        <f>INDEX(Netzzeiten!$B$6:$B$29,HOUR(B779)+1)</f>
        <v>NT</v>
      </c>
      <c r="H779" s="6">
        <f>IF(F779="GO",Eingaben!$B$11,IF(F779="STANDARD",Eingaben!$B$12,IF(AND(F779="HEAT",ISNUMBER(Eingaben!$B$13)),Eingaben!$B$13,"")))</f>
        <v>15.0654</v>
      </c>
      <c r="I779" s="6">
        <f>INDEX(Netzzeiten!$C$6:$C$29,HOUR(B779)+1)</f>
        <v>1.64</v>
      </c>
      <c r="J779" t="str">
        <f>IF(C779="","FEHLT",IF(NOT(ISNUMBER(C779)),"MESSWERT UNGUELTIG",IF(C779&lt;0,"MESSWERT UNGUELTIG",IF(H779="","TARIFPREIS FEHLT","OK"))))</f>
        <v>FEHLT</v>
      </c>
      <c r="K779" s="7">
        <f>IF(J779&lt;&gt;"OK","",C779*I779/100)</f>
        <v/>
      </c>
    </row>
    <row r="780" spans="1:11">
      <c r="A780" s="14">
        <v>46151</v>
      </c>
      <c r="B780" s="15">
        <v>0.0625</v>
      </c>
      <c r="C780" s="5">
        <f>IF('96 Werte'!H14="","",'96 Werte'!H14)</f>
        <v/>
      </c>
      <c r="D780" t="str">
        <f>IF(IF(Eingaben!$B$21&lt;Eingaben!$B$22,AND(B780&gt;=Eingaben!$B$21,B780&lt;Eingaben!$B$22),OR(B780&gt;=Eingaben!$B$21,B780&lt;Eingaben!$B$22)),"GO",IF(AND(ISNUMBER(Eingaben!$B$23),ISNUMBER(Eingaben!$B$24),IF(Eingaben!$B$23&lt;Eingaben!$B$24,AND(B780&gt;=Eingaben!$B$23,B780&lt;Eingaben!$B$24),OR(B780&gt;=Eingaben!$B$23,B780&lt;Eingaben!$B$24))),"HEAT","STANDARD"))</f>
        <v>GO</v>
      </c>
      <c r="E780" s="9"/>
      <c r="F780" t="str">
        <f>IF(E780="",D780,E780)</f>
        <v>GO</v>
      </c>
      <c r="G780" t="str">
        <f>INDEX(Netzzeiten!$B$6:$B$29,HOUR(B780)+1)</f>
        <v>NT</v>
      </c>
      <c r="H780" s="6">
        <f>IF(F780="GO",Eingaben!$B$11,IF(F780="STANDARD",Eingaben!$B$12,IF(AND(F780="HEAT",ISNUMBER(Eingaben!$B$13)),Eingaben!$B$13,"")))</f>
        <v>15.0654</v>
      </c>
      <c r="I780" s="6">
        <f>INDEX(Netzzeiten!$C$6:$C$29,HOUR(B780)+1)</f>
        <v>1.64</v>
      </c>
      <c r="J780" t="str">
        <f>IF(C780="","FEHLT",IF(NOT(ISNUMBER(C780)),"MESSWERT UNGUELTIG",IF(C780&lt;0,"MESSWERT UNGUELTIG",IF(H780="","TARIFPREIS FEHLT","OK"))))</f>
        <v>FEHLT</v>
      </c>
      <c r="K780" s="7">
        <f>IF(J780&lt;&gt;"OK","",C780*I780/100)</f>
        <v/>
      </c>
    </row>
    <row r="781" spans="1:11">
      <c r="A781" s="14">
        <v>46151</v>
      </c>
      <c r="B781" s="15">
        <v>0.07291666666666667</v>
      </c>
      <c r="C781" s="5">
        <f>IF('96 Werte'!I14="","",'96 Werte'!I14)</f>
        <v/>
      </c>
      <c r="D781" t="str">
        <f>IF(IF(Eingaben!$B$21&lt;Eingaben!$B$22,AND(B781&gt;=Eingaben!$B$21,B781&lt;Eingaben!$B$22),OR(B781&gt;=Eingaben!$B$21,B781&lt;Eingaben!$B$22)),"GO",IF(AND(ISNUMBER(Eingaben!$B$23),ISNUMBER(Eingaben!$B$24),IF(Eingaben!$B$23&lt;Eingaben!$B$24,AND(B781&gt;=Eingaben!$B$23,B781&lt;Eingaben!$B$24),OR(B781&gt;=Eingaben!$B$23,B781&lt;Eingaben!$B$24))),"HEAT","STANDARD"))</f>
        <v>GO</v>
      </c>
      <c r="E781" s="9"/>
      <c r="F781" t="str">
        <f>IF(E781="",D781,E781)</f>
        <v>GO</v>
      </c>
      <c r="G781" t="str">
        <f>INDEX(Netzzeiten!$B$6:$B$29,HOUR(B781)+1)</f>
        <v>NT</v>
      </c>
      <c r="H781" s="6">
        <f>IF(F781="GO",Eingaben!$B$11,IF(F781="STANDARD",Eingaben!$B$12,IF(AND(F781="HEAT",ISNUMBER(Eingaben!$B$13)),Eingaben!$B$13,"")))</f>
        <v>15.0654</v>
      </c>
      <c r="I781" s="6">
        <f>INDEX(Netzzeiten!$C$6:$C$29,HOUR(B781)+1)</f>
        <v>1.64</v>
      </c>
      <c r="J781" t="str">
        <f>IF(C781="","FEHLT",IF(NOT(ISNUMBER(C781)),"MESSWERT UNGUELTIG",IF(C781&lt;0,"MESSWERT UNGUELTIG",IF(H781="","TARIFPREIS FEHLT","OK"))))</f>
        <v>FEHLT</v>
      </c>
      <c r="K781" s="7">
        <f>IF(J781&lt;&gt;"OK","",C781*I781/100)</f>
        <v/>
      </c>
    </row>
    <row r="782" spans="1:11">
      <c r="A782" s="14">
        <v>46151</v>
      </c>
      <c r="B782" s="15">
        <v>0.08333333333333333</v>
      </c>
      <c r="C782" s="5">
        <f>IF('96 Werte'!J14="","",'96 Werte'!J14)</f>
        <v/>
      </c>
      <c r="D782" t="str">
        <f>IF(IF(Eingaben!$B$21&lt;Eingaben!$B$22,AND(B782&gt;=Eingaben!$B$21,B782&lt;Eingaben!$B$22),OR(B782&gt;=Eingaben!$B$21,B782&lt;Eingaben!$B$22)),"GO",IF(AND(ISNUMBER(Eingaben!$B$23),ISNUMBER(Eingaben!$B$24),IF(Eingaben!$B$23&lt;Eingaben!$B$24,AND(B782&gt;=Eingaben!$B$23,B782&lt;Eingaben!$B$24),OR(B782&gt;=Eingaben!$B$23,B782&lt;Eingaben!$B$24))),"HEAT","STANDARD"))</f>
        <v>GO</v>
      </c>
      <c r="E782" s="9"/>
      <c r="F782" t="str">
        <f>IF(E782="",D782,E782)</f>
        <v>GO</v>
      </c>
      <c r="G782" t="str">
        <f>INDEX(Netzzeiten!$B$6:$B$29,HOUR(B782)+1)</f>
        <v>NT</v>
      </c>
      <c r="H782" s="6">
        <f>IF(F782="GO",Eingaben!$B$11,IF(F782="STANDARD",Eingaben!$B$12,IF(AND(F782="HEAT",ISNUMBER(Eingaben!$B$13)),Eingaben!$B$13,"")))</f>
        <v>15.0654</v>
      </c>
      <c r="I782" s="6">
        <f>INDEX(Netzzeiten!$C$6:$C$29,HOUR(B782)+1)</f>
        <v>1.64</v>
      </c>
      <c r="J782" t="str">
        <f>IF(C782="","FEHLT",IF(NOT(ISNUMBER(C782)),"MESSWERT UNGUELTIG",IF(C782&lt;0,"MESSWERT UNGUELTIG",IF(H782="","TARIFPREIS FEHLT","OK"))))</f>
        <v>FEHLT</v>
      </c>
      <c r="K782" s="7">
        <f>IF(J782&lt;&gt;"OK","",C782*I782/100)</f>
        <v/>
      </c>
    </row>
    <row r="783" spans="1:11">
      <c r="A783" s="14">
        <v>46151</v>
      </c>
      <c r="B783" s="15">
        <v>0.09375</v>
      </c>
      <c r="C783" s="5">
        <f>IF('96 Werte'!K14="","",'96 Werte'!K14)</f>
        <v/>
      </c>
      <c r="D783" t="str">
        <f>IF(IF(Eingaben!$B$21&lt;Eingaben!$B$22,AND(B783&gt;=Eingaben!$B$21,B783&lt;Eingaben!$B$22),OR(B783&gt;=Eingaben!$B$21,B783&lt;Eingaben!$B$22)),"GO",IF(AND(ISNUMBER(Eingaben!$B$23),ISNUMBER(Eingaben!$B$24),IF(Eingaben!$B$23&lt;Eingaben!$B$24,AND(B783&gt;=Eingaben!$B$23,B783&lt;Eingaben!$B$24),OR(B783&gt;=Eingaben!$B$23,B783&lt;Eingaben!$B$24))),"HEAT","STANDARD"))</f>
        <v>GO</v>
      </c>
      <c r="E783" s="9"/>
      <c r="F783" t="str">
        <f>IF(E783="",D783,E783)</f>
        <v>GO</v>
      </c>
      <c r="G783" t="str">
        <f>INDEX(Netzzeiten!$B$6:$B$29,HOUR(B783)+1)</f>
        <v>NT</v>
      </c>
      <c r="H783" s="6">
        <f>IF(F783="GO",Eingaben!$B$11,IF(F783="STANDARD",Eingaben!$B$12,IF(AND(F783="HEAT",ISNUMBER(Eingaben!$B$13)),Eingaben!$B$13,"")))</f>
        <v>15.0654</v>
      </c>
      <c r="I783" s="6">
        <f>INDEX(Netzzeiten!$C$6:$C$29,HOUR(B783)+1)</f>
        <v>1.64</v>
      </c>
      <c r="J783" t="str">
        <f>IF(C783="","FEHLT",IF(NOT(ISNUMBER(C783)),"MESSWERT UNGUELTIG",IF(C783&lt;0,"MESSWERT UNGUELTIG",IF(H783="","TARIFPREIS FEHLT","OK"))))</f>
        <v>FEHLT</v>
      </c>
      <c r="K783" s="7">
        <f>IF(J783&lt;&gt;"OK","",C783*I783/100)</f>
        <v/>
      </c>
    </row>
    <row r="784" spans="1:11">
      <c r="A784" s="14">
        <v>46151</v>
      </c>
      <c r="B784" s="15">
        <v>0.1041666666666667</v>
      </c>
      <c r="C784" s="5">
        <f>IF('96 Werte'!L14="","",'96 Werte'!L14)</f>
        <v/>
      </c>
      <c r="D784" t="str">
        <f>IF(IF(Eingaben!$B$21&lt;Eingaben!$B$22,AND(B784&gt;=Eingaben!$B$21,B784&lt;Eingaben!$B$22),OR(B784&gt;=Eingaben!$B$21,B784&lt;Eingaben!$B$22)),"GO",IF(AND(ISNUMBER(Eingaben!$B$23),ISNUMBER(Eingaben!$B$24),IF(Eingaben!$B$23&lt;Eingaben!$B$24,AND(B784&gt;=Eingaben!$B$23,B784&lt;Eingaben!$B$24),OR(B784&gt;=Eingaben!$B$23,B784&lt;Eingaben!$B$24))),"HEAT","STANDARD"))</f>
        <v>GO</v>
      </c>
      <c r="E784" s="9"/>
      <c r="F784" t="str">
        <f>IF(E784="",D784,E784)</f>
        <v>GO</v>
      </c>
      <c r="G784" t="str">
        <f>INDEX(Netzzeiten!$B$6:$B$29,HOUR(B784)+1)</f>
        <v>NT</v>
      </c>
      <c r="H784" s="6">
        <f>IF(F784="GO",Eingaben!$B$11,IF(F784="STANDARD",Eingaben!$B$12,IF(AND(F784="HEAT",ISNUMBER(Eingaben!$B$13)),Eingaben!$B$13,"")))</f>
        <v>15.0654</v>
      </c>
      <c r="I784" s="6">
        <f>INDEX(Netzzeiten!$C$6:$C$29,HOUR(B784)+1)</f>
        <v>1.64</v>
      </c>
      <c r="J784" t="str">
        <f>IF(C784="","FEHLT",IF(NOT(ISNUMBER(C784)),"MESSWERT UNGUELTIG",IF(C784&lt;0,"MESSWERT UNGUELTIG",IF(H784="","TARIFPREIS FEHLT","OK"))))</f>
        <v>FEHLT</v>
      </c>
      <c r="K784" s="7">
        <f>IF(J784&lt;&gt;"OK","",C784*I784/100)</f>
        <v/>
      </c>
    </row>
    <row r="785" spans="1:11">
      <c r="A785" s="14">
        <v>46151</v>
      </c>
      <c r="B785" s="15">
        <v>0.1145833333333333</v>
      </c>
      <c r="C785" s="5">
        <f>IF('96 Werte'!M14="","",'96 Werte'!M14)</f>
        <v/>
      </c>
      <c r="D785" t="str">
        <f>IF(IF(Eingaben!$B$21&lt;Eingaben!$B$22,AND(B785&gt;=Eingaben!$B$21,B785&lt;Eingaben!$B$22),OR(B785&gt;=Eingaben!$B$21,B785&lt;Eingaben!$B$22)),"GO",IF(AND(ISNUMBER(Eingaben!$B$23),ISNUMBER(Eingaben!$B$24),IF(Eingaben!$B$23&lt;Eingaben!$B$24,AND(B785&gt;=Eingaben!$B$23,B785&lt;Eingaben!$B$24),OR(B785&gt;=Eingaben!$B$23,B785&lt;Eingaben!$B$24))),"HEAT","STANDARD"))</f>
        <v>GO</v>
      </c>
      <c r="E785" s="9"/>
      <c r="F785" t="str">
        <f>IF(E785="",D785,E785)</f>
        <v>GO</v>
      </c>
      <c r="G785" t="str">
        <f>INDEX(Netzzeiten!$B$6:$B$29,HOUR(B785)+1)</f>
        <v>NT</v>
      </c>
      <c r="H785" s="6">
        <f>IF(F785="GO",Eingaben!$B$11,IF(F785="STANDARD",Eingaben!$B$12,IF(AND(F785="HEAT",ISNUMBER(Eingaben!$B$13)),Eingaben!$B$13,"")))</f>
        <v>15.0654</v>
      </c>
      <c r="I785" s="6">
        <f>INDEX(Netzzeiten!$C$6:$C$29,HOUR(B785)+1)</f>
        <v>1.64</v>
      </c>
      <c r="J785" t="str">
        <f>IF(C785="","FEHLT",IF(NOT(ISNUMBER(C785)),"MESSWERT UNGUELTIG",IF(C785&lt;0,"MESSWERT UNGUELTIG",IF(H785="","TARIFPREIS FEHLT","OK"))))</f>
        <v>FEHLT</v>
      </c>
      <c r="K785" s="7">
        <f>IF(J785&lt;&gt;"OK","",C785*I785/100)</f>
        <v/>
      </c>
    </row>
    <row r="786" spans="1:11">
      <c r="A786" s="14">
        <v>46151</v>
      </c>
      <c r="B786" s="15">
        <v>0.125</v>
      </c>
      <c r="C786" s="5">
        <f>IF('96 Werte'!N14="","",'96 Werte'!N14)</f>
        <v/>
      </c>
      <c r="D786" t="str">
        <f>IF(IF(Eingaben!$B$21&lt;Eingaben!$B$22,AND(B786&gt;=Eingaben!$B$21,B786&lt;Eingaben!$B$22),OR(B786&gt;=Eingaben!$B$21,B786&lt;Eingaben!$B$22)),"GO",IF(AND(ISNUMBER(Eingaben!$B$23),ISNUMBER(Eingaben!$B$24),IF(Eingaben!$B$23&lt;Eingaben!$B$24,AND(B786&gt;=Eingaben!$B$23,B786&lt;Eingaben!$B$24),OR(B786&gt;=Eingaben!$B$23,B786&lt;Eingaben!$B$24))),"HEAT","STANDARD"))</f>
        <v>GO</v>
      </c>
      <c r="E786" s="9"/>
      <c r="F786" t="str">
        <f>IF(E786="",D786,E786)</f>
        <v>GO</v>
      </c>
      <c r="G786" t="str">
        <f>INDEX(Netzzeiten!$B$6:$B$29,HOUR(B786)+1)</f>
        <v>NT</v>
      </c>
      <c r="H786" s="6">
        <f>IF(F786="GO",Eingaben!$B$11,IF(F786="STANDARD",Eingaben!$B$12,IF(AND(F786="HEAT",ISNUMBER(Eingaben!$B$13)),Eingaben!$B$13,"")))</f>
        <v>15.0654</v>
      </c>
      <c r="I786" s="6">
        <f>INDEX(Netzzeiten!$C$6:$C$29,HOUR(B786)+1)</f>
        <v>1.64</v>
      </c>
      <c r="J786" t="str">
        <f>IF(C786="","FEHLT",IF(NOT(ISNUMBER(C786)),"MESSWERT UNGUELTIG",IF(C786&lt;0,"MESSWERT UNGUELTIG",IF(H786="","TARIFPREIS FEHLT","OK"))))</f>
        <v>FEHLT</v>
      </c>
      <c r="K786" s="7">
        <f>IF(J786&lt;&gt;"OK","",C786*I786/100)</f>
        <v/>
      </c>
    </row>
    <row r="787" spans="1:11">
      <c r="A787" s="14">
        <v>46151</v>
      </c>
      <c r="B787" s="15">
        <v>0.1354166666666667</v>
      </c>
      <c r="C787" s="5">
        <f>IF('96 Werte'!O14="","",'96 Werte'!O14)</f>
        <v/>
      </c>
      <c r="D787" t="str">
        <f>IF(IF(Eingaben!$B$21&lt;Eingaben!$B$22,AND(B787&gt;=Eingaben!$B$21,B787&lt;Eingaben!$B$22),OR(B787&gt;=Eingaben!$B$21,B787&lt;Eingaben!$B$22)),"GO",IF(AND(ISNUMBER(Eingaben!$B$23),ISNUMBER(Eingaben!$B$24),IF(Eingaben!$B$23&lt;Eingaben!$B$24,AND(B787&gt;=Eingaben!$B$23,B787&lt;Eingaben!$B$24),OR(B787&gt;=Eingaben!$B$23,B787&lt;Eingaben!$B$24))),"HEAT","STANDARD"))</f>
        <v>GO</v>
      </c>
      <c r="E787" s="9"/>
      <c r="F787" t="str">
        <f>IF(E787="",D787,E787)</f>
        <v>GO</v>
      </c>
      <c r="G787" t="str">
        <f>INDEX(Netzzeiten!$B$6:$B$29,HOUR(B787)+1)</f>
        <v>NT</v>
      </c>
      <c r="H787" s="6">
        <f>IF(F787="GO",Eingaben!$B$11,IF(F787="STANDARD",Eingaben!$B$12,IF(AND(F787="HEAT",ISNUMBER(Eingaben!$B$13)),Eingaben!$B$13,"")))</f>
        <v>15.0654</v>
      </c>
      <c r="I787" s="6">
        <f>INDEX(Netzzeiten!$C$6:$C$29,HOUR(B787)+1)</f>
        <v>1.64</v>
      </c>
      <c r="J787" t="str">
        <f>IF(C787="","FEHLT",IF(NOT(ISNUMBER(C787)),"MESSWERT UNGUELTIG",IF(C787&lt;0,"MESSWERT UNGUELTIG",IF(H787="","TARIFPREIS FEHLT","OK"))))</f>
        <v>FEHLT</v>
      </c>
      <c r="K787" s="7">
        <f>IF(J787&lt;&gt;"OK","",C787*I787/100)</f>
        <v/>
      </c>
    </row>
    <row r="788" spans="1:11">
      <c r="A788" s="14">
        <v>46151</v>
      </c>
      <c r="B788" s="15">
        <v>0.1458333333333333</v>
      </c>
      <c r="C788" s="5">
        <f>IF('96 Werte'!P14="","",'96 Werte'!P14)</f>
        <v/>
      </c>
      <c r="D788" t="str">
        <f>IF(IF(Eingaben!$B$21&lt;Eingaben!$B$22,AND(B788&gt;=Eingaben!$B$21,B788&lt;Eingaben!$B$22),OR(B788&gt;=Eingaben!$B$21,B788&lt;Eingaben!$B$22)),"GO",IF(AND(ISNUMBER(Eingaben!$B$23),ISNUMBER(Eingaben!$B$24),IF(Eingaben!$B$23&lt;Eingaben!$B$24,AND(B788&gt;=Eingaben!$B$23,B788&lt;Eingaben!$B$24),OR(B788&gt;=Eingaben!$B$23,B788&lt;Eingaben!$B$24))),"HEAT","STANDARD"))</f>
        <v>GO</v>
      </c>
      <c r="E788" s="9"/>
      <c r="F788" t="str">
        <f>IF(E788="",D788,E788)</f>
        <v>GO</v>
      </c>
      <c r="G788" t="str">
        <f>INDEX(Netzzeiten!$B$6:$B$29,HOUR(B788)+1)</f>
        <v>NT</v>
      </c>
      <c r="H788" s="6">
        <f>IF(F788="GO",Eingaben!$B$11,IF(F788="STANDARD",Eingaben!$B$12,IF(AND(F788="HEAT",ISNUMBER(Eingaben!$B$13)),Eingaben!$B$13,"")))</f>
        <v>15.0654</v>
      </c>
      <c r="I788" s="6">
        <f>INDEX(Netzzeiten!$C$6:$C$29,HOUR(B788)+1)</f>
        <v>1.64</v>
      </c>
      <c r="J788" t="str">
        <f>IF(C788="","FEHLT",IF(NOT(ISNUMBER(C788)),"MESSWERT UNGUELTIG",IF(C788&lt;0,"MESSWERT UNGUELTIG",IF(H788="","TARIFPREIS FEHLT","OK"))))</f>
        <v>FEHLT</v>
      </c>
      <c r="K788" s="7">
        <f>IF(J788&lt;&gt;"OK","",C788*I788/100)</f>
        <v/>
      </c>
    </row>
    <row r="789" spans="1:11">
      <c r="A789" s="14">
        <v>46151</v>
      </c>
      <c r="B789" s="15">
        <v>0.15625</v>
      </c>
      <c r="C789" s="5">
        <f>IF('96 Werte'!Q14="","",'96 Werte'!Q14)</f>
        <v/>
      </c>
      <c r="D789" t="str">
        <f>IF(IF(Eingaben!$B$21&lt;Eingaben!$B$22,AND(B789&gt;=Eingaben!$B$21,B789&lt;Eingaben!$B$22),OR(B789&gt;=Eingaben!$B$21,B789&lt;Eingaben!$B$22)),"GO",IF(AND(ISNUMBER(Eingaben!$B$23),ISNUMBER(Eingaben!$B$24),IF(Eingaben!$B$23&lt;Eingaben!$B$24,AND(B789&gt;=Eingaben!$B$23,B789&lt;Eingaben!$B$24),OR(B789&gt;=Eingaben!$B$23,B789&lt;Eingaben!$B$24))),"HEAT","STANDARD"))</f>
        <v>GO</v>
      </c>
      <c r="E789" s="9"/>
      <c r="F789" t="str">
        <f>IF(E789="",D789,E789)</f>
        <v>GO</v>
      </c>
      <c r="G789" t="str">
        <f>INDEX(Netzzeiten!$B$6:$B$29,HOUR(B789)+1)</f>
        <v>NT</v>
      </c>
      <c r="H789" s="6">
        <f>IF(F789="GO",Eingaben!$B$11,IF(F789="STANDARD",Eingaben!$B$12,IF(AND(F789="HEAT",ISNUMBER(Eingaben!$B$13)),Eingaben!$B$13,"")))</f>
        <v>15.0654</v>
      </c>
      <c r="I789" s="6">
        <f>INDEX(Netzzeiten!$C$6:$C$29,HOUR(B789)+1)</f>
        <v>1.64</v>
      </c>
      <c r="J789" t="str">
        <f>IF(C789="","FEHLT",IF(NOT(ISNUMBER(C789)),"MESSWERT UNGUELTIG",IF(C789&lt;0,"MESSWERT UNGUELTIG",IF(H789="","TARIFPREIS FEHLT","OK"))))</f>
        <v>FEHLT</v>
      </c>
      <c r="K789" s="7">
        <f>IF(J789&lt;&gt;"OK","",C789*I789/100)</f>
        <v/>
      </c>
    </row>
    <row r="790" spans="1:11">
      <c r="A790" s="14">
        <v>46151</v>
      </c>
      <c r="B790" s="15">
        <v>0.1666666666666667</v>
      </c>
      <c r="C790" s="5">
        <f>IF('96 Werte'!R14="","",'96 Werte'!R14)</f>
        <v/>
      </c>
      <c r="D790" t="str">
        <f>IF(IF(Eingaben!$B$21&lt;Eingaben!$B$22,AND(B790&gt;=Eingaben!$B$21,B790&lt;Eingaben!$B$22),OR(B790&gt;=Eingaben!$B$21,B790&lt;Eingaben!$B$22)),"GO",IF(AND(ISNUMBER(Eingaben!$B$23),ISNUMBER(Eingaben!$B$24),IF(Eingaben!$B$23&lt;Eingaben!$B$24,AND(B790&gt;=Eingaben!$B$23,B790&lt;Eingaben!$B$24),OR(B790&gt;=Eingaben!$B$23,B790&lt;Eingaben!$B$24))),"HEAT","STANDARD"))</f>
        <v>GO</v>
      </c>
      <c r="E790" s="9"/>
      <c r="F790" t="str">
        <f>IF(E790="",D790,E790)</f>
        <v>GO</v>
      </c>
      <c r="G790" t="str">
        <f>INDEX(Netzzeiten!$B$6:$B$29,HOUR(B790)+1)</f>
        <v>NT</v>
      </c>
      <c r="H790" s="6">
        <f>IF(F790="GO",Eingaben!$B$11,IF(F790="STANDARD",Eingaben!$B$12,IF(AND(F790="HEAT",ISNUMBER(Eingaben!$B$13)),Eingaben!$B$13,"")))</f>
        <v>15.0654</v>
      </c>
      <c r="I790" s="6">
        <f>INDEX(Netzzeiten!$C$6:$C$29,HOUR(B790)+1)</f>
        <v>1.64</v>
      </c>
      <c r="J790" t="str">
        <f>IF(C790="","FEHLT",IF(NOT(ISNUMBER(C790)),"MESSWERT UNGUELTIG",IF(C790&lt;0,"MESSWERT UNGUELTIG",IF(H790="","TARIFPREIS FEHLT","OK"))))</f>
        <v>FEHLT</v>
      </c>
      <c r="K790" s="7">
        <f>IF(J790&lt;&gt;"OK","",C790*I790/100)</f>
        <v/>
      </c>
    </row>
    <row r="791" spans="1:11">
      <c r="A791" s="14">
        <v>46151</v>
      </c>
      <c r="B791" s="15">
        <v>0.1770833333333333</v>
      </c>
      <c r="C791" s="5">
        <f>IF('96 Werte'!S14="","",'96 Werte'!S14)</f>
        <v/>
      </c>
      <c r="D791" t="str">
        <f>IF(IF(Eingaben!$B$21&lt;Eingaben!$B$22,AND(B791&gt;=Eingaben!$B$21,B791&lt;Eingaben!$B$22),OR(B791&gt;=Eingaben!$B$21,B791&lt;Eingaben!$B$22)),"GO",IF(AND(ISNUMBER(Eingaben!$B$23),ISNUMBER(Eingaben!$B$24),IF(Eingaben!$B$23&lt;Eingaben!$B$24,AND(B791&gt;=Eingaben!$B$23,B791&lt;Eingaben!$B$24),OR(B791&gt;=Eingaben!$B$23,B791&lt;Eingaben!$B$24))),"HEAT","STANDARD"))</f>
        <v>GO</v>
      </c>
      <c r="E791" s="9"/>
      <c r="F791" t="str">
        <f>IF(E791="",D791,E791)</f>
        <v>GO</v>
      </c>
      <c r="G791" t="str">
        <f>INDEX(Netzzeiten!$B$6:$B$29,HOUR(B791)+1)</f>
        <v>NT</v>
      </c>
      <c r="H791" s="6">
        <f>IF(F791="GO",Eingaben!$B$11,IF(F791="STANDARD",Eingaben!$B$12,IF(AND(F791="HEAT",ISNUMBER(Eingaben!$B$13)),Eingaben!$B$13,"")))</f>
        <v>15.0654</v>
      </c>
      <c r="I791" s="6">
        <f>INDEX(Netzzeiten!$C$6:$C$29,HOUR(B791)+1)</f>
        <v>1.64</v>
      </c>
      <c r="J791" t="str">
        <f>IF(C791="","FEHLT",IF(NOT(ISNUMBER(C791)),"MESSWERT UNGUELTIG",IF(C791&lt;0,"MESSWERT UNGUELTIG",IF(H791="","TARIFPREIS FEHLT","OK"))))</f>
        <v>FEHLT</v>
      </c>
      <c r="K791" s="7">
        <f>IF(J791&lt;&gt;"OK","",C791*I791/100)</f>
        <v/>
      </c>
    </row>
    <row r="792" spans="1:11">
      <c r="A792" s="14">
        <v>46151</v>
      </c>
      <c r="B792" s="15">
        <v>0.1875</v>
      </c>
      <c r="C792" s="5">
        <f>IF('96 Werte'!T14="","",'96 Werte'!T14)</f>
        <v/>
      </c>
      <c r="D792" t="str">
        <f>IF(IF(Eingaben!$B$21&lt;Eingaben!$B$22,AND(B792&gt;=Eingaben!$B$21,B792&lt;Eingaben!$B$22),OR(B792&gt;=Eingaben!$B$21,B792&lt;Eingaben!$B$22)),"GO",IF(AND(ISNUMBER(Eingaben!$B$23),ISNUMBER(Eingaben!$B$24),IF(Eingaben!$B$23&lt;Eingaben!$B$24,AND(B792&gt;=Eingaben!$B$23,B792&lt;Eingaben!$B$24),OR(B792&gt;=Eingaben!$B$23,B792&lt;Eingaben!$B$24))),"HEAT","STANDARD"))</f>
        <v>GO</v>
      </c>
      <c r="E792" s="9"/>
      <c r="F792" t="str">
        <f>IF(E792="",D792,E792)</f>
        <v>GO</v>
      </c>
      <c r="G792" t="str">
        <f>INDEX(Netzzeiten!$B$6:$B$29,HOUR(B792)+1)</f>
        <v>NT</v>
      </c>
      <c r="H792" s="6">
        <f>IF(F792="GO",Eingaben!$B$11,IF(F792="STANDARD",Eingaben!$B$12,IF(AND(F792="HEAT",ISNUMBER(Eingaben!$B$13)),Eingaben!$B$13,"")))</f>
        <v>15.0654</v>
      </c>
      <c r="I792" s="6">
        <f>INDEX(Netzzeiten!$C$6:$C$29,HOUR(B792)+1)</f>
        <v>1.64</v>
      </c>
      <c r="J792" t="str">
        <f>IF(C792="","FEHLT",IF(NOT(ISNUMBER(C792)),"MESSWERT UNGUELTIG",IF(C792&lt;0,"MESSWERT UNGUELTIG",IF(H792="","TARIFPREIS FEHLT","OK"))))</f>
        <v>FEHLT</v>
      </c>
      <c r="K792" s="7">
        <f>IF(J792&lt;&gt;"OK","",C792*I792/100)</f>
        <v/>
      </c>
    </row>
    <row r="793" spans="1:11">
      <c r="A793" s="14">
        <v>46151</v>
      </c>
      <c r="B793" s="15">
        <v>0.1979166666666667</v>
      </c>
      <c r="C793" s="5">
        <f>IF('96 Werte'!U14="","",'96 Werte'!U14)</f>
        <v/>
      </c>
      <c r="D793" t="str">
        <f>IF(IF(Eingaben!$B$21&lt;Eingaben!$B$22,AND(B793&gt;=Eingaben!$B$21,B793&lt;Eingaben!$B$22),OR(B793&gt;=Eingaben!$B$21,B793&lt;Eingaben!$B$22)),"GO",IF(AND(ISNUMBER(Eingaben!$B$23),ISNUMBER(Eingaben!$B$24),IF(Eingaben!$B$23&lt;Eingaben!$B$24,AND(B793&gt;=Eingaben!$B$23,B793&lt;Eingaben!$B$24),OR(B793&gt;=Eingaben!$B$23,B793&lt;Eingaben!$B$24))),"HEAT","STANDARD"))</f>
        <v>GO</v>
      </c>
      <c r="E793" s="9"/>
      <c r="F793" t="str">
        <f>IF(E793="",D793,E793)</f>
        <v>GO</v>
      </c>
      <c r="G793" t="str">
        <f>INDEX(Netzzeiten!$B$6:$B$29,HOUR(B793)+1)</f>
        <v>NT</v>
      </c>
      <c r="H793" s="6">
        <f>IF(F793="GO",Eingaben!$B$11,IF(F793="STANDARD",Eingaben!$B$12,IF(AND(F793="HEAT",ISNUMBER(Eingaben!$B$13)),Eingaben!$B$13,"")))</f>
        <v>15.0654</v>
      </c>
      <c r="I793" s="6">
        <f>INDEX(Netzzeiten!$C$6:$C$29,HOUR(B793)+1)</f>
        <v>1.64</v>
      </c>
      <c r="J793" t="str">
        <f>IF(C793="","FEHLT",IF(NOT(ISNUMBER(C793)),"MESSWERT UNGUELTIG",IF(C793&lt;0,"MESSWERT UNGUELTIG",IF(H793="","TARIFPREIS FEHLT","OK"))))</f>
        <v>FEHLT</v>
      </c>
      <c r="K793" s="7">
        <f>IF(J793&lt;&gt;"OK","",C793*I793/100)</f>
        <v/>
      </c>
    </row>
    <row r="794" spans="1:11">
      <c r="A794" s="14">
        <v>46151</v>
      </c>
      <c r="B794" s="15">
        <v>0.2083333333333333</v>
      </c>
      <c r="C794" s="5">
        <f>IF('96 Werte'!V14="","",'96 Werte'!V14)</f>
        <v/>
      </c>
      <c r="D794" t="str">
        <f>IF(IF(Eingaben!$B$21&lt;Eingaben!$B$22,AND(B794&gt;=Eingaben!$B$21,B794&lt;Eingaben!$B$22),OR(B794&gt;=Eingaben!$B$21,B794&lt;Eingaben!$B$22)),"GO",IF(AND(ISNUMBER(Eingaben!$B$23),ISNUMBER(Eingaben!$B$24),IF(Eingaben!$B$23&lt;Eingaben!$B$24,AND(B794&gt;=Eingaben!$B$23,B794&lt;Eingaben!$B$24),OR(B794&gt;=Eingaben!$B$23,B794&lt;Eingaben!$B$24))),"HEAT","STANDARD"))</f>
        <v>STANDARD</v>
      </c>
      <c r="E794" s="9"/>
      <c r="F794" t="str">
        <f>IF(E794="",D794,E794)</f>
        <v>STANDARD</v>
      </c>
      <c r="G794" t="str">
        <f>INDEX(Netzzeiten!$B$6:$B$29,HOUR(B794)+1)</f>
        <v>NT</v>
      </c>
      <c r="H794" s="6">
        <f>IF(F794="GO",Eingaben!$B$11,IF(F794="STANDARD",Eingaben!$B$12,IF(AND(F794="HEAT",ISNUMBER(Eingaben!$B$13)),Eingaben!$B$13,"")))</f>
        <v>28.2744</v>
      </c>
      <c r="I794" s="6">
        <f>INDEX(Netzzeiten!$C$6:$C$29,HOUR(B794)+1)</f>
        <v>1.64</v>
      </c>
      <c r="J794" t="str">
        <f>IF(C794="","FEHLT",IF(NOT(ISNUMBER(C794)),"MESSWERT UNGUELTIG",IF(C794&lt;0,"MESSWERT UNGUELTIG",IF(H794="","TARIFPREIS FEHLT","OK"))))</f>
        <v>FEHLT</v>
      </c>
      <c r="K794" s="7">
        <f>IF(J794&lt;&gt;"OK","",C794*I794/100)</f>
        <v/>
      </c>
    </row>
    <row r="795" spans="1:11">
      <c r="A795" s="14">
        <v>46151</v>
      </c>
      <c r="B795" s="15">
        <v>0.21875</v>
      </c>
      <c r="C795" s="5">
        <f>IF('96 Werte'!W14="","",'96 Werte'!W14)</f>
        <v/>
      </c>
      <c r="D795" t="str">
        <f>IF(IF(Eingaben!$B$21&lt;Eingaben!$B$22,AND(B795&gt;=Eingaben!$B$21,B795&lt;Eingaben!$B$22),OR(B795&gt;=Eingaben!$B$21,B795&lt;Eingaben!$B$22)),"GO",IF(AND(ISNUMBER(Eingaben!$B$23),ISNUMBER(Eingaben!$B$24),IF(Eingaben!$B$23&lt;Eingaben!$B$24,AND(B795&gt;=Eingaben!$B$23,B795&lt;Eingaben!$B$24),OR(B795&gt;=Eingaben!$B$23,B795&lt;Eingaben!$B$24))),"HEAT","STANDARD"))</f>
        <v>STANDARD</v>
      </c>
      <c r="E795" s="9"/>
      <c r="F795" t="str">
        <f>IF(E795="",D795,E795)</f>
        <v>STANDARD</v>
      </c>
      <c r="G795" t="str">
        <f>INDEX(Netzzeiten!$B$6:$B$29,HOUR(B795)+1)</f>
        <v>NT</v>
      </c>
      <c r="H795" s="6">
        <f>IF(F795="GO",Eingaben!$B$11,IF(F795="STANDARD",Eingaben!$B$12,IF(AND(F795="HEAT",ISNUMBER(Eingaben!$B$13)),Eingaben!$B$13,"")))</f>
        <v>28.2744</v>
      </c>
      <c r="I795" s="6">
        <f>INDEX(Netzzeiten!$C$6:$C$29,HOUR(B795)+1)</f>
        <v>1.64</v>
      </c>
      <c r="J795" t="str">
        <f>IF(C795="","FEHLT",IF(NOT(ISNUMBER(C795)),"MESSWERT UNGUELTIG",IF(C795&lt;0,"MESSWERT UNGUELTIG",IF(H795="","TARIFPREIS FEHLT","OK"))))</f>
        <v>FEHLT</v>
      </c>
      <c r="K795" s="7">
        <f>IF(J795&lt;&gt;"OK","",C795*I795/100)</f>
        <v/>
      </c>
    </row>
    <row r="796" spans="1:11">
      <c r="A796" s="14">
        <v>46151</v>
      </c>
      <c r="B796" s="15">
        <v>0.2291666666666667</v>
      </c>
      <c r="C796" s="5">
        <f>IF('96 Werte'!X14="","",'96 Werte'!X14)</f>
        <v/>
      </c>
      <c r="D796" t="str">
        <f>IF(IF(Eingaben!$B$21&lt;Eingaben!$B$22,AND(B796&gt;=Eingaben!$B$21,B796&lt;Eingaben!$B$22),OR(B796&gt;=Eingaben!$B$21,B796&lt;Eingaben!$B$22)),"GO",IF(AND(ISNUMBER(Eingaben!$B$23),ISNUMBER(Eingaben!$B$24),IF(Eingaben!$B$23&lt;Eingaben!$B$24,AND(B796&gt;=Eingaben!$B$23,B796&lt;Eingaben!$B$24),OR(B796&gt;=Eingaben!$B$23,B796&lt;Eingaben!$B$24))),"HEAT","STANDARD"))</f>
        <v>STANDARD</v>
      </c>
      <c r="E796" s="9"/>
      <c r="F796" t="str">
        <f>IF(E796="",D796,E796)</f>
        <v>STANDARD</v>
      </c>
      <c r="G796" t="str">
        <f>INDEX(Netzzeiten!$B$6:$B$29,HOUR(B796)+1)</f>
        <v>NT</v>
      </c>
      <c r="H796" s="6">
        <f>IF(F796="GO",Eingaben!$B$11,IF(F796="STANDARD",Eingaben!$B$12,IF(AND(F796="HEAT",ISNUMBER(Eingaben!$B$13)),Eingaben!$B$13,"")))</f>
        <v>28.2744</v>
      </c>
      <c r="I796" s="6">
        <f>INDEX(Netzzeiten!$C$6:$C$29,HOUR(B796)+1)</f>
        <v>1.64</v>
      </c>
      <c r="J796" t="str">
        <f>IF(C796="","FEHLT",IF(NOT(ISNUMBER(C796)),"MESSWERT UNGUELTIG",IF(C796&lt;0,"MESSWERT UNGUELTIG",IF(H796="","TARIFPREIS FEHLT","OK"))))</f>
        <v>FEHLT</v>
      </c>
      <c r="K796" s="7">
        <f>IF(J796&lt;&gt;"OK","",C796*I796/100)</f>
        <v/>
      </c>
    </row>
    <row r="797" spans="1:11">
      <c r="A797" s="14">
        <v>46151</v>
      </c>
      <c r="B797" s="15">
        <v>0.2395833333333333</v>
      </c>
      <c r="C797" s="5">
        <f>IF('96 Werte'!Y14="","",'96 Werte'!Y14)</f>
        <v/>
      </c>
      <c r="D797" t="str">
        <f>IF(IF(Eingaben!$B$21&lt;Eingaben!$B$22,AND(B797&gt;=Eingaben!$B$21,B797&lt;Eingaben!$B$22),OR(B797&gt;=Eingaben!$B$21,B797&lt;Eingaben!$B$22)),"GO",IF(AND(ISNUMBER(Eingaben!$B$23),ISNUMBER(Eingaben!$B$24),IF(Eingaben!$B$23&lt;Eingaben!$B$24,AND(B797&gt;=Eingaben!$B$23,B797&lt;Eingaben!$B$24),OR(B797&gt;=Eingaben!$B$23,B797&lt;Eingaben!$B$24))),"HEAT","STANDARD"))</f>
        <v>STANDARD</v>
      </c>
      <c r="E797" s="9"/>
      <c r="F797" t="str">
        <f>IF(E797="",D797,E797)</f>
        <v>STANDARD</v>
      </c>
      <c r="G797" t="str">
        <f>INDEX(Netzzeiten!$B$6:$B$29,HOUR(B797)+1)</f>
        <v>NT</v>
      </c>
      <c r="H797" s="6">
        <f>IF(F797="GO",Eingaben!$B$11,IF(F797="STANDARD",Eingaben!$B$12,IF(AND(F797="HEAT",ISNUMBER(Eingaben!$B$13)),Eingaben!$B$13,"")))</f>
        <v>28.2744</v>
      </c>
      <c r="I797" s="6">
        <f>INDEX(Netzzeiten!$C$6:$C$29,HOUR(B797)+1)</f>
        <v>1.64</v>
      </c>
      <c r="J797" t="str">
        <f>IF(C797="","FEHLT",IF(NOT(ISNUMBER(C797)),"MESSWERT UNGUELTIG",IF(C797&lt;0,"MESSWERT UNGUELTIG",IF(H797="","TARIFPREIS FEHLT","OK"))))</f>
        <v>FEHLT</v>
      </c>
      <c r="K797" s="7">
        <f>IF(J797&lt;&gt;"OK","",C797*I797/100)</f>
        <v/>
      </c>
    </row>
    <row r="798" spans="1:11">
      <c r="A798" s="14">
        <v>46151</v>
      </c>
      <c r="B798" s="15">
        <v>0.25</v>
      </c>
      <c r="C798" s="5">
        <f>IF('96 Werte'!Z14="","",'96 Werte'!Z14)</f>
        <v/>
      </c>
      <c r="D798" t="str">
        <f>IF(IF(Eingaben!$B$21&lt;Eingaben!$B$22,AND(B798&gt;=Eingaben!$B$21,B798&lt;Eingaben!$B$22),OR(B798&gt;=Eingaben!$B$21,B798&lt;Eingaben!$B$22)),"GO",IF(AND(ISNUMBER(Eingaben!$B$23),ISNUMBER(Eingaben!$B$24),IF(Eingaben!$B$23&lt;Eingaben!$B$24,AND(B798&gt;=Eingaben!$B$23,B798&lt;Eingaben!$B$24),OR(B798&gt;=Eingaben!$B$23,B798&lt;Eingaben!$B$24))),"HEAT","STANDARD"))</f>
        <v>STANDARD</v>
      </c>
      <c r="E798" s="9"/>
      <c r="F798" t="str">
        <f>IF(E798="",D798,E798)</f>
        <v>STANDARD</v>
      </c>
      <c r="G798" t="str">
        <f>INDEX(Netzzeiten!$B$6:$B$29,HOUR(B798)+1)</f>
        <v>ST</v>
      </c>
      <c r="H798" s="6">
        <f>IF(F798="GO",Eingaben!$B$11,IF(F798="STANDARD",Eingaben!$B$12,IF(AND(F798="HEAT",ISNUMBER(Eingaben!$B$13)),Eingaben!$B$13,"")))</f>
        <v>28.2744</v>
      </c>
      <c r="I798" s="6">
        <f>INDEX(Netzzeiten!$C$6:$C$29,HOUR(B798)+1)</f>
        <v>5.48</v>
      </c>
      <c r="J798" t="str">
        <f>IF(C798="","FEHLT",IF(NOT(ISNUMBER(C798)),"MESSWERT UNGUELTIG",IF(C798&lt;0,"MESSWERT UNGUELTIG",IF(H798="","TARIFPREIS FEHLT","OK"))))</f>
        <v>FEHLT</v>
      </c>
      <c r="K798" s="7">
        <f>IF(J798&lt;&gt;"OK","",C798*I798/100)</f>
        <v/>
      </c>
    </row>
    <row r="799" spans="1:11">
      <c r="A799" s="14">
        <v>46151</v>
      </c>
      <c r="B799" s="15">
        <v>0.2604166666666667</v>
      </c>
      <c r="C799" s="5">
        <f>IF('96 Werte'!AA14="","",'96 Werte'!AA14)</f>
        <v/>
      </c>
      <c r="D799" t="str">
        <f>IF(IF(Eingaben!$B$21&lt;Eingaben!$B$22,AND(B799&gt;=Eingaben!$B$21,B799&lt;Eingaben!$B$22),OR(B799&gt;=Eingaben!$B$21,B799&lt;Eingaben!$B$22)),"GO",IF(AND(ISNUMBER(Eingaben!$B$23),ISNUMBER(Eingaben!$B$24),IF(Eingaben!$B$23&lt;Eingaben!$B$24,AND(B799&gt;=Eingaben!$B$23,B799&lt;Eingaben!$B$24),OR(B799&gt;=Eingaben!$B$23,B799&lt;Eingaben!$B$24))),"HEAT","STANDARD"))</f>
        <v>STANDARD</v>
      </c>
      <c r="E799" s="9"/>
      <c r="F799" t="str">
        <f>IF(E799="",D799,E799)</f>
        <v>STANDARD</v>
      </c>
      <c r="G799" t="str">
        <f>INDEX(Netzzeiten!$B$6:$B$29,HOUR(B799)+1)</f>
        <v>ST</v>
      </c>
      <c r="H799" s="6">
        <f>IF(F799="GO",Eingaben!$B$11,IF(F799="STANDARD",Eingaben!$B$12,IF(AND(F799="HEAT",ISNUMBER(Eingaben!$B$13)),Eingaben!$B$13,"")))</f>
        <v>28.2744</v>
      </c>
      <c r="I799" s="6">
        <f>INDEX(Netzzeiten!$C$6:$C$29,HOUR(B799)+1)</f>
        <v>5.48</v>
      </c>
      <c r="J799" t="str">
        <f>IF(C799="","FEHLT",IF(NOT(ISNUMBER(C799)),"MESSWERT UNGUELTIG",IF(C799&lt;0,"MESSWERT UNGUELTIG",IF(H799="","TARIFPREIS FEHLT","OK"))))</f>
        <v>FEHLT</v>
      </c>
      <c r="K799" s="7">
        <f>IF(J799&lt;&gt;"OK","",C799*I799/100)</f>
        <v/>
      </c>
    </row>
    <row r="800" spans="1:11">
      <c r="A800" s="14">
        <v>46151</v>
      </c>
      <c r="B800" s="15">
        <v>0.2708333333333333</v>
      </c>
      <c r="C800" s="5">
        <f>IF('96 Werte'!AB14="","",'96 Werte'!AB14)</f>
        <v/>
      </c>
      <c r="D800" t="str">
        <f>IF(IF(Eingaben!$B$21&lt;Eingaben!$B$22,AND(B800&gt;=Eingaben!$B$21,B800&lt;Eingaben!$B$22),OR(B800&gt;=Eingaben!$B$21,B800&lt;Eingaben!$B$22)),"GO",IF(AND(ISNUMBER(Eingaben!$B$23),ISNUMBER(Eingaben!$B$24),IF(Eingaben!$B$23&lt;Eingaben!$B$24,AND(B800&gt;=Eingaben!$B$23,B800&lt;Eingaben!$B$24),OR(B800&gt;=Eingaben!$B$23,B800&lt;Eingaben!$B$24))),"HEAT","STANDARD"))</f>
        <v>STANDARD</v>
      </c>
      <c r="E800" s="9"/>
      <c r="F800" t="str">
        <f>IF(E800="",D800,E800)</f>
        <v>STANDARD</v>
      </c>
      <c r="G800" t="str">
        <f>INDEX(Netzzeiten!$B$6:$B$29,HOUR(B800)+1)</f>
        <v>ST</v>
      </c>
      <c r="H800" s="6">
        <f>IF(F800="GO",Eingaben!$B$11,IF(F800="STANDARD",Eingaben!$B$12,IF(AND(F800="HEAT",ISNUMBER(Eingaben!$B$13)),Eingaben!$B$13,"")))</f>
        <v>28.2744</v>
      </c>
      <c r="I800" s="6">
        <f>INDEX(Netzzeiten!$C$6:$C$29,HOUR(B800)+1)</f>
        <v>5.48</v>
      </c>
      <c r="J800" t="str">
        <f>IF(C800="","FEHLT",IF(NOT(ISNUMBER(C800)),"MESSWERT UNGUELTIG",IF(C800&lt;0,"MESSWERT UNGUELTIG",IF(H800="","TARIFPREIS FEHLT","OK"))))</f>
        <v>FEHLT</v>
      </c>
      <c r="K800" s="7">
        <f>IF(J800&lt;&gt;"OK","",C800*I800/100)</f>
        <v/>
      </c>
    </row>
    <row r="801" spans="1:11">
      <c r="A801" s="14">
        <v>46151</v>
      </c>
      <c r="B801" s="15">
        <v>0.28125</v>
      </c>
      <c r="C801" s="5">
        <f>IF('96 Werte'!AC14="","",'96 Werte'!AC14)</f>
        <v/>
      </c>
      <c r="D801" t="str">
        <f>IF(IF(Eingaben!$B$21&lt;Eingaben!$B$22,AND(B801&gt;=Eingaben!$B$21,B801&lt;Eingaben!$B$22),OR(B801&gt;=Eingaben!$B$21,B801&lt;Eingaben!$B$22)),"GO",IF(AND(ISNUMBER(Eingaben!$B$23),ISNUMBER(Eingaben!$B$24),IF(Eingaben!$B$23&lt;Eingaben!$B$24,AND(B801&gt;=Eingaben!$B$23,B801&lt;Eingaben!$B$24),OR(B801&gt;=Eingaben!$B$23,B801&lt;Eingaben!$B$24))),"HEAT","STANDARD"))</f>
        <v>STANDARD</v>
      </c>
      <c r="E801" s="9"/>
      <c r="F801" t="str">
        <f>IF(E801="",D801,E801)</f>
        <v>STANDARD</v>
      </c>
      <c r="G801" t="str">
        <f>INDEX(Netzzeiten!$B$6:$B$29,HOUR(B801)+1)</f>
        <v>ST</v>
      </c>
      <c r="H801" s="6">
        <f>IF(F801="GO",Eingaben!$B$11,IF(F801="STANDARD",Eingaben!$B$12,IF(AND(F801="HEAT",ISNUMBER(Eingaben!$B$13)),Eingaben!$B$13,"")))</f>
        <v>28.2744</v>
      </c>
      <c r="I801" s="6">
        <f>INDEX(Netzzeiten!$C$6:$C$29,HOUR(B801)+1)</f>
        <v>5.48</v>
      </c>
      <c r="J801" t="str">
        <f>IF(C801="","FEHLT",IF(NOT(ISNUMBER(C801)),"MESSWERT UNGUELTIG",IF(C801&lt;0,"MESSWERT UNGUELTIG",IF(H801="","TARIFPREIS FEHLT","OK"))))</f>
        <v>FEHLT</v>
      </c>
      <c r="K801" s="7">
        <f>IF(J801&lt;&gt;"OK","",C801*I801/100)</f>
        <v/>
      </c>
    </row>
    <row r="802" spans="1:11">
      <c r="A802" s="14">
        <v>46151</v>
      </c>
      <c r="B802" s="15">
        <v>0.2916666666666667</v>
      </c>
      <c r="C802" s="5">
        <f>IF('96 Werte'!AD14="","",'96 Werte'!AD14)</f>
        <v/>
      </c>
      <c r="D802" t="str">
        <f>IF(IF(Eingaben!$B$21&lt;Eingaben!$B$22,AND(B802&gt;=Eingaben!$B$21,B802&lt;Eingaben!$B$22),OR(B802&gt;=Eingaben!$B$21,B802&lt;Eingaben!$B$22)),"GO",IF(AND(ISNUMBER(Eingaben!$B$23),ISNUMBER(Eingaben!$B$24),IF(Eingaben!$B$23&lt;Eingaben!$B$24,AND(B802&gt;=Eingaben!$B$23,B802&lt;Eingaben!$B$24),OR(B802&gt;=Eingaben!$B$23,B802&lt;Eingaben!$B$24))),"HEAT","STANDARD"))</f>
        <v>STANDARD</v>
      </c>
      <c r="E802" s="9"/>
      <c r="F802" t="str">
        <f>IF(E802="",D802,E802)</f>
        <v>STANDARD</v>
      </c>
      <c r="G802" t="str">
        <f>INDEX(Netzzeiten!$B$6:$B$29,HOUR(B802)+1)</f>
        <v>ST</v>
      </c>
      <c r="H802" s="6">
        <f>IF(F802="GO",Eingaben!$B$11,IF(F802="STANDARD",Eingaben!$B$12,IF(AND(F802="HEAT",ISNUMBER(Eingaben!$B$13)),Eingaben!$B$13,"")))</f>
        <v>28.2744</v>
      </c>
      <c r="I802" s="6">
        <f>INDEX(Netzzeiten!$C$6:$C$29,HOUR(B802)+1)</f>
        <v>5.48</v>
      </c>
      <c r="J802" t="str">
        <f>IF(C802="","FEHLT",IF(NOT(ISNUMBER(C802)),"MESSWERT UNGUELTIG",IF(C802&lt;0,"MESSWERT UNGUELTIG",IF(H802="","TARIFPREIS FEHLT","OK"))))</f>
        <v>FEHLT</v>
      </c>
      <c r="K802" s="7">
        <f>IF(J802&lt;&gt;"OK","",C802*I802/100)</f>
        <v/>
      </c>
    </row>
    <row r="803" spans="1:11">
      <c r="A803" s="14">
        <v>46151</v>
      </c>
      <c r="B803" s="15">
        <v>0.3020833333333333</v>
      </c>
      <c r="C803" s="5">
        <f>IF('96 Werte'!AE14="","",'96 Werte'!AE14)</f>
        <v/>
      </c>
      <c r="D803" t="str">
        <f>IF(IF(Eingaben!$B$21&lt;Eingaben!$B$22,AND(B803&gt;=Eingaben!$B$21,B803&lt;Eingaben!$B$22),OR(B803&gt;=Eingaben!$B$21,B803&lt;Eingaben!$B$22)),"GO",IF(AND(ISNUMBER(Eingaben!$B$23),ISNUMBER(Eingaben!$B$24),IF(Eingaben!$B$23&lt;Eingaben!$B$24,AND(B803&gt;=Eingaben!$B$23,B803&lt;Eingaben!$B$24),OR(B803&gt;=Eingaben!$B$23,B803&lt;Eingaben!$B$24))),"HEAT","STANDARD"))</f>
        <v>STANDARD</v>
      </c>
      <c r="E803" s="9"/>
      <c r="F803" t="str">
        <f>IF(E803="",D803,E803)</f>
        <v>STANDARD</v>
      </c>
      <c r="G803" t="str">
        <f>INDEX(Netzzeiten!$B$6:$B$29,HOUR(B803)+1)</f>
        <v>ST</v>
      </c>
      <c r="H803" s="6">
        <f>IF(F803="GO",Eingaben!$B$11,IF(F803="STANDARD",Eingaben!$B$12,IF(AND(F803="HEAT",ISNUMBER(Eingaben!$B$13)),Eingaben!$B$13,"")))</f>
        <v>28.2744</v>
      </c>
      <c r="I803" s="6">
        <f>INDEX(Netzzeiten!$C$6:$C$29,HOUR(B803)+1)</f>
        <v>5.48</v>
      </c>
      <c r="J803" t="str">
        <f>IF(C803="","FEHLT",IF(NOT(ISNUMBER(C803)),"MESSWERT UNGUELTIG",IF(C803&lt;0,"MESSWERT UNGUELTIG",IF(H803="","TARIFPREIS FEHLT","OK"))))</f>
        <v>FEHLT</v>
      </c>
      <c r="K803" s="7">
        <f>IF(J803&lt;&gt;"OK","",C803*I803/100)</f>
        <v/>
      </c>
    </row>
    <row r="804" spans="1:11">
      <c r="A804" s="14">
        <v>46151</v>
      </c>
      <c r="B804" s="15">
        <v>0.3125</v>
      </c>
      <c r="C804" s="5">
        <f>IF('96 Werte'!AF14="","",'96 Werte'!AF14)</f>
        <v/>
      </c>
      <c r="D804" t="str">
        <f>IF(IF(Eingaben!$B$21&lt;Eingaben!$B$22,AND(B804&gt;=Eingaben!$B$21,B804&lt;Eingaben!$B$22),OR(B804&gt;=Eingaben!$B$21,B804&lt;Eingaben!$B$22)),"GO",IF(AND(ISNUMBER(Eingaben!$B$23),ISNUMBER(Eingaben!$B$24),IF(Eingaben!$B$23&lt;Eingaben!$B$24,AND(B804&gt;=Eingaben!$B$23,B804&lt;Eingaben!$B$24),OR(B804&gt;=Eingaben!$B$23,B804&lt;Eingaben!$B$24))),"HEAT","STANDARD"))</f>
        <v>STANDARD</v>
      </c>
      <c r="E804" s="9"/>
      <c r="F804" t="str">
        <f>IF(E804="",D804,E804)</f>
        <v>STANDARD</v>
      </c>
      <c r="G804" t="str">
        <f>INDEX(Netzzeiten!$B$6:$B$29,HOUR(B804)+1)</f>
        <v>ST</v>
      </c>
      <c r="H804" s="6">
        <f>IF(F804="GO",Eingaben!$B$11,IF(F804="STANDARD",Eingaben!$B$12,IF(AND(F804="HEAT",ISNUMBER(Eingaben!$B$13)),Eingaben!$B$13,"")))</f>
        <v>28.2744</v>
      </c>
      <c r="I804" s="6">
        <f>INDEX(Netzzeiten!$C$6:$C$29,HOUR(B804)+1)</f>
        <v>5.48</v>
      </c>
      <c r="J804" t="str">
        <f>IF(C804="","FEHLT",IF(NOT(ISNUMBER(C804)),"MESSWERT UNGUELTIG",IF(C804&lt;0,"MESSWERT UNGUELTIG",IF(H804="","TARIFPREIS FEHLT","OK"))))</f>
        <v>FEHLT</v>
      </c>
      <c r="K804" s="7">
        <f>IF(J804&lt;&gt;"OK","",C804*I804/100)</f>
        <v/>
      </c>
    </row>
    <row r="805" spans="1:11">
      <c r="A805" s="14">
        <v>46151</v>
      </c>
      <c r="B805" s="15">
        <v>0.3229166666666667</v>
      </c>
      <c r="C805" s="5">
        <f>IF('96 Werte'!AG14="","",'96 Werte'!AG14)</f>
        <v/>
      </c>
      <c r="D805" t="str">
        <f>IF(IF(Eingaben!$B$21&lt;Eingaben!$B$22,AND(B805&gt;=Eingaben!$B$21,B805&lt;Eingaben!$B$22),OR(B805&gt;=Eingaben!$B$21,B805&lt;Eingaben!$B$22)),"GO",IF(AND(ISNUMBER(Eingaben!$B$23),ISNUMBER(Eingaben!$B$24),IF(Eingaben!$B$23&lt;Eingaben!$B$24,AND(B805&gt;=Eingaben!$B$23,B805&lt;Eingaben!$B$24),OR(B805&gt;=Eingaben!$B$23,B805&lt;Eingaben!$B$24))),"HEAT","STANDARD"))</f>
        <v>STANDARD</v>
      </c>
      <c r="E805" s="9"/>
      <c r="F805" t="str">
        <f>IF(E805="",D805,E805)</f>
        <v>STANDARD</v>
      </c>
      <c r="G805" t="str">
        <f>INDEX(Netzzeiten!$B$6:$B$29,HOUR(B805)+1)</f>
        <v>ST</v>
      </c>
      <c r="H805" s="6">
        <f>IF(F805="GO",Eingaben!$B$11,IF(F805="STANDARD",Eingaben!$B$12,IF(AND(F805="HEAT",ISNUMBER(Eingaben!$B$13)),Eingaben!$B$13,"")))</f>
        <v>28.2744</v>
      </c>
      <c r="I805" s="6">
        <f>INDEX(Netzzeiten!$C$6:$C$29,HOUR(B805)+1)</f>
        <v>5.48</v>
      </c>
      <c r="J805" t="str">
        <f>IF(C805="","FEHLT",IF(NOT(ISNUMBER(C805)),"MESSWERT UNGUELTIG",IF(C805&lt;0,"MESSWERT UNGUELTIG",IF(H805="","TARIFPREIS FEHLT","OK"))))</f>
        <v>FEHLT</v>
      </c>
      <c r="K805" s="7">
        <f>IF(J805&lt;&gt;"OK","",C805*I805/100)</f>
        <v/>
      </c>
    </row>
    <row r="806" spans="1:11">
      <c r="A806" s="14">
        <v>46151</v>
      </c>
      <c r="B806" s="15">
        <v>0.3333333333333333</v>
      </c>
      <c r="C806" s="5">
        <f>IF('96 Werte'!AH14="","",'96 Werte'!AH14)</f>
        <v/>
      </c>
      <c r="D806" t="str">
        <f>IF(IF(Eingaben!$B$21&lt;Eingaben!$B$22,AND(B806&gt;=Eingaben!$B$21,B806&lt;Eingaben!$B$22),OR(B806&gt;=Eingaben!$B$21,B806&lt;Eingaben!$B$22)),"GO",IF(AND(ISNUMBER(Eingaben!$B$23),ISNUMBER(Eingaben!$B$24),IF(Eingaben!$B$23&lt;Eingaben!$B$24,AND(B806&gt;=Eingaben!$B$23,B806&lt;Eingaben!$B$24),OR(B806&gt;=Eingaben!$B$23,B806&lt;Eingaben!$B$24))),"HEAT","STANDARD"))</f>
        <v>STANDARD</v>
      </c>
      <c r="E806" s="9"/>
      <c r="F806" t="str">
        <f>IF(E806="",D806,E806)</f>
        <v>STANDARD</v>
      </c>
      <c r="G806" t="str">
        <f>INDEX(Netzzeiten!$B$6:$B$29,HOUR(B806)+1)</f>
        <v>ST</v>
      </c>
      <c r="H806" s="6">
        <f>IF(F806="GO",Eingaben!$B$11,IF(F806="STANDARD",Eingaben!$B$12,IF(AND(F806="HEAT",ISNUMBER(Eingaben!$B$13)),Eingaben!$B$13,"")))</f>
        <v>28.2744</v>
      </c>
      <c r="I806" s="6">
        <f>INDEX(Netzzeiten!$C$6:$C$29,HOUR(B806)+1)</f>
        <v>5.48</v>
      </c>
      <c r="J806" t="str">
        <f>IF(C806="","FEHLT",IF(NOT(ISNUMBER(C806)),"MESSWERT UNGUELTIG",IF(C806&lt;0,"MESSWERT UNGUELTIG",IF(H806="","TARIFPREIS FEHLT","OK"))))</f>
        <v>FEHLT</v>
      </c>
      <c r="K806" s="7">
        <f>IF(J806&lt;&gt;"OK","",C806*I806/100)</f>
        <v/>
      </c>
    </row>
    <row r="807" spans="1:11">
      <c r="A807" s="14">
        <v>46151</v>
      </c>
      <c r="B807" s="15">
        <v>0.34375</v>
      </c>
      <c r="C807" s="5">
        <f>IF('96 Werte'!AI14="","",'96 Werte'!AI14)</f>
        <v/>
      </c>
      <c r="D807" t="str">
        <f>IF(IF(Eingaben!$B$21&lt;Eingaben!$B$22,AND(B807&gt;=Eingaben!$B$21,B807&lt;Eingaben!$B$22),OR(B807&gt;=Eingaben!$B$21,B807&lt;Eingaben!$B$22)),"GO",IF(AND(ISNUMBER(Eingaben!$B$23),ISNUMBER(Eingaben!$B$24),IF(Eingaben!$B$23&lt;Eingaben!$B$24,AND(B807&gt;=Eingaben!$B$23,B807&lt;Eingaben!$B$24),OR(B807&gt;=Eingaben!$B$23,B807&lt;Eingaben!$B$24))),"HEAT","STANDARD"))</f>
        <v>STANDARD</v>
      </c>
      <c r="E807" s="9"/>
      <c r="F807" t="str">
        <f>IF(E807="",D807,E807)</f>
        <v>STANDARD</v>
      </c>
      <c r="G807" t="str">
        <f>INDEX(Netzzeiten!$B$6:$B$29,HOUR(B807)+1)</f>
        <v>ST</v>
      </c>
      <c r="H807" s="6">
        <f>IF(F807="GO",Eingaben!$B$11,IF(F807="STANDARD",Eingaben!$B$12,IF(AND(F807="HEAT",ISNUMBER(Eingaben!$B$13)),Eingaben!$B$13,"")))</f>
        <v>28.2744</v>
      </c>
      <c r="I807" s="6">
        <f>INDEX(Netzzeiten!$C$6:$C$29,HOUR(B807)+1)</f>
        <v>5.48</v>
      </c>
      <c r="J807" t="str">
        <f>IF(C807="","FEHLT",IF(NOT(ISNUMBER(C807)),"MESSWERT UNGUELTIG",IF(C807&lt;0,"MESSWERT UNGUELTIG",IF(H807="","TARIFPREIS FEHLT","OK"))))</f>
        <v>FEHLT</v>
      </c>
      <c r="K807" s="7">
        <f>IF(J807&lt;&gt;"OK","",C807*I807/100)</f>
        <v/>
      </c>
    </row>
    <row r="808" spans="1:11">
      <c r="A808" s="14">
        <v>46151</v>
      </c>
      <c r="B808" s="15">
        <v>0.3541666666666667</v>
      </c>
      <c r="C808" s="5">
        <f>IF('96 Werte'!AJ14="","",'96 Werte'!AJ14)</f>
        <v/>
      </c>
      <c r="D808" t="str">
        <f>IF(IF(Eingaben!$B$21&lt;Eingaben!$B$22,AND(B808&gt;=Eingaben!$B$21,B808&lt;Eingaben!$B$22),OR(B808&gt;=Eingaben!$B$21,B808&lt;Eingaben!$B$22)),"GO",IF(AND(ISNUMBER(Eingaben!$B$23),ISNUMBER(Eingaben!$B$24),IF(Eingaben!$B$23&lt;Eingaben!$B$24,AND(B808&gt;=Eingaben!$B$23,B808&lt;Eingaben!$B$24),OR(B808&gt;=Eingaben!$B$23,B808&lt;Eingaben!$B$24))),"HEAT","STANDARD"))</f>
        <v>STANDARD</v>
      </c>
      <c r="E808" s="9"/>
      <c r="F808" t="str">
        <f>IF(E808="",D808,E808)</f>
        <v>STANDARD</v>
      </c>
      <c r="G808" t="str">
        <f>INDEX(Netzzeiten!$B$6:$B$29,HOUR(B808)+1)</f>
        <v>ST</v>
      </c>
      <c r="H808" s="6">
        <f>IF(F808="GO",Eingaben!$B$11,IF(F808="STANDARD",Eingaben!$B$12,IF(AND(F808="HEAT",ISNUMBER(Eingaben!$B$13)),Eingaben!$B$13,"")))</f>
        <v>28.2744</v>
      </c>
      <c r="I808" s="6">
        <f>INDEX(Netzzeiten!$C$6:$C$29,HOUR(B808)+1)</f>
        <v>5.48</v>
      </c>
      <c r="J808" t="str">
        <f>IF(C808="","FEHLT",IF(NOT(ISNUMBER(C808)),"MESSWERT UNGUELTIG",IF(C808&lt;0,"MESSWERT UNGUELTIG",IF(H808="","TARIFPREIS FEHLT","OK"))))</f>
        <v>FEHLT</v>
      </c>
      <c r="K808" s="7">
        <f>IF(J808&lt;&gt;"OK","",C808*I808/100)</f>
        <v/>
      </c>
    </row>
    <row r="809" spans="1:11">
      <c r="A809" s="14">
        <v>46151</v>
      </c>
      <c r="B809" s="15">
        <v>0.3645833333333333</v>
      </c>
      <c r="C809" s="5">
        <f>IF('96 Werte'!AK14="","",'96 Werte'!AK14)</f>
        <v/>
      </c>
      <c r="D809" t="str">
        <f>IF(IF(Eingaben!$B$21&lt;Eingaben!$B$22,AND(B809&gt;=Eingaben!$B$21,B809&lt;Eingaben!$B$22),OR(B809&gt;=Eingaben!$B$21,B809&lt;Eingaben!$B$22)),"GO",IF(AND(ISNUMBER(Eingaben!$B$23),ISNUMBER(Eingaben!$B$24),IF(Eingaben!$B$23&lt;Eingaben!$B$24,AND(B809&gt;=Eingaben!$B$23,B809&lt;Eingaben!$B$24),OR(B809&gt;=Eingaben!$B$23,B809&lt;Eingaben!$B$24))),"HEAT","STANDARD"))</f>
        <v>STANDARD</v>
      </c>
      <c r="E809" s="9"/>
      <c r="F809" t="str">
        <f>IF(E809="",D809,E809)</f>
        <v>STANDARD</v>
      </c>
      <c r="G809" t="str">
        <f>INDEX(Netzzeiten!$B$6:$B$29,HOUR(B809)+1)</f>
        <v>ST</v>
      </c>
      <c r="H809" s="6">
        <f>IF(F809="GO",Eingaben!$B$11,IF(F809="STANDARD",Eingaben!$B$12,IF(AND(F809="HEAT",ISNUMBER(Eingaben!$B$13)),Eingaben!$B$13,"")))</f>
        <v>28.2744</v>
      </c>
      <c r="I809" s="6">
        <f>INDEX(Netzzeiten!$C$6:$C$29,HOUR(B809)+1)</f>
        <v>5.48</v>
      </c>
      <c r="J809" t="str">
        <f>IF(C809="","FEHLT",IF(NOT(ISNUMBER(C809)),"MESSWERT UNGUELTIG",IF(C809&lt;0,"MESSWERT UNGUELTIG",IF(H809="","TARIFPREIS FEHLT","OK"))))</f>
        <v>FEHLT</v>
      </c>
      <c r="K809" s="7">
        <f>IF(J809&lt;&gt;"OK","",C809*I809/100)</f>
        <v/>
      </c>
    </row>
    <row r="810" spans="1:11">
      <c r="A810" s="14">
        <v>46151</v>
      </c>
      <c r="B810" s="15">
        <v>0.375</v>
      </c>
      <c r="C810" s="5">
        <f>IF('96 Werte'!AL14="","",'96 Werte'!AL14)</f>
        <v/>
      </c>
      <c r="D810" t="str">
        <f>IF(IF(Eingaben!$B$21&lt;Eingaben!$B$22,AND(B810&gt;=Eingaben!$B$21,B810&lt;Eingaben!$B$22),OR(B810&gt;=Eingaben!$B$21,B810&lt;Eingaben!$B$22)),"GO",IF(AND(ISNUMBER(Eingaben!$B$23),ISNUMBER(Eingaben!$B$24),IF(Eingaben!$B$23&lt;Eingaben!$B$24,AND(B810&gt;=Eingaben!$B$23,B810&lt;Eingaben!$B$24),OR(B810&gt;=Eingaben!$B$23,B810&lt;Eingaben!$B$24))),"HEAT","STANDARD"))</f>
        <v>STANDARD</v>
      </c>
      <c r="E810" s="9"/>
      <c r="F810" t="str">
        <f>IF(E810="",D810,E810)</f>
        <v>STANDARD</v>
      </c>
      <c r="G810" t="str">
        <f>INDEX(Netzzeiten!$B$6:$B$29,HOUR(B810)+1)</f>
        <v>ST</v>
      </c>
      <c r="H810" s="6">
        <f>IF(F810="GO",Eingaben!$B$11,IF(F810="STANDARD",Eingaben!$B$12,IF(AND(F810="HEAT",ISNUMBER(Eingaben!$B$13)),Eingaben!$B$13,"")))</f>
        <v>28.2744</v>
      </c>
      <c r="I810" s="6">
        <f>INDEX(Netzzeiten!$C$6:$C$29,HOUR(B810)+1)</f>
        <v>5.48</v>
      </c>
      <c r="J810" t="str">
        <f>IF(C810="","FEHLT",IF(NOT(ISNUMBER(C810)),"MESSWERT UNGUELTIG",IF(C810&lt;0,"MESSWERT UNGUELTIG",IF(H810="","TARIFPREIS FEHLT","OK"))))</f>
        <v>FEHLT</v>
      </c>
      <c r="K810" s="7">
        <f>IF(J810&lt;&gt;"OK","",C810*I810/100)</f>
        <v/>
      </c>
    </row>
    <row r="811" spans="1:11">
      <c r="A811" s="14">
        <v>46151</v>
      </c>
      <c r="B811" s="15">
        <v>0.3854166666666667</v>
      </c>
      <c r="C811" s="5">
        <f>IF('96 Werte'!AM14="","",'96 Werte'!AM14)</f>
        <v/>
      </c>
      <c r="D811" t="str">
        <f>IF(IF(Eingaben!$B$21&lt;Eingaben!$B$22,AND(B811&gt;=Eingaben!$B$21,B811&lt;Eingaben!$B$22),OR(B811&gt;=Eingaben!$B$21,B811&lt;Eingaben!$B$22)),"GO",IF(AND(ISNUMBER(Eingaben!$B$23),ISNUMBER(Eingaben!$B$24),IF(Eingaben!$B$23&lt;Eingaben!$B$24,AND(B811&gt;=Eingaben!$B$23,B811&lt;Eingaben!$B$24),OR(B811&gt;=Eingaben!$B$23,B811&lt;Eingaben!$B$24))),"HEAT","STANDARD"))</f>
        <v>STANDARD</v>
      </c>
      <c r="E811" s="9"/>
      <c r="F811" t="str">
        <f>IF(E811="",D811,E811)</f>
        <v>STANDARD</v>
      </c>
      <c r="G811" t="str">
        <f>INDEX(Netzzeiten!$B$6:$B$29,HOUR(B811)+1)</f>
        <v>ST</v>
      </c>
      <c r="H811" s="6">
        <f>IF(F811="GO",Eingaben!$B$11,IF(F811="STANDARD",Eingaben!$B$12,IF(AND(F811="HEAT",ISNUMBER(Eingaben!$B$13)),Eingaben!$B$13,"")))</f>
        <v>28.2744</v>
      </c>
      <c r="I811" s="6">
        <f>INDEX(Netzzeiten!$C$6:$C$29,HOUR(B811)+1)</f>
        <v>5.48</v>
      </c>
      <c r="J811" t="str">
        <f>IF(C811="","FEHLT",IF(NOT(ISNUMBER(C811)),"MESSWERT UNGUELTIG",IF(C811&lt;0,"MESSWERT UNGUELTIG",IF(H811="","TARIFPREIS FEHLT","OK"))))</f>
        <v>FEHLT</v>
      </c>
      <c r="K811" s="7">
        <f>IF(J811&lt;&gt;"OK","",C811*I811/100)</f>
        <v/>
      </c>
    </row>
    <row r="812" spans="1:11">
      <c r="A812" s="14">
        <v>46151</v>
      </c>
      <c r="B812" s="15">
        <v>0.3958333333333333</v>
      </c>
      <c r="C812" s="5">
        <f>IF('96 Werte'!AN14="","",'96 Werte'!AN14)</f>
        <v/>
      </c>
      <c r="D812" t="str">
        <f>IF(IF(Eingaben!$B$21&lt;Eingaben!$B$22,AND(B812&gt;=Eingaben!$B$21,B812&lt;Eingaben!$B$22),OR(B812&gt;=Eingaben!$B$21,B812&lt;Eingaben!$B$22)),"GO",IF(AND(ISNUMBER(Eingaben!$B$23),ISNUMBER(Eingaben!$B$24),IF(Eingaben!$B$23&lt;Eingaben!$B$24,AND(B812&gt;=Eingaben!$B$23,B812&lt;Eingaben!$B$24),OR(B812&gt;=Eingaben!$B$23,B812&lt;Eingaben!$B$24))),"HEAT","STANDARD"))</f>
        <v>STANDARD</v>
      </c>
      <c r="E812" s="9"/>
      <c r="F812" t="str">
        <f>IF(E812="",D812,E812)</f>
        <v>STANDARD</v>
      </c>
      <c r="G812" t="str">
        <f>INDEX(Netzzeiten!$B$6:$B$29,HOUR(B812)+1)</f>
        <v>ST</v>
      </c>
      <c r="H812" s="6">
        <f>IF(F812="GO",Eingaben!$B$11,IF(F812="STANDARD",Eingaben!$B$12,IF(AND(F812="HEAT",ISNUMBER(Eingaben!$B$13)),Eingaben!$B$13,"")))</f>
        <v>28.2744</v>
      </c>
      <c r="I812" s="6">
        <f>INDEX(Netzzeiten!$C$6:$C$29,HOUR(B812)+1)</f>
        <v>5.48</v>
      </c>
      <c r="J812" t="str">
        <f>IF(C812="","FEHLT",IF(NOT(ISNUMBER(C812)),"MESSWERT UNGUELTIG",IF(C812&lt;0,"MESSWERT UNGUELTIG",IF(H812="","TARIFPREIS FEHLT","OK"))))</f>
        <v>FEHLT</v>
      </c>
      <c r="K812" s="7">
        <f>IF(J812&lt;&gt;"OK","",C812*I812/100)</f>
        <v/>
      </c>
    </row>
    <row r="813" spans="1:11">
      <c r="A813" s="14">
        <v>46151</v>
      </c>
      <c r="B813" s="15">
        <v>0.40625</v>
      </c>
      <c r="C813" s="5">
        <f>IF('96 Werte'!AO14="","",'96 Werte'!AO14)</f>
        <v/>
      </c>
      <c r="D813" t="str">
        <f>IF(IF(Eingaben!$B$21&lt;Eingaben!$B$22,AND(B813&gt;=Eingaben!$B$21,B813&lt;Eingaben!$B$22),OR(B813&gt;=Eingaben!$B$21,B813&lt;Eingaben!$B$22)),"GO",IF(AND(ISNUMBER(Eingaben!$B$23),ISNUMBER(Eingaben!$B$24),IF(Eingaben!$B$23&lt;Eingaben!$B$24,AND(B813&gt;=Eingaben!$B$23,B813&lt;Eingaben!$B$24),OR(B813&gt;=Eingaben!$B$23,B813&lt;Eingaben!$B$24))),"HEAT","STANDARD"))</f>
        <v>STANDARD</v>
      </c>
      <c r="E813" s="9"/>
      <c r="F813" t="str">
        <f>IF(E813="",D813,E813)</f>
        <v>STANDARD</v>
      </c>
      <c r="G813" t="str">
        <f>INDEX(Netzzeiten!$B$6:$B$29,HOUR(B813)+1)</f>
        <v>ST</v>
      </c>
      <c r="H813" s="6">
        <f>IF(F813="GO",Eingaben!$B$11,IF(F813="STANDARD",Eingaben!$B$12,IF(AND(F813="HEAT",ISNUMBER(Eingaben!$B$13)),Eingaben!$B$13,"")))</f>
        <v>28.2744</v>
      </c>
      <c r="I813" s="6">
        <f>INDEX(Netzzeiten!$C$6:$C$29,HOUR(B813)+1)</f>
        <v>5.48</v>
      </c>
      <c r="J813" t="str">
        <f>IF(C813="","FEHLT",IF(NOT(ISNUMBER(C813)),"MESSWERT UNGUELTIG",IF(C813&lt;0,"MESSWERT UNGUELTIG",IF(H813="","TARIFPREIS FEHLT","OK"))))</f>
        <v>FEHLT</v>
      </c>
      <c r="K813" s="7">
        <f>IF(J813&lt;&gt;"OK","",C813*I813/100)</f>
        <v/>
      </c>
    </row>
    <row r="814" spans="1:11">
      <c r="A814" s="14">
        <v>46151</v>
      </c>
      <c r="B814" s="15">
        <v>0.4166666666666667</v>
      </c>
      <c r="C814" s="5">
        <f>IF('96 Werte'!AP14="","",'96 Werte'!AP14)</f>
        <v/>
      </c>
      <c r="D814" t="str">
        <f>IF(IF(Eingaben!$B$21&lt;Eingaben!$B$22,AND(B814&gt;=Eingaben!$B$21,B814&lt;Eingaben!$B$22),OR(B814&gt;=Eingaben!$B$21,B814&lt;Eingaben!$B$22)),"GO",IF(AND(ISNUMBER(Eingaben!$B$23),ISNUMBER(Eingaben!$B$24),IF(Eingaben!$B$23&lt;Eingaben!$B$24,AND(B814&gt;=Eingaben!$B$23,B814&lt;Eingaben!$B$24),OR(B814&gt;=Eingaben!$B$23,B814&lt;Eingaben!$B$24))),"HEAT","STANDARD"))</f>
        <v>STANDARD</v>
      </c>
      <c r="E814" s="9"/>
      <c r="F814" t="str">
        <f>IF(E814="",D814,E814)</f>
        <v>STANDARD</v>
      </c>
      <c r="G814" t="str">
        <f>INDEX(Netzzeiten!$B$6:$B$29,HOUR(B814)+1)</f>
        <v>ST</v>
      </c>
      <c r="H814" s="6">
        <f>IF(F814="GO",Eingaben!$B$11,IF(F814="STANDARD",Eingaben!$B$12,IF(AND(F814="HEAT",ISNUMBER(Eingaben!$B$13)),Eingaben!$B$13,"")))</f>
        <v>28.2744</v>
      </c>
      <c r="I814" s="6">
        <f>INDEX(Netzzeiten!$C$6:$C$29,HOUR(B814)+1)</f>
        <v>5.48</v>
      </c>
      <c r="J814" t="str">
        <f>IF(C814="","FEHLT",IF(NOT(ISNUMBER(C814)),"MESSWERT UNGUELTIG",IF(C814&lt;0,"MESSWERT UNGUELTIG",IF(H814="","TARIFPREIS FEHLT","OK"))))</f>
        <v>FEHLT</v>
      </c>
      <c r="K814" s="7">
        <f>IF(J814&lt;&gt;"OK","",C814*I814/100)</f>
        <v/>
      </c>
    </row>
    <row r="815" spans="1:11">
      <c r="A815" s="14">
        <v>46151</v>
      </c>
      <c r="B815" s="15">
        <v>0.4270833333333333</v>
      </c>
      <c r="C815" s="5">
        <f>IF('96 Werte'!AQ14="","",'96 Werte'!AQ14)</f>
        <v/>
      </c>
      <c r="D815" t="str">
        <f>IF(IF(Eingaben!$B$21&lt;Eingaben!$B$22,AND(B815&gt;=Eingaben!$B$21,B815&lt;Eingaben!$B$22),OR(B815&gt;=Eingaben!$B$21,B815&lt;Eingaben!$B$22)),"GO",IF(AND(ISNUMBER(Eingaben!$B$23),ISNUMBER(Eingaben!$B$24),IF(Eingaben!$B$23&lt;Eingaben!$B$24,AND(B815&gt;=Eingaben!$B$23,B815&lt;Eingaben!$B$24),OR(B815&gt;=Eingaben!$B$23,B815&lt;Eingaben!$B$24))),"HEAT","STANDARD"))</f>
        <v>STANDARD</v>
      </c>
      <c r="E815" s="9"/>
      <c r="F815" t="str">
        <f>IF(E815="",D815,E815)</f>
        <v>STANDARD</v>
      </c>
      <c r="G815" t="str">
        <f>INDEX(Netzzeiten!$B$6:$B$29,HOUR(B815)+1)</f>
        <v>ST</v>
      </c>
      <c r="H815" s="6">
        <f>IF(F815="GO",Eingaben!$B$11,IF(F815="STANDARD",Eingaben!$B$12,IF(AND(F815="HEAT",ISNUMBER(Eingaben!$B$13)),Eingaben!$B$13,"")))</f>
        <v>28.2744</v>
      </c>
      <c r="I815" s="6">
        <f>INDEX(Netzzeiten!$C$6:$C$29,HOUR(B815)+1)</f>
        <v>5.48</v>
      </c>
      <c r="J815" t="str">
        <f>IF(C815="","FEHLT",IF(NOT(ISNUMBER(C815)),"MESSWERT UNGUELTIG",IF(C815&lt;0,"MESSWERT UNGUELTIG",IF(H815="","TARIFPREIS FEHLT","OK"))))</f>
        <v>FEHLT</v>
      </c>
      <c r="K815" s="7">
        <f>IF(J815&lt;&gt;"OK","",C815*I815/100)</f>
        <v/>
      </c>
    </row>
    <row r="816" spans="1:11">
      <c r="A816" s="14">
        <v>46151</v>
      </c>
      <c r="B816" s="15">
        <v>0.4375</v>
      </c>
      <c r="C816" s="5">
        <f>IF('96 Werte'!AR14="","",'96 Werte'!AR14)</f>
        <v/>
      </c>
      <c r="D816" t="str">
        <f>IF(IF(Eingaben!$B$21&lt;Eingaben!$B$22,AND(B816&gt;=Eingaben!$B$21,B816&lt;Eingaben!$B$22),OR(B816&gt;=Eingaben!$B$21,B816&lt;Eingaben!$B$22)),"GO",IF(AND(ISNUMBER(Eingaben!$B$23),ISNUMBER(Eingaben!$B$24),IF(Eingaben!$B$23&lt;Eingaben!$B$24,AND(B816&gt;=Eingaben!$B$23,B816&lt;Eingaben!$B$24),OR(B816&gt;=Eingaben!$B$23,B816&lt;Eingaben!$B$24))),"HEAT","STANDARD"))</f>
        <v>STANDARD</v>
      </c>
      <c r="E816" s="9"/>
      <c r="F816" t="str">
        <f>IF(E816="",D816,E816)</f>
        <v>STANDARD</v>
      </c>
      <c r="G816" t="str">
        <f>INDEX(Netzzeiten!$B$6:$B$29,HOUR(B816)+1)</f>
        <v>ST</v>
      </c>
      <c r="H816" s="6">
        <f>IF(F816="GO",Eingaben!$B$11,IF(F816="STANDARD",Eingaben!$B$12,IF(AND(F816="HEAT",ISNUMBER(Eingaben!$B$13)),Eingaben!$B$13,"")))</f>
        <v>28.2744</v>
      </c>
      <c r="I816" s="6">
        <f>INDEX(Netzzeiten!$C$6:$C$29,HOUR(B816)+1)</f>
        <v>5.48</v>
      </c>
      <c r="J816" t="str">
        <f>IF(C816="","FEHLT",IF(NOT(ISNUMBER(C816)),"MESSWERT UNGUELTIG",IF(C816&lt;0,"MESSWERT UNGUELTIG",IF(H816="","TARIFPREIS FEHLT","OK"))))</f>
        <v>FEHLT</v>
      </c>
      <c r="K816" s="7">
        <f>IF(J816&lt;&gt;"OK","",C816*I816/100)</f>
        <v/>
      </c>
    </row>
    <row r="817" spans="1:11">
      <c r="A817" s="14">
        <v>46151</v>
      </c>
      <c r="B817" s="15">
        <v>0.4479166666666667</v>
      </c>
      <c r="C817" s="5">
        <f>IF('96 Werte'!AS14="","",'96 Werte'!AS14)</f>
        <v/>
      </c>
      <c r="D817" t="str">
        <f>IF(IF(Eingaben!$B$21&lt;Eingaben!$B$22,AND(B817&gt;=Eingaben!$B$21,B817&lt;Eingaben!$B$22),OR(B817&gt;=Eingaben!$B$21,B817&lt;Eingaben!$B$22)),"GO",IF(AND(ISNUMBER(Eingaben!$B$23),ISNUMBER(Eingaben!$B$24),IF(Eingaben!$B$23&lt;Eingaben!$B$24,AND(B817&gt;=Eingaben!$B$23,B817&lt;Eingaben!$B$24),OR(B817&gt;=Eingaben!$B$23,B817&lt;Eingaben!$B$24))),"HEAT","STANDARD"))</f>
        <v>STANDARD</v>
      </c>
      <c r="E817" s="9"/>
      <c r="F817" t="str">
        <f>IF(E817="",D817,E817)</f>
        <v>STANDARD</v>
      </c>
      <c r="G817" t="str">
        <f>INDEX(Netzzeiten!$B$6:$B$29,HOUR(B817)+1)</f>
        <v>ST</v>
      </c>
      <c r="H817" s="6">
        <f>IF(F817="GO",Eingaben!$B$11,IF(F817="STANDARD",Eingaben!$B$12,IF(AND(F817="HEAT",ISNUMBER(Eingaben!$B$13)),Eingaben!$B$13,"")))</f>
        <v>28.2744</v>
      </c>
      <c r="I817" s="6">
        <f>INDEX(Netzzeiten!$C$6:$C$29,HOUR(B817)+1)</f>
        <v>5.48</v>
      </c>
      <c r="J817" t="str">
        <f>IF(C817="","FEHLT",IF(NOT(ISNUMBER(C817)),"MESSWERT UNGUELTIG",IF(C817&lt;0,"MESSWERT UNGUELTIG",IF(H817="","TARIFPREIS FEHLT","OK"))))</f>
        <v>FEHLT</v>
      </c>
      <c r="K817" s="7">
        <f>IF(J817&lt;&gt;"OK","",C817*I817/100)</f>
        <v/>
      </c>
    </row>
    <row r="818" spans="1:11">
      <c r="A818" s="14">
        <v>46151</v>
      </c>
      <c r="B818" s="15">
        <v>0.4583333333333333</v>
      </c>
      <c r="C818" s="5">
        <f>IF('96 Werte'!AT14="","",'96 Werte'!AT14)</f>
        <v/>
      </c>
      <c r="D818" t="str">
        <f>IF(IF(Eingaben!$B$21&lt;Eingaben!$B$22,AND(B818&gt;=Eingaben!$B$21,B818&lt;Eingaben!$B$22),OR(B818&gt;=Eingaben!$B$21,B818&lt;Eingaben!$B$22)),"GO",IF(AND(ISNUMBER(Eingaben!$B$23),ISNUMBER(Eingaben!$B$24),IF(Eingaben!$B$23&lt;Eingaben!$B$24,AND(B818&gt;=Eingaben!$B$23,B818&lt;Eingaben!$B$24),OR(B818&gt;=Eingaben!$B$23,B818&lt;Eingaben!$B$24))),"HEAT","STANDARD"))</f>
        <v>STANDARD</v>
      </c>
      <c r="E818" s="9"/>
      <c r="F818" t="str">
        <f>IF(E818="",D818,E818)</f>
        <v>STANDARD</v>
      </c>
      <c r="G818" t="str">
        <f>INDEX(Netzzeiten!$B$6:$B$29,HOUR(B818)+1)</f>
        <v>NT</v>
      </c>
      <c r="H818" s="6">
        <f>IF(F818="GO",Eingaben!$B$11,IF(F818="STANDARD",Eingaben!$B$12,IF(AND(F818="HEAT",ISNUMBER(Eingaben!$B$13)),Eingaben!$B$13,"")))</f>
        <v>28.2744</v>
      </c>
      <c r="I818" s="6">
        <f>INDEX(Netzzeiten!$C$6:$C$29,HOUR(B818)+1)</f>
        <v>1.64</v>
      </c>
      <c r="J818" t="str">
        <f>IF(C818="","FEHLT",IF(NOT(ISNUMBER(C818)),"MESSWERT UNGUELTIG",IF(C818&lt;0,"MESSWERT UNGUELTIG",IF(H818="","TARIFPREIS FEHLT","OK"))))</f>
        <v>FEHLT</v>
      </c>
      <c r="K818" s="7">
        <f>IF(J818&lt;&gt;"OK","",C818*I818/100)</f>
        <v/>
      </c>
    </row>
    <row r="819" spans="1:11">
      <c r="A819" s="14">
        <v>46151</v>
      </c>
      <c r="B819" s="15">
        <v>0.46875</v>
      </c>
      <c r="C819" s="5">
        <f>IF('96 Werte'!AU14="","",'96 Werte'!AU14)</f>
        <v/>
      </c>
      <c r="D819" t="str">
        <f>IF(IF(Eingaben!$B$21&lt;Eingaben!$B$22,AND(B819&gt;=Eingaben!$B$21,B819&lt;Eingaben!$B$22),OR(B819&gt;=Eingaben!$B$21,B819&lt;Eingaben!$B$22)),"GO",IF(AND(ISNUMBER(Eingaben!$B$23),ISNUMBER(Eingaben!$B$24),IF(Eingaben!$B$23&lt;Eingaben!$B$24,AND(B819&gt;=Eingaben!$B$23,B819&lt;Eingaben!$B$24),OR(B819&gt;=Eingaben!$B$23,B819&lt;Eingaben!$B$24))),"HEAT","STANDARD"))</f>
        <v>STANDARD</v>
      </c>
      <c r="E819" s="9"/>
      <c r="F819" t="str">
        <f>IF(E819="",D819,E819)</f>
        <v>STANDARD</v>
      </c>
      <c r="G819" t="str">
        <f>INDEX(Netzzeiten!$B$6:$B$29,HOUR(B819)+1)</f>
        <v>NT</v>
      </c>
      <c r="H819" s="6">
        <f>IF(F819="GO",Eingaben!$B$11,IF(F819="STANDARD",Eingaben!$B$12,IF(AND(F819="HEAT",ISNUMBER(Eingaben!$B$13)),Eingaben!$B$13,"")))</f>
        <v>28.2744</v>
      </c>
      <c r="I819" s="6">
        <f>INDEX(Netzzeiten!$C$6:$C$29,HOUR(B819)+1)</f>
        <v>1.64</v>
      </c>
      <c r="J819" t="str">
        <f>IF(C819="","FEHLT",IF(NOT(ISNUMBER(C819)),"MESSWERT UNGUELTIG",IF(C819&lt;0,"MESSWERT UNGUELTIG",IF(H819="","TARIFPREIS FEHLT","OK"))))</f>
        <v>FEHLT</v>
      </c>
      <c r="K819" s="7">
        <f>IF(J819&lt;&gt;"OK","",C819*I819/100)</f>
        <v/>
      </c>
    </row>
    <row r="820" spans="1:11">
      <c r="A820" s="14">
        <v>46151</v>
      </c>
      <c r="B820" s="15">
        <v>0.4791666666666667</v>
      </c>
      <c r="C820" s="5">
        <f>IF('96 Werte'!AV14="","",'96 Werte'!AV14)</f>
        <v/>
      </c>
      <c r="D820" t="str">
        <f>IF(IF(Eingaben!$B$21&lt;Eingaben!$B$22,AND(B820&gt;=Eingaben!$B$21,B820&lt;Eingaben!$B$22),OR(B820&gt;=Eingaben!$B$21,B820&lt;Eingaben!$B$22)),"GO",IF(AND(ISNUMBER(Eingaben!$B$23),ISNUMBER(Eingaben!$B$24),IF(Eingaben!$B$23&lt;Eingaben!$B$24,AND(B820&gt;=Eingaben!$B$23,B820&lt;Eingaben!$B$24),OR(B820&gt;=Eingaben!$B$23,B820&lt;Eingaben!$B$24))),"HEAT","STANDARD"))</f>
        <v>STANDARD</v>
      </c>
      <c r="E820" s="9"/>
      <c r="F820" t="str">
        <f>IF(E820="",D820,E820)</f>
        <v>STANDARD</v>
      </c>
      <c r="G820" t="str">
        <f>INDEX(Netzzeiten!$B$6:$B$29,HOUR(B820)+1)</f>
        <v>NT</v>
      </c>
      <c r="H820" s="6">
        <f>IF(F820="GO",Eingaben!$B$11,IF(F820="STANDARD",Eingaben!$B$12,IF(AND(F820="HEAT",ISNUMBER(Eingaben!$B$13)),Eingaben!$B$13,"")))</f>
        <v>28.2744</v>
      </c>
      <c r="I820" s="6">
        <f>INDEX(Netzzeiten!$C$6:$C$29,HOUR(B820)+1)</f>
        <v>1.64</v>
      </c>
      <c r="J820" t="str">
        <f>IF(C820="","FEHLT",IF(NOT(ISNUMBER(C820)),"MESSWERT UNGUELTIG",IF(C820&lt;0,"MESSWERT UNGUELTIG",IF(H820="","TARIFPREIS FEHLT","OK"))))</f>
        <v>FEHLT</v>
      </c>
      <c r="K820" s="7">
        <f>IF(J820&lt;&gt;"OK","",C820*I820/100)</f>
        <v/>
      </c>
    </row>
    <row r="821" spans="1:11">
      <c r="A821" s="14">
        <v>46151</v>
      </c>
      <c r="B821" s="15">
        <v>0.4895833333333333</v>
      </c>
      <c r="C821" s="5">
        <f>IF('96 Werte'!AW14="","",'96 Werte'!AW14)</f>
        <v/>
      </c>
      <c r="D821" t="str">
        <f>IF(IF(Eingaben!$B$21&lt;Eingaben!$B$22,AND(B821&gt;=Eingaben!$B$21,B821&lt;Eingaben!$B$22),OR(B821&gt;=Eingaben!$B$21,B821&lt;Eingaben!$B$22)),"GO",IF(AND(ISNUMBER(Eingaben!$B$23),ISNUMBER(Eingaben!$B$24),IF(Eingaben!$B$23&lt;Eingaben!$B$24,AND(B821&gt;=Eingaben!$B$23,B821&lt;Eingaben!$B$24),OR(B821&gt;=Eingaben!$B$23,B821&lt;Eingaben!$B$24))),"HEAT","STANDARD"))</f>
        <v>STANDARD</v>
      </c>
      <c r="E821" s="9"/>
      <c r="F821" t="str">
        <f>IF(E821="",D821,E821)</f>
        <v>STANDARD</v>
      </c>
      <c r="G821" t="str">
        <f>INDEX(Netzzeiten!$B$6:$B$29,HOUR(B821)+1)</f>
        <v>NT</v>
      </c>
      <c r="H821" s="6">
        <f>IF(F821="GO",Eingaben!$B$11,IF(F821="STANDARD",Eingaben!$B$12,IF(AND(F821="HEAT",ISNUMBER(Eingaben!$B$13)),Eingaben!$B$13,"")))</f>
        <v>28.2744</v>
      </c>
      <c r="I821" s="6">
        <f>INDEX(Netzzeiten!$C$6:$C$29,HOUR(B821)+1)</f>
        <v>1.64</v>
      </c>
      <c r="J821" t="str">
        <f>IF(C821="","FEHLT",IF(NOT(ISNUMBER(C821)),"MESSWERT UNGUELTIG",IF(C821&lt;0,"MESSWERT UNGUELTIG",IF(H821="","TARIFPREIS FEHLT","OK"))))</f>
        <v>FEHLT</v>
      </c>
      <c r="K821" s="7">
        <f>IF(J821&lt;&gt;"OK","",C821*I821/100)</f>
        <v/>
      </c>
    </row>
    <row r="822" spans="1:11">
      <c r="A822" s="14">
        <v>46151</v>
      </c>
      <c r="B822" s="15">
        <v>0.5</v>
      </c>
      <c r="C822" s="5">
        <f>IF('96 Werte'!AX14="","",'96 Werte'!AX14)</f>
        <v/>
      </c>
      <c r="D822" t="str">
        <f>IF(IF(Eingaben!$B$21&lt;Eingaben!$B$22,AND(B822&gt;=Eingaben!$B$21,B822&lt;Eingaben!$B$22),OR(B822&gt;=Eingaben!$B$21,B822&lt;Eingaben!$B$22)),"GO",IF(AND(ISNUMBER(Eingaben!$B$23),ISNUMBER(Eingaben!$B$24),IF(Eingaben!$B$23&lt;Eingaben!$B$24,AND(B822&gt;=Eingaben!$B$23,B822&lt;Eingaben!$B$24),OR(B822&gt;=Eingaben!$B$23,B822&lt;Eingaben!$B$24))),"HEAT","STANDARD"))</f>
        <v>STANDARD</v>
      </c>
      <c r="E822" s="9"/>
      <c r="F822" t="str">
        <f>IF(E822="",D822,E822)</f>
        <v>STANDARD</v>
      </c>
      <c r="G822" t="str">
        <f>INDEX(Netzzeiten!$B$6:$B$29,HOUR(B822)+1)</f>
        <v>NT</v>
      </c>
      <c r="H822" s="6">
        <f>IF(F822="GO",Eingaben!$B$11,IF(F822="STANDARD",Eingaben!$B$12,IF(AND(F822="HEAT",ISNUMBER(Eingaben!$B$13)),Eingaben!$B$13,"")))</f>
        <v>28.2744</v>
      </c>
      <c r="I822" s="6">
        <f>INDEX(Netzzeiten!$C$6:$C$29,HOUR(B822)+1)</f>
        <v>1.64</v>
      </c>
      <c r="J822" t="str">
        <f>IF(C822="","FEHLT",IF(NOT(ISNUMBER(C822)),"MESSWERT UNGUELTIG",IF(C822&lt;0,"MESSWERT UNGUELTIG",IF(H822="","TARIFPREIS FEHLT","OK"))))</f>
        <v>FEHLT</v>
      </c>
      <c r="K822" s="7">
        <f>IF(J822&lt;&gt;"OK","",C822*I822/100)</f>
        <v/>
      </c>
    </row>
    <row r="823" spans="1:11">
      <c r="A823" s="14">
        <v>46151</v>
      </c>
      <c r="B823" s="15">
        <v>0.5104166666666666</v>
      </c>
      <c r="C823" s="5">
        <f>IF('96 Werte'!AY14="","",'96 Werte'!AY14)</f>
        <v/>
      </c>
      <c r="D823" t="str">
        <f>IF(IF(Eingaben!$B$21&lt;Eingaben!$B$22,AND(B823&gt;=Eingaben!$B$21,B823&lt;Eingaben!$B$22),OR(B823&gt;=Eingaben!$B$21,B823&lt;Eingaben!$B$22)),"GO",IF(AND(ISNUMBER(Eingaben!$B$23),ISNUMBER(Eingaben!$B$24),IF(Eingaben!$B$23&lt;Eingaben!$B$24,AND(B823&gt;=Eingaben!$B$23,B823&lt;Eingaben!$B$24),OR(B823&gt;=Eingaben!$B$23,B823&lt;Eingaben!$B$24))),"HEAT","STANDARD"))</f>
        <v>STANDARD</v>
      </c>
      <c r="E823" s="9"/>
      <c r="F823" t="str">
        <f>IF(E823="",D823,E823)</f>
        <v>STANDARD</v>
      </c>
      <c r="G823" t="str">
        <f>INDEX(Netzzeiten!$B$6:$B$29,HOUR(B823)+1)</f>
        <v>NT</v>
      </c>
      <c r="H823" s="6">
        <f>IF(F823="GO",Eingaben!$B$11,IF(F823="STANDARD",Eingaben!$B$12,IF(AND(F823="HEAT",ISNUMBER(Eingaben!$B$13)),Eingaben!$B$13,"")))</f>
        <v>28.2744</v>
      </c>
      <c r="I823" s="6">
        <f>INDEX(Netzzeiten!$C$6:$C$29,HOUR(B823)+1)</f>
        <v>1.64</v>
      </c>
      <c r="J823" t="str">
        <f>IF(C823="","FEHLT",IF(NOT(ISNUMBER(C823)),"MESSWERT UNGUELTIG",IF(C823&lt;0,"MESSWERT UNGUELTIG",IF(H823="","TARIFPREIS FEHLT","OK"))))</f>
        <v>FEHLT</v>
      </c>
      <c r="K823" s="7">
        <f>IF(J823&lt;&gt;"OK","",C823*I823/100)</f>
        <v/>
      </c>
    </row>
    <row r="824" spans="1:11">
      <c r="A824" s="14">
        <v>46151</v>
      </c>
      <c r="B824" s="15">
        <v>0.5208333333333334</v>
      </c>
      <c r="C824" s="5">
        <f>IF('96 Werte'!AZ14="","",'96 Werte'!AZ14)</f>
        <v/>
      </c>
      <c r="D824" t="str">
        <f>IF(IF(Eingaben!$B$21&lt;Eingaben!$B$22,AND(B824&gt;=Eingaben!$B$21,B824&lt;Eingaben!$B$22),OR(B824&gt;=Eingaben!$B$21,B824&lt;Eingaben!$B$22)),"GO",IF(AND(ISNUMBER(Eingaben!$B$23),ISNUMBER(Eingaben!$B$24),IF(Eingaben!$B$23&lt;Eingaben!$B$24,AND(B824&gt;=Eingaben!$B$23,B824&lt;Eingaben!$B$24),OR(B824&gt;=Eingaben!$B$23,B824&lt;Eingaben!$B$24))),"HEAT","STANDARD"))</f>
        <v>STANDARD</v>
      </c>
      <c r="E824" s="9"/>
      <c r="F824" t="str">
        <f>IF(E824="",D824,E824)</f>
        <v>STANDARD</v>
      </c>
      <c r="G824" t="str">
        <f>INDEX(Netzzeiten!$B$6:$B$29,HOUR(B824)+1)</f>
        <v>NT</v>
      </c>
      <c r="H824" s="6">
        <f>IF(F824="GO",Eingaben!$B$11,IF(F824="STANDARD",Eingaben!$B$12,IF(AND(F824="HEAT",ISNUMBER(Eingaben!$B$13)),Eingaben!$B$13,"")))</f>
        <v>28.2744</v>
      </c>
      <c r="I824" s="6">
        <f>INDEX(Netzzeiten!$C$6:$C$29,HOUR(B824)+1)</f>
        <v>1.64</v>
      </c>
      <c r="J824" t="str">
        <f>IF(C824="","FEHLT",IF(NOT(ISNUMBER(C824)),"MESSWERT UNGUELTIG",IF(C824&lt;0,"MESSWERT UNGUELTIG",IF(H824="","TARIFPREIS FEHLT","OK"))))</f>
        <v>FEHLT</v>
      </c>
      <c r="K824" s="7">
        <f>IF(J824&lt;&gt;"OK","",C824*I824/100)</f>
        <v/>
      </c>
    </row>
    <row r="825" spans="1:11">
      <c r="A825" s="14">
        <v>46151</v>
      </c>
      <c r="B825" s="15">
        <v>0.53125</v>
      </c>
      <c r="C825" s="5">
        <f>IF('96 Werte'!BA14="","",'96 Werte'!BA14)</f>
        <v/>
      </c>
      <c r="D825" t="str">
        <f>IF(IF(Eingaben!$B$21&lt;Eingaben!$B$22,AND(B825&gt;=Eingaben!$B$21,B825&lt;Eingaben!$B$22),OR(B825&gt;=Eingaben!$B$21,B825&lt;Eingaben!$B$22)),"GO",IF(AND(ISNUMBER(Eingaben!$B$23),ISNUMBER(Eingaben!$B$24),IF(Eingaben!$B$23&lt;Eingaben!$B$24,AND(B825&gt;=Eingaben!$B$23,B825&lt;Eingaben!$B$24),OR(B825&gt;=Eingaben!$B$23,B825&lt;Eingaben!$B$24))),"HEAT","STANDARD"))</f>
        <v>STANDARD</v>
      </c>
      <c r="E825" s="9"/>
      <c r="F825" t="str">
        <f>IF(E825="",D825,E825)</f>
        <v>STANDARD</v>
      </c>
      <c r="G825" t="str">
        <f>INDEX(Netzzeiten!$B$6:$B$29,HOUR(B825)+1)</f>
        <v>NT</v>
      </c>
      <c r="H825" s="6">
        <f>IF(F825="GO",Eingaben!$B$11,IF(F825="STANDARD",Eingaben!$B$12,IF(AND(F825="HEAT",ISNUMBER(Eingaben!$B$13)),Eingaben!$B$13,"")))</f>
        <v>28.2744</v>
      </c>
      <c r="I825" s="6">
        <f>INDEX(Netzzeiten!$C$6:$C$29,HOUR(B825)+1)</f>
        <v>1.64</v>
      </c>
      <c r="J825" t="str">
        <f>IF(C825="","FEHLT",IF(NOT(ISNUMBER(C825)),"MESSWERT UNGUELTIG",IF(C825&lt;0,"MESSWERT UNGUELTIG",IF(H825="","TARIFPREIS FEHLT","OK"))))</f>
        <v>FEHLT</v>
      </c>
      <c r="K825" s="7">
        <f>IF(J825&lt;&gt;"OK","",C825*I825/100)</f>
        <v/>
      </c>
    </row>
    <row r="826" spans="1:11">
      <c r="A826" s="14">
        <v>46151</v>
      </c>
      <c r="B826" s="15">
        <v>0.5416666666666666</v>
      </c>
      <c r="C826" s="5">
        <f>IF('96 Werte'!BB14="","",'96 Werte'!BB14)</f>
        <v/>
      </c>
      <c r="D826" t="str">
        <f>IF(IF(Eingaben!$B$21&lt;Eingaben!$B$22,AND(B826&gt;=Eingaben!$B$21,B826&lt;Eingaben!$B$22),OR(B826&gt;=Eingaben!$B$21,B826&lt;Eingaben!$B$22)),"GO",IF(AND(ISNUMBER(Eingaben!$B$23),ISNUMBER(Eingaben!$B$24),IF(Eingaben!$B$23&lt;Eingaben!$B$24,AND(B826&gt;=Eingaben!$B$23,B826&lt;Eingaben!$B$24),OR(B826&gt;=Eingaben!$B$23,B826&lt;Eingaben!$B$24))),"HEAT","STANDARD"))</f>
        <v>STANDARD</v>
      </c>
      <c r="E826" s="9"/>
      <c r="F826" t="str">
        <f>IF(E826="",D826,E826)</f>
        <v>STANDARD</v>
      </c>
      <c r="G826" t="str">
        <f>INDEX(Netzzeiten!$B$6:$B$29,HOUR(B826)+1)</f>
        <v>NT</v>
      </c>
      <c r="H826" s="6">
        <f>IF(F826="GO",Eingaben!$B$11,IF(F826="STANDARD",Eingaben!$B$12,IF(AND(F826="HEAT",ISNUMBER(Eingaben!$B$13)),Eingaben!$B$13,"")))</f>
        <v>28.2744</v>
      </c>
      <c r="I826" s="6">
        <f>INDEX(Netzzeiten!$C$6:$C$29,HOUR(B826)+1)</f>
        <v>1.64</v>
      </c>
      <c r="J826" t="str">
        <f>IF(C826="","FEHLT",IF(NOT(ISNUMBER(C826)),"MESSWERT UNGUELTIG",IF(C826&lt;0,"MESSWERT UNGUELTIG",IF(H826="","TARIFPREIS FEHLT","OK"))))</f>
        <v>FEHLT</v>
      </c>
      <c r="K826" s="7">
        <f>IF(J826&lt;&gt;"OK","",C826*I826/100)</f>
        <v/>
      </c>
    </row>
    <row r="827" spans="1:11">
      <c r="A827" s="14">
        <v>46151</v>
      </c>
      <c r="B827" s="15">
        <v>0.5520833333333334</v>
      </c>
      <c r="C827" s="5">
        <f>IF('96 Werte'!BC14="","",'96 Werte'!BC14)</f>
        <v/>
      </c>
      <c r="D827" t="str">
        <f>IF(IF(Eingaben!$B$21&lt;Eingaben!$B$22,AND(B827&gt;=Eingaben!$B$21,B827&lt;Eingaben!$B$22),OR(B827&gt;=Eingaben!$B$21,B827&lt;Eingaben!$B$22)),"GO",IF(AND(ISNUMBER(Eingaben!$B$23),ISNUMBER(Eingaben!$B$24),IF(Eingaben!$B$23&lt;Eingaben!$B$24,AND(B827&gt;=Eingaben!$B$23,B827&lt;Eingaben!$B$24),OR(B827&gt;=Eingaben!$B$23,B827&lt;Eingaben!$B$24))),"HEAT","STANDARD"))</f>
        <v>STANDARD</v>
      </c>
      <c r="E827" s="9"/>
      <c r="F827" t="str">
        <f>IF(E827="",D827,E827)</f>
        <v>STANDARD</v>
      </c>
      <c r="G827" t="str">
        <f>INDEX(Netzzeiten!$B$6:$B$29,HOUR(B827)+1)</f>
        <v>NT</v>
      </c>
      <c r="H827" s="6">
        <f>IF(F827="GO",Eingaben!$B$11,IF(F827="STANDARD",Eingaben!$B$12,IF(AND(F827="HEAT",ISNUMBER(Eingaben!$B$13)),Eingaben!$B$13,"")))</f>
        <v>28.2744</v>
      </c>
      <c r="I827" s="6">
        <f>INDEX(Netzzeiten!$C$6:$C$29,HOUR(B827)+1)</f>
        <v>1.64</v>
      </c>
      <c r="J827" t="str">
        <f>IF(C827="","FEHLT",IF(NOT(ISNUMBER(C827)),"MESSWERT UNGUELTIG",IF(C827&lt;0,"MESSWERT UNGUELTIG",IF(H827="","TARIFPREIS FEHLT","OK"))))</f>
        <v>FEHLT</v>
      </c>
      <c r="K827" s="7">
        <f>IF(J827&lt;&gt;"OK","",C827*I827/100)</f>
        <v/>
      </c>
    </row>
    <row r="828" spans="1:11">
      <c r="A828" s="14">
        <v>46151</v>
      </c>
      <c r="B828" s="15">
        <v>0.5625</v>
      </c>
      <c r="C828" s="5">
        <f>IF('96 Werte'!BD14="","",'96 Werte'!BD14)</f>
        <v/>
      </c>
      <c r="D828" t="str">
        <f>IF(IF(Eingaben!$B$21&lt;Eingaben!$B$22,AND(B828&gt;=Eingaben!$B$21,B828&lt;Eingaben!$B$22),OR(B828&gt;=Eingaben!$B$21,B828&lt;Eingaben!$B$22)),"GO",IF(AND(ISNUMBER(Eingaben!$B$23),ISNUMBER(Eingaben!$B$24),IF(Eingaben!$B$23&lt;Eingaben!$B$24,AND(B828&gt;=Eingaben!$B$23,B828&lt;Eingaben!$B$24),OR(B828&gt;=Eingaben!$B$23,B828&lt;Eingaben!$B$24))),"HEAT","STANDARD"))</f>
        <v>STANDARD</v>
      </c>
      <c r="E828" s="9"/>
      <c r="F828" t="str">
        <f>IF(E828="",D828,E828)</f>
        <v>STANDARD</v>
      </c>
      <c r="G828" t="str">
        <f>INDEX(Netzzeiten!$B$6:$B$29,HOUR(B828)+1)</f>
        <v>NT</v>
      </c>
      <c r="H828" s="6">
        <f>IF(F828="GO",Eingaben!$B$11,IF(F828="STANDARD",Eingaben!$B$12,IF(AND(F828="HEAT",ISNUMBER(Eingaben!$B$13)),Eingaben!$B$13,"")))</f>
        <v>28.2744</v>
      </c>
      <c r="I828" s="6">
        <f>INDEX(Netzzeiten!$C$6:$C$29,HOUR(B828)+1)</f>
        <v>1.64</v>
      </c>
      <c r="J828" t="str">
        <f>IF(C828="","FEHLT",IF(NOT(ISNUMBER(C828)),"MESSWERT UNGUELTIG",IF(C828&lt;0,"MESSWERT UNGUELTIG",IF(H828="","TARIFPREIS FEHLT","OK"))))</f>
        <v>FEHLT</v>
      </c>
      <c r="K828" s="7">
        <f>IF(J828&lt;&gt;"OK","",C828*I828/100)</f>
        <v/>
      </c>
    </row>
    <row r="829" spans="1:11">
      <c r="A829" s="14">
        <v>46151</v>
      </c>
      <c r="B829" s="15">
        <v>0.5729166666666666</v>
      </c>
      <c r="C829" s="5">
        <f>IF('96 Werte'!BE14="","",'96 Werte'!BE14)</f>
        <v/>
      </c>
      <c r="D829" t="str">
        <f>IF(IF(Eingaben!$B$21&lt;Eingaben!$B$22,AND(B829&gt;=Eingaben!$B$21,B829&lt;Eingaben!$B$22),OR(B829&gt;=Eingaben!$B$21,B829&lt;Eingaben!$B$22)),"GO",IF(AND(ISNUMBER(Eingaben!$B$23),ISNUMBER(Eingaben!$B$24),IF(Eingaben!$B$23&lt;Eingaben!$B$24,AND(B829&gt;=Eingaben!$B$23,B829&lt;Eingaben!$B$24),OR(B829&gt;=Eingaben!$B$23,B829&lt;Eingaben!$B$24))),"HEAT","STANDARD"))</f>
        <v>STANDARD</v>
      </c>
      <c r="E829" s="9"/>
      <c r="F829" t="str">
        <f>IF(E829="",D829,E829)</f>
        <v>STANDARD</v>
      </c>
      <c r="G829" t="str">
        <f>INDEX(Netzzeiten!$B$6:$B$29,HOUR(B829)+1)</f>
        <v>NT</v>
      </c>
      <c r="H829" s="6">
        <f>IF(F829="GO",Eingaben!$B$11,IF(F829="STANDARD",Eingaben!$B$12,IF(AND(F829="HEAT",ISNUMBER(Eingaben!$B$13)),Eingaben!$B$13,"")))</f>
        <v>28.2744</v>
      </c>
      <c r="I829" s="6">
        <f>INDEX(Netzzeiten!$C$6:$C$29,HOUR(B829)+1)</f>
        <v>1.64</v>
      </c>
      <c r="J829" t="str">
        <f>IF(C829="","FEHLT",IF(NOT(ISNUMBER(C829)),"MESSWERT UNGUELTIG",IF(C829&lt;0,"MESSWERT UNGUELTIG",IF(H829="","TARIFPREIS FEHLT","OK"))))</f>
        <v>FEHLT</v>
      </c>
      <c r="K829" s="7">
        <f>IF(J829&lt;&gt;"OK","",C829*I829/100)</f>
        <v/>
      </c>
    </row>
    <row r="830" spans="1:11">
      <c r="A830" s="14">
        <v>46151</v>
      </c>
      <c r="B830" s="15">
        <v>0.5833333333333334</v>
      </c>
      <c r="C830" s="5">
        <f>IF('96 Werte'!BF14="","",'96 Werte'!BF14)</f>
        <v/>
      </c>
      <c r="D830" t="str">
        <f>IF(IF(Eingaben!$B$21&lt;Eingaben!$B$22,AND(B830&gt;=Eingaben!$B$21,B830&lt;Eingaben!$B$22),OR(B830&gt;=Eingaben!$B$21,B830&lt;Eingaben!$B$22)),"GO",IF(AND(ISNUMBER(Eingaben!$B$23),ISNUMBER(Eingaben!$B$24),IF(Eingaben!$B$23&lt;Eingaben!$B$24,AND(B830&gt;=Eingaben!$B$23,B830&lt;Eingaben!$B$24),OR(B830&gt;=Eingaben!$B$23,B830&lt;Eingaben!$B$24))),"HEAT","STANDARD"))</f>
        <v>STANDARD</v>
      </c>
      <c r="E830" s="9"/>
      <c r="F830" t="str">
        <f>IF(E830="",D830,E830)</f>
        <v>STANDARD</v>
      </c>
      <c r="G830" t="str">
        <f>INDEX(Netzzeiten!$B$6:$B$29,HOUR(B830)+1)</f>
        <v>NT</v>
      </c>
      <c r="H830" s="6">
        <f>IF(F830="GO",Eingaben!$B$11,IF(F830="STANDARD",Eingaben!$B$12,IF(AND(F830="HEAT",ISNUMBER(Eingaben!$B$13)),Eingaben!$B$13,"")))</f>
        <v>28.2744</v>
      </c>
      <c r="I830" s="6">
        <f>INDEX(Netzzeiten!$C$6:$C$29,HOUR(B830)+1)</f>
        <v>1.64</v>
      </c>
      <c r="J830" t="str">
        <f>IF(C830="","FEHLT",IF(NOT(ISNUMBER(C830)),"MESSWERT UNGUELTIG",IF(C830&lt;0,"MESSWERT UNGUELTIG",IF(H830="","TARIFPREIS FEHLT","OK"))))</f>
        <v>FEHLT</v>
      </c>
      <c r="K830" s="7">
        <f>IF(J830&lt;&gt;"OK","",C830*I830/100)</f>
        <v/>
      </c>
    </row>
    <row r="831" spans="1:11">
      <c r="A831" s="14">
        <v>46151</v>
      </c>
      <c r="B831" s="15">
        <v>0.59375</v>
      </c>
      <c r="C831" s="5">
        <f>IF('96 Werte'!BG14="","",'96 Werte'!BG14)</f>
        <v/>
      </c>
      <c r="D831" t="str">
        <f>IF(IF(Eingaben!$B$21&lt;Eingaben!$B$22,AND(B831&gt;=Eingaben!$B$21,B831&lt;Eingaben!$B$22),OR(B831&gt;=Eingaben!$B$21,B831&lt;Eingaben!$B$22)),"GO",IF(AND(ISNUMBER(Eingaben!$B$23),ISNUMBER(Eingaben!$B$24),IF(Eingaben!$B$23&lt;Eingaben!$B$24,AND(B831&gt;=Eingaben!$B$23,B831&lt;Eingaben!$B$24),OR(B831&gt;=Eingaben!$B$23,B831&lt;Eingaben!$B$24))),"HEAT","STANDARD"))</f>
        <v>STANDARD</v>
      </c>
      <c r="E831" s="9"/>
      <c r="F831" t="str">
        <f>IF(E831="",D831,E831)</f>
        <v>STANDARD</v>
      </c>
      <c r="G831" t="str">
        <f>INDEX(Netzzeiten!$B$6:$B$29,HOUR(B831)+1)</f>
        <v>NT</v>
      </c>
      <c r="H831" s="6">
        <f>IF(F831="GO",Eingaben!$B$11,IF(F831="STANDARD",Eingaben!$B$12,IF(AND(F831="HEAT",ISNUMBER(Eingaben!$B$13)),Eingaben!$B$13,"")))</f>
        <v>28.2744</v>
      </c>
      <c r="I831" s="6">
        <f>INDEX(Netzzeiten!$C$6:$C$29,HOUR(B831)+1)</f>
        <v>1.64</v>
      </c>
      <c r="J831" t="str">
        <f>IF(C831="","FEHLT",IF(NOT(ISNUMBER(C831)),"MESSWERT UNGUELTIG",IF(C831&lt;0,"MESSWERT UNGUELTIG",IF(H831="","TARIFPREIS FEHLT","OK"))))</f>
        <v>FEHLT</v>
      </c>
      <c r="K831" s="7">
        <f>IF(J831&lt;&gt;"OK","",C831*I831/100)</f>
        <v/>
      </c>
    </row>
    <row r="832" spans="1:11">
      <c r="A832" s="14">
        <v>46151</v>
      </c>
      <c r="B832" s="15">
        <v>0.6041666666666666</v>
      </c>
      <c r="C832" s="5">
        <f>IF('96 Werte'!BH14="","",'96 Werte'!BH14)</f>
        <v/>
      </c>
      <c r="D832" t="str">
        <f>IF(IF(Eingaben!$B$21&lt;Eingaben!$B$22,AND(B832&gt;=Eingaben!$B$21,B832&lt;Eingaben!$B$22),OR(B832&gt;=Eingaben!$B$21,B832&lt;Eingaben!$B$22)),"GO",IF(AND(ISNUMBER(Eingaben!$B$23),ISNUMBER(Eingaben!$B$24),IF(Eingaben!$B$23&lt;Eingaben!$B$24,AND(B832&gt;=Eingaben!$B$23,B832&lt;Eingaben!$B$24),OR(B832&gt;=Eingaben!$B$23,B832&lt;Eingaben!$B$24))),"HEAT","STANDARD"))</f>
        <v>STANDARD</v>
      </c>
      <c r="E832" s="9"/>
      <c r="F832" t="str">
        <f>IF(E832="",D832,E832)</f>
        <v>STANDARD</v>
      </c>
      <c r="G832" t="str">
        <f>INDEX(Netzzeiten!$B$6:$B$29,HOUR(B832)+1)</f>
        <v>NT</v>
      </c>
      <c r="H832" s="6">
        <f>IF(F832="GO",Eingaben!$B$11,IF(F832="STANDARD",Eingaben!$B$12,IF(AND(F832="HEAT",ISNUMBER(Eingaben!$B$13)),Eingaben!$B$13,"")))</f>
        <v>28.2744</v>
      </c>
      <c r="I832" s="6">
        <f>INDEX(Netzzeiten!$C$6:$C$29,HOUR(B832)+1)</f>
        <v>1.64</v>
      </c>
      <c r="J832" t="str">
        <f>IF(C832="","FEHLT",IF(NOT(ISNUMBER(C832)),"MESSWERT UNGUELTIG",IF(C832&lt;0,"MESSWERT UNGUELTIG",IF(H832="","TARIFPREIS FEHLT","OK"))))</f>
        <v>FEHLT</v>
      </c>
      <c r="K832" s="7">
        <f>IF(J832&lt;&gt;"OK","",C832*I832/100)</f>
        <v/>
      </c>
    </row>
    <row r="833" spans="1:11">
      <c r="A833" s="14">
        <v>46151</v>
      </c>
      <c r="B833" s="15">
        <v>0.6145833333333334</v>
      </c>
      <c r="C833" s="5">
        <f>IF('96 Werte'!BI14="","",'96 Werte'!BI14)</f>
        <v/>
      </c>
      <c r="D833" t="str">
        <f>IF(IF(Eingaben!$B$21&lt;Eingaben!$B$22,AND(B833&gt;=Eingaben!$B$21,B833&lt;Eingaben!$B$22),OR(B833&gt;=Eingaben!$B$21,B833&lt;Eingaben!$B$22)),"GO",IF(AND(ISNUMBER(Eingaben!$B$23),ISNUMBER(Eingaben!$B$24),IF(Eingaben!$B$23&lt;Eingaben!$B$24,AND(B833&gt;=Eingaben!$B$23,B833&lt;Eingaben!$B$24),OR(B833&gt;=Eingaben!$B$23,B833&lt;Eingaben!$B$24))),"HEAT","STANDARD"))</f>
        <v>STANDARD</v>
      </c>
      <c r="E833" s="9"/>
      <c r="F833" t="str">
        <f>IF(E833="",D833,E833)</f>
        <v>STANDARD</v>
      </c>
      <c r="G833" t="str">
        <f>INDEX(Netzzeiten!$B$6:$B$29,HOUR(B833)+1)</f>
        <v>NT</v>
      </c>
      <c r="H833" s="6">
        <f>IF(F833="GO",Eingaben!$B$11,IF(F833="STANDARD",Eingaben!$B$12,IF(AND(F833="HEAT",ISNUMBER(Eingaben!$B$13)),Eingaben!$B$13,"")))</f>
        <v>28.2744</v>
      </c>
      <c r="I833" s="6">
        <f>INDEX(Netzzeiten!$C$6:$C$29,HOUR(B833)+1)</f>
        <v>1.64</v>
      </c>
      <c r="J833" t="str">
        <f>IF(C833="","FEHLT",IF(NOT(ISNUMBER(C833)),"MESSWERT UNGUELTIG",IF(C833&lt;0,"MESSWERT UNGUELTIG",IF(H833="","TARIFPREIS FEHLT","OK"))))</f>
        <v>FEHLT</v>
      </c>
      <c r="K833" s="7">
        <f>IF(J833&lt;&gt;"OK","",C833*I833/100)</f>
        <v/>
      </c>
    </row>
    <row r="834" spans="1:11">
      <c r="A834" s="14">
        <v>46151</v>
      </c>
      <c r="B834" s="15">
        <v>0.625</v>
      </c>
      <c r="C834" s="5">
        <f>IF('96 Werte'!BJ14="","",'96 Werte'!BJ14)</f>
        <v/>
      </c>
      <c r="D834" t="str">
        <f>IF(IF(Eingaben!$B$21&lt;Eingaben!$B$22,AND(B834&gt;=Eingaben!$B$21,B834&lt;Eingaben!$B$22),OR(B834&gt;=Eingaben!$B$21,B834&lt;Eingaben!$B$22)),"GO",IF(AND(ISNUMBER(Eingaben!$B$23),ISNUMBER(Eingaben!$B$24),IF(Eingaben!$B$23&lt;Eingaben!$B$24,AND(B834&gt;=Eingaben!$B$23,B834&lt;Eingaben!$B$24),OR(B834&gt;=Eingaben!$B$23,B834&lt;Eingaben!$B$24))),"HEAT","STANDARD"))</f>
        <v>STANDARD</v>
      </c>
      <c r="E834" s="9"/>
      <c r="F834" t="str">
        <f>IF(E834="",D834,E834)</f>
        <v>STANDARD</v>
      </c>
      <c r="G834" t="str">
        <f>INDEX(Netzzeiten!$B$6:$B$29,HOUR(B834)+1)</f>
        <v>ST</v>
      </c>
      <c r="H834" s="6">
        <f>IF(F834="GO",Eingaben!$B$11,IF(F834="STANDARD",Eingaben!$B$12,IF(AND(F834="HEAT",ISNUMBER(Eingaben!$B$13)),Eingaben!$B$13,"")))</f>
        <v>28.2744</v>
      </c>
      <c r="I834" s="6">
        <f>INDEX(Netzzeiten!$C$6:$C$29,HOUR(B834)+1)</f>
        <v>5.48</v>
      </c>
      <c r="J834" t="str">
        <f>IF(C834="","FEHLT",IF(NOT(ISNUMBER(C834)),"MESSWERT UNGUELTIG",IF(C834&lt;0,"MESSWERT UNGUELTIG",IF(H834="","TARIFPREIS FEHLT","OK"))))</f>
        <v>FEHLT</v>
      </c>
      <c r="K834" s="7">
        <f>IF(J834&lt;&gt;"OK","",C834*I834/100)</f>
        <v/>
      </c>
    </row>
    <row r="835" spans="1:11">
      <c r="A835" s="14">
        <v>46151</v>
      </c>
      <c r="B835" s="15">
        <v>0.6354166666666666</v>
      </c>
      <c r="C835" s="5">
        <f>IF('96 Werte'!BK14="","",'96 Werte'!BK14)</f>
        <v/>
      </c>
      <c r="D835" t="str">
        <f>IF(IF(Eingaben!$B$21&lt;Eingaben!$B$22,AND(B835&gt;=Eingaben!$B$21,B835&lt;Eingaben!$B$22),OR(B835&gt;=Eingaben!$B$21,B835&lt;Eingaben!$B$22)),"GO",IF(AND(ISNUMBER(Eingaben!$B$23),ISNUMBER(Eingaben!$B$24),IF(Eingaben!$B$23&lt;Eingaben!$B$24,AND(B835&gt;=Eingaben!$B$23,B835&lt;Eingaben!$B$24),OR(B835&gt;=Eingaben!$B$23,B835&lt;Eingaben!$B$24))),"HEAT","STANDARD"))</f>
        <v>STANDARD</v>
      </c>
      <c r="E835" s="9"/>
      <c r="F835" t="str">
        <f>IF(E835="",D835,E835)</f>
        <v>STANDARD</v>
      </c>
      <c r="G835" t="str">
        <f>INDEX(Netzzeiten!$B$6:$B$29,HOUR(B835)+1)</f>
        <v>ST</v>
      </c>
      <c r="H835" s="6">
        <f>IF(F835="GO",Eingaben!$B$11,IF(F835="STANDARD",Eingaben!$B$12,IF(AND(F835="HEAT",ISNUMBER(Eingaben!$B$13)),Eingaben!$B$13,"")))</f>
        <v>28.2744</v>
      </c>
      <c r="I835" s="6">
        <f>INDEX(Netzzeiten!$C$6:$C$29,HOUR(B835)+1)</f>
        <v>5.48</v>
      </c>
      <c r="J835" t="str">
        <f>IF(C835="","FEHLT",IF(NOT(ISNUMBER(C835)),"MESSWERT UNGUELTIG",IF(C835&lt;0,"MESSWERT UNGUELTIG",IF(H835="","TARIFPREIS FEHLT","OK"))))</f>
        <v>FEHLT</v>
      </c>
      <c r="K835" s="7">
        <f>IF(J835&lt;&gt;"OK","",C835*I835/100)</f>
        <v/>
      </c>
    </row>
    <row r="836" spans="1:11">
      <c r="A836" s="14">
        <v>46151</v>
      </c>
      <c r="B836" s="15">
        <v>0.6458333333333334</v>
      </c>
      <c r="C836" s="5">
        <f>IF('96 Werte'!BL14="","",'96 Werte'!BL14)</f>
        <v/>
      </c>
      <c r="D836" t="str">
        <f>IF(IF(Eingaben!$B$21&lt;Eingaben!$B$22,AND(B836&gt;=Eingaben!$B$21,B836&lt;Eingaben!$B$22),OR(B836&gt;=Eingaben!$B$21,B836&lt;Eingaben!$B$22)),"GO",IF(AND(ISNUMBER(Eingaben!$B$23),ISNUMBER(Eingaben!$B$24),IF(Eingaben!$B$23&lt;Eingaben!$B$24,AND(B836&gt;=Eingaben!$B$23,B836&lt;Eingaben!$B$24),OR(B836&gt;=Eingaben!$B$23,B836&lt;Eingaben!$B$24))),"HEAT","STANDARD"))</f>
        <v>STANDARD</v>
      </c>
      <c r="E836" s="9"/>
      <c r="F836" t="str">
        <f>IF(E836="",D836,E836)</f>
        <v>STANDARD</v>
      </c>
      <c r="G836" t="str">
        <f>INDEX(Netzzeiten!$B$6:$B$29,HOUR(B836)+1)</f>
        <v>ST</v>
      </c>
      <c r="H836" s="6">
        <f>IF(F836="GO",Eingaben!$B$11,IF(F836="STANDARD",Eingaben!$B$12,IF(AND(F836="HEAT",ISNUMBER(Eingaben!$B$13)),Eingaben!$B$13,"")))</f>
        <v>28.2744</v>
      </c>
      <c r="I836" s="6">
        <f>INDEX(Netzzeiten!$C$6:$C$29,HOUR(B836)+1)</f>
        <v>5.48</v>
      </c>
      <c r="J836" t="str">
        <f>IF(C836="","FEHLT",IF(NOT(ISNUMBER(C836)),"MESSWERT UNGUELTIG",IF(C836&lt;0,"MESSWERT UNGUELTIG",IF(H836="","TARIFPREIS FEHLT","OK"))))</f>
        <v>FEHLT</v>
      </c>
      <c r="K836" s="7">
        <f>IF(J836&lt;&gt;"OK","",C836*I836/100)</f>
        <v/>
      </c>
    </row>
    <row r="837" spans="1:11">
      <c r="A837" s="14">
        <v>46151</v>
      </c>
      <c r="B837" s="15">
        <v>0.65625</v>
      </c>
      <c r="C837" s="5">
        <f>IF('96 Werte'!BM14="","",'96 Werte'!BM14)</f>
        <v/>
      </c>
      <c r="D837" t="str">
        <f>IF(IF(Eingaben!$B$21&lt;Eingaben!$B$22,AND(B837&gt;=Eingaben!$B$21,B837&lt;Eingaben!$B$22),OR(B837&gt;=Eingaben!$B$21,B837&lt;Eingaben!$B$22)),"GO",IF(AND(ISNUMBER(Eingaben!$B$23),ISNUMBER(Eingaben!$B$24),IF(Eingaben!$B$23&lt;Eingaben!$B$24,AND(B837&gt;=Eingaben!$B$23,B837&lt;Eingaben!$B$24),OR(B837&gt;=Eingaben!$B$23,B837&lt;Eingaben!$B$24))),"HEAT","STANDARD"))</f>
        <v>STANDARD</v>
      </c>
      <c r="E837" s="9"/>
      <c r="F837" t="str">
        <f>IF(E837="",D837,E837)</f>
        <v>STANDARD</v>
      </c>
      <c r="G837" t="str">
        <f>INDEX(Netzzeiten!$B$6:$B$29,HOUR(B837)+1)</f>
        <v>ST</v>
      </c>
      <c r="H837" s="6">
        <f>IF(F837="GO",Eingaben!$B$11,IF(F837="STANDARD",Eingaben!$B$12,IF(AND(F837="HEAT",ISNUMBER(Eingaben!$B$13)),Eingaben!$B$13,"")))</f>
        <v>28.2744</v>
      </c>
      <c r="I837" s="6">
        <f>INDEX(Netzzeiten!$C$6:$C$29,HOUR(B837)+1)</f>
        <v>5.48</v>
      </c>
      <c r="J837" t="str">
        <f>IF(C837="","FEHLT",IF(NOT(ISNUMBER(C837)),"MESSWERT UNGUELTIG",IF(C837&lt;0,"MESSWERT UNGUELTIG",IF(H837="","TARIFPREIS FEHLT","OK"))))</f>
        <v>FEHLT</v>
      </c>
      <c r="K837" s="7">
        <f>IF(J837&lt;&gt;"OK","",C837*I837/100)</f>
        <v/>
      </c>
    </row>
    <row r="838" spans="1:11">
      <c r="A838" s="14">
        <v>46151</v>
      </c>
      <c r="B838" s="15">
        <v>0.6666666666666666</v>
      </c>
      <c r="C838" s="5">
        <f>IF('96 Werte'!BN14="","",'96 Werte'!BN14)</f>
        <v/>
      </c>
      <c r="D838" t="str">
        <f>IF(IF(Eingaben!$B$21&lt;Eingaben!$B$22,AND(B838&gt;=Eingaben!$B$21,B838&lt;Eingaben!$B$22),OR(B838&gt;=Eingaben!$B$21,B838&lt;Eingaben!$B$22)),"GO",IF(AND(ISNUMBER(Eingaben!$B$23),ISNUMBER(Eingaben!$B$24),IF(Eingaben!$B$23&lt;Eingaben!$B$24,AND(B838&gt;=Eingaben!$B$23,B838&lt;Eingaben!$B$24),OR(B838&gt;=Eingaben!$B$23,B838&lt;Eingaben!$B$24))),"HEAT","STANDARD"))</f>
        <v>STANDARD</v>
      </c>
      <c r="E838" s="9"/>
      <c r="F838" t="str">
        <f>IF(E838="",D838,E838)</f>
        <v>STANDARD</v>
      </c>
      <c r="G838" t="str">
        <f>INDEX(Netzzeiten!$B$6:$B$29,HOUR(B838)+1)</f>
        <v>ST</v>
      </c>
      <c r="H838" s="6">
        <f>IF(F838="GO",Eingaben!$B$11,IF(F838="STANDARD",Eingaben!$B$12,IF(AND(F838="HEAT",ISNUMBER(Eingaben!$B$13)),Eingaben!$B$13,"")))</f>
        <v>28.2744</v>
      </c>
      <c r="I838" s="6">
        <f>INDEX(Netzzeiten!$C$6:$C$29,HOUR(B838)+1)</f>
        <v>5.48</v>
      </c>
      <c r="J838" t="str">
        <f>IF(C838="","FEHLT",IF(NOT(ISNUMBER(C838)),"MESSWERT UNGUELTIG",IF(C838&lt;0,"MESSWERT UNGUELTIG",IF(H838="","TARIFPREIS FEHLT","OK"))))</f>
        <v>FEHLT</v>
      </c>
      <c r="K838" s="7">
        <f>IF(J838&lt;&gt;"OK","",C838*I838/100)</f>
        <v/>
      </c>
    </row>
    <row r="839" spans="1:11">
      <c r="A839" s="14">
        <v>46151</v>
      </c>
      <c r="B839" s="15">
        <v>0.6770833333333334</v>
      </c>
      <c r="C839" s="5">
        <f>IF('96 Werte'!BO14="","",'96 Werte'!BO14)</f>
        <v/>
      </c>
      <c r="D839" t="str">
        <f>IF(IF(Eingaben!$B$21&lt;Eingaben!$B$22,AND(B839&gt;=Eingaben!$B$21,B839&lt;Eingaben!$B$22),OR(B839&gt;=Eingaben!$B$21,B839&lt;Eingaben!$B$22)),"GO",IF(AND(ISNUMBER(Eingaben!$B$23),ISNUMBER(Eingaben!$B$24),IF(Eingaben!$B$23&lt;Eingaben!$B$24,AND(B839&gt;=Eingaben!$B$23,B839&lt;Eingaben!$B$24),OR(B839&gt;=Eingaben!$B$23,B839&lt;Eingaben!$B$24))),"HEAT","STANDARD"))</f>
        <v>STANDARD</v>
      </c>
      <c r="E839" s="9"/>
      <c r="F839" t="str">
        <f>IF(E839="",D839,E839)</f>
        <v>STANDARD</v>
      </c>
      <c r="G839" t="str">
        <f>INDEX(Netzzeiten!$B$6:$B$29,HOUR(B839)+1)</f>
        <v>ST</v>
      </c>
      <c r="H839" s="6">
        <f>IF(F839="GO",Eingaben!$B$11,IF(F839="STANDARD",Eingaben!$B$12,IF(AND(F839="HEAT",ISNUMBER(Eingaben!$B$13)),Eingaben!$B$13,"")))</f>
        <v>28.2744</v>
      </c>
      <c r="I839" s="6">
        <f>INDEX(Netzzeiten!$C$6:$C$29,HOUR(B839)+1)</f>
        <v>5.48</v>
      </c>
      <c r="J839" t="str">
        <f>IF(C839="","FEHLT",IF(NOT(ISNUMBER(C839)),"MESSWERT UNGUELTIG",IF(C839&lt;0,"MESSWERT UNGUELTIG",IF(H839="","TARIFPREIS FEHLT","OK"))))</f>
        <v>FEHLT</v>
      </c>
      <c r="K839" s="7">
        <f>IF(J839&lt;&gt;"OK","",C839*I839/100)</f>
        <v/>
      </c>
    </row>
    <row r="840" spans="1:11">
      <c r="A840" s="14">
        <v>46151</v>
      </c>
      <c r="B840" s="15">
        <v>0.6875</v>
      </c>
      <c r="C840" s="5">
        <f>IF('96 Werte'!BP14="","",'96 Werte'!BP14)</f>
        <v/>
      </c>
      <c r="D840" t="str">
        <f>IF(IF(Eingaben!$B$21&lt;Eingaben!$B$22,AND(B840&gt;=Eingaben!$B$21,B840&lt;Eingaben!$B$22),OR(B840&gt;=Eingaben!$B$21,B840&lt;Eingaben!$B$22)),"GO",IF(AND(ISNUMBER(Eingaben!$B$23),ISNUMBER(Eingaben!$B$24),IF(Eingaben!$B$23&lt;Eingaben!$B$24,AND(B840&gt;=Eingaben!$B$23,B840&lt;Eingaben!$B$24),OR(B840&gt;=Eingaben!$B$23,B840&lt;Eingaben!$B$24))),"HEAT","STANDARD"))</f>
        <v>STANDARD</v>
      </c>
      <c r="E840" s="9"/>
      <c r="F840" t="str">
        <f>IF(E840="",D840,E840)</f>
        <v>STANDARD</v>
      </c>
      <c r="G840" t="str">
        <f>INDEX(Netzzeiten!$B$6:$B$29,HOUR(B840)+1)</f>
        <v>ST</v>
      </c>
      <c r="H840" s="6">
        <f>IF(F840="GO",Eingaben!$B$11,IF(F840="STANDARD",Eingaben!$B$12,IF(AND(F840="HEAT",ISNUMBER(Eingaben!$B$13)),Eingaben!$B$13,"")))</f>
        <v>28.2744</v>
      </c>
      <c r="I840" s="6">
        <f>INDEX(Netzzeiten!$C$6:$C$29,HOUR(B840)+1)</f>
        <v>5.48</v>
      </c>
      <c r="J840" t="str">
        <f>IF(C840="","FEHLT",IF(NOT(ISNUMBER(C840)),"MESSWERT UNGUELTIG",IF(C840&lt;0,"MESSWERT UNGUELTIG",IF(H840="","TARIFPREIS FEHLT","OK"))))</f>
        <v>FEHLT</v>
      </c>
      <c r="K840" s="7">
        <f>IF(J840&lt;&gt;"OK","",C840*I840/100)</f>
        <v/>
      </c>
    </row>
    <row r="841" spans="1:11">
      <c r="A841" s="14">
        <v>46151</v>
      </c>
      <c r="B841" s="15">
        <v>0.6979166666666666</v>
      </c>
      <c r="C841" s="5">
        <f>IF('96 Werte'!BQ14="","",'96 Werte'!BQ14)</f>
        <v/>
      </c>
      <c r="D841" t="str">
        <f>IF(IF(Eingaben!$B$21&lt;Eingaben!$B$22,AND(B841&gt;=Eingaben!$B$21,B841&lt;Eingaben!$B$22),OR(B841&gt;=Eingaben!$B$21,B841&lt;Eingaben!$B$22)),"GO",IF(AND(ISNUMBER(Eingaben!$B$23),ISNUMBER(Eingaben!$B$24),IF(Eingaben!$B$23&lt;Eingaben!$B$24,AND(B841&gt;=Eingaben!$B$23,B841&lt;Eingaben!$B$24),OR(B841&gt;=Eingaben!$B$23,B841&lt;Eingaben!$B$24))),"HEAT","STANDARD"))</f>
        <v>STANDARD</v>
      </c>
      <c r="E841" s="9"/>
      <c r="F841" t="str">
        <f>IF(E841="",D841,E841)</f>
        <v>STANDARD</v>
      </c>
      <c r="G841" t="str">
        <f>INDEX(Netzzeiten!$B$6:$B$29,HOUR(B841)+1)</f>
        <v>ST</v>
      </c>
      <c r="H841" s="6">
        <f>IF(F841="GO",Eingaben!$B$11,IF(F841="STANDARD",Eingaben!$B$12,IF(AND(F841="HEAT",ISNUMBER(Eingaben!$B$13)),Eingaben!$B$13,"")))</f>
        <v>28.2744</v>
      </c>
      <c r="I841" s="6">
        <f>INDEX(Netzzeiten!$C$6:$C$29,HOUR(B841)+1)</f>
        <v>5.48</v>
      </c>
      <c r="J841" t="str">
        <f>IF(C841="","FEHLT",IF(NOT(ISNUMBER(C841)),"MESSWERT UNGUELTIG",IF(C841&lt;0,"MESSWERT UNGUELTIG",IF(H841="","TARIFPREIS FEHLT","OK"))))</f>
        <v>FEHLT</v>
      </c>
      <c r="K841" s="7">
        <f>IF(J841&lt;&gt;"OK","",C841*I841/100)</f>
        <v/>
      </c>
    </row>
    <row r="842" spans="1:11">
      <c r="A842" s="14">
        <v>46151</v>
      </c>
      <c r="B842" s="15">
        <v>0.7083333333333334</v>
      </c>
      <c r="C842" s="5">
        <f>IF('96 Werte'!BR14="","",'96 Werte'!BR14)</f>
        <v/>
      </c>
      <c r="D842" t="str">
        <f>IF(IF(Eingaben!$B$21&lt;Eingaben!$B$22,AND(B842&gt;=Eingaben!$B$21,B842&lt;Eingaben!$B$22),OR(B842&gt;=Eingaben!$B$21,B842&lt;Eingaben!$B$22)),"GO",IF(AND(ISNUMBER(Eingaben!$B$23),ISNUMBER(Eingaben!$B$24),IF(Eingaben!$B$23&lt;Eingaben!$B$24,AND(B842&gt;=Eingaben!$B$23,B842&lt;Eingaben!$B$24),OR(B842&gt;=Eingaben!$B$23,B842&lt;Eingaben!$B$24))),"HEAT","STANDARD"))</f>
        <v>STANDARD</v>
      </c>
      <c r="E842" s="9"/>
      <c r="F842" t="str">
        <f>IF(E842="",D842,E842)</f>
        <v>STANDARD</v>
      </c>
      <c r="G842" t="str">
        <f>INDEX(Netzzeiten!$B$6:$B$29,HOUR(B842)+1)</f>
        <v>HT</v>
      </c>
      <c r="H842" s="6">
        <f>IF(F842="GO",Eingaben!$B$11,IF(F842="STANDARD",Eingaben!$B$12,IF(AND(F842="HEAT",ISNUMBER(Eingaben!$B$13)),Eingaben!$B$13,"")))</f>
        <v>28.2744</v>
      </c>
      <c r="I842" s="6">
        <f>INDEX(Netzzeiten!$C$6:$C$29,HOUR(B842)+1)</f>
        <v>10.52</v>
      </c>
      <c r="J842" t="str">
        <f>IF(C842="","FEHLT",IF(NOT(ISNUMBER(C842)),"MESSWERT UNGUELTIG",IF(C842&lt;0,"MESSWERT UNGUELTIG",IF(H842="","TARIFPREIS FEHLT","OK"))))</f>
        <v>FEHLT</v>
      </c>
      <c r="K842" s="7">
        <f>IF(J842&lt;&gt;"OK","",C842*I842/100)</f>
        <v/>
      </c>
    </row>
    <row r="843" spans="1:11">
      <c r="A843" s="14">
        <v>46151</v>
      </c>
      <c r="B843" s="15">
        <v>0.71875</v>
      </c>
      <c r="C843" s="5">
        <f>IF('96 Werte'!BS14="","",'96 Werte'!BS14)</f>
        <v/>
      </c>
      <c r="D843" t="str">
        <f>IF(IF(Eingaben!$B$21&lt;Eingaben!$B$22,AND(B843&gt;=Eingaben!$B$21,B843&lt;Eingaben!$B$22),OR(B843&gt;=Eingaben!$B$21,B843&lt;Eingaben!$B$22)),"GO",IF(AND(ISNUMBER(Eingaben!$B$23),ISNUMBER(Eingaben!$B$24),IF(Eingaben!$B$23&lt;Eingaben!$B$24,AND(B843&gt;=Eingaben!$B$23,B843&lt;Eingaben!$B$24),OR(B843&gt;=Eingaben!$B$23,B843&lt;Eingaben!$B$24))),"HEAT","STANDARD"))</f>
        <v>STANDARD</v>
      </c>
      <c r="E843" s="9"/>
      <c r="F843" t="str">
        <f>IF(E843="",D843,E843)</f>
        <v>STANDARD</v>
      </c>
      <c r="G843" t="str">
        <f>INDEX(Netzzeiten!$B$6:$B$29,HOUR(B843)+1)</f>
        <v>HT</v>
      </c>
      <c r="H843" s="6">
        <f>IF(F843="GO",Eingaben!$B$11,IF(F843="STANDARD",Eingaben!$B$12,IF(AND(F843="HEAT",ISNUMBER(Eingaben!$B$13)),Eingaben!$B$13,"")))</f>
        <v>28.2744</v>
      </c>
      <c r="I843" s="6">
        <f>INDEX(Netzzeiten!$C$6:$C$29,HOUR(B843)+1)</f>
        <v>10.52</v>
      </c>
      <c r="J843" t="str">
        <f>IF(C843="","FEHLT",IF(NOT(ISNUMBER(C843)),"MESSWERT UNGUELTIG",IF(C843&lt;0,"MESSWERT UNGUELTIG",IF(H843="","TARIFPREIS FEHLT","OK"))))</f>
        <v>FEHLT</v>
      </c>
      <c r="K843" s="7">
        <f>IF(J843&lt;&gt;"OK","",C843*I843/100)</f>
        <v/>
      </c>
    </row>
    <row r="844" spans="1:11">
      <c r="A844" s="14">
        <v>46151</v>
      </c>
      <c r="B844" s="15">
        <v>0.7291666666666666</v>
      </c>
      <c r="C844" s="5">
        <f>IF('96 Werte'!BT14="","",'96 Werte'!BT14)</f>
        <v/>
      </c>
      <c r="D844" t="str">
        <f>IF(IF(Eingaben!$B$21&lt;Eingaben!$B$22,AND(B844&gt;=Eingaben!$B$21,B844&lt;Eingaben!$B$22),OR(B844&gt;=Eingaben!$B$21,B844&lt;Eingaben!$B$22)),"GO",IF(AND(ISNUMBER(Eingaben!$B$23),ISNUMBER(Eingaben!$B$24),IF(Eingaben!$B$23&lt;Eingaben!$B$24,AND(B844&gt;=Eingaben!$B$23,B844&lt;Eingaben!$B$24),OR(B844&gt;=Eingaben!$B$23,B844&lt;Eingaben!$B$24))),"HEAT","STANDARD"))</f>
        <v>STANDARD</v>
      </c>
      <c r="E844" s="9"/>
      <c r="F844" t="str">
        <f>IF(E844="",D844,E844)</f>
        <v>STANDARD</v>
      </c>
      <c r="G844" t="str">
        <f>INDEX(Netzzeiten!$B$6:$B$29,HOUR(B844)+1)</f>
        <v>HT</v>
      </c>
      <c r="H844" s="6">
        <f>IF(F844="GO",Eingaben!$B$11,IF(F844="STANDARD",Eingaben!$B$12,IF(AND(F844="HEAT",ISNUMBER(Eingaben!$B$13)),Eingaben!$B$13,"")))</f>
        <v>28.2744</v>
      </c>
      <c r="I844" s="6">
        <f>INDEX(Netzzeiten!$C$6:$C$29,HOUR(B844)+1)</f>
        <v>10.52</v>
      </c>
      <c r="J844" t="str">
        <f>IF(C844="","FEHLT",IF(NOT(ISNUMBER(C844)),"MESSWERT UNGUELTIG",IF(C844&lt;0,"MESSWERT UNGUELTIG",IF(H844="","TARIFPREIS FEHLT","OK"))))</f>
        <v>FEHLT</v>
      </c>
      <c r="K844" s="7">
        <f>IF(J844&lt;&gt;"OK","",C844*I844/100)</f>
        <v/>
      </c>
    </row>
    <row r="845" spans="1:11">
      <c r="A845" s="14">
        <v>46151</v>
      </c>
      <c r="B845" s="15">
        <v>0.7395833333333334</v>
      </c>
      <c r="C845" s="5">
        <f>IF('96 Werte'!BU14="","",'96 Werte'!BU14)</f>
        <v/>
      </c>
      <c r="D845" t="str">
        <f>IF(IF(Eingaben!$B$21&lt;Eingaben!$B$22,AND(B845&gt;=Eingaben!$B$21,B845&lt;Eingaben!$B$22),OR(B845&gt;=Eingaben!$B$21,B845&lt;Eingaben!$B$22)),"GO",IF(AND(ISNUMBER(Eingaben!$B$23),ISNUMBER(Eingaben!$B$24),IF(Eingaben!$B$23&lt;Eingaben!$B$24,AND(B845&gt;=Eingaben!$B$23,B845&lt;Eingaben!$B$24),OR(B845&gt;=Eingaben!$B$23,B845&lt;Eingaben!$B$24))),"HEAT","STANDARD"))</f>
        <v>STANDARD</v>
      </c>
      <c r="E845" s="9"/>
      <c r="F845" t="str">
        <f>IF(E845="",D845,E845)</f>
        <v>STANDARD</v>
      </c>
      <c r="G845" t="str">
        <f>INDEX(Netzzeiten!$B$6:$B$29,HOUR(B845)+1)</f>
        <v>HT</v>
      </c>
      <c r="H845" s="6">
        <f>IF(F845="GO",Eingaben!$B$11,IF(F845="STANDARD",Eingaben!$B$12,IF(AND(F845="HEAT",ISNUMBER(Eingaben!$B$13)),Eingaben!$B$13,"")))</f>
        <v>28.2744</v>
      </c>
      <c r="I845" s="6">
        <f>INDEX(Netzzeiten!$C$6:$C$29,HOUR(B845)+1)</f>
        <v>10.52</v>
      </c>
      <c r="J845" t="str">
        <f>IF(C845="","FEHLT",IF(NOT(ISNUMBER(C845)),"MESSWERT UNGUELTIG",IF(C845&lt;0,"MESSWERT UNGUELTIG",IF(H845="","TARIFPREIS FEHLT","OK"))))</f>
        <v>FEHLT</v>
      </c>
      <c r="K845" s="7">
        <f>IF(J845&lt;&gt;"OK","",C845*I845/100)</f>
        <v/>
      </c>
    </row>
    <row r="846" spans="1:11">
      <c r="A846" s="14">
        <v>46151</v>
      </c>
      <c r="B846" s="15">
        <v>0.75</v>
      </c>
      <c r="C846" s="5">
        <f>IF('96 Werte'!BV14="","",'96 Werte'!BV14)</f>
        <v/>
      </c>
      <c r="D846" t="str">
        <f>IF(IF(Eingaben!$B$21&lt;Eingaben!$B$22,AND(B846&gt;=Eingaben!$B$21,B846&lt;Eingaben!$B$22),OR(B846&gt;=Eingaben!$B$21,B846&lt;Eingaben!$B$22)),"GO",IF(AND(ISNUMBER(Eingaben!$B$23),ISNUMBER(Eingaben!$B$24),IF(Eingaben!$B$23&lt;Eingaben!$B$24,AND(B846&gt;=Eingaben!$B$23,B846&lt;Eingaben!$B$24),OR(B846&gt;=Eingaben!$B$23,B846&lt;Eingaben!$B$24))),"HEAT","STANDARD"))</f>
        <v>STANDARD</v>
      </c>
      <c r="E846" s="9"/>
      <c r="F846" t="str">
        <f>IF(E846="",D846,E846)</f>
        <v>STANDARD</v>
      </c>
      <c r="G846" t="str">
        <f>INDEX(Netzzeiten!$B$6:$B$29,HOUR(B846)+1)</f>
        <v>HT</v>
      </c>
      <c r="H846" s="6">
        <f>IF(F846="GO",Eingaben!$B$11,IF(F846="STANDARD",Eingaben!$B$12,IF(AND(F846="HEAT",ISNUMBER(Eingaben!$B$13)),Eingaben!$B$13,"")))</f>
        <v>28.2744</v>
      </c>
      <c r="I846" s="6">
        <f>INDEX(Netzzeiten!$C$6:$C$29,HOUR(B846)+1)</f>
        <v>10.52</v>
      </c>
      <c r="J846" t="str">
        <f>IF(C846="","FEHLT",IF(NOT(ISNUMBER(C846)),"MESSWERT UNGUELTIG",IF(C846&lt;0,"MESSWERT UNGUELTIG",IF(H846="","TARIFPREIS FEHLT","OK"))))</f>
        <v>FEHLT</v>
      </c>
      <c r="K846" s="7">
        <f>IF(J846&lt;&gt;"OK","",C846*I846/100)</f>
        <v/>
      </c>
    </row>
    <row r="847" spans="1:11">
      <c r="A847" s="14">
        <v>46151</v>
      </c>
      <c r="B847" s="15">
        <v>0.7604166666666666</v>
      </c>
      <c r="C847" s="5">
        <f>IF('96 Werte'!BW14="","",'96 Werte'!BW14)</f>
        <v/>
      </c>
      <c r="D847" t="str">
        <f>IF(IF(Eingaben!$B$21&lt;Eingaben!$B$22,AND(B847&gt;=Eingaben!$B$21,B847&lt;Eingaben!$B$22),OR(B847&gt;=Eingaben!$B$21,B847&lt;Eingaben!$B$22)),"GO",IF(AND(ISNUMBER(Eingaben!$B$23),ISNUMBER(Eingaben!$B$24),IF(Eingaben!$B$23&lt;Eingaben!$B$24,AND(B847&gt;=Eingaben!$B$23,B847&lt;Eingaben!$B$24),OR(B847&gt;=Eingaben!$B$23,B847&lt;Eingaben!$B$24))),"HEAT","STANDARD"))</f>
        <v>STANDARD</v>
      </c>
      <c r="E847" s="9"/>
      <c r="F847" t="str">
        <f>IF(E847="",D847,E847)</f>
        <v>STANDARD</v>
      </c>
      <c r="G847" t="str">
        <f>INDEX(Netzzeiten!$B$6:$B$29,HOUR(B847)+1)</f>
        <v>HT</v>
      </c>
      <c r="H847" s="6">
        <f>IF(F847="GO",Eingaben!$B$11,IF(F847="STANDARD",Eingaben!$B$12,IF(AND(F847="HEAT",ISNUMBER(Eingaben!$B$13)),Eingaben!$B$13,"")))</f>
        <v>28.2744</v>
      </c>
      <c r="I847" s="6">
        <f>INDEX(Netzzeiten!$C$6:$C$29,HOUR(B847)+1)</f>
        <v>10.52</v>
      </c>
      <c r="J847" t="str">
        <f>IF(C847="","FEHLT",IF(NOT(ISNUMBER(C847)),"MESSWERT UNGUELTIG",IF(C847&lt;0,"MESSWERT UNGUELTIG",IF(H847="","TARIFPREIS FEHLT","OK"))))</f>
        <v>FEHLT</v>
      </c>
      <c r="K847" s="7">
        <f>IF(J847&lt;&gt;"OK","",C847*I847/100)</f>
        <v/>
      </c>
    </row>
    <row r="848" spans="1:11">
      <c r="A848" s="14">
        <v>46151</v>
      </c>
      <c r="B848" s="15">
        <v>0.7708333333333334</v>
      </c>
      <c r="C848" s="5">
        <f>IF('96 Werte'!BX14="","",'96 Werte'!BX14)</f>
        <v/>
      </c>
      <c r="D848" t="str">
        <f>IF(IF(Eingaben!$B$21&lt;Eingaben!$B$22,AND(B848&gt;=Eingaben!$B$21,B848&lt;Eingaben!$B$22),OR(B848&gt;=Eingaben!$B$21,B848&lt;Eingaben!$B$22)),"GO",IF(AND(ISNUMBER(Eingaben!$B$23),ISNUMBER(Eingaben!$B$24),IF(Eingaben!$B$23&lt;Eingaben!$B$24,AND(B848&gt;=Eingaben!$B$23,B848&lt;Eingaben!$B$24),OR(B848&gt;=Eingaben!$B$23,B848&lt;Eingaben!$B$24))),"HEAT","STANDARD"))</f>
        <v>STANDARD</v>
      </c>
      <c r="E848" s="9"/>
      <c r="F848" t="str">
        <f>IF(E848="",D848,E848)</f>
        <v>STANDARD</v>
      </c>
      <c r="G848" t="str">
        <f>INDEX(Netzzeiten!$B$6:$B$29,HOUR(B848)+1)</f>
        <v>HT</v>
      </c>
      <c r="H848" s="6">
        <f>IF(F848="GO",Eingaben!$B$11,IF(F848="STANDARD",Eingaben!$B$12,IF(AND(F848="HEAT",ISNUMBER(Eingaben!$B$13)),Eingaben!$B$13,"")))</f>
        <v>28.2744</v>
      </c>
      <c r="I848" s="6">
        <f>INDEX(Netzzeiten!$C$6:$C$29,HOUR(B848)+1)</f>
        <v>10.52</v>
      </c>
      <c r="J848" t="str">
        <f>IF(C848="","FEHLT",IF(NOT(ISNUMBER(C848)),"MESSWERT UNGUELTIG",IF(C848&lt;0,"MESSWERT UNGUELTIG",IF(H848="","TARIFPREIS FEHLT","OK"))))</f>
        <v>FEHLT</v>
      </c>
      <c r="K848" s="7">
        <f>IF(J848&lt;&gt;"OK","",C848*I848/100)</f>
        <v/>
      </c>
    </row>
    <row r="849" spans="1:11">
      <c r="A849" s="14">
        <v>46151</v>
      </c>
      <c r="B849" s="15">
        <v>0.78125</v>
      </c>
      <c r="C849" s="5">
        <f>IF('96 Werte'!BY14="","",'96 Werte'!BY14)</f>
        <v/>
      </c>
      <c r="D849" t="str">
        <f>IF(IF(Eingaben!$B$21&lt;Eingaben!$B$22,AND(B849&gt;=Eingaben!$B$21,B849&lt;Eingaben!$B$22),OR(B849&gt;=Eingaben!$B$21,B849&lt;Eingaben!$B$22)),"GO",IF(AND(ISNUMBER(Eingaben!$B$23),ISNUMBER(Eingaben!$B$24),IF(Eingaben!$B$23&lt;Eingaben!$B$24,AND(B849&gt;=Eingaben!$B$23,B849&lt;Eingaben!$B$24),OR(B849&gt;=Eingaben!$B$23,B849&lt;Eingaben!$B$24))),"HEAT","STANDARD"))</f>
        <v>STANDARD</v>
      </c>
      <c r="E849" s="9"/>
      <c r="F849" t="str">
        <f>IF(E849="",D849,E849)</f>
        <v>STANDARD</v>
      </c>
      <c r="G849" t="str">
        <f>INDEX(Netzzeiten!$B$6:$B$29,HOUR(B849)+1)</f>
        <v>HT</v>
      </c>
      <c r="H849" s="6">
        <f>IF(F849="GO",Eingaben!$B$11,IF(F849="STANDARD",Eingaben!$B$12,IF(AND(F849="HEAT",ISNUMBER(Eingaben!$B$13)),Eingaben!$B$13,"")))</f>
        <v>28.2744</v>
      </c>
      <c r="I849" s="6">
        <f>INDEX(Netzzeiten!$C$6:$C$29,HOUR(B849)+1)</f>
        <v>10.52</v>
      </c>
      <c r="J849" t="str">
        <f>IF(C849="","FEHLT",IF(NOT(ISNUMBER(C849)),"MESSWERT UNGUELTIG",IF(C849&lt;0,"MESSWERT UNGUELTIG",IF(H849="","TARIFPREIS FEHLT","OK"))))</f>
        <v>FEHLT</v>
      </c>
      <c r="K849" s="7">
        <f>IF(J849&lt;&gt;"OK","",C849*I849/100)</f>
        <v/>
      </c>
    </row>
    <row r="850" spans="1:11">
      <c r="A850" s="14">
        <v>46151</v>
      </c>
      <c r="B850" s="15">
        <v>0.7916666666666666</v>
      </c>
      <c r="C850" s="5">
        <f>IF('96 Werte'!BZ14="","",'96 Werte'!BZ14)</f>
        <v/>
      </c>
      <c r="D850" t="str">
        <f>IF(IF(Eingaben!$B$21&lt;Eingaben!$B$22,AND(B850&gt;=Eingaben!$B$21,B850&lt;Eingaben!$B$22),OR(B850&gt;=Eingaben!$B$21,B850&lt;Eingaben!$B$22)),"GO",IF(AND(ISNUMBER(Eingaben!$B$23),ISNUMBER(Eingaben!$B$24),IF(Eingaben!$B$23&lt;Eingaben!$B$24,AND(B850&gt;=Eingaben!$B$23,B850&lt;Eingaben!$B$24),OR(B850&gt;=Eingaben!$B$23,B850&lt;Eingaben!$B$24))),"HEAT","STANDARD"))</f>
        <v>STANDARD</v>
      </c>
      <c r="E850" s="9"/>
      <c r="F850" t="str">
        <f>IF(E850="",D850,E850)</f>
        <v>STANDARD</v>
      </c>
      <c r="G850" t="str">
        <f>INDEX(Netzzeiten!$B$6:$B$29,HOUR(B850)+1)</f>
        <v>HT</v>
      </c>
      <c r="H850" s="6">
        <f>IF(F850="GO",Eingaben!$B$11,IF(F850="STANDARD",Eingaben!$B$12,IF(AND(F850="HEAT",ISNUMBER(Eingaben!$B$13)),Eingaben!$B$13,"")))</f>
        <v>28.2744</v>
      </c>
      <c r="I850" s="6">
        <f>INDEX(Netzzeiten!$C$6:$C$29,HOUR(B850)+1)</f>
        <v>10.52</v>
      </c>
      <c r="J850" t="str">
        <f>IF(C850="","FEHLT",IF(NOT(ISNUMBER(C850)),"MESSWERT UNGUELTIG",IF(C850&lt;0,"MESSWERT UNGUELTIG",IF(H850="","TARIFPREIS FEHLT","OK"))))</f>
        <v>FEHLT</v>
      </c>
      <c r="K850" s="7">
        <f>IF(J850&lt;&gt;"OK","",C850*I850/100)</f>
        <v/>
      </c>
    </row>
    <row r="851" spans="1:11">
      <c r="A851" s="14">
        <v>46151</v>
      </c>
      <c r="B851" s="15">
        <v>0.8020833333333334</v>
      </c>
      <c r="C851" s="5">
        <f>IF('96 Werte'!CA14="","",'96 Werte'!CA14)</f>
        <v/>
      </c>
      <c r="D851" t="str">
        <f>IF(IF(Eingaben!$B$21&lt;Eingaben!$B$22,AND(B851&gt;=Eingaben!$B$21,B851&lt;Eingaben!$B$22),OR(B851&gt;=Eingaben!$B$21,B851&lt;Eingaben!$B$22)),"GO",IF(AND(ISNUMBER(Eingaben!$B$23),ISNUMBER(Eingaben!$B$24),IF(Eingaben!$B$23&lt;Eingaben!$B$24,AND(B851&gt;=Eingaben!$B$23,B851&lt;Eingaben!$B$24),OR(B851&gt;=Eingaben!$B$23,B851&lt;Eingaben!$B$24))),"HEAT","STANDARD"))</f>
        <v>STANDARD</v>
      </c>
      <c r="E851" s="9"/>
      <c r="F851" t="str">
        <f>IF(E851="",D851,E851)</f>
        <v>STANDARD</v>
      </c>
      <c r="G851" t="str">
        <f>INDEX(Netzzeiten!$B$6:$B$29,HOUR(B851)+1)</f>
        <v>HT</v>
      </c>
      <c r="H851" s="6">
        <f>IF(F851="GO",Eingaben!$B$11,IF(F851="STANDARD",Eingaben!$B$12,IF(AND(F851="HEAT",ISNUMBER(Eingaben!$B$13)),Eingaben!$B$13,"")))</f>
        <v>28.2744</v>
      </c>
      <c r="I851" s="6">
        <f>INDEX(Netzzeiten!$C$6:$C$29,HOUR(B851)+1)</f>
        <v>10.52</v>
      </c>
      <c r="J851" t="str">
        <f>IF(C851="","FEHLT",IF(NOT(ISNUMBER(C851)),"MESSWERT UNGUELTIG",IF(C851&lt;0,"MESSWERT UNGUELTIG",IF(H851="","TARIFPREIS FEHLT","OK"))))</f>
        <v>FEHLT</v>
      </c>
      <c r="K851" s="7">
        <f>IF(J851&lt;&gt;"OK","",C851*I851/100)</f>
        <v/>
      </c>
    </row>
    <row r="852" spans="1:11">
      <c r="A852" s="14">
        <v>46151</v>
      </c>
      <c r="B852" s="15">
        <v>0.8125</v>
      </c>
      <c r="C852" s="5">
        <f>IF('96 Werte'!CB14="","",'96 Werte'!CB14)</f>
        <v/>
      </c>
      <c r="D852" t="str">
        <f>IF(IF(Eingaben!$B$21&lt;Eingaben!$B$22,AND(B852&gt;=Eingaben!$B$21,B852&lt;Eingaben!$B$22),OR(B852&gt;=Eingaben!$B$21,B852&lt;Eingaben!$B$22)),"GO",IF(AND(ISNUMBER(Eingaben!$B$23),ISNUMBER(Eingaben!$B$24),IF(Eingaben!$B$23&lt;Eingaben!$B$24,AND(B852&gt;=Eingaben!$B$23,B852&lt;Eingaben!$B$24),OR(B852&gt;=Eingaben!$B$23,B852&lt;Eingaben!$B$24))),"HEAT","STANDARD"))</f>
        <v>STANDARD</v>
      </c>
      <c r="E852" s="9"/>
      <c r="F852" t="str">
        <f>IF(E852="",D852,E852)</f>
        <v>STANDARD</v>
      </c>
      <c r="G852" t="str">
        <f>INDEX(Netzzeiten!$B$6:$B$29,HOUR(B852)+1)</f>
        <v>HT</v>
      </c>
      <c r="H852" s="6">
        <f>IF(F852="GO",Eingaben!$B$11,IF(F852="STANDARD",Eingaben!$B$12,IF(AND(F852="HEAT",ISNUMBER(Eingaben!$B$13)),Eingaben!$B$13,"")))</f>
        <v>28.2744</v>
      </c>
      <c r="I852" s="6">
        <f>INDEX(Netzzeiten!$C$6:$C$29,HOUR(B852)+1)</f>
        <v>10.52</v>
      </c>
      <c r="J852" t="str">
        <f>IF(C852="","FEHLT",IF(NOT(ISNUMBER(C852)),"MESSWERT UNGUELTIG",IF(C852&lt;0,"MESSWERT UNGUELTIG",IF(H852="","TARIFPREIS FEHLT","OK"))))</f>
        <v>FEHLT</v>
      </c>
      <c r="K852" s="7">
        <f>IF(J852&lt;&gt;"OK","",C852*I852/100)</f>
        <v/>
      </c>
    </row>
    <row r="853" spans="1:11">
      <c r="A853" s="14">
        <v>46151</v>
      </c>
      <c r="B853" s="15">
        <v>0.8229166666666666</v>
      </c>
      <c r="C853" s="5">
        <f>IF('96 Werte'!CC14="","",'96 Werte'!CC14)</f>
        <v/>
      </c>
      <c r="D853" t="str">
        <f>IF(IF(Eingaben!$B$21&lt;Eingaben!$B$22,AND(B853&gt;=Eingaben!$B$21,B853&lt;Eingaben!$B$22),OR(B853&gt;=Eingaben!$B$21,B853&lt;Eingaben!$B$22)),"GO",IF(AND(ISNUMBER(Eingaben!$B$23),ISNUMBER(Eingaben!$B$24),IF(Eingaben!$B$23&lt;Eingaben!$B$24,AND(B853&gt;=Eingaben!$B$23,B853&lt;Eingaben!$B$24),OR(B853&gt;=Eingaben!$B$23,B853&lt;Eingaben!$B$24))),"HEAT","STANDARD"))</f>
        <v>STANDARD</v>
      </c>
      <c r="E853" s="9"/>
      <c r="F853" t="str">
        <f>IF(E853="",D853,E853)</f>
        <v>STANDARD</v>
      </c>
      <c r="G853" t="str">
        <f>INDEX(Netzzeiten!$B$6:$B$29,HOUR(B853)+1)</f>
        <v>HT</v>
      </c>
      <c r="H853" s="6">
        <f>IF(F853="GO",Eingaben!$B$11,IF(F853="STANDARD",Eingaben!$B$12,IF(AND(F853="HEAT",ISNUMBER(Eingaben!$B$13)),Eingaben!$B$13,"")))</f>
        <v>28.2744</v>
      </c>
      <c r="I853" s="6">
        <f>INDEX(Netzzeiten!$C$6:$C$29,HOUR(B853)+1)</f>
        <v>10.52</v>
      </c>
      <c r="J853" t="str">
        <f>IF(C853="","FEHLT",IF(NOT(ISNUMBER(C853)),"MESSWERT UNGUELTIG",IF(C853&lt;0,"MESSWERT UNGUELTIG",IF(H853="","TARIFPREIS FEHLT","OK"))))</f>
        <v>FEHLT</v>
      </c>
      <c r="K853" s="7">
        <f>IF(J853&lt;&gt;"OK","",C853*I853/100)</f>
        <v/>
      </c>
    </row>
    <row r="854" spans="1:11">
      <c r="A854" s="14">
        <v>46151</v>
      </c>
      <c r="B854" s="15">
        <v>0.8333333333333334</v>
      </c>
      <c r="C854" s="5">
        <f>IF('96 Werte'!CD14="","",'96 Werte'!CD14)</f>
        <v/>
      </c>
      <c r="D854" t="str">
        <f>IF(IF(Eingaben!$B$21&lt;Eingaben!$B$22,AND(B854&gt;=Eingaben!$B$21,B854&lt;Eingaben!$B$22),OR(B854&gt;=Eingaben!$B$21,B854&lt;Eingaben!$B$22)),"GO",IF(AND(ISNUMBER(Eingaben!$B$23),ISNUMBER(Eingaben!$B$24),IF(Eingaben!$B$23&lt;Eingaben!$B$24,AND(B854&gt;=Eingaben!$B$23,B854&lt;Eingaben!$B$24),OR(B854&gt;=Eingaben!$B$23,B854&lt;Eingaben!$B$24))),"HEAT","STANDARD"))</f>
        <v>STANDARD</v>
      </c>
      <c r="E854" s="9"/>
      <c r="F854" t="str">
        <f>IF(E854="",D854,E854)</f>
        <v>STANDARD</v>
      </c>
      <c r="G854" t="str">
        <f>INDEX(Netzzeiten!$B$6:$B$29,HOUR(B854)+1)</f>
        <v>HT</v>
      </c>
      <c r="H854" s="6">
        <f>IF(F854="GO",Eingaben!$B$11,IF(F854="STANDARD",Eingaben!$B$12,IF(AND(F854="HEAT",ISNUMBER(Eingaben!$B$13)),Eingaben!$B$13,"")))</f>
        <v>28.2744</v>
      </c>
      <c r="I854" s="6">
        <f>INDEX(Netzzeiten!$C$6:$C$29,HOUR(B854)+1)</f>
        <v>10.52</v>
      </c>
      <c r="J854" t="str">
        <f>IF(C854="","FEHLT",IF(NOT(ISNUMBER(C854)),"MESSWERT UNGUELTIG",IF(C854&lt;0,"MESSWERT UNGUELTIG",IF(H854="","TARIFPREIS FEHLT","OK"))))</f>
        <v>FEHLT</v>
      </c>
      <c r="K854" s="7">
        <f>IF(J854&lt;&gt;"OK","",C854*I854/100)</f>
        <v/>
      </c>
    </row>
    <row r="855" spans="1:11">
      <c r="A855" s="14">
        <v>46151</v>
      </c>
      <c r="B855" s="15">
        <v>0.84375</v>
      </c>
      <c r="C855" s="5">
        <f>IF('96 Werte'!CE14="","",'96 Werte'!CE14)</f>
        <v/>
      </c>
      <c r="D855" t="str">
        <f>IF(IF(Eingaben!$B$21&lt;Eingaben!$B$22,AND(B855&gt;=Eingaben!$B$21,B855&lt;Eingaben!$B$22),OR(B855&gt;=Eingaben!$B$21,B855&lt;Eingaben!$B$22)),"GO",IF(AND(ISNUMBER(Eingaben!$B$23),ISNUMBER(Eingaben!$B$24),IF(Eingaben!$B$23&lt;Eingaben!$B$24,AND(B855&gt;=Eingaben!$B$23,B855&lt;Eingaben!$B$24),OR(B855&gt;=Eingaben!$B$23,B855&lt;Eingaben!$B$24))),"HEAT","STANDARD"))</f>
        <v>STANDARD</v>
      </c>
      <c r="E855" s="9"/>
      <c r="F855" t="str">
        <f>IF(E855="",D855,E855)</f>
        <v>STANDARD</v>
      </c>
      <c r="G855" t="str">
        <f>INDEX(Netzzeiten!$B$6:$B$29,HOUR(B855)+1)</f>
        <v>HT</v>
      </c>
      <c r="H855" s="6">
        <f>IF(F855="GO",Eingaben!$B$11,IF(F855="STANDARD",Eingaben!$B$12,IF(AND(F855="HEAT",ISNUMBER(Eingaben!$B$13)),Eingaben!$B$13,"")))</f>
        <v>28.2744</v>
      </c>
      <c r="I855" s="6">
        <f>INDEX(Netzzeiten!$C$6:$C$29,HOUR(B855)+1)</f>
        <v>10.52</v>
      </c>
      <c r="J855" t="str">
        <f>IF(C855="","FEHLT",IF(NOT(ISNUMBER(C855)),"MESSWERT UNGUELTIG",IF(C855&lt;0,"MESSWERT UNGUELTIG",IF(H855="","TARIFPREIS FEHLT","OK"))))</f>
        <v>FEHLT</v>
      </c>
      <c r="K855" s="7">
        <f>IF(J855&lt;&gt;"OK","",C855*I855/100)</f>
        <v/>
      </c>
    </row>
    <row r="856" spans="1:11">
      <c r="A856" s="14">
        <v>46151</v>
      </c>
      <c r="B856" s="15">
        <v>0.8541666666666666</v>
      </c>
      <c r="C856" s="5">
        <f>IF('96 Werte'!CF14="","",'96 Werte'!CF14)</f>
        <v/>
      </c>
      <c r="D856" t="str">
        <f>IF(IF(Eingaben!$B$21&lt;Eingaben!$B$22,AND(B856&gt;=Eingaben!$B$21,B856&lt;Eingaben!$B$22),OR(B856&gt;=Eingaben!$B$21,B856&lt;Eingaben!$B$22)),"GO",IF(AND(ISNUMBER(Eingaben!$B$23),ISNUMBER(Eingaben!$B$24),IF(Eingaben!$B$23&lt;Eingaben!$B$24,AND(B856&gt;=Eingaben!$B$23,B856&lt;Eingaben!$B$24),OR(B856&gt;=Eingaben!$B$23,B856&lt;Eingaben!$B$24))),"HEAT","STANDARD"))</f>
        <v>STANDARD</v>
      </c>
      <c r="E856" s="9"/>
      <c r="F856" t="str">
        <f>IF(E856="",D856,E856)</f>
        <v>STANDARD</v>
      </c>
      <c r="G856" t="str">
        <f>INDEX(Netzzeiten!$B$6:$B$29,HOUR(B856)+1)</f>
        <v>HT</v>
      </c>
      <c r="H856" s="6">
        <f>IF(F856="GO",Eingaben!$B$11,IF(F856="STANDARD",Eingaben!$B$12,IF(AND(F856="HEAT",ISNUMBER(Eingaben!$B$13)),Eingaben!$B$13,"")))</f>
        <v>28.2744</v>
      </c>
      <c r="I856" s="6">
        <f>INDEX(Netzzeiten!$C$6:$C$29,HOUR(B856)+1)</f>
        <v>10.52</v>
      </c>
      <c r="J856" t="str">
        <f>IF(C856="","FEHLT",IF(NOT(ISNUMBER(C856)),"MESSWERT UNGUELTIG",IF(C856&lt;0,"MESSWERT UNGUELTIG",IF(H856="","TARIFPREIS FEHLT","OK"))))</f>
        <v>FEHLT</v>
      </c>
      <c r="K856" s="7">
        <f>IF(J856&lt;&gt;"OK","",C856*I856/100)</f>
        <v/>
      </c>
    </row>
    <row r="857" spans="1:11">
      <c r="A857" s="14">
        <v>46151</v>
      </c>
      <c r="B857" s="15">
        <v>0.8645833333333334</v>
      </c>
      <c r="C857" s="5">
        <f>IF('96 Werte'!CG14="","",'96 Werte'!CG14)</f>
        <v/>
      </c>
      <c r="D857" t="str">
        <f>IF(IF(Eingaben!$B$21&lt;Eingaben!$B$22,AND(B857&gt;=Eingaben!$B$21,B857&lt;Eingaben!$B$22),OR(B857&gt;=Eingaben!$B$21,B857&lt;Eingaben!$B$22)),"GO",IF(AND(ISNUMBER(Eingaben!$B$23),ISNUMBER(Eingaben!$B$24),IF(Eingaben!$B$23&lt;Eingaben!$B$24,AND(B857&gt;=Eingaben!$B$23,B857&lt;Eingaben!$B$24),OR(B857&gt;=Eingaben!$B$23,B857&lt;Eingaben!$B$24))),"HEAT","STANDARD"))</f>
        <v>STANDARD</v>
      </c>
      <c r="E857" s="9"/>
      <c r="F857" t="str">
        <f>IF(E857="",D857,E857)</f>
        <v>STANDARD</v>
      </c>
      <c r="G857" t="str">
        <f>INDEX(Netzzeiten!$B$6:$B$29,HOUR(B857)+1)</f>
        <v>HT</v>
      </c>
      <c r="H857" s="6">
        <f>IF(F857="GO",Eingaben!$B$11,IF(F857="STANDARD",Eingaben!$B$12,IF(AND(F857="HEAT",ISNUMBER(Eingaben!$B$13)),Eingaben!$B$13,"")))</f>
        <v>28.2744</v>
      </c>
      <c r="I857" s="6">
        <f>INDEX(Netzzeiten!$C$6:$C$29,HOUR(B857)+1)</f>
        <v>10.52</v>
      </c>
      <c r="J857" t="str">
        <f>IF(C857="","FEHLT",IF(NOT(ISNUMBER(C857)),"MESSWERT UNGUELTIG",IF(C857&lt;0,"MESSWERT UNGUELTIG",IF(H857="","TARIFPREIS FEHLT","OK"))))</f>
        <v>FEHLT</v>
      </c>
      <c r="K857" s="7">
        <f>IF(J857&lt;&gt;"OK","",C857*I857/100)</f>
        <v/>
      </c>
    </row>
    <row r="858" spans="1:11">
      <c r="A858" s="14">
        <v>46151</v>
      </c>
      <c r="B858" s="15">
        <v>0.875</v>
      </c>
      <c r="C858" s="5">
        <f>IF('96 Werte'!CH14="","",'96 Werte'!CH14)</f>
        <v/>
      </c>
      <c r="D858" t="str">
        <f>IF(IF(Eingaben!$B$21&lt;Eingaben!$B$22,AND(B858&gt;=Eingaben!$B$21,B858&lt;Eingaben!$B$22),OR(B858&gt;=Eingaben!$B$21,B858&lt;Eingaben!$B$22)),"GO",IF(AND(ISNUMBER(Eingaben!$B$23),ISNUMBER(Eingaben!$B$24),IF(Eingaben!$B$23&lt;Eingaben!$B$24,AND(B858&gt;=Eingaben!$B$23,B858&lt;Eingaben!$B$24),OR(B858&gt;=Eingaben!$B$23,B858&lt;Eingaben!$B$24))),"HEAT","STANDARD"))</f>
        <v>STANDARD</v>
      </c>
      <c r="E858" s="9"/>
      <c r="F858" t="str">
        <f>IF(E858="",D858,E858)</f>
        <v>STANDARD</v>
      </c>
      <c r="G858" t="str">
        <f>INDEX(Netzzeiten!$B$6:$B$29,HOUR(B858)+1)</f>
        <v>HT</v>
      </c>
      <c r="H858" s="6">
        <f>IF(F858="GO",Eingaben!$B$11,IF(F858="STANDARD",Eingaben!$B$12,IF(AND(F858="HEAT",ISNUMBER(Eingaben!$B$13)),Eingaben!$B$13,"")))</f>
        <v>28.2744</v>
      </c>
      <c r="I858" s="6">
        <f>INDEX(Netzzeiten!$C$6:$C$29,HOUR(B858)+1)</f>
        <v>10.52</v>
      </c>
      <c r="J858" t="str">
        <f>IF(C858="","FEHLT",IF(NOT(ISNUMBER(C858)),"MESSWERT UNGUELTIG",IF(C858&lt;0,"MESSWERT UNGUELTIG",IF(H858="","TARIFPREIS FEHLT","OK"))))</f>
        <v>FEHLT</v>
      </c>
      <c r="K858" s="7">
        <f>IF(J858&lt;&gt;"OK","",C858*I858/100)</f>
        <v/>
      </c>
    </row>
    <row r="859" spans="1:11">
      <c r="A859" s="14">
        <v>46151</v>
      </c>
      <c r="B859" s="15">
        <v>0.8854166666666666</v>
      </c>
      <c r="C859" s="5">
        <f>IF('96 Werte'!CI14="","",'96 Werte'!CI14)</f>
        <v/>
      </c>
      <c r="D859" t="str">
        <f>IF(IF(Eingaben!$B$21&lt;Eingaben!$B$22,AND(B859&gt;=Eingaben!$B$21,B859&lt;Eingaben!$B$22),OR(B859&gt;=Eingaben!$B$21,B859&lt;Eingaben!$B$22)),"GO",IF(AND(ISNUMBER(Eingaben!$B$23),ISNUMBER(Eingaben!$B$24),IF(Eingaben!$B$23&lt;Eingaben!$B$24,AND(B859&gt;=Eingaben!$B$23,B859&lt;Eingaben!$B$24),OR(B859&gt;=Eingaben!$B$23,B859&lt;Eingaben!$B$24))),"HEAT","STANDARD"))</f>
        <v>STANDARD</v>
      </c>
      <c r="E859" s="9"/>
      <c r="F859" t="str">
        <f>IF(E859="",D859,E859)</f>
        <v>STANDARD</v>
      </c>
      <c r="G859" t="str">
        <f>INDEX(Netzzeiten!$B$6:$B$29,HOUR(B859)+1)</f>
        <v>HT</v>
      </c>
      <c r="H859" s="6">
        <f>IF(F859="GO",Eingaben!$B$11,IF(F859="STANDARD",Eingaben!$B$12,IF(AND(F859="HEAT",ISNUMBER(Eingaben!$B$13)),Eingaben!$B$13,"")))</f>
        <v>28.2744</v>
      </c>
      <c r="I859" s="6">
        <f>INDEX(Netzzeiten!$C$6:$C$29,HOUR(B859)+1)</f>
        <v>10.52</v>
      </c>
      <c r="J859" t="str">
        <f>IF(C859="","FEHLT",IF(NOT(ISNUMBER(C859)),"MESSWERT UNGUELTIG",IF(C859&lt;0,"MESSWERT UNGUELTIG",IF(H859="","TARIFPREIS FEHLT","OK"))))</f>
        <v>FEHLT</v>
      </c>
      <c r="K859" s="7">
        <f>IF(J859&lt;&gt;"OK","",C859*I859/100)</f>
        <v/>
      </c>
    </row>
    <row r="860" spans="1:11">
      <c r="A860" s="14">
        <v>46151</v>
      </c>
      <c r="B860" s="15">
        <v>0.8958333333333334</v>
      </c>
      <c r="C860" s="5">
        <f>IF('96 Werte'!CJ14="","",'96 Werte'!CJ14)</f>
        <v/>
      </c>
      <c r="D860" t="str">
        <f>IF(IF(Eingaben!$B$21&lt;Eingaben!$B$22,AND(B860&gt;=Eingaben!$B$21,B860&lt;Eingaben!$B$22),OR(B860&gt;=Eingaben!$B$21,B860&lt;Eingaben!$B$22)),"GO",IF(AND(ISNUMBER(Eingaben!$B$23),ISNUMBER(Eingaben!$B$24),IF(Eingaben!$B$23&lt;Eingaben!$B$24,AND(B860&gt;=Eingaben!$B$23,B860&lt;Eingaben!$B$24),OR(B860&gt;=Eingaben!$B$23,B860&lt;Eingaben!$B$24))),"HEAT","STANDARD"))</f>
        <v>STANDARD</v>
      </c>
      <c r="E860" s="9"/>
      <c r="F860" t="str">
        <f>IF(E860="",D860,E860)</f>
        <v>STANDARD</v>
      </c>
      <c r="G860" t="str">
        <f>INDEX(Netzzeiten!$B$6:$B$29,HOUR(B860)+1)</f>
        <v>HT</v>
      </c>
      <c r="H860" s="6">
        <f>IF(F860="GO",Eingaben!$B$11,IF(F860="STANDARD",Eingaben!$B$12,IF(AND(F860="HEAT",ISNUMBER(Eingaben!$B$13)),Eingaben!$B$13,"")))</f>
        <v>28.2744</v>
      </c>
      <c r="I860" s="6">
        <f>INDEX(Netzzeiten!$C$6:$C$29,HOUR(B860)+1)</f>
        <v>10.52</v>
      </c>
      <c r="J860" t="str">
        <f>IF(C860="","FEHLT",IF(NOT(ISNUMBER(C860)),"MESSWERT UNGUELTIG",IF(C860&lt;0,"MESSWERT UNGUELTIG",IF(H860="","TARIFPREIS FEHLT","OK"))))</f>
        <v>FEHLT</v>
      </c>
      <c r="K860" s="7">
        <f>IF(J860&lt;&gt;"OK","",C860*I860/100)</f>
        <v/>
      </c>
    </row>
    <row r="861" spans="1:11">
      <c r="A861" s="14">
        <v>46151</v>
      </c>
      <c r="B861" s="15">
        <v>0.90625</v>
      </c>
      <c r="C861" s="5">
        <f>IF('96 Werte'!CK14="","",'96 Werte'!CK14)</f>
        <v/>
      </c>
      <c r="D861" t="str">
        <f>IF(IF(Eingaben!$B$21&lt;Eingaben!$B$22,AND(B861&gt;=Eingaben!$B$21,B861&lt;Eingaben!$B$22),OR(B861&gt;=Eingaben!$B$21,B861&lt;Eingaben!$B$22)),"GO",IF(AND(ISNUMBER(Eingaben!$B$23),ISNUMBER(Eingaben!$B$24),IF(Eingaben!$B$23&lt;Eingaben!$B$24,AND(B861&gt;=Eingaben!$B$23,B861&lt;Eingaben!$B$24),OR(B861&gt;=Eingaben!$B$23,B861&lt;Eingaben!$B$24))),"HEAT","STANDARD"))</f>
        <v>STANDARD</v>
      </c>
      <c r="E861" s="9"/>
      <c r="F861" t="str">
        <f>IF(E861="",D861,E861)</f>
        <v>STANDARD</v>
      </c>
      <c r="G861" t="str">
        <f>INDEX(Netzzeiten!$B$6:$B$29,HOUR(B861)+1)</f>
        <v>HT</v>
      </c>
      <c r="H861" s="6">
        <f>IF(F861="GO",Eingaben!$B$11,IF(F861="STANDARD",Eingaben!$B$12,IF(AND(F861="HEAT",ISNUMBER(Eingaben!$B$13)),Eingaben!$B$13,"")))</f>
        <v>28.2744</v>
      </c>
      <c r="I861" s="6">
        <f>INDEX(Netzzeiten!$C$6:$C$29,HOUR(B861)+1)</f>
        <v>10.52</v>
      </c>
      <c r="J861" t="str">
        <f>IF(C861="","FEHLT",IF(NOT(ISNUMBER(C861)),"MESSWERT UNGUELTIG",IF(C861&lt;0,"MESSWERT UNGUELTIG",IF(H861="","TARIFPREIS FEHLT","OK"))))</f>
        <v>FEHLT</v>
      </c>
      <c r="K861" s="7">
        <f>IF(J861&lt;&gt;"OK","",C861*I861/100)</f>
        <v/>
      </c>
    </row>
    <row r="862" spans="1:11">
      <c r="A862" s="14">
        <v>46151</v>
      </c>
      <c r="B862" s="15">
        <v>0.9166666666666666</v>
      </c>
      <c r="C862" s="5">
        <f>IF('96 Werte'!CL14="","",'96 Werte'!CL14)</f>
        <v/>
      </c>
      <c r="D862" t="str">
        <f>IF(IF(Eingaben!$B$21&lt;Eingaben!$B$22,AND(B862&gt;=Eingaben!$B$21,B862&lt;Eingaben!$B$22),OR(B862&gt;=Eingaben!$B$21,B862&lt;Eingaben!$B$22)),"GO",IF(AND(ISNUMBER(Eingaben!$B$23),ISNUMBER(Eingaben!$B$24),IF(Eingaben!$B$23&lt;Eingaben!$B$24,AND(B862&gt;=Eingaben!$B$23,B862&lt;Eingaben!$B$24),OR(B862&gt;=Eingaben!$B$23,B862&lt;Eingaben!$B$24))),"HEAT","STANDARD"))</f>
        <v>STANDARD</v>
      </c>
      <c r="E862" s="9"/>
      <c r="F862" t="str">
        <f>IF(E862="",D862,E862)</f>
        <v>STANDARD</v>
      </c>
      <c r="G862" t="str">
        <f>INDEX(Netzzeiten!$B$6:$B$29,HOUR(B862)+1)</f>
        <v>ST</v>
      </c>
      <c r="H862" s="6">
        <f>IF(F862="GO",Eingaben!$B$11,IF(F862="STANDARD",Eingaben!$B$12,IF(AND(F862="HEAT",ISNUMBER(Eingaben!$B$13)),Eingaben!$B$13,"")))</f>
        <v>28.2744</v>
      </c>
      <c r="I862" s="6">
        <f>INDEX(Netzzeiten!$C$6:$C$29,HOUR(B862)+1)</f>
        <v>5.48</v>
      </c>
      <c r="J862" t="str">
        <f>IF(C862="","FEHLT",IF(NOT(ISNUMBER(C862)),"MESSWERT UNGUELTIG",IF(C862&lt;0,"MESSWERT UNGUELTIG",IF(H862="","TARIFPREIS FEHLT","OK"))))</f>
        <v>FEHLT</v>
      </c>
      <c r="K862" s="7">
        <f>IF(J862&lt;&gt;"OK","",C862*I862/100)</f>
        <v/>
      </c>
    </row>
    <row r="863" spans="1:11">
      <c r="A863" s="14">
        <v>46151</v>
      </c>
      <c r="B863" s="15">
        <v>0.9270833333333334</v>
      </c>
      <c r="C863" s="5">
        <f>IF('96 Werte'!CM14="","",'96 Werte'!CM14)</f>
        <v/>
      </c>
      <c r="D863" t="str">
        <f>IF(IF(Eingaben!$B$21&lt;Eingaben!$B$22,AND(B863&gt;=Eingaben!$B$21,B863&lt;Eingaben!$B$22),OR(B863&gt;=Eingaben!$B$21,B863&lt;Eingaben!$B$22)),"GO",IF(AND(ISNUMBER(Eingaben!$B$23),ISNUMBER(Eingaben!$B$24),IF(Eingaben!$B$23&lt;Eingaben!$B$24,AND(B863&gt;=Eingaben!$B$23,B863&lt;Eingaben!$B$24),OR(B863&gt;=Eingaben!$B$23,B863&lt;Eingaben!$B$24))),"HEAT","STANDARD"))</f>
        <v>STANDARD</v>
      </c>
      <c r="E863" s="9"/>
      <c r="F863" t="str">
        <f>IF(E863="",D863,E863)</f>
        <v>STANDARD</v>
      </c>
      <c r="G863" t="str">
        <f>INDEX(Netzzeiten!$B$6:$B$29,HOUR(B863)+1)</f>
        <v>ST</v>
      </c>
      <c r="H863" s="6">
        <f>IF(F863="GO",Eingaben!$B$11,IF(F863="STANDARD",Eingaben!$B$12,IF(AND(F863="HEAT",ISNUMBER(Eingaben!$B$13)),Eingaben!$B$13,"")))</f>
        <v>28.2744</v>
      </c>
      <c r="I863" s="6">
        <f>INDEX(Netzzeiten!$C$6:$C$29,HOUR(B863)+1)</f>
        <v>5.48</v>
      </c>
      <c r="J863" t="str">
        <f>IF(C863="","FEHLT",IF(NOT(ISNUMBER(C863)),"MESSWERT UNGUELTIG",IF(C863&lt;0,"MESSWERT UNGUELTIG",IF(H863="","TARIFPREIS FEHLT","OK"))))</f>
        <v>FEHLT</v>
      </c>
      <c r="K863" s="7">
        <f>IF(J863&lt;&gt;"OK","",C863*I863/100)</f>
        <v/>
      </c>
    </row>
    <row r="864" spans="1:11">
      <c r="A864" s="14">
        <v>46151</v>
      </c>
      <c r="B864" s="15">
        <v>0.9375</v>
      </c>
      <c r="C864" s="5">
        <f>IF('96 Werte'!CN14="","",'96 Werte'!CN14)</f>
        <v/>
      </c>
      <c r="D864" t="str">
        <f>IF(IF(Eingaben!$B$21&lt;Eingaben!$B$22,AND(B864&gt;=Eingaben!$B$21,B864&lt;Eingaben!$B$22),OR(B864&gt;=Eingaben!$B$21,B864&lt;Eingaben!$B$22)),"GO",IF(AND(ISNUMBER(Eingaben!$B$23),ISNUMBER(Eingaben!$B$24),IF(Eingaben!$B$23&lt;Eingaben!$B$24,AND(B864&gt;=Eingaben!$B$23,B864&lt;Eingaben!$B$24),OR(B864&gt;=Eingaben!$B$23,B864&lt;Eingaben!$B$24))),"HEAT","STANDARD"))</f>
        <v>STANDARD</v>
      </c>
      <c r="E864" s="9"/>
      <c r="F864" t="str">
        <f>IF(E864="",D864,E864)</f>
        <v>STANDARD</v>
      </c>
      <c r="G864" t="str">
        <f>INDEX(Netzzeiten!$B$6:$B$29,HOUR(B864)+1)</f>
        <v>ST</v>
      </c>
      <c r="H864" s="6">
        <f>IF(F864="GO",Eingaben!$B$11,IF(F864="STANDARD",Eingaben!$B$12,IF(AND(F864="HEAT",ISNUMBER(Eingaben!$B$13)),Eingaben!$B$13,"")))</f>
        <v>28.2744</v>
      </c>
      <c r="I864" s="6">
        <f>INDEX(Netzzeiten!$C$6:$C$29,HOUR(B864)+1)</f>
        <v>5.48</v>
      </c>
      <c r="J864" t="str">
        <f>IF(C864="","FEHLT",IF(NOT(ISNUMBER(C864)),"MESSWERT UNGUELTIG",IF(C864&lt;0,"MESSWERT UNGUELTIG",IF(H864="","TARIFPREIS FEHLT","OK"))))</f>
        <v>FEHLT</v>
      </c>
      <c r="K864" s="7">
        <f>IF(J864&lt;&gt;"OK","",C864*I864/100)</f>
        <v/>
      </c>
    </row>
    <row r="865" spans="1:11">
      <c r="A865" s="14">
        <v>46151</v>
      </c>
      <c r="B865" s="15">
        <v>0.9479166666666666</v>
      </c>
      <c r="C865" s="5">
        <f>IF('96 Werte'!CO14="","",'96 Werte'!CO14)</f>
        <v/>
      </c>
      <c r="D865" t="str">
        <f>IF(IF(Eingaben!$B$21&lt;Eingaben!$B$22,AND(B865&gt;=Eingaben!$B$21,B865&lt;Eingaben!$B$22),OR(B865&gt;=Eingaben!$B$21,B865&lt;Eingaben!$B$22)),"GO",IF(AND(ISNUMBER(Eingaben!$B$23),ISNUMBER(Eingaben!$B$24),IF(Eingaben!$B$23&lt;Eingaben!$B$24,AND(B865&gt;=Eingaben!$B$23,B865&lt;Eingaben!$B$24),OR(B865&gt;=Eingaben!$B$23,B865&lt;Eingaben!$B$24))),"HEAT","STANDARD"))</f>
        <v>STANDARD</v>
      </c>
      <c r="E865" s="9"/>
      <c r="F865" t="str">
        <f>IF(E865="",D865,E865)</f>
        <v>STANDARD</v>
      </c>
      <c r="G865" t="str">
        <f>INDEX(Netzzeiten!$B$6:$B$29,HOUR(B865)+1)</f>
        <v>ST</v>
      </c>
      <c r="H865" s="6">
        <f>IF(F865="GO",Eingaben!$B$11,IF(F865="STANDARD",Eingaben!$B$12,IF(AND(F865="HEAT",ISNUMBER(Eingaben!$B$13)),Eingaben!$B$13,"")))</f>
        <v>28.2744</v>
      </c>
      <c r="I865" s="6">
        <f>INDEX(Netzzeiten!$C$6:$C$29,HOUR(B865)+1)</f>
        <v>5.48</v>
      </c>
      <c r="J865" t="str">
        <f>IF(C865="","FEHLT",IF(NOT(ISNUMBER(C865)),"MESSWERT UNGUELTIG",IF(C865&lt;0,"MESSWERT UNGUELTIG",IF(H865="","TARIFPREIS FEHLT","OK"))))</f>
        <v>FEHLT</v>
      </c>
      <c r="K865" s="7">
        <f>IF(J865&lt;&gt;"OK","",C865*I865/100)</f>
        <v/>
      </c>
    </row>
    <row r="866" spans="1:11">
      <c r="A866" s="14">
        <v>46151</v>
      </c>
      <c r="B866" s="15">
        <v>0.9583333333333334</v>
      </c>
      <c r="C866" s="5">
        <f>IF('96 Werte'!CP14="","",'96 Werte'!CP14)</f>
        <v/>
      </c>
      <c r="D866" t="str">
        <f>IF(IF(Eingaben!$B$21&lt;Eingaben!$B$22,AND(B866&gt;=Eingaben!$B$21,B866&lt;Eingaben!$B$22),OR(B866&gt;=Eingaben!$B$21,B866&lt;Eingaben!$B$22)),"GO",IF(AND(ISNUMBER(Eingaben!$B$23),ISNUMBER(Eingaben!$B$24),IF(Eingaben!$B$23&lt;Eingaben!$B$24,AND(B866&gt;=Eingaben!$B$23,B866&lt;Eingaben!$B$24),OR(B866&gt;=Eingaben!$B$23,B866&lt;Eingaben!$B$24))),"HEAT","STANDARD"))</f>
        <v>STANDARD</v>
      </c>
      <c r="E866" s="9"/>
      <c r="F866" t="str">
        <f>IF(E866="",D866,E866)</f>
        <v>STANDARD</v>
      </c>
      <c r="G866" t="str">
        <f>INDEX(Netzzeiten!$B$6:$B$29,HOUR(B866)+1)</f>
        <v>NT</v>
      </c>
      <c r="H866" s="6">
        <f>IF(F866="GO",Eingaben!$B$11,IF(F866="STANDARD",Eingaben!$B$12,IF(AND(F866="HEAT",ISNUMBER(Eingaben!$B$13)),Eingaben!$B$13,"")))</f>
        <v>28.2744</v>
      </c>
      <c r="I866" s="6">
        <f>INDEX(Netzzeiten!$C$6:$C$29,HOUR(B866)+1)</f>
        <v>1.64</v>
      </c>
      <c r="J866" t="str">
        <f>IF(C866="","FEHLT",IF(NOT(ISNUMBER(C866)),"MESSWERT UNGUELTIG",IF(C866&lt;0,"MESSWERT UNGUELTIG",IF(H866="","TARIFPREIS FEHLT","OK"))))</f>
        <v>FEHLT</v>
      </c>
      <c r="K866" s="7">
        <f>IF(J866&lt;&gt;"OK","",C866*I866/100)</f>
        <v/>
      </c>
    </row>
    <row r="867" spans="1:11">
      <c r="A867" s="14">
        <v>46151</v>
      </c>
      <c r="B867" s="15">
        <v>0.96875</v>
      </c>
      <c r="C867" s="5">
        <f>IF('96 Werte'!CQ14="","",'96 Werte'!CQ14)</f>
        <v/>
      </c>
      <c r="D867" t="str">
        <f>IF(IF(Eingaben!$B$21&lt;Eingaben!$B$22,AND(B867&gt;=Eingaben!$B$21,B867&lt;Eingaben!$B$22),OR(B867&gt;=Eingaben!$B$21,B867&lt;Eingaben!$B$22)),"GO",IF(AND(ISNUMBER(Eingaben!$B$23),ISNUMBER(Eingaben!$B$24),IF(Eingaben!$B$23&lt;Eingaben!$B$24,AND(B867&gt;=Eingaben!$B$23,B867&lt;Eingaben!$B$24),OR(B867&gt;=Eingaben!$B$23,B867&lt;Eingaben!$B$24))),"HEAT","STANDARD"))</f>
        <v>STANDARD</v>
      </c>
      <c r="E867" s="9"/>
      <c r="F867" t="str">
        <f>IF(E867="",D867,E867)</f>
        <v>STANDARD</v>
      </c>
      <c r="G867" t="str">
        <f>INDEX(Netzzeiten!$B$6:$B$29,HOUR(B867)+1)</f>
        <v>NT</v>
      </c>
      <c r="H867" s="6">
        <f>IF(F867="GO",Eingaben!$B$11,IF(F867="STANDARD",Eingaben!$B$12,IF(AND(F867="HEAT",ISNUMBER(Eingaben!$B$13)),Eingaben!$B$13,"")))</f>
        <v>28.2744</v>
      </c>
      <c r="I867" s="6">
        <f>INDEX(Netzzeiten!$C$6:$C$29,HOUR(B867)+1)</f>
        <v>1.64</v>
      </c>
      <c r="J867" t="str">
        <f>IF(C867="","FEHLT",IF(NOT(ISNUMBER(C867)),"MESSWERT UNGUELTIG",IF(C867&lt;0,"MESSWERT UNGUELTIG",IF(H867="","TARIFPREIS FEHLT","OK"))))</f>
        <v>FEHLT</v>
      </c>
      <c r="K867" s="7">
        <f>IF(J867&lt;&gt;"OK","",C867*I867/100)</f>
        <v/>
      </c>
    </row>
    <row r="868" spans="1:11">
      <c r="A868" s="14">
        <v>46151</v>
      </c>
      <c r="B868" s="15">
        <v>0.9791666666666666</v>
      </c>
      <c r="C868" s="5">
        <f>IF('96 Werte'!CR14="","",'96 Werte'!CR14)</f>
        <v/>
      </c>
      <c r="D868" t="str">
        <f>IF(IF(Eingaben!$B$21&lt;Eingaben!$B$22,AND(B868&gt;=Eingaben!$B$21,B868&lt;Eingaben!$B$22),OR(B868&gt;=Eingaben!$B$21,B868&lt;Eingaben!$B$22)),"GO",IF(AND(ISNUMBER(Eingaben!$B$23),ISNUMBER(Eingaben!$B$24),IF(Eingaben!$B$23&lt;Eingaben!$B$24,AND(B868&gt;=Eingaben!$B$23,B868&lt;Eingaben!$B$24),OR(B868&gt;=Eingaben!$B$23,B868&lt;Eingaben!$B$24))),"HEAT","STANDARD"))</f>
        <v>STANDARD</v>
      </c>
      <c r="E868" s="9"/>
      <c r="F868" t="str">
        <f>IF(E868="",D868,E868)</f>
        <v>STANDARD</v>
      </c>
      <c r="G868" t="str">
        <f>INDEX(Netzzeiten!$B$6:$B$29,HOUR(B868)+1)</f>
        <v>NT</v>
      </c>
      <c r="H868" s="6">
        <f>IF(F868="GO",Eingaben!$B$11,IF(F868="STANDARD",Eingaben!$B$12,IF(AND(F868="HEAT",ISNUMBER(Eingaben!$B$13)),Eingaben!$B$13,"")))</f>
        <v>28.2744</v>
      </c>
      <c r="I868" s="6">
        <f>INDEX(Netzzeiten!$C$6:$C$29,HOUR(B868)+1)</f>
        <v>1.64</v>
      </c>
      <c r="J868" t="str">
        <f>IF(C868="","FEHLT",IF(NOT(ISNUMBER(C868)),"MESSWERT UNGUELTIG",IF(C868&lt;0,"MESSWERT UNGUELTIG",IF(H868="","TARIFPREIS FEHLT","OK"))))</f>
        <v>FEHLT</v>
      </c>
      <c r="K868" s="7">
        <f>IF(J868&lt;&gt;"OK","",C868*I868/100)</f>
        <v/>
      </c>
    </row>
    <row r="869" spans="1:11">
      <c r="A869" s="14">
        <v>46151</v>
      </c>
      <c r="B869" s="15">
        <v>0.9895833333333334</v>
      </c>
      <c r="C869" s="5">
        <f>IF('96 Werte'!CS14="","",'96 Werte'!CS14)</f>
        <v/>
      </c>
      <c r="D869" t="str">
        <f>IF(IF(Eingaben!$B$21&lt;Eingaben!$B$22,AND(B869&gt;=Eingaben!$B$21,B869&lt;Eingaben!$B$22),OR(B869&gt;=Eingaben!$B$21,B869&lt;Eingaben!$B$22)),"GO",IF(AND(ISNUMBER(Eingaben!$B$23),ISNUMBER(Eingaben!$B$24),IF(Eingaben!$B$23&lt;Eingaben!$B$24,AND(B869&gt;=Eingaben!$B$23,B869&lt;Eingaben!$B$24),OR(B869&gt;=Eingaben!$B$23,B869&lt;Eingaben!$B$24))),"HEAT","STANDARD"))</f>
        <v>STANDARD</v>
      </c>
      <c r="E869" s="9"/>
      <c r="F869" t="str">
        <f>IF(E869="",D869,E869)</f>
        <v>STANDARD</v>
      </c>
      <c r="G869" t="str">
        <f>INDEX(Netzzeiten!$B$6:$B$29,HOUR(B869)+1)</f>
        <v>NT</v>
      </c>
      <c r="H869" s="6">
        <f>IF(F869="GO",Eingaben!$B$11,IF(F869="STANDARD",Eingaben!$B$12,IF(AND(F869="HEAT",ISNUMBER(Eingaben!$B$13)),Eingaben!$B$13,"")))</f>
        <v>28.2744</v>
      </c>
      <c r="I869" s="6">
        <f>INDEX(Netzzeiten!$C$6:$C$29,HOUR(B869)+1)</f>
        <v>1.64</v>
      </c>
      <c r="J869" t="str">
        <f>IF(C869="","FEHLT",IF(NOT(ISNUMBER(C869)),"MESSWERT UNGUELTIG",IF(C869&lt;0,"MESSWERT UNGUELTIG",IF(H869="","TARIFPREIS FEHLT","OK"))))</f>
        <v>FEHLT</v>
      </c>
      <c r="K869" s="7">
        <f>IF(J869&lt;&gt;"OK","",C869*I869/100)</f>
        <v/>
      </c>
    </row>
    <row r="870" spans="1:11">
      <c r="A870" s="14">
        <v>46152</v>
      </c>
      <c r="B870" s="15">
        <v>0</v>
      </c>
      <c r="C870" s="5">
        <f>IF('96 Werte'!B15="","",'96 Werte'!B15)</f>
        <v/>
      </c>
      <c r="D870" t="str">
        <f>IF(IF(Eingaben!$B$21&lt;Eingaben!$B$22,AND(B870&gt;=Eingaben!$B$21,B870&lt;Eingaben!$B$22),OR(B870&gt;=Eingaben!$B$21,B870&lt;Eingaben!$B$22)),"GO",IF(AND(ISNUMBER(Eingaben!$B$23),ISNUMBER(Eingaben!$B$24),IF(Eingaben!$B$23&lt;Eingaben!$B$24,AND(B870&gt;=Eingaben!$B$23,B870&lt;Eingaben!$B$24),OR(B870&gt;=Eingaben!$B$23,B870&lt;Eingaben!$B$24))),"HEAT","STANDARD"))</f>
        <v>GO</v>
      </c>
      <c r="E870" s="9"/>
      <c r="F870" t="str">
        <f>IF(E870="",D870,E870)</f>
        <v>GO</v>
      </c>
      <c r="G870" t="str">
        <f>INDEX(Netzzeiten!$B$6:$B$29,HOUR(B870)+1)</f>
        <v>NT</v>
      </c>
      <c r="H870" s="6">
        <f>IF(F870="GO",Eingaben!$B$11,IF(F870="STANDARD",Eingaben!$B$12,IF(AND(F870="HEAT",ISNUMBER(Eingaben!$B$13)),Eingaben!$B$13,"")))</f>
        <v>15.0654</v>
      </c>
      <c r="I870" s="6">
        <f>INDEX(Netzzeiten!$C$6:$C$29,HOUR(B870)+1)</f>
        <v>1.64</v>
      </c>
      <c r="J870" t="str">
        <f>IF(C870="","FEHLT",IF(NOT(ISNUMBER(C870)),"MESSWERT UNGUELTIG",IF(C870&lt;0,"MESSWERT UNGUELTIG",IF(H870="","TARIFPREIS FEHLT","OK"))))</f>
        <v>FEHLT</v>
      </c>
      <c r="K870" s="7">
        <f>IF(J870&lt;&gt;"OK","",C870*I870/100)</f>
        <v/>
      </c>
    </row>
    <row r="871" spans="1:11">
      <c r="A871" s="14">
        <v>46152</v>
      </c>
      <c r="B871" s="15">
        <v>0.01041666666666667</v>
      </c>
      <c r="C871" s="5">
        <f>IF('96 Werte'!C15="","",'96 Werte'!C15)</f>
        <v/>
      </c>
      <c r="D871" t="str">
        <f>IF(IF(Eingaben!$B$21&lt;Eingaben!$B$22,AND(B871&gt;=Eingaben!$B$21,B871&lt;Eingaben!$B$22),OR(B871&gt;=Eingaben!$B$21,B871&lt;Eingaben!$B$22)),"GO",IF(AND(ISNUMBER(Eingaben!$B$23),ISNUMBER(Eingaben!$B$24),IF(Eingaben!$B$23&lt;Eingaben!$B$24,AND(B871&gt;=Eingaben!$B$23,B871&lt;Eingaben!$B$24),OR(B871&gt;=Eingaben!$B$23,B871&lt;Eingaben!$B$24))),"HEAT","STANDARD"))</f>
        <v>GO</v>
      </c>
      <c r="E871" s="9"/>
      <c r="F871" t="str">
        <f>IF(E871="",D871,E871)</f>
        <v>GO</v>
      </c>
      <c r="G871" t="str">
        <f>INDEX(Netzzeiten!$B$6:$B$29,HOUR(B871)+1)</f>
        <v>NT</v>
      </c>
      <c r="H871" s="6">
        <f>IF(F871="GO",Eingaben!$B$11,IF(F871="STANDARD",Eingaben!$B$12,IF(AND(F871="HEAT",ISNUMBER(Eingaben!$B$13)),Eingaben!$B$13,"")))</f>
        <v>15.0654</v>
      </c>
      <c r="I871" s="6">
        <f>INDEX(Netzzeiten!$C$6:$C$29,HOUR(B871)+1)</f>
        <v>1.64</v>
      </c>
      <c r="J871" t="str">
        <f>IF(C871="","FEHLT",IF(NOT(ISNUMBER(C871)),"MESSWERT UNGUELTIG",IF(C871&lt;0,"MESSWERT UNGUELTIG",IF(H871="","TARIFPREIS FEHLT","OK"))))</f>
        <v>FEHLT</v>
      </c>
      <c r="K871" s="7">
        <f>IF(J871&lt;&gt;"OK","",C871*I871/100)</f>
        <v/>
      </c>
    </row>
    <row r="872" spans="1:11">
      <c r="A872" s="14">
        <v>46152</v>
      </c>
      <c r="B872" s="15">
        <v>0.02083333333333333</v>
      </c>
      <c r="C872" s="5">
        <f>IF('96 Werte'!D15="","",'96 Werte'!D15)</f>
        <v/>
      </c>
      <c r="D872" t="str">
        <f>IF(IF(Eingaben!$B$21&lt;Eingaben!$B$22,AND(B872&gt;=Eingaben!$B$21,B872&lt;Eingaben!$B$22),OR(B872&gt;=Eingaben!$B$21,B872&lt;Eingaben!$B$22)),"GO",IF(AND(ISNUMBER(Eingaben!$B$23),ISNUMBER(Eingaben!$B$24),IF(Eingaben!$B$23&lt;Eingaben!$B$24,AND(B872&gt;=Eingaben!$B$23,B872&lt;Eingaben!$B$24),OR(B872&gt;=Eingaben!$B$23,B872&lt;Eingaben!$B$24))),"HEAT","STANDARD"))</f>
        <v>GO</v>
      </c>
      <c r="E872" s="9"/>
      <c r="F872" t="str">
        <f>IF(E872="",D872,E872)</f>
        <v>GO</v>
      </c>
      <c r="G872" t="str">
        <f>INDEX(Netzzeiten!$B$6:$B$29,HOUR(B872)+1)</f>
        <v>NT</v>
      </c>
      <c r="H872" s="6">
        <f>IF(F872="GO",Eingaben!$B$11,IF(F872="STANDARD",Eingaben!$B$12,IF(AND(F872="HEAT",ISNUMBER(Eingaben!$B$13)),Eingaben!$B$13,"")))</f>
        <v>15.0654</v>
      </c>
      <c r="I872" s="6">
        <f>INDEX(Netzzeiten!$C$6:$C$29,HOUR(B872)+1)</f>
        <v>1.64</v>
      </c>
      <c r="J872" t="str">
        <f>IF(C872="","FEHLT",IF(NOT(ISNUMBER(C872)),"MESSWERT UNGUELTIG",IF(C872&lt;0,"MESSWERT UNGUELTIG",IF(H872="","TARIFPREIS FEHLT","OK"))))</f>
        <v>FEHLT</v>
      </c>
      <c r="K872" s="7">
        <f>IF(J872&lt;&gt;"OK","",C872*I872/100)</f>
        <v/>
      </c>
    </row>
    <row r="873" spans="1:11">
      <c r="A873" s="14">
        <v>46152</v>
      </c>
      <c r="B873" s="15">
        <v>0.03125</v>
      </c>
      <c r="C873" s="5">
        <f>IF('96 Werte'!E15="","",'96 Werte'!E15)</f>
        <v/>
      </c>
      <c r="D873" t="str">
        <f>IF(IF(Eingaben!$B$21&lt;Eingaben!$B$22,AND(B873&gt;=Eingaben!$B$21,B873&lt;Eingaben!$B$22),OR(B873&gt;=Eingaben!$B$21,B873&lt;Eingaben!$B$22)),"GO",IF(AND(ISNUMBER(Eingaben!$B$23),ISNUMBER(Eingaben!$B$24),IF(Eingaben!$B$23&lt;Eingaben!$B$24,AND(B873&gt;=Eingaben!$B$23,B873&lt;Eingaben!$B$24),OR(B873&gt;=Eingaben!$B$23,B873&lt;Eingaben!$B$24))),"HEAT","STANDARD"))</f>
        <v>GO</v>
      </c>
      <c r="E873" s="9"/>
      <c r="F873" t="str">
        <f>IF(E873="",D873,E873)</f>
        <v>GO</v>
      </c>
      <c r="G873" t="str">
        <f>INDEX(Netzzeiten!$B$6:$B$29,HOUR(B873)+1)</f>
        <v>NT</v>
      </c>
      <c r="H873" s="6">
        <f>IF(F873="GO",Eingaben!$B$11,IF(F873="STANDARD",Eingaben!$B$12,IF(AND(F873="HEAT",ISNUMBER(Eingaben!$B$13)),Eingaben!$B$13,"")))</f>
        <v>15.0654</v>
      </c>
      <c r="I873" s="6">
        <f>INDEX(Netzzeiten!$C$6:$C$29,HOUR(B873)+1)</f>
        <v>1.64</v>
      </c>
      <c r="J873" t="str">
        <f>IF(C873="","FEHLT",IF(NOT(ISNUMBER(C873)),"MESSWERT UNGUELTIG",IF(C873&lt;0,"MESSWERT UNGUELTIG",IF(H873="","TARIFPREIS FEHLT","OK"))))</f>
        <v>FEHLT</v>
      </c>
      <c r="K873" s="7">
        <f>IF(J873&lt;&gt;"OK","",C873*I873/100)</f>
        <v/>
      </c>
    </row>
    <row r="874" spans="1:11">
      <c r="A874" s="14">
        <v>46152</v>
      </c>
      <c r="B874" s="15">
        <v>0.04166666666666666</v>
      </c>
      <c r="C874" s="5">
        <f>IF('96 Werte'!F15="","",'96 Werte'!F15)</f>
        <v/>
      </c>
      <c r="D874" t="str">
        <f>IF(IF(Eingaben!$B$21&lt;Eingaben!$B$22,AND(B874&gt;=Eingaben!$B$21,B874&lt;Eingaben!$B$22),OR(B874&gt;=Eingaben!$B$21,B874&lt;Eingaben!$B$22)),"GO",IF(AND(ISNUMBER(Eingaben!$B$23),ISNUMBER(Eingaben!$B$24),IF(Eingaben!$B$23&lt;Eingaben!$B$24,AND(B874&gt;=Eingaben!$B$23,B874&lt;Eingaben!$B$24),OR(B874&gt;=Eingaben!$B$23,B874&lt;Eingaben!$B$24))),"HEAT","STANDARD"))</f>
        <v>GO</v>
      </c>
      <c r="E874" s="9"/>
      <c r="F874" t="str">
        <f>IF(E874="",D874,E874)</f>
        <v>GO</v>
      </c>
      <c r="G874" t="str">
        <f>INDEX(Netzzeiten!$B$6:$B$29,HOUR(B874)+1)</f>
        <v>NT</v>
      </c>
      <c r="H874" s="6">
        <f>IF(F874="GO",Eingaben!$B$11,IF(F874="STANDARD",Eingaben!$B$12,IF(AND(F874="HEAT",ISNUMBER(Eingaben!$B$13)),Eingaben!$B$13,"")))</f>
        <v>15.0654</v>
      </c>
      <c r="I874" s="6">
        <f>INDEX(Netzzeiten!$C$6:$C$29,HOUR(B874)+1)</f>
        <v>1.64</v>
      </c>
      <c r="J874" t="str">
        <f>IF(C874="","FEHLT",IF(NOT(ISNUMBER(C874)),"MESSWERT UNGUELTIG",IF(C874&lt;0,"MESSWERT UNGUELTIG",IF(H874="","TARIFPREIS FEHLT","OK"))))</f>
        <v>FEHLT</v>
      </c>
      <c r="K874" s="7">
        <f>IF(J874&lt;&gt;"OK","",C874*I874/100)</f>
        <v/>
      </c>
    </row>
    <row r="875" spans="1:11">
      <c r="A875" s="14">
        <v>46152</v>
      </c>
      <c r="B875" s="15">
        <v>0.05208333333333334</v>
      </c>
      <c r="C875" s="5">
        <f>IF('96 Werte'!G15="","",'96 Werte'!G15)</f>
        <v/>
      </c>
      <c r="D875" t="str">
        <f>IF(IF(Eingaben!$B$21&lt;Eingaben!$B$22,AND(B875&gt;=Eingaben!$B$21,B875&lt;Eingaben!$B$22),OR(B875&gt;=Eingaben!$B$21,B875&lt;Eingaben!$B$22)),"GO",IF(AND(ISNUMBER(Eingaben!$B$23),ISNUMBER(Eingaben!$B$24),IF(Eingaben!$B$23&lt;Eingaben!$B$24,AND(B875&gt;=Eingaben!$B$23,B875&lt;Eingaben!$B$24),OR(B875&gt;=Eingaben!$B$23,B875&lt;Eingaben!$B$24))),"HEAT","STANDARD"))</f>
        <v>GO</v>
      </c>
      <c r="E875" s="9"/>
      <c r="F875" t="str">
        <f>IF(E875="",D875,E875)</f>
        <v>GO</v>
      </c>
      <c r="G875" t="str">
        <f>INDEX(Netzzeiten!$B$6:$B$29,HOUR(B875)+1)</f>
        <v>NT</v>
      </c>
      <c r="H875" s="6">
        <f>IF(F875="GO",Eingaben!$B$11,IF(F875="STANDARD",Eingaben!$B$12,IF(AND(F875="HEAT",ISNUMBER(Eingaben!$B$13)),Eingaben!$B$13,"")))</f>
        <v>15.0654</v>
      </c>
      <c r="I875" s="6">
        <f>INDEX(Netzzeiten!$C$6:$C$29,HOUR(B875)+1)</f>
        <v>1.64</v>
      </c>
      <c r="J875" t="str">
        <f>IF(C875="","FEHLT",IF(NOT(ISNUMBER(C875)),"MESSWERT UNGUELTIG",IF(C875&lt;0,"MESSWERT UNGUELTIG",IF(H875="","TARIFPREIS FEHLT","OK"))))</f>
        <v>FEHLT</v>
      </c>
      <c r="K875" s="7">
        <f>IF(J875&lt;&gt;"OK","",C875*I875/100)</f>
        <v/>
      </c>
    </row>
    <row r="876" spans="1:11">
      <c r="A876" s="14">
        <v>46152</v>
      </c>
      <c r="B876" s="15">
        <v>0.0625</v>
      </c>
      <c r="C876" s="5">
        <f>IF('96 Werte'!H15="","",'96 Werte'!H15)</f>
        <v/>
      </c>
      <c r="D876" t="str">
        <f>IF(IF(Eingaben!$B$21&lt;Eingaben!$B$22,AND(B876&gt;=Eingaben!$B$21,B876&lt;Eingaben!$B$22),OR(B876&gt;=Eingaben!$B$21,B876&lt;Eingaben!$B$22)),"GO",IF(AND(ISNUMBER(Eingaben!$B$23),ISNUMBER(Eingaben!$B$24),IF(Eingaben!$B$23&lt;Eingaben!$B$24,AND(B876&gt;=Eingaben!$B$23,B876&lt;Eingaben!$B$24),OR(B876&gt;=Eingaben!$B$23,B876&lt;Eingaben!$B$24))),"HEAT","STANDARD"))</f>
        <v>GO</v>
      </c>
      <c r="E876" s="9"/>
      <c r="F876" t="str">
        <f>IF(E876="",D876,E876)</f>
        <v>GO</v>
      </c>
      <c r="G876" t="str">
        <f>INDEX(Netzzeiten!$B$6:$B$29,HOUR(B876)+1)</f>
        <v>NT</v>
      </c>
      <c r="H876" s="6">
        <f>IF(F876="GO",Eingaben!$B$11,IF(F876="STANDARD",Eingaben!$B$12,IF(AND(F876="HEAT",ISNUMBER(Eingaben!$B$13)),Eingaben!$B$13,"")))</f>
        <v>15.0654</v>
      </c>
      <c r="I876" s="6">
        <f>INDEX(Netzzeiten!$C$6:$C$29,HOUR(B876)+1)</f>
        <v>1.64</v>
      </c>
      <c r="J876" t="str">
        <f>IF(C876="","FEHLT",IF(NOT(ISNUMBER(C876)),"MESSWERT UNGUELTIG",IF(C876&lt;0,"MESSWERT UNGUELTIG",IF(H876="","TARIFPREIS FEHLT","OK"))))</f>
        <v>FEHLT</v>
      </c>
      <c r="K876" s="7">
        <f>IF(J876&lt;&gt;"OK","",C876*I876/100)</f>
        <v/>
      </c>
    </row>
    <row r="877" spans="1:11">
      <c r="A877" s="14">
        <v>46152</v>
      </c>
      <c r="B877" s="15">
        <v>0.07291666666666667</v>
      </c>
      <c r="C877" s="5">
        <f>IF('96 Werte'!I15="","",'96 Werte'!I15)</f>
        <v/>
      </c>
      <c r="D877" t="str">
        <f>IF(IF(Eingaben!$B$21&lt;Eingaben!$B$22,AND(B877&gt;=Eingaben!$B$21,B877&lt;Eingaben!$B$22),OR(B877&gt;=Eingaben!$B$21,B877&lt;Eingaben!$B$22)),"GO",IF(AND(ISNUMBER(Eingaben!$B$23),ISNUMBER(Eingaben!$B$24),IF(Eingaben!$B$23&lt;Eingaben!$B$24,AND(B877&gt;=Eingaben!$B$23,B877&lt;Eingaben!$B$24),OR(B877&gt;=Eingaben!$B$23,B877&lt;Eingaben!$B$24))),"HEAT","STANDARD"))</f>
        <v>GO</v>
      </c>
      <c r="E877" s="9"/>
      <c r="F877" t="str">
        <f>IF(E877="",D877,E877)</f>
        <v>GO</v>
      </c>
      <c r="G877" t="str">
        <f>INDEX(Netzzeiten!$B$6:$B$29,HOUR(B877)+1)</f>
        <v>NT</v>
      </c>
      <c r="H877" s="6">
        <f>IF(F877="GO",Eingaben!$B$11,IF(F877="STANDARD",Eingaben!$B$12,IF(AND(F877="HEAT",ISNUMBER(Eingaben!$B$13)),Eingaben!$B$13,"")))</f>
        <v>15.0654</v>
      </c>
      <c r="I877" s="6">
        <f>INDEX(Netzzeiten!$C$6:$C$29,HOUR(B877)+1)</f>
        <v>1.64</v>
      </c>
      <c r="J877" t="str">
        <f>IF(C877="","FEHLT",IF(NOT(ISNUMBER(C877)),"MESSWERT UNGUELTIG",IF(C877&lt;0,"MESSWERT UNGUELTIG",IF(H877="","TARIFPREIS FEHLT","OK"))))</f>
        <v>FEHLT</v>
      </c>
      <c r="K877" s="7">
        <f>IF(J877&lt;&gt;"OK","",C877*I877/100)</f>
        <v/>
      </c>
    </row>
    <row r="878" spans="1:11">
      <c r="A878" s="14">
        <v>46152</v>
      </c>
      <c r="B878" s="15">
        <v>0.08333333333333333</v>
      </c>
      <c r="C878" s="5">
        <f>IF('96 Werte'!J15="","",'96 Werte'!J15)</f>
        <v/>
      </c>
      <c r="D878" t="str">
        <f>IF(IF(Eingaben!$B$21&lt;Eingaben!$B$22,AND(B878&gt;=Eingaben!$B$21,B878&lt;Eingaben!$B$22),OR(B878&gt;=Eingaben!$B$21,B878&lt;Eingaben!$B$22)),"GO",IF(AND(ISNUMBER(Eingaben!$B$23),ISNUMBER(Eingaben!$B$24),IF(Eingaben!$B$23&lt;Eingaben!$B$24,AND(B878&gt;=Eingaben!$B$23,B878&lt;Eingaben!$B$24),OR(B878&gt;=Eingaben!$B$23,B878&lt;Eingaben!$B$24))),"HEAT","STANDARD"))</f>
        <v>GO</v>
      </c>
      <c r="E878" s="9"/>
      <c r="F878" t="str">
        <f>IF(E878="",D878,E878)</f>
        <v>GO</v>
      </c>
      <c r="G878" t="str">
        <f>INDEX(Netzzeiten!$B$6:$B$29,HOUR(B878)+1)</f>
        <v>NT</v>
      </c>
      <c r="H878" s="6">
        <f>IF(F878="GO",Eingaben!$B$11,IF(F878="STANDARD",Eingaben!$B$12,IF(AND(F878="HEAT",ISNUMBER(Eingaben!$B$13)),Eingaben!$B$13,"")))</f>
        <v>15.0654</v>
      </c>
      <c r="I878" s="6">
        <f>INDEX(Netzzeiten!$C$6:$C$29,HOUR(B878)+1)</f>
        <v>1.64</v>
      </c>
      <c r="J878" t="str">
        <f>IF(C878="","FEHLT",IF(NOT(ISNUMBER(C878)),"MESSWERT UNGUELTIG",IF(C878&lt;0,"MESSWERT UNGUELTIG",IF(H878="","TARIFPREIS FEHLT","OK"))))</f>
        <v>FEHLT</v>
      </c>
      <c r="K878" s="7">
        <f>IF(J878&lt;&gt;"OK","",C878*I878/100)</f>
        <v/>
      </c>
    </row>
    <row r="879" spans="1:11">
      <c r="A879" s="14">
        <v>46152</v>
      </c>
      <c r="B879" s="15">
        <v>0.09375</v>
      </c>
      <c r="C879" s="5">
        <f>IF('96 Werte'!K15="","",'96 Werte'!K15)</f>
        <v/>
      </c>
      <c r="D879" t="str">
        <f>IF(IF(Eingaben!$B$21&lt;Eingaben!$B$22,AND(B879&gt;=Eingaben!$B$21,B879&lt;Eingaben!$B$22),OR(B879&gt;=Eingaben!$B$21,B879&lt;Eingaben!$B$22)),"GO",IF(AND(ISNUMBER(Eingaben!$B$23),ISNUMBER(Eingaben!$B$24),IF(Eingaben!$B$23&lt;Eingaben!$B$24,AND(B879&gt;=Eingaben!$B$23,B879&lt;Eingaben!$B$24),OR(B879&gt;=Eingaben!$B$23,B879&lt;Eingaben!$B$24))),"HEAT","STANDARD"))</f>
        <v>GO</v>
      </c>
      <c r="E879" s="9"/>
      <c r="F879" t="str">
        <f>IF(E879="",D879,E879)</f>
        <v>GO</v>
      </c>
      <c r="G879" t="str">
        <f>INDEX(Netzzeiten!$B$6:$B$29,HOUR(B879)+1)</f>
        <v>NT</v>
      </c>
      <c r="H879" s="6">
        <f>IF(F879="GO",Eingaben!$B$11,IF(F879="STANDARD",Eingaben!$B$12,IF(AND(F879="HEAT",ISNUMBER(Eingaben!$B$13)),Eingaben!$B$13,"")))</f>
        <v>15.0654</v>
      </c>
      <c r="I879" s="6">
        <f>INDEX(Netzzeiten!$C$6:$C$29,HOUR(B879)+1)</f>
        <v>1.64</v>
      </c>
      <c r="J879" t="str">
        <f>IF(C879="","FEHLT",IF(NOT(ISNUMBER(C879)),"MESSWERT UNGUELTIG",IF(C879&lt;0,"MESSWERT UNGUELTIG",IF(H879="","TARIFPREIS FEHLT","OK"))))</f>
        <v>FEHLT</v>
      </c>
      <c r="K879" s="7">
        <f>IF(J879&lt;&gt;"OK","",C879*I879/100)</f>
        <v/>
      </c>
    </row>
    <row r="880" spans="1:11">
      <c r="A880" s="14">
        <v>46152</v>
      </c>
      <c r="B880" s="15">
        <v>0.1041666666666667</v>
      </c>
      <c r="C880" s="5">
        <f>IF('96 Werte'!L15="","",'96 Werte'!L15)</f>
        <v/>
      </c>
      <c r="D880" t="str">
        <f>IF(IF(Eingaben!$B$21&lt;Eingaben!$B$22,AND(B880&gt;=Eingaben!$B$21,B880&lt;Eingaben!$B$22),OR(B880&gt;=Eingaben!$B$21,B880&lt;Eingaben!$B$22)),"GO",IF(AND(ISNUMBER(Eingaben!$B$23),ISNUMBER(Eingaben!$B$24),IF(Eingaben!$B$23&lt;Eingaben!$B$24,AND(B880&gt;=Eingaben!$B$23,B880&lt;Eingaben!$B$24),OR(B880&gt;=Eingaben!$B$23,B880&lt;Eingaben!$B$24))),"HEAT","STANDARD"))</f>
        <v>GO</v>
      </c>
      <c r="E880" s="9"/>
      <c r="F880" t="str">
        <f>IF(E880="",D880,E880)</f>
        <v>GO</v>
      </c>
      <c r="G880" t="str">
        <f>INDEX(Netzzeiten!$B$6:$B$29,HOUR(B880)+1)</f>
        <v>NT</v>
      </c>
      <c r="H880" s="6">
        <f>IF(F880="GO",Eingaben!$B$11,IF(F880="STANDARD",Eingaben!$B$12,IF(AND(F880="HEAT",ISNUMBER(Eingaben!$B$13)),Eingaben!$B$13,"")))</f>
        <v>15.0654</v>
      </c>
      <c r="I880" s="6">
        <f>INDEX(Netzzeiten!$C$6:$C$29,HOUR(B880)+1)</f>
        <v>1.64</v>
      </c>
      <c r="J880" t="str">
        <f>IF(C880="","FEHLT",IF(NOT(ISNUMBER(C880)),"MESSWERT UNGUELTIG",IF(C880&lt;0,"MESSWERT UNGUELTIG",IF(H880="","TARIFPREIS FEHLT","OK"))))</f>
        <v>FEHLT</v>
      </c>
      <c r="K880" s="7">
        <f>IF(J880&lt;&gt;"OK","",C880*I880/100)</f>
        <v/>
      </c>
    </row>
    <row r="881" spans="1:11">
      <c r="A881" s="14">
        <v>46152</v>
      </c>
      <c r="B881" s="15">
        <v>0.1145833333333333</v>
      </c>
      <c r="C881" s="5">
        <f>IF('96 Werte'!M15="","",'96 Werte'!M15)</f>
        <v/>
      </c>
      <c r="D881" t="str">
        <f>IF(IF(Eingaben!$B$21&lt;Eingaben!$B$22,AND(B881&gt;=Eingaben!$B$21,B881&lt;Eingaben!$B$22),OR(B881&gt;=Eingaben!$B$21,B881&lt;Eingaben!$B$22)),"GO",IF(AND(ISNUMBER(Eingaben!$B$23),ISNUMBER(Eingaben!$B$24),IF(Eingaben!$B$23&lt;Eingaben!$B$24,AND(B881&gt;=Eingaben!$B$23,B881&lt;Eingaben!$B$24),OR(B881&gt;=Eingaben!$B$23,B881&lt;Eingaben!$B$24))),"HEAT","STANDARD"))</f>
        <v>GO</v>
      </c>
      <c r="E881" s="9"/>
      <c r="F881" t="str">
        <f>IF(E881="",D881,E881)</f>
        <v>GO</v>
      </c>
      <c r="G881" t="str">
        <f>INDEX(Netzzeiten!$B$6:$B$29,HOUR(B881)+1)</f>
        <v>NT</v>
      </c>
      <c r="H881" s="6">
        <f>IF(F881="GO",Eingaben!$B$11,IF(F881="STANDARD",Eingaben!$B$12,IF(AND(F881="HEAT",ISNUMBER(Eingaben!$B$13)),Eingaben!$B$13,"")))</f>
        <v>15.0654</v>
      </c>
      <c r="I881" s="6">
        <f>INDEX(Netzzeiten!$C$6:$C$29,HOUR(B881)+1)</f>
        <v>1.64</v>
      </c>
      <c r="J881" t="str">
        <f>IF(C881="","FEHLT",IF(NOT(ISNUMBER(C881)),"MESSWERT UNGUELTIG",IF(C881&lt;0,"MESSWERT UNGUELTIG",IF(H881="","TARIFPREIS FEHLT","OK"))))</f>
        <v>FEHLT</v>
      </c>
      <c r="K881" s="7">
        <f>IF(J881&lt;&gt;"OK","",C881*I881/100)</f>
        <v/>
      </c>
    </row>
    <row r="882" spans="1:11">
      <c r="A882" s="14">
        <v>46152</v>
      </c>
      <c r="B882" s="15">
        <v>0.125</v>
      </c>
      <c r="C882" s="5">
        <f>IF('96 Werte'!N15="","",'96 Werte'!N15)</f>
        <v/>
      </c>
      <c r="D882" t="str">
        <f>IF(IF(Eingaben!$B$21&lt;Eingaben!$B$22,AND(B882&gt;=Eingaben!$B$21,B882&lt;Eingaben!$B$22),OR(B882&gt;=Eingaben!$B$21,B882&lt;Eingaben!$B$22)),"GO",IF(AND(ISNUMBER(Eingaben!$B$23),ISNUMBER(Eingaben!$B$24),IF(Eingaben!$B$23&lt;Eingaben!$B$24,AND(B882&gt;=Eingaben!$B$23,B882&lt;Eingaben!$B$24),OR(B882&gt;=Eingaben!$B$23,B882&lt;Eingaben!$B$24))),"HEAT","STANDARD"))</f>
        <v>GO</v>
      </c>
      <c r="E882" s="9"/>
      <c r="F882" t="str">
        <f>IF(E882="",D882,E882)</f>
        <v>GO</v>
      </c>
      <c r="G882" t="str">
        <f>INDEX(Netzzeiten!$B$6:$B$29,HOUR(B882)+1)</f>
        <v>NT</v>
      </c>
      <c r="H882" s="6">
        <f>IF(F882="GO",Eingaben!$B$11,IF(F882="STANDARD",Eingaben!$B$12,IF(AND(F882="HEAT",ISNUMBER(Eingaben!$B$13)),Eingaben!$B$13,"")))</f>
        <v>15.0654</v>
      </c>
      <c r="I882" s="6">
        <f>INDEX(Netzzeiten!$C$6:$C$29,HOUR(B882)+1)</f>
        <v>1.64</v>
      </c>
      <c r="J882" t="str">
        <f>IF(C882="","FEHLT",IF(NOT(ISNUMBER(C882)),"MESSWERT UNGUELTIG",IF(C882&lt;0,"MESSWERT UNGUELTIG",IF(H882="","TARIFPREIS FEHLT","OK"))))</f>
        <v>FEHLT</v>
      </c>
      <c r="K882" s="7">
        <f>IF(J882&lt;&gt;"OK","",C882*I882/100)</f>
        <v/>
      </c>
    </row>
    <row r="883" spans="1:11">
      <c r="A883" s="14">
        <v>46152</v>
      </c>
      <c r="B883" s="15">
        <v>0.1354166666666667</v>
      </c>
      <c r="C883" s="5">
        <f>IF('96 Werte'!O15="","",'96 Werte'!O15)</f>
        <v/>
      </c>
      <c r="D883" t="str">
        <f>IF(IF(Eingaben!$B$21&lt;Eingaben!$B$22,AND(B883&gt;=Eingaben!$B$21,B883&lt;Eingaben!$B$22),OR(B883&gt;=Eingaben!$B$21,B883&lt;Eingaben!$B$22)),"GO",IF(AND(ISNUMBER(Eingaben!$B$23),ISNUMBER(Eingaben!$B$24),IF(Eingaben!$B$23&lt;Eingaben!$B$24,AND(B883&gt;=Eingaben!$B$23,B883&lt;Eingaben!$B$24),OR(B883&gt;=Eingaben!$B$23,B883&lt;Eingaben!$B$24))),"HEAT","STANDARD"))</f>
        <v>GO</v>
      </c>
      <c r="E883" s="9"/>
      <c r="F883" t="str">
        <f>IF(E883="",D883,E883)</f>
        <v>GO</v>
      </c>
      <c r="G883" t="str">
        <f>INDEX(Netzzeiten!$B$6:$B$29,HOUR(B883)+1)</f>
        <v>NT</v>
      </c>
      <c r="H883" s="6">
        <f>IF(F883="GO",Eingaben!$B$11,IF(F883="STANDARD",Eingaben!$B$12,IF(AND(F883="HEAT",ISNUMBER(Eingaben!$B$13)),Eingaben!$B$13,"")))</f>
        <v>15.0654</v>
      </c>
      <c r="I883" s="6">
        <f>INDEX(Netzzeiten!$C$6:$C$29,HOUR(B883)+1)</f>
        <v>1.64</v>
      </c>
      <c r="J883" t="str">
        <f>IF(C883="","FEHLT",IF(NOT(ISNUMBER(C883)),"MESSWERT UNGUELTIG",IF(C883&lt;0,"MESSWERT UNGUELTIG",IF(H883="","TARIFPREIS FEHLT","OK"))))</f>
        <v>FEHLT</v>
      </c>
      <c r="K883" s="7">
        <f>IF(J883&lt;&gt;"OK","",C883*I883/100)</f>
        <v/>
      </c>
    </row>
    <row r="884" spans="1:11">
      <c r="A884" s="14">
        <v>46152</v>
      </c>
      <c r="B884" s="15">
        <v>0.1458333333333333</v>
      </c>
      <c r="C884" s="5">
        <f>IF('96 Werte'!P15="","",'96 Werte'!P15)</f>
        <v/>
      </c>
      <c r="D884" t="str">
        <f>IF(IF(Eingaben!$B$21&lt;Eingaben!$B$22,AND(B884&gt;=Eingaben!$B$21,B884&lt;Eingaben!$B$22),OR(B884&gt;=Eingaben!$B$21,B884&lt;Eingaben!$B$22)),"GO",IF(AND(ISNUMBER(Eingaben!$B$23),ISNUMBER(Eingaben!$B$24),IF(Eingaben!$B$23&lt;Eingaben!$B$24,AND(B884&gt;=Eingaben!$B$23,B884&lt;Eingaben!$B$24),OR(B884&gt;=Eingaben!$B$23,B884&lt;Eingaben!$B$24))),"HEAT","STANDARD"))</f>
        <v>GO</v>
      </c>
      <c r="E884" s="9"/>
      <c r="F884" t="str">
        <f>IF(E884="",D884,E884)</f>
        <v>GO</v>
      </c>
      <c r="G884" t="str">
        <f>INDEX(Netzzeiten!$B$6:$B$29,HOUR(B884)+1)</f>
        <v>NT</v>
      </c>
      <c r="H884" s="6">
        <f>IF(F884="GO",Eingaben!$B$11,IF(F884="STANDARD",Eingaben!$B$12,IF(AND(F884="HEAT",ISNUMBER(Eingaben!$B$13)),Eingaben!$B$13,"")))</f>
        <v>15.0654</v>
      </c>
      <c r="I884" s="6">
        <f>INDEX(Netzzeiten!$C$6:$C$29,HOUR(B884)+1)</f>
        <v>1.64</v>
      </c>
      <c r="J884" t="str">
        <f>IF(C884="","FEHLT",IF(NOT(ISNUMBER(C884)),"MESSWERT UNGUELTIG",IF(C884&lt;0,"MESSWERT UNGUELTIG",IF(H884="","TARIFPREIS FEHLT","OK"))))</f>
        <v>FEHLT</v>
      </c>
      <c r="K884" s="7">
        <f>IF(J884&lt;&gt;"OK","",C884*I884/100)</f>
        <v/>
      </c>
    </row>
    <row r="885" spans="1:11">
      <c r="A885" s="14">
        <v>46152</v>
      </c>
      <c r="B885" s="15">
        <v>0.15625</v>
      </c>
      <c r="C885" s="5">
        <f>IF('96 Werte'!Q15="","",'96 Werte'!Q15)</f>
        <v/>
      </c>
      <c r="D885" t="str">
        <f>IF(IF(Eingaben!$B$21&lt;Eingaben!$B$22,AND(B885&gt;=Eingaben!$B$21,B885&lt;Eingaben!$B$22),OR(B885&gt;=Eingaben!$B$21,B885&lt;Eingaben!$B$22)),"GO",IF(AND(ISNUMBER(Eingaben!$B$23),ISNUMBER(Eingaben!$B$24),IF(Eingaben!$B$23&lt;Eingaben!$B$24,AND(B885&gt;=Eingaben!$B$23,B885&lt;Eingaben!$B$24),OR(B885&gt;=Eingaben!$B$23,B885&lt;Eingaben!$B$24))),"HEAT","STANDARD"))</f>
        <v>GO</v>
      </c>
      <c r="E885" s="9"/>
      <c r="F885" t="str">
        <f>IF(E885="",D885,E885)</f>
        <v>GO</v>
      </c>
      <c r="G885" t="str">
        <f>INDEX(Netzzeiten!$B$6:$B$29,HOUR(B885)+1)</f>
        <v>NT</v>
      </c>
      <c r="H885" s="6">
        <f>IF(F885="GO",Eingaben!$B$11,IF(F885="STANDARD",Eingaben!$B$12,IF(AND(F885="HEAT",ISNUMBER(Eingaben!$B$13)),Eingaben!$B$13,"")))</f>
        <v>15.0654</v>
      </c>
      <c r="I885" s="6">
        <f>INDEX(Netzzeiten!$C$6:$C$29,HOUR(B885)+1)</f>
        <v>1.64</v>
      </c>
      <c r="J885" t="str">
        <f>IF(C885="","FEHLT",IF(NOT(ISNUMBER(C885)),"MESSWERT UNGUELTIG",IF(C885&lt;0,"MESSWERT UNGUELTIG",IF(H885="","TARIFPREIS FEHLT","OK"))))</f>
        <v>FEHLT</v>
      </c>
      <c r="K885" s="7">
        <f>IF(J885&lt;&gt;"OK","",C885*I885/100)</f>
        <v/>
      </c>
    </row>
    <row r="886" spans="1:11">
      <c r="A886" s="14">
        <v>46152</v>
      </c>
      <c r="B886" s="15">
        <v>0.1666666666666667</v>
      </c>
      <c r="C886" s="5">
        <f>IF('96 Werte'!R15="","",'96 Werte'!R15)</f>
        <v/>
      </c>
      <c r="D886" t="str">
        <f>IF(IF(Eingaben!$B$21&lt;Eingaben!$B$22,AND(B886&gt;=Eingaben!$B$21,B886&lt;Eingaben!$B$22),OR(B886&gt;=Eingaben!$B$21,B886&lt;Eingaben!$B$22)),"GO",IF(AND(ISNUMBER(Eingaben!$B$23),ISNUMBER(Eingaben!$B$24),IF(Eingaben!$B$23&lt;Eingaben!$B$24,AND(B886&gt;=Eingaben!$B$23,B886&lt;Eingaben!$B$24),OR(B886&gt;=Eingaben!$B$23,B886&lt;Eingaben!$B$24))),"HEAT","STANDARD"))</f>
        <v>GO</v>
      </c>
      <c r="E886" s="9"/>
      <c r="F886" t="str">
        <f>IF(E886="",D886,E886)</f>
        <v>GO</v>
      </c>
      <c r="G886" t="str">
        <f>INDEX(Netzzeiten!$B$6:$B$29,HOUR(B886)+1)</f>
        <v>NT</v>
      </c>
      <c r="H886" s="6">
        <f>IF(F886="GO",Eingaben!$B$11,IF(F886="STANDARD",Eingaben!$B$12,IF(AND(F886="HEAT",ISNUMBER(Eingaben!$B$13)),Eingaben!$B$13,"")))</f>
        <v>15.0654</v>
      </c>
      <c r="I886" s="6">
        <f>INDEX(Netzzeiten!$C$6:$C$29,HOUR(B886)+1)</f>
        <v>1.64</v>
      </c>
      <c r="J886" t="str">
        <f>IF(C886="","FEHLT",IF(NOT(ISNUMBER(C886)),"MESSWERT UNGUELTIG",IF(C886&lt;0,"MESSWERT UNGUELTIG",IF(H886="","TARIFPREIS FEHLT","OK"))))</f>
        <v>FEHLT</v>
      </c>
      <c r="K886" s="7">
        <f>IF(J886&lt;&gt;"OK","",C886*I886/100)</f>
        <v/>
      </c>
    </row>
    <row r="887" spans="1:11">
      <c r="A887" s="14">
        <v>46152</v>
      </c>
      <c r="B887" s="15">
        <v>0.1770833333333333</v>
      </c>
      <c r="C887" s="5">
        <f>IF('96 Werte'!S15="","",'96 Werte'!S15)</f>
        <v/>
      </c>
      <c r="D887" t="str">
        <f>IF(IF(Eingaben!$B$21&lt;Eingaben!$B$22,AND(B887&gt;=Eingaben!$B$21,B887&lt;Eingaben!$B$22),OR(B887&gt;=Eingaben!$B$21,B887&lt;Eingaben!$B$22)),"GO",IF(AND(ISNUMBER(Eingaben!$B$23),ISNUMBER(Eingaben!$B$24),IF(Eingaben!$B$23&lt;Eingaben!$B$24,AND(B887&gt;=Eingaben!$B$23,B887&lt;Eingaben!$B$24),OR(B887&gt;=Eingaben!$B$23,B887&lt;Eingaben!$B$24))),"HEAT","STANDARD"))</f>
        <v>GO</v>
      </c>
      <c r="E887" s="9"/>
      <c r="F887" t="str">
        <f>IF(E887="",D887,E887)</f>
        <v>GO</v>
      </c>
      <c r="G887" t="str">
        <f>INDEX(Netzzeiten!$B$6:$B$29,HOUR(B887)+1)</f>
        <v>NT</v>
      </c>
      <c r="H887" s="6">
        <f>IF(F887="GO",Eingaben!$B$11,IF(F887="STANDARD",Eingaben!$B$12,IF(AND(F887="HEAT",ISNUMBER(Eingaben!$B$13)),Eingaben!$B$13,"")))</f>
        <v>15.0654</v>
      </c>
      <c r="I887" s="6">
        <f>INDEX(Netzzeiten!$C$6:$C$29,HOUR(B887)+1)</f>
        <v>1.64</v>
      </c>
      <c r="J887" t="str">
        <f>IF(C887="","FEHLT",IF(NOT(ISNUMBER(C887)),"MESSWERT UNGUELTIG",IF(C887&lt;0,"MESSWERT UNGUELTIG",IF(H887="","TARIFPREIS FEHLT","OK"))))</f>
        <v>FEHLT</v>
      </c>
      <c r="K887" s="7">
        <f>IF(J887&lt;&gt;"OK","",C887*I887/100)</f>
        <v/>
      </c>
    </row>
    <row r="888" spans="1:11">
      <c r="A888" s="14">
        <v>46152</v>
      </c>
      <c r="B888" s="15">
        <v>0.1875</v>
      </c>
      <c r="C888" s="5">
        <f>IF('96 Werte'!T15="","",'96 Werte'!T15)</f>
        <v/>
      </c>
      <c r="D888" t="str">
        <f>IF(IF(Eingaben!$B$21&lt;Eingaben!$B$22,AND(B888&gt;=Eingaben!$B$21,B888&lt;Eingaben!$B$22),OR(B888&gt;=Eingaben!$B$21,B888&lt;Eingaben!$B$22)),"GO",IF(AND(ISNUMBER(Eingaben!$B$23),ISNUMBER(Eingaben!$B$24),IF(Eingaben!$B$23&lt;Eingaben!$B$24,AND(B888&gt;=Eingaben!$B$23,B888&lt;Eingaben!$B$24),OR(B888&gt;=Eingaben!$B$23,B888&lt;Eingaben!$B$24))),"HEAT","STANDARD"))</f>
        <v>GO</v>
      </c>
      <c r="E888" s="9"/>
      <c r="F888" t="str">
        <f>IF(E888="",D888,E888)</f>
        <v>GO</v>
      </c>
      <c r="G888" t="str">
        <f>INDEX(Netzzeiten!$B$6:$B$29,HOUR(B888)+1)</f>
        <v>NT</v>
      </c>
      <c r="H888" s="6">
        <f>IF(F888="GO",Eingaben!$B$11,IF(F888="STANDARD",Eingaben!$B$12,IF(AND(F888="HEAT",ISNUMBER(Eingaben!$B$13)),Eingaben!$B$13,"")))</f>
        <v>15.0654</v>
      </c>
      <c r="I888" s="6">
        <f>INDEX(Netzzeiten!$C$6:$C$29,HOUR(B888)+1)</f>
        <v>1.64</v>
      </c>
      <c r="J888" t="str">
        <f>IF(C888="","FEHLT",IF(NOT(ISNUMBER(C888)),"MESSWERT UNGUELTIG",IF(C888&lt;0,"MESSWERT UNGUELTIG",IF(H888="","TARIFPREIS FEHLT","OK"))))</f>
        <v>FEHLT</v>
      </c>
      <c r="K888" s="7">
        <f>IF(J888&lt;&gt;"OK","",C888*I888/100)</f>
        <v/>
      </c>
    </row>
    <row r="889" spans="1:11">
      <c r="A889" s="14">
        <v>46152</v>
      </c>
      <c r="B889" s="15">
        <v>0.1979166666666667</v>
      </c>
      <c r="C889" s="5">
        <f>IF('96 Werte'!U15="","",'96 Werte'!U15)</f>
        <v/>
      </c>
      <c r="D889" t="str">
        <f>IF(IF(Eingaben!$B$21&lt;Eingaben!$B$22,AND(B889&gt;=Eingaben!$B$21,B889&lt;Eingaben!$B$22),OR(B889&gt;=Eingaben!$B$21,B889&lt;Eingaben!$B$22)),"GO",IF(AND(ISNUMBER(Eingaben!$B$23),ISNUMBER(Eingaben!$B$24),IF(Eingaben!$B$23&lt;Eingaben!$B$24,AND(B889&gt;=Eingaben!$B$23,B889&lt;Eingaben!$B$24),OR(B889&gt;=Eingaben!$B$23,B889&lt;Eingaben!$B$24))),"HEAT","STANDARD"))</f>
        <v>GO</v>
      </c>
      <c r="E889" s="9"/>
      <c r="F889" t="str">
        <f>IF(E889="",D889,E889)</f>
        <v>GO</v>
      </c>
      <c r="G889" t="str">
        <f>INDEX(Netzzeiten!$B$6:$B$29,HOUR(B889)+1)</f>
        <v>NT</v>
      </c>
      <c r="H889" s="6">
        <f>IF(F889="GO",Eingaben!$B$11,IF(F889="STANDARD",Eingaben!$B$12,IF(AND(F889="HEAT",ISNUMBER(Eingaben!$B$13)),Eingaben!$B$13,"")))</f>
        <v>15.0654</v>
      </c>
      <c r="I889" s="6">
        <f>INDEX(Netzzeiten!$C$6:$C$29,HOUR(B889)+1)</f>
        <v>1.64</v>
      </c>
      <c r="J889" t="str">
        <f>IF(C889="","FEHLT",IF(NOT(ISNUMBER(C889)),"MESSWERT UNGUELTIG",IF(C889&lt;0,"MESSWERT UNGUELTIG",IF(H889="","TARIFPREIS FEHLT","OK"))))</f>
        <v>FEHLT</v>
      </c>
      <c r="K889" s="7">
        <f>IF(J889&lt;&gt;"OK","",C889*I889/100)</f>
        <v/>
      </c>
    </row>
    <row r="890" spans="1:11">
      <c r="A890" s="14">
        <v>46152</v>
      </c>
      <c r="B890" s="15">
        <v>0.2083333333333333</v>
      </c>
      <c r="C890" s="5">
        <f>IF('96 Werte'!V15="","",'96 Werte'!V15)</f>
        <v/>
      </c>
      <c r="D890" t="str">
        <f>IF(IF(Eingaben!$B$21&lt;Eingaben!$B$22,AND(B890&gt;=Eingaben!$B$21,B890&lt;Eingaben!$B$22),OR(B890&gt;=Eingaben!$B$21,B890&lt;Eingaben!$B$22)),"GO",IF(AND(ISNUMBER(Eingaben!$B$23),ISNUMBER(Eingaben!$B$24),IF(Eingaben!$B$23&lt;Eingaben!$B$24,AND(B890&gt;=Eingaben!$B$23,B890&lt;Eingaben!$B$24),OR(B890&gt;=Eingaben!$B$23,B890&lt;Eingaben!$B$24))),"HEAT","STANDARD"))</f>
        <v>STANDARD</v>
      </c>
      <c r="E890" s="9"/>
      <c r="F890" t="str">
        <f>IF(E890="",D890,E890)</f>
        <v>STANDARD</v>
      </c>
      <c r="G890" t="str">
        <f>INDEX(Netzzeiten!$B$6:$B$29,HOUR(B890)+1)</f>
        <v>NT</v>
      </c>
      <c r="H890" s="6">
        <f>IF(F890="GO",Eingaben!$B$11,IF(F890="STANDARD",Eingaben!$B$12,IF(AND(F890="HEAT",ISNUMBER(Eingaben!$B$13)),Eingaben!$B$13,"")))</f>
        <v>28.2744</v>
      </c>
      <c r="I890" s="6">
        <f>INDEX(Netzzeiten!$C$6:$C$29,HOUR(B890)+1)</f>
        <v>1.64</v>
      </c>
      <c r="J890" t="str">
        <f>IF(C890="","FEHLT",IF(NOT(ISNUMBER(C890)),"MESSWERT UNGUELTIG",IF(C890&lt;0,"MESSWERT UNGUELTIG",IF(H890="","TARIFPREIS FEHLT","OK"))))</f>
        <v>FEHLT</v>
      </c>
      <c r="K890" s="7">
        <f>IF(J890&lt;&gt;"OK","",C890*I890/100)</f>
        <v/>
      </c>
    </row>
    <row r="891" spans="1:11">
      <c r="A891" s="14">
        <v>46152</v>
      </c>
      <c r="B891" s="15">
        <v>0.21875</v>
      </c>
      <c r="C891" s="5">
        <f>IF('96 Werte'!W15="","",'96 Werte'!W15)</f>
        <v/>
      </c>
      <c r="D891" t="str">
        <f>IF(IF(Eingaben!$B$21&lt;Eingaben!$B$22,AND(B891&gt;=Eingaben!$B$21,B891&lt;Eingaben!$B$22),OR(B891&gt;=Eingaben!$B$21,B891&lt;Eingaben!$B$22)),"GO",IF(AND(ISNUMBER(Eingaben!$B$23),ISNUMBER(Eingaben!$B$24),IF(Eingaben!$B$23&lt;Eingaben!$B$24,AND(B891&gt;=Eingaben!$B$23,B891&lt;Eingaben!$B$24),OR(B891&gt;=Eingaben!$B$23,B891&lt;Eingaben!$B$24))),"HEAT","STANDARD"))</f>
        <v>STANDARD</v>
      </c>
      <c r="E891" s="9"/>
      <c r="F891" t="str">
        <f>IF(E891="",D891,E891)</f>
        <v>STANDARD</v>
      </c>
      <c r="G891" t="str">
        <f>INDEX(Netzzeiten!$B$6:$B$29,HOUR(B891)+1)</f>
        <v>NT</v>
      </c>
      <c r="H891" s="6">
        <f>IF(F891="GO",Eingaben!$B$11,IF(F891="STANDARD",Eingaben!$B$12,IF(AND(F891="HEAT",ISNUMBER(Eingaben!$B$13)),Eingaben!$B$13,"")))</f>
        <v>28.2744</v>
      </c>
      <c r="I891" s="6">
        <f>INDEX(Netzzeiten!$C$6:$C$29,HOUR(B891)+1)</f>
        <v>1.64</v>
      </c>
      <c r="J891" t="str">
        <f>IF(C891="","FEHLT",IF(NOT(ISNUMBER(C891)),"MESSWERT UNGUELTIG",IF(C891&lt;0,"MESSWERT UNGUELTIG",IF(H891="","TARIFPREIS FEHLT","OK"))))</f>
        <v>FEHLT</v>
      </c>
      <c r="K891" s="7">
        <f>IF(J891&lt;&gt;"OK","",C891*I891/100)</f>
        <v/>
      </c>
    </row>
    <row r="892" spans="1:11">
      <c r="A892" s="14">
        <v>46152</v>
      </c>
      <c r="B892" s="15">
        <v>0.2291666666666667</v>
      </c>
      <c r="C892" s="5">
        <f>IF('96 Werte'!X15="","",'96 Werte'!X15)</f>
        <v/>
      </c>
      <c r="D892" t="str">
        <f>IF(IF(Eingaben!$B$21&lt;Eingaben!$B$22,AND(B892&gt;=Eingaben!$B$21,B892&lt;Eingaben!$B$22),OR(B892&gt;=Eingaben!$B$21,B892&lt;Eingaben!$B$22)),"GO",IF(AND(ISNUMBER(Eingaben!$B$23),ISNUMBER(Eingaben!$B$24),IF(Eingaben!$B$23&lt;Eingaben!$B$24,AND(B892&gt;=Eingaben!$B$23,B892&lt;Eingaben!$B$24),OR(B892&gt;=Eingaben!$B$23,B892&lt;Eingaben!$B$24))),"HEAT","STANDARD"))</f>
        <v>STANDARD</v>
      </c>
      <c r="E892" s="9"/>
      <c r="F892" t="str">
        <f>IF(E892="",D892,E892)</f>
        <v>STANDARD</v>
      </c>
      <c r="G892" t="str">
        <f>INDEX(Netzzeiten!$B$6:$B$29,HOUR(B892)+1)</f>
        <v>NT</v>
      </c>
      <c r="H892" s="6">
        <f>IF(F892="GO",Eingaben!$B$11,IF(F892="STANDARD",Eingaben!$B$12,IF(AND(F892="HEAT",ISNUMBER(Eingaben!$B$13)),Eingaben!$B$13,"")))</f>
        <v>28.2744</v>
      </c>
      <c r="I892" s="6">
        <f>INDEX(Netzzeiten!$C$6:$C$29,HOUR(B892)+1)</f>
        <v>1.64</v>
      </c>
      <c r="J892" t="str">
        <f>IF(C892="","FEHLT",IF(NOT(ISNUMBER(C892)),"MESSWERT UNGUELTIG",IF(C892&lt;0,"MESSWERT UNGUELTIG",IF(H892="","TARIFPREIS FEHLT","OK"))))</f>
        <v>FEHLT</v>
      </c>
      <c r="K892" s="7">
        <f>IF(J892&lt;&gt;"OK","",C892*I892/100)</f>
        <v/>
      </c>
    </row>
    <row r="893" spans="1:11">
      <c r="A893" s="14">
        <v>46152</v>
      </c>
      <c r="B893" s="15">
        <v>0.2395833333333333</v>
      </c>
      <c r="C893" s="5">
        <f>IF('96 Werte'!Y15="","",'96 Werte'!Y15)</f>
        <v/>
      </c>
      <c r="D893" t="str">
        <f>IF(IF(Eingaben!$B$21&lt;Eingaben!$B$22,AND(B893&gt;=Eingaben!$B$21,B893&lt;Eingaben!$B$22),OR(B893&gt;=Eingaben!$B$21,B893&lt;Eingaben!$B$22)),"GO",IF(AND(ISNUMBER(Eingaben!$B$23),ISNUMBER(Eingaben!$B$24),IF(Eingaben!$B$23&lt;Eingaben!$B$24,AND(B893&gt;=Eingaben!$B$23,B893&lt;Eingaben!$B$24),OR(B893&gt;=Eingaben!$B$23,B893&lt;Eingaben!$B$24))),"HEAT","STANDARD"))</f>
        <v>STANDARD</v>
      </c>
      <c r="E893" s="9"/>
      <c r="F893" t="str">
        <f>IF(E893="",D893,E893)</f>
        <v>STANDARD</v>
      </c>
      <c r="G893" t="str">
        <f>INDEX(Netzzeiten!$B$6:$B$29,HOUR(B893)+1)</f>
        <v>NT</v>
      </c>
      <c r="H893" s="6">
        <f>IF(F893="GO",Eingaben!$B$11,IF(F893="STANDARD",Eingaben!$B$12,IF(AND(F893="HEAT",ISNUMBER(Eingaben!$B$13)),Eingaben!$B$13,"")))</f>
        <v>28.2744</v>
      </c>
      <c r="I893" s="6">
        <f>INDEX(Netzzeiten!$C$6:$C$29,HOUR(B893)+1)</f>
        <v>1.64</v>
      </c>
      <c r="J893" t="str">
        <f>IF(C893="","FEHLT",IF(NOT(ISNUMBER(C893)),"MESSWERT UNGUELTIG",IF(C893&lt;0,"MESSWERT UNGUELTIG",IF(H893="","TARIFPREIS FEHLT","OK"))))</f>
        <v>FEHLT</v>
      </c>
      <c r="K893" s="7">
        <f>IF(J893&lt;&gt;"OK","",C893*I893/100)</f>
        <v/>
      </c>
    </row>
    <row r="894" spans="1:11">
      <c r="A894" s="14">
        <v>46152</v>
      </c>
      <c r="B894" s="15">
        <v>0.25</v>
      </c>
      <c r="C894" s="5">
        <f>IF('96 Werte'!Z15="","",'96 Werte'!Z15)</f>
        <v/>
      </c>
      <c r="D894" t="str">
        <f>IF(IF(Eingaben!$B$21&lt;Eingaben!$B$22,AND(B894&gt;=Eingaben!$B$21,B894&lt;Eingaben!$B$22),OR(B894&gt;=Eingaben!$B$21,B894&lt;Eingaben!$B$22)),"GO",IF(AND(ISNUMBER(Eingaben!$B$23),ISNUMBER(Eingaben!$B$24),IF(Eingaben!$B$23&lt;Eingaben!$B$24,AND(B894&gt;=Eingaben!$B$23,B894&lt;Eingaben!$B$24),OR(B894&gt;=Eingaben!$B$23,B894&lt;Eingaben!$B$24))),"HEAT","STANDARD"))</f>
        <v>STANDARD</v>
      </c>
      <c r="E894" s="9"/>
      <c r="F894" t="str">
        <f>IF(E894="",D894,E894)</f>
        <v>STANDARD</v>
      </c>
      <c r="G894" t="str">
        <f>INDEX(Netzzeiten!$B$6:$B$29,HOUR(B894)+1)</f>
        <v>ST</v>
      </c>
      <c r="H894" s="6">
        <f>IF(F894="GO",Eingaben!$B$11,IF(F894="STANDARD",Eingaben!$B$12,IF(AND(F894="HEAT",ISNUMBER(Eingaben!$B$13)),Eingaben!$B$13,"")))</f>
        <v>28.2744</v>
      </c>
      <c r="I894" s="6">
        <f>INDEX(Netzzeiten!$C$6:$C$29,HOUR(B894)+1)</f>
        <v>5.48</v>
      </c>
      <c r="J894" t="str">
        <f>IF(C894="","FEHLT",IF(NOT(ISNUMBER(C894)),"MESSWERT UNGUELTIG",IF(C894&lt;0,"MESSWERT UNGUELTIG",IF(H894="","TARIFPREIS FEHLT","OK"))))</f>
        <v>FEHLT</v>
      </c>
      <c r="K894" s="7">
        <f>IF(J894&lt;&gt;"OK","",C894*I894/100)</f>
        <v/>
      </c>
    </row>
    <row r="895" spans="1:11">
      <c r="A895" s="14">
        <v>46152</v>
      </c>
      <c r="B895" s="15">
        <v>0.2604166666666667</v>
      </c>
      <c r="C895" s="5">
        <f>IF('96 Werte'!AA15="","",'96 Werte'!AA15)</f>
        <v/>
      </c>
      <c r="D895" t="str">
        <f>IF(IF(Eingaben!$B$21&lt;Eingaben!$B$22,AND(B895&gt;=Eingaben!$B$21,B895&lt;Eingaben!$B$22),OR(B895&gt;=Eingaben!$B$21,B895&lt;Eingaben!$B$22)),"GO",IF(AND(ISNUMBER(Eingaben!$B$23),ISNUMBER(Eingaben!$B$24),IF(Eingaben!$B$23&lt;Eingaben!$B$24,AND(B895&gt;=Eingaben!$B$23,B895&lt;Eingaben!$B$24),OR(B895&gt;=Eingaben!$B$23,B895&lt;Eingaben!$B$24))),"HEAT","STANDARD"))</f>
        <v>STANDARD</v>
      </c>
      <c r="E895" s="9"/>
      <c r="F895" t="str">
        <f>IF(E895="",D895,E895)</f>
        <v>STANDARD</v>
      </c>
      <c r="G895" t="str">
        <f>INDEX(Netzzeiten!$B$6:$B$29,HOUR(B895)+1)</f>
        <v>ST</v>
      </c>
      <c r="H895" s="6">
        <f>IF(F895="GO",Eingaben!$B$11,IF(F895="STANDARD",Eingaben!$B$12,IF(AND(F895="HEAT",ISNUMBER(Eingaben!$B$13)),Eingaben!$B$13,"")))</f>
        <v>28.2744</v>
      </c>
      <c r="I895" s="6">
        <f>INDEX(Netzzeiten!$C$6:$C$29,HOUR(B895)+1)</f>
        <v>5.48</v>
      </c>
      <c r="J895" t="str">
        <f>IF(C895="","FEHLT",IF(NOT(ISNUMBER(C895)),"MESSWERT UNGUELTIG",IF(C895&lt;0,"MESSWERT UNGUELTIG",IF(H895="","TARIFPREIS FEHLT","OK"))))</f>
        <v>FEHLT</v>
      </c>
      <c r="K895" s="7">
        <f>IF(J895&lt;&gt;"OK","",C895*I895/100)</f>
        <v/>
      </c>
    </row>
    <row r="896" spans="1:11">
      <c r="A896" s="14">
        <v>46152</v>
      </c>
      <c r="B896" s="15">
        <v>0.2708333333333333</v>
      </c>
      <c r="C896" s="5">
        <f>IF('96 Werte'!AB15="","",'96 Werte'!AB15)</f>
        <v/>
      </c>
      <c r="D896" t="str">
        <f>IF(IF(Eingaben!$B$21&lt;Eingaben!$B$22,AND(B896&gt;=Eingaben!$B$21,B896&lt;Eingaben!$B$22),OR(B896&gt;=Eingaben!$B$21,B896&lt;Eingaben!$B$22)),"GO",IF(AND(ISNUMBER(Eingaben!$B$23),ISNUMBER(Eingaben!$B$24),IF(Eingaben!$B$23&lt;Eingaben!$B$24,AND(B896&gt;=Eingaben!$B$23,B896&lt;Eingaben!$B$24),OR(B896&gt;=Eingaben!$B$23,B896&lt;Eingaben!$B$24))),"HEAT","STANDARD"))</f>
        <v>STANDARD</v>
      </c>
      <c r="E896" s="9"/>
      <c r="F896" t="str">
        <f>IF(E896="",D896,E896)</f>
        <v>STANDARD</v>
      </c>
      <c r="G896" t="str">
        <f>INDEX(Netzzeiten!$B$6:$B$29,HOUR(B896)+1)</f>
        <v>ST</v>
      </c>
      <c r="H896" s="6">
        <f>IF(F896="GO",Eingaben!$B$11,IF(F896="STANDARD",Eingaben!$B$12,IF(AND(F896="HEAT",ISNUMBER(Eingaben!$B$13)),Eingaben!$B$13,"")))</f>
        <v>28.2744</v>
      </c>
      <c r="I896" s="6">
        <f>INDEX(Netzzeiten!$C$6:$C$29,HOUR(B896)+1)</f>
        <v>5.48</v>
      </c>
      <c r="J896" t="str">
        <f>IF(C896="","FEHLT",IF(NOT(ISNUMBER(C896)),"MESSWERT UNGUELTIG",IF(C896&lt;0,"MESSWERT UNGUELTIG",IF(H896="","TARIFPREIS FEHLT","OK"))))</f>
        <v>FEHLT</v>
      </c>
      <c r="K896" s="7">
        <f>IF(J896&lt;&gt;"OK","",C896*I896/100)</f>
        <v/>
      </c>
    </row>
    <row r="897" spans="1:11">
      <c r="A897" s="14">
        <v>46152</v>
      </c>
      <c r="B897" s="15">
        <v>0.28125</v>
      </c>
      <c r="C897" s="5">
        <f>IF('96 Werte'!AC15="","",'96 Werte'!AC15)</f>
        <v/>
      </c>
      <c r="D897" t="str">
        <f>IF(IF(Eingaben!$B$21&lt;Eingaben!$B$22,AND(B897&gt;=Eingaben!$B$21,B897&lt;Eingaben!$B$22),OR(B897&gt;=Eingaben!$B$21,B897&lt;Eingaben!$B$22)),"GO",IF(AND(ISNUMBER(Eingaben!$B$23),ISNUMBER(Eingaben!$B$24),IF(Eingaben!$B$23&lt;Eingaben!$B$24,AND(B897&gt;=Eingaben!$B$23,B897&lt;Eingaben!$B$24),OR(B897&gt;=Eingaben!$B$23,B897&lt;Eingaben!$B$24))),"HEAT","STANDARD"))</f>
        <v>STANDARD</v>
      </c>
      <c r="E897" s="9"/>
      <c r="F897" t="str">
        <f>IF(E897="",D897,E897)</f>
        <v>STANDARD</v>
      </c>
      <c r="G897" t="str">
        <f>INDEX(Netzzeiten!$B$6:$B$29,HOUR(B897)+1)</f>
        <v>ST</v>
      </c>
      <c r="H897" s="6">
        <f>IF(F897="GO",Eingaben!$B$11,IF(F897="STANDARD",Eingaben!$B$12,IF(AND(F897="HEAT",ISNUMBER(Eingaben!$B$13)),Eingaben!$B$13,"")))</f>
        <v>28.2744</v>
      </c>
      <c r="I897" s="6">
        <f>INDEX(Netzzeiten!$C$6:$C$29,HOUR(B897)+1)</f>
        <v>5.48</v>
      </c>
      <c r="J897" t="str">
        <f>IF(C897="","FEHLT",IF(NOT(ISNUMBER(C897)),"MESSWERT UNGUELTIG",IF(C897&lt;0,"MESSWERT UNGUELTIG",IF(H897="","TARIFPREIS FEHLT","OK"))))</f>
        <v>FEHLT</v>
      </c>
      <c r="K897" s="7">
        <f>IF(J897&lt;&gt;"OK","",C897*I897/100)</f>
        <v/>
      </c>
    </row>
    <row r="898" spans="1:11">
      <c r="A898" s="14">
        <v>46152</v>
      </c>
      <c r="B898" s="15">
        <v>0.2916666666666667</v>
      </c>
      <c r="C898" s="5">
        <f>IF('96 Werte'!AD15="","",'96 Werte'!AD15)</f>
        <v/>
      </c>
      <c r="D898" t="str">
        <f>IF(IF(Eingaben!$B$21&lt;Eingaben!$B$22,AND(B898&gt;=Eingaben!$B$21,B898&lt;Eingaben!$B$22),OR(B898&gt;=Eingaben!$B$21,B898&lt;Eingaben!$B$22)),"GO",IF(AND(ISNUMBER(Eingaben!$B$23),ISNUMBER(Eingaben!$B$24),IF(Eingaben!$B$23&lt;Eingaben!$B$24,AND(B898&gt;=Eingaben!$B$23,B898&lt;Eingaben!$B$24),OR(B898&gt;=Eingaben!$B$23,B898&lt;Eingaben!$B$24))),"HEAT","STANDARD"))</f>
        <v>STANDARD</v>
      </c>
      <c r="E898" s="9"/>
      <c r="F898" t="str">
        <f>IF(E898="",D898,E898)</f>
        <v>STANDARD</v>
      </c>
      <c r="G898" t="str">
        <f>INDEX(Netzzeiten!$B$6:$B$29,HOUR(B898)+1)</f>
        <v>ST</v>
      </c>
      <c r="H898" s="6">
        <f>IF(F898="GO",Eingaben!$B$11,IF(F898="STANDARD",Eingaben!$B$12,IF(AND(F898="HEAT",ISNUMBER(Eingaben!$B$13)),Eingaben!$B$13,"")))</f>
        <v>28.2744</v>
      </c>
      <c r="I898" s="6">
        <f>INDEX(Netzzeiten!$C$6:$C$29,HOUR(B898)+1)</f>
        <v>5.48</v>
      </c>
      <c r="J898" t="str">
        <f>IF(C898="","FEHLT",IF(NOT(ISNUMBER(C898)),"MESSWERT UNGUELTIG",IF(C898&lt;0,"MESSWERT UNGUELTIG",IF(H898="","TARIFPREIS FEHLT","OK"))))</f>
        <v>FEHLT</v>
      </c>
      <c r="K898" s="7">
        <f>IF(J898&lt;&gt;"OK","",C898*I898/100)</f>
        <v/>
      </c>
    </row>
    <row r="899" spans="1:11">
      <c r="A899" s="14">
        <v>46152</v>
      </c>
      <c r="B899" s="15">
        <v>0.3020833333333333</v>
      </c>
      <c r="C899" s="5">
        <f>IF('96 Werte'!AE15="","",'96 Werte'!AE15)</f>
        <v/>
      </c>
      <c r="D899" t="str">
        <f>IF(IF(Eingaben!$B$21&lt;Eingaben!$B$22,AND(B899&gt;=Eingaben!$B$21,B899&lt;Eingaben!$B$22),OR(B899&gt;=Eingaben!$B$21,B899&lt;Eingaben!$B$22)),"GO",IF(AND(ISNUMBER(Eingaben!$B$23),ISNUMBER(Eingaben!$B$24),IF(Eingaben!$B$23&lt;Eingaben!$B$24,AND(B899&gt;=Eingaben!$B$23,B899&lt;Eingaben!$B$24),OR(B899&gt;=Eingaben!$B$23,B899&lt;Eingaben!$B$24))),"HEAT","STANDARD"))</f>
        <v>STANDARD</v>
      </c>
      <c r="E899" s="9"/>
      <c r="F899" t="str">
        <f>IF(E899="",D899,E899)</f>
        <v>STANDARD</v>
      </c>
      <c r="G899" t="str">
        <f>INDEX(Netzzeiten!$B$6:$B$29,HOUR(B899)+1)</f>
        <v>ST</v>
      </c>
      <c r="H899" s="6">
        <f>IF(F899="GO",Eingaben!$B$11,IF(F899="STANDARD",Eingaben!$B$12,IF(AND(F899="HEAT",ISNUMBER(Eingaben!$B$13)),Eingaben!$B$13,"")))</f>
        <v>28.2744</v>
      </c>
      <c r="I899" s="6">
        <f>INDEX(Netzzeiten!$C$6:$C$29,HOUR(B899)+1)</f>
        <v>5.48</v>
      </c>
      <c r="J899" t="str">
        <f>IF(C899="","FEHLT",IF(NOT(ISNUMBER(C899)),"MESSWERT UNGUELTIG",IF(C899&lt;0,"MESSWERT UNGUELTIG",IF(H899="","TARIFPREIS FEHLT","OK"))))</f>
        <v>FEHLT</v>
      </c>
      <c r="K899" s="7">
        <f>IF(J899&lt;&gt;"OK","",C899*I899/100)</f>
        <v/>
      </c>
    </row>
    <row r="900" spans="1:11">
      <c r="A900" s="14">
        <v>46152</v>
      </c>
      <c r="B900" s="15">
        <v>0.3125</v>
      </c>
      <c r="C900" s="5">
        <f>IF('96 Werte'!AF15="","",'96 Werte'!AF15)</f>
        <v/>
      </c>
      <c r="D900" t="str">
        <f>IF(IF(Eingaben!$B$21&lt;Eingaben!$B$22,AND(B900&gt;=Eingaben!$B$21,B900&lt;Eingaben!$B$22),OR(B900&gt;=Eingaben!$B$21,B900&lt;Eingaben!$B$22)),"GO",IF(AND(ISNUMBER(Eingaben!$B$23),ISNUMBER(Eingaben!$B$24),IF(Eingaben!$B$23&lt;Eingaben!$B$24,AND(B900&gt;=Eingaben!$B$23,B900&lt;Eingaben!$B$24),OR(B900&gt;=Eingaben!$B$23,B900&lt;Eingaben!$B$24))),"HEAT","STANDARD"))</f>
        <v>STANDARD</v>
      </c>
      <c r="E900" s="9"/>
      <c r="F900" t="str">
        <f>IF(E900="",D900,E900)</f>
        <v>STANDARD</v>
      </c>
      <c r="G900" t="str">
        <f>INDEX(Netzzeiten!$B$6:$B$29,HOUR(B900)+1)</f>
        <v>ST</v>
      </c>
      <c r="H900" s="6">
        <f>IF(F900="GO",Eingaben!$B$11,IF(F900="STANDARD",Eingaben!$B$12,IF(AND(F900="HEAT",ISNUMBER(Eingaben!$B$13)),Eingaben!$B$13,"")))</f>
        <v>28.2744</v>
      </c>
      <c r="I900" s="6">
        <f>INDEX(Netzzeiten!$C$6:$C$29,HOUR(B900)+1)</f>
        <v>5.48</v>
      </c>
      <c r="J900" t="str">
        <f>IF(C900="","FEHLT",IF(NOT(ISNUMBER(C900)),"MESSWERT UNGUELTIG",IF(C900&lt;0,"MESSWERT UNGUELTIG",IF(H900="","TARIFPREIS FEHLT","OK"))))</f>
        <v>FEHLT</v>
      </c>
      <c r="K900" s="7">
        <f>IF(J900&lt;&gt;"OK","",C900*I900/100)</f>
        <v/>
      </c>
    </row>
    <row r="901" spans="1:11">
      <c r="A901" s="14">
        <v>46152</v>
      </c>
      <c r="B901" s="15">
        <v>0.3229166666666667</v>
      </c>
      <c r="C901" s="5">
        <f>IF('96 Werte'!AG15="","",'96 Werte'!AG15)</f>
        <v/>
      </c>
      <c r="D901" t="str">
        <f>IF(IF(Eingaben!$B$21&lt;Eingaben!$B$22,AND(B901&gt;=Eingaben!$B$21,B901&lt;Eingaben!$B$22),OR(B901&gt;=Eingaben!$B$21,B901&lt;Eingaben!$B$22)),"GO",IF(AND(ISNUMBER(Eingaben!$B$23),ISNUMBER(Eingaben!$B$24),IF(Eingaben!$B$23&lt;Eingaben!$B$24,AND(B901&gt;=Eingaben!$B$23,B901&lt;Eingaben!$B$24),OR(B901&gt;=Eingaben!$B$23,B901&lt;Eingaben!$B$24))),"HEAT","STANDARD"))</f>
        <v>STANDARD</v>
      </c>
      <c r="E901" s="9"/>
      <c r="F901" t="str">
        <f>IF(E901="",D901,E901)</f>
        <v>STANDARD</v>
      </c>
      <c r="G901" t="str">
        <f>INDEX(Netzzeiten!$B$6:$B$29,HOUR(B901)+1)</f>
        <v>ST</v>
      </c>
      <c r="H901" s="6">
        <f>IF(F901="GO",Eingaben!$B$11,IF(F901="STANDARD",Eingaben!$B$12,IF(AND(F901="HEAT",ISNUMBER(Eingaben!$B$13)),Eingaben!$B$13,"")))</f>
        <v>28.2744</v>
      </c>
      <c r="I901" s="6">
        <f>INDEX(Netzzeiten!$C$6:$C$29,HOUR(B901)+1)</f>
        <v>5.48</v>
      </c>
      <c r="J901" t="str">
        <f>IF(C901="","FEHLT",IF(NOT(ISNUMBER(C901)),"MESSWERT UNGUELTIG",IF(C901&lt;0,"MESSWERT UNGUELTIG",IF(H901="","TARIFPREIS FEHLT","OK"))))</f>
        <v>FEHLT</v>
      </c>
      <c r="K901" s="7">
        <f>IF(J901&lt;&gt;"OK","",C901*I901/100)</f>
        <v/>
      </c>
    </row>
    <row r="902" spans="1:11">
      <c r="A902" s="14">
        <v>46152</v>
      </c>
      <c r="B902" s="15">
        <v>0.3333333333333333</v>
      </c>
      <c r="C902" s="5">
        <f>IF('96 Werte'!AH15="","",'96 Werte'!AH15)</f>
        <v/>
      </c>
      <c r="D902" t="str">
        <f>IF(IF(Eingaben!$B$21&lt;Eingaben!$B$22,AND(B902&gt;=Eingaben!$B$21,B902&lt;Eingaben!$B$22),OR(B902&gt;=Eingaben!$B$21,B902&lt;Eingaben!$B$22)),"GO",IF(AND(ISNUMBER(Eingaben!$B$23),ISNUMBER(Eingaben!$B$24),IF(Eingaben!$B$23&lt;Eingaben!$B$24,AND(B902&gt;=Eingaben!$B$23,B902&lt;Eingaben!$B$24),OR(B902&gt;=Eingaben!$B$23,B902&lt;Eingaben!$B$24))),"HEAT","STANDARD"))</f>
        <v>STANDARD</v>
      </c>
      <c r="E902" s="9"/>
      <c r="F902" t="str">
        <f>IF(E902="",D902,E902)</f>
        <v>STANDARD</v>
      </c>
      <c r="G902" t="str">
        <f>INDEX(Netzzeiten!$B$6:$B$29,HOUR(B902)+1)</f>
        <v>ST</v>
      </c>
      <c r="H902" s="6">
        <f>IF(F902="GO",Eingaben!$B$11,IF(F902="STANDARD",Eingaben!$B$12,IF(AND(F902="HEAT",ISNUMBER(Eingaben!$B$13)),Eingaben!$B$13,"")))</f>
        <v>28.2744</v>
      </c>
      <c r="I902" s="6">
        <f>INDEX(Netzzeiten!$C$6:$C$29,HOUR(B902)+1)</f>
        <v>5.48</v>
      </c>
      <c r="J902" t="str">
        <f>IF(C902="","FEHLT",IF(NOT(ISNUMBER(C902)),"MESSWERT UNGUELTIG",IF(C902&lt;0,"MESSWERT UNGUELTIG",IF(H902="","TARIFPREIS FEHLT","OK"))))</f>
        <v>FEHLT</v>
      </c>
      <c r="K902" s="7">
        <f>IF(J902&lt;&gt;"OK","",C902*I902/100)</f>
        <v/>
      </c>
    </row>
    <row r="903" spans="1:11">
      <c r="A903" s="14">
        <v>46152</v>
      </c>
      <c r="B903" s="15">
        <v>0.34375</v>
      </c>
      <c r="C903" s="5">
        <f>IF('96 Werte'!AI15="","",'96 Werte'!AI15)</f>
        <v/>
      </c>
      <c r="D903" t="str">
        <f>IF(IF(Eingaben!$B$21&lt;Eingaben!$B$22,AND(B903&gt;=Eingaben!$B$21,B903&lt;Eingaben!$B$22),OR(B903&gt;=Eingaben!$B$21,B903&lt;Eingaben!$B$22)),"GO",IF(AND(ISNUMBER(Eingaben!$B$23),ISNUMBER(Eingaben!$B$24),IF(Eingaben!$B$23&lt;Eingaben!$B$24,AND(B903&gt;=Eingaben!$B$23,B903&lt;Eingaben!$B$24),OR(B903&gt;=Eingaben!$B$23,B903&lt;Eingaben!$B$24))),"HEAT","STANDARD"))</f>
        <v>STANDARD</v>
      </c>
      <c r="E903" s="9"/>
      <c r="F903" t="str">
        <f>IF(E903="",D903,E903)</f>
        <v>STANDARD</v>
      </c>
      <c r="G903" t="str">
        <f>INDEX(Netzzeiten!$B$6:$B$29,HOUR(B903)+1)</f>
        <v>ST</v>
      </c>
      <c r="H903" s="6">
        <f>IF(F903="GO",Eingaben!$B$11,IF(F903="STANDARD",Eingaben!$B$12,IF(AND(F903="HEAT",ISNUMBER(Eingaben!$B$13)),Eingaben!$B$13,"")))</f>
        <v>28.2744</v>
      </c>
      <c r="I903" s="6">
        <f>INDEX(Netzzeiten!$C$6:$C$29,HOUR(B903)+1)</f>
        <v>5.48</v>
      </c>
      <c r="J903" t="str">
        <f>IF(C903="","FEHLT",IF(NOT(ISNUMBER(C903)),"MESSWERT UNGUELTIG",IF(C903&lt;0,"MESSWERT UNGUELTIG",IF(H903="","TARIFPREIS FEHLT","OK"))))</f>
        <v>FEHLT</v>
      </c>
      <c r="K903" s="7">
        <f>IF(J903&lt;&gt;"OK","",C903*I903/100)</f>
        <v/>
      </c>
    </row>
    <row r="904" spans="1:11">
      <c r="A904" s="14">
        <v>46152</v>
      </c>
      <c r="B904" s="15">
        <v>0.3541666666666667</v>
      </c>
      <c r="C904" s="5">
        <f>IF('96 Werte'!AJ15="","",'96 Werte'!AJ15)</f>
        <v/>
      </c>
      <c r="D904" t="str">
        <f>IF(IF(Eingaben!$B$21&lt;Eingaben!$B$22,AND(B904&gt;=Eingaben!$B$21,B904&lt;Eingaben!$B$22),OR(B904&gt;=Eingaben!$B$21,B904&lt;Eingaben!$B$22)),"GO",IF(AND(ISNUMBER(Eingaben!$B$23),ISNUMBER(Eingaben!$B$24),IF(Eingaben!$B$23&lt;Eingaben!$B$24,AND(B904&gt;=Eingaben!$B$23,B904&lt;Eingaben!$B$24),OR(B904&gt;=Eingaben!$B$23,B904&lt;Eingaben!$B$24))),"HEAT","STANDARD"))</f>
        <v>STANDARD</v>
      </c>
      <c r="E904" s="9"/>
      <c r="F904" t="str">
        <f>IF(E904="",D904,E904)</f>
        <v>STANDARD</v>
      </c>
      <c r="G904" t="str">
        <f>INDEX(Netzzeiten!$B$6:$B$29,HOUR(B904)+1)</f>
        <v>ST</v>
      </c>
      <c r="H904" s="6">
        <f>IF(F904="GO",Eingaben!$B$11,IF(F904="STANDARD",Eingaben!$B$12,IF(AND(F904="HEAT",ISNUMBER(Eingaben!$B$13)),Eingaben!$B$13,"")))</f>
        <v>28.2744</v>
      </c>
      <c r="I904" s="6">
        <f>INDEX(Netzzeiten!$C$6:$C$29,HOUR(B904)+1)</f>
        <v>5.48</v>
      </c>
      <c r="J904" t="str">
        <f>IF(C904="","FEHLT",IF(NOT(ISNUMBER(C904)),"MESSWERT UNGUELTIG",IF(C904&lt;0,"MESSWERT UNGUELTIG",IF(H904="","TARIFPREIS FEHLT","OK"))))</f>
        <v>FEHLT</v>
      </c>
      <c r="K904" s="7">
        <f>IF(J904&lt;&gt;"OK","",C904*I904/100)</f>
        <v/>
      </c>
    </row>
    <row r="905" spans="1:11">
      <c r="A905" s="14">
        <v>46152</v>
      </c>
      <c r="B905" s="15">
        <v>0.3645833333333333</v>
      </c>
      <c r="C905" s="5">
        <f>IF('96 Werte'!AK15="","",'96 Werte'!AK15)</f>
        <v/>
      </c>
      <c r="D905" t="str">
        <f>IF(IF(Eingaben!$B$21&lt;Eingaben!$B$22,AND(B905&gt;=Eingaben!$B$21,B905&lt;Eingaben!$B$22),OR(B905&gt;=Eingaben!$B$21,B905&lt;Eingaben!$B$22)),"GO",IF(AND(ISNUMBER(Eingaben!$B$23),ISNUMBER(Eingaben!$B$24),IF(Eingaben!$B$23&lt;Eingaben!$B$24,AND(B905&gt;=Eingaben!$B$23,B905&lt;Eingaben!$B$24),OR(B905&gt;=Eingaben!$B$23,B905&lt;Eingaben!$B$24))),"HEAT","STANDARD"))</f>
        <v>STANDARD</v>
      </c>
      <c r="E905" s="9"/>
      <c r="F905" t="str">
        <f>IF(E905="",D905,E905)</f>
        <v>STANDARD</v>
      </c>
      <c r="G905" t="str">
        <f>INDEX(Netzzeiten!$B$6:$B$29,HOUR(B905)+1)</f>
        <v>ST</v>
      </c>
      <c r="H905" s="6">
        <f>IF(F905="GO",Eingaben!$B$11,IF(F905="STANDARD",Eingaben!$B$12,IF(AND(F905="HEAT",ISNUMBER(Eingaben!$B$13)),Eingaben!$B$13,"")))</f>
        <v>28.2744</v>
      </c>
      <c r="I905" s="6">
        <f>INDEX(Netzzeiten!$C$6:$C$29,HOUR(B905)+1)</f>
        <v>5.48</v>
      </c>
      <c r="J905" t="str">
        <f>IF(C905="","FEHLT",IF(NOT(ISNUMBER(C905)),"MESSWERT UNGUELTIG",IF(C905&lt;0,"MESSWERT UNGUELTIG",IF(H905="","TARIFPREIS FEHLT","OK"))))</f>
        <v>FEHLT</v>
      </c>
      <c r="K905" s="7">
        <f>IF(J905&lt;&gt;"OK","",C905*I905/100)</f>
        <v/>
      </c>
    </row>
    <row r="906" spans="1:11">
      <c r="A906" s="14">
        <v>46152</v>
      </c>
      <c r="B906" s="15">
        <v>0.375</v>
      </c>
      <c r="C906" s="5">
        <f>IF('96 Werte'!AL15="","",'96 Werte'!AL15)</f>
        <v/>
      </c>
      <c r="D906" t="str">
        <f>IF(IF(Eingaben!$B$21&lt;Eingaben!$B$22,AND(B906&gt;=Eingaben!$B$21,B906&lt;Eingaben!$B$22),OR(B906&gt;=Eingaben!$B$21,B906&lt;Eingaben!$B$22)),"GO",IF(AND(ISNUMBER(Eingaben!$B$23),ISNUMBER(Eingaben!$B$24),IF(Eingaben!$B$23&lt;Eingaben!$B$24,AND(B906&gt;=Eingaben!$B$23,B906&lt;Eingaben!$B$24),OR(B906&gt;=Eingaben!$B$23,B906&lt;Eingaben!$B$24))),"HEAT","STANDARD"))</f>
        <v>STANDARD</v>
      </c>
      <c r="E906" s="9"/>
      <c r="F906" t="str">
        <f>IF(E906="",D906,E906)</f>
        <v>STANDARD</v>
      </c>
      <c r="G906" t="str">
        <f>INDEX(Netzzeiten!$B$6:$B$29,HOUR(B906)+1)</f>
        <v>ST</v>
      </c>
      <c r="H906" s="6">
        <f>IF(F906="GO",Eingaben!$B$11,IF(F906="STANDARD",Eingaben!$B$12,IF(AND(F906="HEAT",ISNUMBER(Eingaben!$B$13)),Eingaben!$B$13,"")))</f>
        <v>28.2744</v>
      </c>
      <c r="I906" s="6">
        <f>INDEX(Netzzeiten!$C$6:$C$29,HOUR(B906)+1)</f>
        <v>5.48</v>
      </c>
      <c r="J906" t="str">
        <f>IF(C906="","FEHLT",IF(NOT(ISNUMBER(C906)),"MESSWERT UNGUELTIG",IF(C906&lt;0,"MESSWERT UNGUELTIG",IF(H906="","TARIFPREIS FEHLT","OK"))))</f>
        <v>FEHLT</v>
      </c>
      <c r="K906" s="7">
        <f>IF(J906&lt;&gt;"OK","",C906*I906/100)</f>
        <v/>
      </c>
    </row>
    <row r="907" spans="1:11">
      <c r="A907" s="14">
        <v>46152</v>
      </c>
      <c r="B907" s="15">
        <v>0.3854166666666667</v>
      </c>
      <c r="C907" s="5">
        <f>IF('96 Werte'!AM15="","",'96 Werte'!AM15)</f>
        <v/>
      </c>
      <c r="D907" t="str">
        <f>IF(IF(Eingaben!$B$21&lt;Eingaben!$B$22,AND(B907&gt;=Eingaben!$B$21,B907&lt;Eingaben!$B$22),OR(B907&gt;=Eingaben!$B$21,B907&lt;Eingaben!$B$22)),"GO",IF(AND(ISNUMBER(Eingaben!$B$23),ISNUMBER(Eingaben!$B$24),IF(Eingaben!$B$23&lt;Eingaben!$B$24,AND(B907&gt;=Eingaben!$B$23,B907&lt;Eingaben!$B$24),OR(B907&gt;=Eingaben!$B$23,B907&lt;Eingaben!$B$24))),"HEAT","STANDARD"))</f>
        <v>STANDARD</v>
      </c>
      <c r="E907" s="9"/>
      <c r="F907" t="str">
        <f>IF(E907="",D907,E907)</f>
        <v>STANDARD</v>
      </c>
      <c r="G907" t="str">
        <f>INDEX(Netzzeiten!$B$6:$B$29,HOUR(B907)+1)</f>
        <v>ST</v>
      </c>
      <c r="H907" s="6">
        <f>IF(F907="GO",Eingaben!$B$11,IF(F907="STANDARD",Eingaben!$B$12,IF(AND(F907="HEAT",ISNUMBER(Eingaben!$B$13)),Eingaben!$B$13,"")))</f>
        <v>28.2744</v>
      </c>
      <c r="I907" s="6">
        <f>INDEX(Netzzeiten!$C$6:$C$29,HOUR(B907)+1)</f>
        <v>5.48</v>
      </c>
      <c r="J907" t="str">
        <f>IF(C907="","FEHLT",IF(NOT(ISNUMBER(C907)),"MESSWERT UNGUELTIG",IF(C907&lt;0,"MESSWERT UNGUELTIG",IF(H907="","TARIFPREIS FEHLT","OK"))))</f>
        <v>FEHLT</v>
      </c>
      <c r="K907" s="7">
        <f>IF(J907&lt;&gt;"OK","",C907*I907/100)</f>
        <v/>
      </c>
    </row>
    <row r="908" spans="1:11">
      <c r="A908" s="14">
        <v>46152</v>
      </c>
      <c r="B908" s="15">
        <v>0.3958333333333333</v>
      </c>
      <c r="C908" s="5">
        <f>IF('96 Werte'!AN15="","",'96 Werte'!AN15)</f>
        <v/>
      </c>
      <c r="D908" t="str">
        <f>IF(IF(Eingaben!$B$21&lt;Eingaben!$B$22,AND(B908&gt;=Eingaben!$B$21,B908&lt;Eingaben!$B$22),OR(B908&gt;=Eingaben!$B$21,B908&lt;Eingaben!$B$22)),"GO",IF(AND(ISNUMBER(Eingaben!$B$23),ISNUMBER(Eingaben!$B$24),IF(Eingaben!$B$23&lt;Eingaben!$B$24,AND(B908&gt;=Eingaben!$B$23,B908&lt;Eingaben!$B$24),OR(B908&gt;=Eingaben!$B$23,B908&lt;Eingaben!$B$24))),"HEAT","STANDARD"))</f>
        <v>STANDARD</v>
      </c>
      <c r="E908" s="9"/>
      <c r="F908" t="str">
        <f>IF(E908="",D908,E908)</f>
        <v>STANDARD</v>
      </c>
      <c r="G908" t="str">
        <f>INDEX(Netzzeiten!$B$6:$B$29,HOUR(B908)+1)</f>
        <v>ST</v>
      </c>
      <c r="H908" s="6">
        <f>IF(F908="GO",Eingaben!$B$11,IF(F908="STANDARD",Eingaben!$B$12,IF(AND(F908="HEAT",ISNUMBER(Eingaben!$B$13)),Eingaben!$B$13,"")))</f>
        <v>28.2744</v>
      </c>
      <c r="I908" s="6">
        <f>INDEX(Netzzeiten!$C$6:$C$29,HOUR(B908)+1)</f>
        <v>5.48</v>
      </c>
      <c r="J908" t="str">
        <f>IF(C908="","FEHLT",IF(NOT(ISNUMBER(C908)),"MESSWERT UNGUELTIG",IF(C908&lt;0,"MESSWERT UNGUELTIG",IF(H908="","TARIFPREIS FEHLT","OK"))))</f>
        <v>FEHLT</v>
      </c>
      <c r="K908" s="7">
        <f>IF(J908&lt;&gt;"OK","",C908*I908/100)</f>
        <v/>
      </c>
    </row>
    <row r="909" spans="1:11">
      <c r="A909" s="14">
        <v>46152</v>
      </c>
      <c r="B909" s="15">
        <v>0.40625</v>
      </c>
      <c r="C909" s="5">
        <f>IF('96 Werte'!AO15="","",'96 Werte'!AO15)</f>
        <v/>
      </c>
      <c r="D909" t="str">
        <f>IF(IF(Eingaben!$B$21&lt;Eingaben!$B$22,AND(B909&gt;=Eingaben!$B$21,B909&lt;Eingaben!$B$22),OR(B909&gt;=Eingaben!$B$21,B909&lt;Eingaben!$B$22)),"GO",IF(AND(ISNUMBER(Eingaben!$B$23),ISNUMBER(Eingaben!$B$24),IF(Eingaben!$B$23&lt;Eingaben!$B$24,AND(B909&gt;=Eingaben!$B$23,B909&lt;Eingaben!$B$24),OR(B909&gt;=Eingaben!$B$23,B909&lt;Eingaben!$B$24))),"HEAT","STANDARD"))</f>
        <v>STANDARD</v>
      </c>
      <c r="E909" s="9"/>
      <c r="F909" t="str">
        <f>IF(E909="",D909,E909)</f>
        <v>STANDARD</v>
      </c>
      <c r="G909" t="str">
        <f>INDEX(Netzzeiten!$B$6:$B$29,HOUR(B909)+1)</f>
        <v>ST</v>
      </c>
      <c r="H909" s="6">
        <f>IF(F909="GO",Eingaben!$B$11,IF(F909="STANDARD",Eingaben!$B$12,IF(AND(F909="HEAT",ISNUMBER(Eingaben!$B$13)),Eingaben!$B$13,"")))</f>
        <v>28.2744</v>
      </c>
      <c r="I909" s="6">
        <f>INDEX(Netzzeiten!$C$6:$C$29,HOUR(B909)+1)</f>
        <v>5.48</v>
      </c>
      <c r="J909" t="str">
        <f>IF(C909="","FEHLT",IF(NOT(ISNUMBER(C909)),"MESSWERT UNGUELTIG",IF(C909&lt;0,"MESSWERT UNGUELTIG",IF(H909="","TARIFPREIS FEHLT","OK"))))</f>
        <v>FEHLT</v>
      </c>
      <c r="K909" s="7">
        <f>IF(J909&lt;&gt;"OK","",C909*I909/100)</f>
        <v/>
      </c>
    </row>
    <row r="910" spans="1:11">
      <c r="A910" s="14">
        <v>46152</v>
      </c>
      <c r="B910" s="15">
        <v>0.4166666666666667</v>
      </c>
      <c r="C910" s="5">
        <f>IF('96 Werte'!AP15="","",'96 Werte'!AP15)</f>
        <v/>
      </c>
      <c r="D910" t="str">
        <f>IF(IF(Eingaben!$B$21&lt;Eingaben!$B$22,AND(B910&gt;=Eingaben!$B$21,B910&lt;Eingaben!$B$22),OR(B910&gt;=Eingaben!$B$21,B910&lt;Eingaben!$B$22)),"GO",IF(AND(ISNUMBER(Eingaben!$B$23),ISNUMBER(Eingaben!$B$24),IF(Eingaben!$B$23&lt;Eingaben!$B$24,AND(B910&gt;=Eingaben!$B$23,B910&lt;Eingaben!$B$24),OR(B910&gt;=Eingaben!$B$23,B910&lt;Eingaben!$B$24))),"HEAT","STANDARD"))</f>
        <v>STANDARD</v>
      </c>
      <c r="E910" s="9"/>
      <c r="F910" t="str">
        <f>IF(E910="",D910,E910)</f>
        <v>STANDARD</v>
      </c>
      <c r="G910" t="str">
        <f>INDEX(Netzzeiten!$B$6:$B$29,HOUR(B910)+1)</f>
        <v>ST</v>
      </c>
      <c r="H910" s="6">
        <f>IF(F910="GO",Eingaben!$B$11,IF(F910="STANDARD",Eingaben!$B$12,IF(AND(F910="HEAT",ISNUMBER(Eingaben!$B$13)),Eingaben!$B$13,"")))</f>
        <v>28.2744</v>
      </c>
      <c r="I910" s="6">
        <f>INDEX(Netzzeiten!$C$6:$C$29,HOUR(B910)+1)</f>
        <v>5.48</v>
      </c>
      <c r="J910" t="str">
        <f>IF(C910="","FEHLT",IF(NOT(ISNUMBER(C910)),"MESSWERT UNGUELTIG",IF(C910&lt;0,"MESSWERT UNGUELTIG",IF(H910="","TARIFPREIS FEHLT","OK"))))</f>
        <v>FEHLT</v>
      </c>
      <c r="K910" s="7">
        <f>IF(J910&lt;&gt;"OK","",C910*I910/100)</f>
        <v/>
      </c>
    </row>
    <row r="911" spans="1:11">
      <c r="A911" s="14">
        <v>46152</v>
      </c>
      <c r="B911" s="15">
        <v>0.4270833333333333</v>
      </c>
      <c r="C911" s="5">
        <f>IF('96 Werte'!AQ15="","",'96 Werte'!AQ15)</f>
        <v/>
      </c>
      <c r="D911" t="str">
        <f>IF(IF(Eingaben!$B$21&lt;Eingaben!$B$22,AND(B911&gt;=Eingaben!$B$21,B911&lt;Eingaben!$B$22),OR(B911&gt;=Eingaben!$B$21,B911&lt;Eingaben!$B$22)),"GO",IF(AND(ISNUMBER(Eingaben!$B$23),ISNUMBER(Eingaben!$B$24),IF(Eingaben!$B$23&lt;Eingaben!$B$24,AND(B911&gt;=Eingaben!$B$23,B911&lt;Eingaben!$B$24),OR(B911&gt;=Eingaben!$B$23,B911&lt;Eingaben!$B$24))),"HEAT","STANDARD"))</f>
        <v>STANDARD</v>
      </c>
      <c r="E911" s="9"/>
      <c r="F911" t="str">
        <f>IF(E911="",D911,E911)</f>
        <v>STANDARD</v>
      </c>
      <c r="G911" t="str">
        <f>INDEX(Netzzeiten!$B$6:$B$29,HOUR(B911)+1)</f>
        <v>ST</v>
      </c>
      <c r="H911" s="6">
        <f>IF(F911="GO",Eingaben!$B$11,IF(F911="STANDARD",Eingaben!$B$12,IF(AND(F911="HEAT",ISNUMBER(Eingaben!$B$13)),Eingaben!$B$13,"")))</f>
        <v>28.2744</v>
      </c>
      <c r="I911" s="6">
        <f>INDEX(Netzzeiten!$C$6:$C$29,HOUR(B911)+1)</f>
        <v>5.48</v>
      </c>
      <c r="J911" t="str">
        <f>IF(C911="","FEHLT",IF(NOT(ISNUMBER(C911)),"MESSWERT UNGUELTIG",IF(C911&lt;0,"MESSWERT UNGUELTIG",IF(H911="","TARIFPREIS FEHLT","OK"))))</f>
        <v>FEHLT</v>
      </c>
      <c r="K911" s="7">
        <f>IF(J911&lt;&gt;"OK","",C911*I911/100)</f>
        <v/>
      </c>
    </row>
    <row r="912" spans="1:11">
      <c r="A912" s="14">
        <v>46152</v>
      </c>
      <c r="B912" s="15">
        <v>0.4375</v>
      </c>
      <c r="C912" s="5">
        <f>IF('96 Werte'!AR15="","",'96 Werte'!AR15)</f>
        <v/>
      </c>
      <c r="D912" t="str">
        <f>IF(IF(Eingaben!$B$21&lt;Eingaben!$B$22,AND(B912&gt;=Eingaben!$B$21,B912&lt;Eingaben!$B$22),OR(B912&gt;=Eingaben!$B$21,B912&lt;Eingaben!$B$22)),"GO",IF(AND(ISNUMBER(Eingaben!$B$23),ISNUMBER(Eingaben!$B$24),IF(Eingaben!$B$23&lt;Eingaben!$B$24,AND(B912&gt;=Eingaben!$B$23,B912&lt;Eingaben!$B$24),OR(B912&gt;=Eingaben!$B$23,B912&lt;Eingaben!$B$24))),"HEAT","STANDARD"))</f>
        <v>STANDARD</v>
      </c>
      <c r="E912" s="9"/>
      <c r="F912" t="str">
        <f>IF(E912="",D912,E912)</f>
        <v>STANDARD</v>
      </c>
      <c r="G912" t="str">
        <f>INDEX(Netzzeiten!$B$6:$B$29,HOUR(B912)+1)</f>
        <v>ST</v>
      </c>
      <c r="H912" s="6">
        <f>IF(F912="GO",Eingaben!$B$11,IF(F912="STANDARD",Eingaben!$B$12,IF(AND(F912="HEAT",ISNUMBER(Eingaben!$B$13)),Eingaben!$B$13,"")))</f>
        <v>28.2744</v>
      </c>
      <c r="I912" s="6">
        <f>INDEX(Netzzeiten!$C$6:$C$29,HOUR(B912)+1)</f>
        <v>5.48</v>
      </c>
      <c r="J912" t="str">
        <f>IF(C912="","FEHLT",IF(NOT(ISNUMBER(C912)),"MESSWERT UNGUELTIG",IF(C912&lt;0,"MESSWERT UNGUELTIG",IF(H912="","TARIFPREIS FEHLT","OK"))))</f>
        <v>FEHLT</v>
      </c>
      <c r="K912" s="7">
        <f>IF(J912&lt;&gt;"OK","",C912*I912/100)</f>
        <v/>
      </c>
    </row>
    <row r="913" spans="1:11">
      <c r="A913" s="14">
        <v>46152</v>
      </c>
      <c r="B913" s="15">
        <v>0.4479166666666667</v>
      </c>
      <c r="C913" s="5">
        <f>IF('96 Werte'!AS15="","",'96 Werte'!AS15)</f>
        <v/>
      </c>
      <c r="D913" t="str">
        <f>IF(IF(Eingaben!$B$21&lt;Eingaben!$B$22,AND(B913&gt;=Eingaben!$B$21,B913&lt;Eingaben!$B$22),OR(B913&gt;=Eingaben!$B$21,B913&lt;Eingaben!$B$22)),"GO",IF(AND(ISNUMBER(Eingaben!$B$23),ISNUMBER(Eingaben!$B$24),IF(Eingaben!$B$23&lt;Eingaben!$B$24,AND(B913&gt;=Eingaben!$B$23,B913&lt;Eingaben!$B$24),OR(B913&gt;=Eingaben!$B$23,B913&lt;Eingaben!$B$24))),"HEAT","STANDARD"))</f>
        <v>STANDARD</v>
      </c>
      <c r="E913" s="9"/>
      <c r="F913" t="str">
        <f>IF(E913="",D913,E913)</f>
        <v>STANDARD</v>
      </c>
      <c r="G913" t="str">
        <f>INDEX(Netzzeiten!$B$6:$B$29,HOUR(B913)+1)</f>
        <v>ST</v>
      </c>
      <c r="H913" s="6">
        <f>IF(F913="GO",Eingaben!$B$11,IF(F913="STANDARD",Eingaben!$B$12,IF(AND(F913="HEAT",ISNUMBER(Eingaben!$B$13)),Eingaben!$B$13,"")))</f>
        <v>28.2744</v>
      </c>
      <c r="I913" s="6">
        <f>INDEX(Netzzeiten!$C$6:$C$29,HOUR(B913)+1)</f>
        <v>5.48</v>
      </c>
      <c r="J913" t="str">
        <f>IF(C913="","FEHLT",IF(NOT(ISNUMBER(C913)),"MESSWERT UNGUELTIG",IF(C913&lt;0,"MESSWERT UNGUELTIG",IF(H913="","TARIFPREIS FEHLT","OK"))))</f>
        <v>FEHLT</v>
      </c>
      <c r="K913" s="7">
        <f>IF(J913&lt;&gt;"OK","",C913*I913/100)</f>
        <v/>
      </c>
    </row>
    <row r="914" spans="1:11">
      <c r="A914" s="14">
        <v>46152</v>
      </c>
      <c r="B914" s="15">
        <v>0.4583333333333333</v>
      </c>
      <c r="C914" s="5">
        <f>IF('96 Werte'!AT15="","",'96 Werte'!AT15)</f>
        <v/>
      </c>
      <c r="D914" t="str">
        <f>IF(IF(Eingaben!$B$21&lt;Eingaben!$B$22,AND(B914&gt;=Eingaben!$B$21,B914&lt;Eingaben!$B$22),OR(B914&gt;=Eingaben!$B$21,B914&lt;Eingaben!$B$22)),"GO",IF(AND(ISNUMBER(Eingaben!$B$23),ISNUMBER(Eingaben!$B$24),IF(Eingaben!$B$23&lt;Eingaben!$B$24,AND(B914&gt;=Eingaben!$B$23,B914&lt;Eingaben!$B$24),OR(B914&gt;=Eingaben!$B$23,B914&lt;Eingaben!$B$24))),"HEAT","STANDARD"))</f>
        <v>STANDARD</v>
      </c>
      <c r="E914" s="9"/>
      <c r="F914" t="str">
        <f>IF(E914="",D914,E914)</f>
        <v>STANDARD</v>
      </c>
      <c r="G914" t="str">
        <f>INDEX(Netzzeiten!$B$6:$B$29,HOUR(B914)+1)</f>
        <v>NT</v>
      </c>
      <c r="H914" s="6">
        <f>IF(F914="GO",Eingaben!$B$11,IF(F914="STANDARD",Eingaben!$B$12,IF(AND(F914="HEAT",ISNUMBER(Eingaben!$B$13)),Eingaben!$B$13,"")))</f>
        <v>28.2744</v>
      </c>
      <c r="I914" s="6">
        <f>INDEX(Netzzeiten!$C$6:$C$29,HOUR(B914)+1)</f>
        <v>1.64</v>
      </c>
      <c r="J914" t="str">
        <f>IF(C914="","FEHLT",IF(NOT(ISNUMBER(C914)),"MESSWERT UNGUELTIG",IF(C914&lt;0,"MESSWERT UNGUELTIG",IF(H914="","TARIFPREIS FEHLT","OK"))))</f>
        <v>FEHLT</v>
      </c>
      <c r="K914" s="7">
        <f>IF(J914&lt;&gt;"OK","",C914*I914/100)</f>
        <v/>
      </c>
    </row>
    <row r="915" spans="1:11">
      <c r="A915" s="14">
        <v>46152</v>
      </c>
      <c r="B915" s="15">
        <v>0.46875</v>
      </c>
      <c r="C915" s="5">
        <f>IF('96 Werte'!AU15="","",'96 Werte'!AU15)</f>
        <v/>
      </c>
      <c r="D915" t="str">
        <f>IF(IF(Eingaben!$B$21&lt;Eingaben!$B$22,AND(B915&gt;=Eingaben!$B$21,B915&lt;Eingaben!$B$22),OR(B915&gt;=Eingaben!$B$21,B915&lt;Eingaben!$B$22)),"GO",IF(AND(ISNUMBER(Eingaben!$B$23),ISNUMBER(Eingaben!$B$24),IF(Eingaben!$B$23&lt;Eingaben!$B$24,AND(B915&gt;=Eingaben!$B$23,B915&lt;Eingaben!$B$24),OR(B915&gt;=Eingaben!$B$23,B915&lt;Eingaben!$B$24))),"HEAT","STANDARD"))</f>
        <v>STANDARD</v>
      </c>
      <c r="E915" s="9"/>
      <c r="F915" t="str">
        <f>IF(E915="",D915,E915)</f>
        <v>STANDARD</v>
      </c>
      <c r="G915" t="str">
        <f>INDEX(Netzzeiten!$B$6:$B$29,HOUR(B915)+1)</f>
        <v>NT</v>
      </c>
      <c r="H915" s="6">
        <f>IF(F915="GO",Eingaben!$B$11,IF(F915="STANDARD",Eingaben!$B$12,IF(AND(F915="HEAT",ISNUMBER(Eingaben!$B$13)),Eingaben!$B$13,"")))</f>
        <v>28.2744</v>
      </c>
      <c r="I915" s="6">
        <f>INDEX(Netzzeiten!$C$6:$C$29,HOUR(B915)+1)</f>
        <v>1.64</v>
      </c>
      <c r="J915" t="str">
        <f>IF(C915="","FEHLT",IF(NOT(ISNUMBER(C915)),"MESSWERT UNGUELTIG",IF(C915&lt;0,"MESSWERT UNGUELTIG",IF(H915="","TARIFPREIS FEHLT","OK"))))</f>
        <v>FEHLT</v>
      </c>
      <c r="K915" s="7">
        <f>IF(J915&lt;&gt;"OK","",C915*I915/100)</f>
        <v/>
      </c>
    </row>
    <row r="916" spans="1:11">
      <c r="A916" s="14">
        <v>46152</v>
      </c>
      <c r="B916" s="15">
        <v>0.4791666666666667</v>
      </c>
      <c r="C916" s="5">
        <f>IF('96 Werte'!AV15="","",'96 Werte'!AV15)</f>
        <v/>
      </c>
      <c r="D916" t="str">
        <f>IF(IF(Eingaben!$B$21&lt;Eingaben!$B$22,AND(B916&gt;=Eingaben!$B$21,B916&lt;Eingaben!$B$22),OR(B916&gt;=Eingaben!$B$21,B916&lt;Eingaben!$B$22)),"GO",IF(AND(ISNUMBER(Eingaben!$B$23),ISNUMBER(Eingaben!$B$24),IF(Eingaben!$B$23&lt;Eingaben!$B$24,AND(B916&gt;=Eingaben!$B$23,B916&lt;Eingaben!$B$24),OR(B916&gt;=Eingaben!$B$23,B916&lt;Eingaben!$B$24))),"HEAT","STANDARD"))</f>
        <v>STANDARD</v>
      </c>
      <c r="E916" s="9"/>
      <c r="F916" t="str">
        <f>IF(E916="",D916,E916)</f>
        <v>STANDARD</v>
      </c>
      <c r="G916" t="str">
        <f>INDEX(Netzzeiten!$B$6:$B$29,HOUR(B916)+1)</f>
        <v>NT</v>
      </c>
      <c r="H916" s="6">
        <f>IF(F916="GO",Eingaben!$B$11,IF(F916="STANDARD",Eingaben!$B$12,IF(AND(F916="HEAT",ISNUMBER(Eingaben!$B$13)),Eingaben!$B$13,"")))</f>
        <v>28.2744</v>
      </c>
      <c r="I916" s="6">
        <f>INDEX(Netzzeiten!$C$6:$C$29,HOUR(B916)+1)</f>
        <v>1.64</v>
      </c>
      <c r="J916" t="str">
        <f>IF(C916="","FEHLT",IF(NOT(ISNUMBER(C916)),"MESSWERT UNGUELTIG",IF(C916&lt;0,"MESSWERT UNGUELTIG",IF(H916="","TARIFPREIS FEHLT","OK"))))</f>
        <v>FEHLT</v>
      </c>
      <c r="K916" s="7">
        <f>IF(J916&lt;&gt;"OK","",C916*I916/100)</f>
        <v/>
      </c>
    </row>
    <row r="917" spans="1:11">
      <c r="A917" s="14">
        <v>46152</v>
      </c>
      <c r="B917" s="15">
        <v>0.4895833333333333</v>
      </c>
      <c r="C917" s="5">
        <f>IF('96 Werte'!AW15="","",'96 Werte'!AW15)</f>
        <v/>
      </c>
      <c r="D917" t="str">
        <f>IF(IF(Eingaben!$B$21&lt;Eingaben!$B$22,AND(B917&gt;=Eingaben!$B$21,B917&lt;Eingaben!$B$22),OR(B917&gt;=Eingaben!$B$21,B917&lt;Eingaben!$B$22)),"GO",IF(AND(ISNUMBER(Eingaben!$B$23),ISNUMBER(Eingaben!$B$24),IF(Eingaben!$B$23&lt;Eingaben!$B$24,AND(B917&gt;=Eingaben!$B$23,B917&lt;Eingaben!$B$24),OR(B917&gt;=Eingaben!$B$23,B917&lt;Eingaben!$B$24))),"HEAT","STANDARD"))</f>
        <v>STANDARD</v>
      </c>
      <c r="E917" s="9"/>
      <c r="F917" t="str">
        <f>IF(E917="",D917,E917)</f>
        <v>STANDARD</v>
      </c>
      <c r="G917" t="str">
        <f>INDEX(Netzzeiten!$B$6:$B$29,HOUR(B917)+1)</f>
        <v>NT</v>
      </c>
      <c r="H917" s="6">
        <f>IF(F917="GO",Eingaben!$B$11,IF(F917="STANDARD",Eingaben!$B$12,IF(AND(F917="HEAT",ISNUMBER(Eingaben!$B$13)),Eingaben!$B$13,"")))</f>
        <v>28.2744</v>
      </c>
      <c r="I917" s="6">
        <f>INDEX(Netzzeiten!$C$6:$C$29,HOUR(B917)+1)</f>
        <v>1.64</v>
      </c>
      <c r="J917" t="str">
        <f>IF(C917="","FEHLT",IF(NOT(ISNUMBER(C917)),"MESSWERT UNGUELTIG",IF(C917&lt;0,"MESSWERT UNGUELTIG",IF(H917="","TARIFPREIS FEHLT","OK"))))</f>
        <v>FEHLT</v>
      </c>
      <c r="K917" s="7">
        <f>IF(J917&lt;&gt;"OK","",C917*I917/100)</f>
        <v/>
      </c>
    </row>
    <row r="918" spans="1:11">
      <c r="A918" s="14">
        <v>46152</v>
      </c>
      <c r="B918" s="15">
        <v>0.5</v>
      </c>
      <c r="C918" s="5">
        <f>IF('96 Werte'!AX15="","",'96 Werte'!AX15)</f>
        <v/>
      </c>
      <c r="D918" t="str">
        <f>IF(IF(Eingaben!$B$21&lt;Eingaben!$B$22,AND(B918&gt;=Eingaben!$B$21,B918&lt;Eingaben!$B$22),OR(B918&gt;=Eingaben!$B$21,B918&lt;Eingaben!$B$22)),"GO",IF(AND(ISNUMBER(Eingaben!$B$23),ISNUMBER(Eingaben!$B$24),IF(Eingaben!$B$23&lt;Eingaben!$B$24,AND(B918&gt;=Eingaben!$B$23,B918&lt;Eingaben!$B$24),OR(B918&gt;=Eingaben!$B$23,B918&lt;Eingaben!$B$24))),"HEAT","STANDARD"))</f>
        <v>STANDARD</v>
      </c>
      <c r="E918" s="9"/>
      <c r="F918" t="str">
        <f>IF(E918="",D918,E918)</f>
        <v>STANDARD</v>
      </c>
      <c r="G918" t="str">
        <f>INDEX(Netzzeiten!$B$6:$B$29,HOUR(B918)+1)</f>
        <v>NT</v>
      </c>
      <c r="H918" s="6">
        <f>IF(F918="GO",Eingaben!$B$11,IF(F918="STANDARD",Eingaben!$B$12,IF(AND(F918="HEAT",ISNUMBER(Eingaben!$B$13)),Eingaben!$B$13,"")))</f>
        <v>28.2744</v>
      </c>
      <c r="I918" s="6">
        <f>INDEX(Netzzeiten!$C$6:$C$29,HOUR(B918)+1)</f>
        <v>1.64</v>
      </c>
      <c r="J918" t="str">
        <f>IF(C918="","FEHLT",IF(NOT(ISNUMBER(C918)),"MESSWERT UNGUELTIG",IF(C918&lt;0,"MESSWERT UNGUELTIG",IF(H918="","TARIFPREIS FEHLT","OK"))))</f>
        <v>FEHLT</v>
      </c>
      <c r="K918" s="7">
        <f>IF(J918&lt;&gt;"OK","",C918*I918/100)</f>
        <v/>
      </c>
    </row>
    <row r="919" spans="1:11">
      <c r="A919" s="14">
        <v>46152</v>
      </c>
      <c r="B919" s="15">
        <v>0.5104166666666666</v>
      </c>
      <c r="C919" s="5">
        <f>IF('96 Werte'!AY15="","",'96 Werte'!AY15)</f>
        <v/>
      </c>
      <c r="D919" t="str">
        <f>IF(IF(Eingaben!$B$21&lt;Eingaben!$B$22,AND(B919&gt;=Eingaben!$B$21,B919&lt;Eingaben!$B$22),OR(B919&gt;=Eingaben!$B$21,B919&lt;Eingaben!$B$22)),"GO",IF(AND(ISNUMBER(Eingaben!$B$23),ISNUMBER(Eingaben!$B$24),IF(Eingaben!$B$23&lt;Eingaben!$B$24,AND(B919&gt;=Eingaben!$B$23,B919&lt;Eingaben!$B$24),OR(B919&gt;=Eingaben!$B$23,B919&lt;Eingaben!$B$24))),"HEAT","STANDARD"))</f>
        <v>STANDARD</v>
      </c>
      <c r="E919" s="9"/>
      <c r="F919" t="str">
        <f>IF(E919="",D919,E919)</f>
        <v>STANDARD</v>
      </c>
      <c r="G919" t="str">
        <f>INDEX(Netzzeiten!$B$6:$B$29,HOUR(B919)+1)</f>
        <v>NT</v>
      </c>
      <c r="H919" s="6">
        <f>IF(F919="GO",Eingaben!$B$11,IF(F919="STANDARD",Eingaben!$B$12,IF(AND(F919="HEAT",ISNUMBER(Eingaben!$B$13)),Eingaben!$B$13,"")))</f>
        <v>28.2744</v>
      </c>
      <c r="I919" s="6">
        <f>INDEX(Netzzeiten!$C$6:$C$29,HOUR(B919)+1)</f>
        <v>1.64</v>
      </c>
      <c r="J919" t="str">
        <f>IF(C919="","FEHLT",IF(NOT(ISNUMBER(C919)),"MESSWERT UNGUELTIG",IF(C919&lt;0,"MESSWERT UNGUELTIG",IF(H919="","TARIFPREIS FEHLT","OK"))))</f>
        <v>FEHLT</v>
      </c>
      <c r="K919" s="7">
        <f>IF(J919&lt;&gt;"OK","",C919*I919/100)</f>
        <v/>
      </c>
    </row>
    <row r="920" spans="1:11">
      <c r="A920" s="14">
        <v>46152</v>
      </c>
      <c r="B920" s="15">
        <v>0.5208333333333334</v>
      </c>
      <c r="C920" s="5">
        <f>IF('96 Werte'!AZ15="","",'96 Werte'!AZ15)</f>
        <v/>
      </c>
      <c r="D920" t="str">
        <f>IF(IF(Eingaben!$B$21&lt;Eingaben!$B$22,AND(B920&gt;=Eingaben!$B$21,B920&lt;Eingaben!$B$22),OR(B920&gt;=Eingaben!$B$21,B920&lt;Eingaben!$B$22)),"GO",IF(AND(ISNUMBER(Eingaben!$B$23),ISNUMBER(Eingaben!$B$24),IF(Eingaben!$B$23&lt;Eingaben!$B$24,AND(B920&gt;=Eingaben!$B$23,B920&lt;Eingaben!$B$24),OR(B920&gt;=Eingaben!$B$23,B920&lt;Eingaben!$B$24))),"HEAT","STANDARD"))</f>
        <v>STANDARD</v>
      </c>
      <c r="E920" s="9"/>
      <c r="F920" t="str">
        <f>IF(E920="",D920,E920)</f>
        <v>STANDARD</v>
      </c>
      <c r="G920" t="str">
        <f>INDEX(Netzzeiten!$B$6:$B$29,HOUR(B920)+1)</f>
        <v>NT</v>
      </c>
      <c r="H920" s="6">
        <f>IF(F920="GO",Eingaben!$B$11,IF(F920="STANDARD",Eingaben!$B$12,IF(AND(F920="HEAT",ISNUMBER(Eingaben!$B$13)),Eingaben!$B$13,"")))</f>
        <v>28.2744</v>
      </c>
      <c r="I920" s="6">
        <f>INDEX(Netzzeiten!$C$6:$C$29,HOUR(B920)+1)</f>
        <v>1.64</v>
      </c>
      <c r="J920" t="str">
        <f>IF(C920="","FEHLT",IF(NOT(ISNUMBER(C920)),"MESSWERT UNGUELTIG",IF(C920&lt;0,"MESSWERT UNGUELTIG",IF(H920="","TARIFPREIS FEHLT","OK"))))</f>
        <v>FEHLT</v>
      </c>
      <c r="K920" s="7">
        <f>IF(J920&lt;&gt;"OK","",C920*I920/100)</f>
        <v/>
      </c>
    </row>
    <row r="921" spans="1:11">
      <c r="A921" s="14">
        <v>46152</v>
      </c>
      <c r="B921" s="15">
        <v>0.53125</v>
      </c>
      <c r="C921" s="5">
        <f>IF('96 Werte'!BA15="","",'96 Werte'!BA15)</f>
        <v/>
      </c>
      <c r="D921" t="str">
        <f>IF(IF(Eingaben!$B$21&lt;Eingaben!$B$22,AND(B921&gt;=Eingaben!$B$21,B921&lt;Eingaben!$B$22),OR(B921&gt;=Eingaben!$B$21,B921&lt;Eingaben!$B$22)),"GO",IF(AND(ISNUMBER(Eingaben!$B$23),ISNUMBER(Eingaben!$B$24),IF(Eingaben!$B$23&lt;Eingaben!$B$24,AND(B921&gt;=Eingaben!$B$23,B921&lt;Eingaben!$B$24),OR(B921&gt;=Eingaben!$B$23,B921&lt;Eingaben!$B$24))),"HEAT","STANDARD"))</f>
        <v>STANDARD</v>
      </c>
      <c r="E921" s="9"/>
      <c r="F921" t="str">
        <f>IF(E921="",D921,E921)</f>
        <v>STANDARD</v>
      </c>
      <c r="G921" t="str">
        <f>INDEX(Netzzeiten!$B$6:$B$29,HOUR(B921)+1)</f>
        <v>NT</v>
      </c>
      <c r="H921" s="6">
        <f>IF(F921="GO",Eingaben!$B$11,IF(F921="STANDARD",Eingaben!$B$12,IF(AND(F921="HEAT",ISNUMBER(Eingaben!$B$13)),Eingaben!$B$13,"")))</f>
        <v>28.2744</v>
      </c>
      <c r="I921" s="6">
        <f>INDEX(Netzzeiten!$C$6:$C$29,HOUR(B921)+1)</f>
        <v>1.64</v>
      </c>
      <c r="J921" t="str">
        <f>IF(C921="","FEHLT",IF(NOT(ISNUMBER(C921)),"MESSWERT UNGUELTIG",IF(C921&lt;0,"MESSWERT UNGUELTIG",IF(H921="","TARIFPREIS FEHLT","OK"))))</f>
        <v>FEHLT</v>
      </c>
      <c r="K921" s="7">
        <f>IF(J921&lt;&gt;"OK","",C921*I921/100)</f>
        <v/>
      </c>
    </row>
    <row r="922" spans="1:11">
      <c r="A922" s="14">
        <v>46152</v>
      </c>
      <c r="B922" s="15">
        <v>0.5416666666666666</v>
      </c>
      <c r="C922" s="5">
        <f>IF('96 Werte'!BB15="","",'96 Werte'!BB15)</f>
        <v/>
      </c>
      <c r="D922" t="str">
        <f>IF(IF(Eingaben!$B$21&lt;Eingaben!$B$22,AND(B922&gt;=Eingaben!$B$21,B922&lt;Eingaben!$B$22),OR(B922&gt;=Eingaben!$B$21,B922&lt;Eingaben!$B$22)),"GO",IF(AND(ISNUMBER(Eingaben!$B$23),ISNUMBER(Eingaben!$B$24),IF(Eingaben!$B$23&lt;Eingaben!$B$24,AND(B922&gt;=Eingaben!$B$23,B922&lt;Eingaben!$B$24),OR(B922&gt;=Eingaben!$B$23,B922&lt;Eingaben!$B$24))),"HEAT","STANDARD"))</f>
        <v>STANDARD</v>
      </c>
      <c r="E922" s="9"/>
      <c r="F922" t="str">
        <f>IF(E922="",D922,E922)</f>
        <v>STANDARD</v>
      </c>
      <c r="G922" t="str">
        <f>INDEX(Netzzeiten!$B$6:$B$29,HOUR(B922)+1)</f>
        <v>NT</v>
      </c>
      <c r="H922" s="6">
        <f>IF(F922="GO",Eingaben!$B$11,IF(F922="STANDARD",Eingaben!$B$12,IF(AND(F922="HEAT",ISNUMBER(Eingaben!$B$13)),Eingaben!$B$13,"")))</f>
        <v>28.2744</v>
      </c>
      <c r="I922" s="6">
        <f>INDEX(Netzzeiten!$C$6:$C$29,HOUR(B922)+1)</f>
        <v>1.64</v>
      </c>
      <c r="J922" t="str">
        <f>IF(C922="","FEHLT",IF(NOT(ISNUMBER(C922)),"MESSWERT UNGUELTIG",IF(C922&lt;0,"MESSWERT UNGUELTIG",IF(H922="","TARIFPREIS FEHLT","OK"))))</f>
        <v>FEHLT</v>
      </c>
      <c r="K922" s="7">
        <f>IF(J922&lt;&gt;"OK","",C922*I922/100)</f>
        <v/>
      </c>
    </row>
    <row r="923" spans="1:11">
      <c r="A923" s="14">
        <v>46152</v>
      </c>
      <c r="B923" s="15">
        <v>0.5520833333333334</v>
      </c>
      <c r="C923" s="5">
        <f>IF('96 Werte'!BC15="","",'96 Werte'!BC15)</f>
        <v/>
      </c>
      <c r="D923" t="str">
        <f>IF(IF(Eingaben!$B$21&lt;Eingaben!$B$22,AND(B923&gt;=Eingaben!$B$21,B923&lt;Eingaben!$B$22),OR(B923&gt;=Eingaben!$B$21,B923&lt;Eingaben!$B$22)),"GO",IF(AND(ISNUMBER(Eingaben!$B$23),ISNUMBER(Eingaben!$B$24),IF(Eingaben!$B$23&lt;Eingaben!$B$24,AND(B923&gt;=Eingaben!$B$23,B923&lt;Eingaben!$B$24),OR(B923&gt;=Eingaben!$B$23,B923&lt;Eingaben!$B$24))),"HEAT","STANDARD"))</f>
        <v>STANDARD</v>
      </c>
      <c r="E923" s="9"/>
      <c r="F923" t="str">
        <f>IF(E923="",D923,E923)</f>
        <v>STANDARD</v>
      </c>
      <c r="G923" t="str">
        <f>INDEX(Netzzeiten!$B$6:$B$29,HOUR(B923)+1)</f>
        <v>NT</v>
      </c>
      <c r="H923" s="6">
        <f>IF(F923="GO",Eingaben!$B$11,IF(F923="STANDARD",Eingaben!$B$12,IF(AND(F923="HEAT",ISNUMBER(Eingaben!$B$13)),Eingaben!$B$13,"")))</f>
        <v>28.2744</v>
      </c>
      <c r="I923" s="6">
        <f>INDEX(Netzzeiten!$C$6:$C$29,HOUR(B923)+1)</f>
        <v>1.64</v>
      </c>
      <c r="J923" t="str">
        <f>IF(C923="","FEHLT",IF(NOT(ISNUMBER(C923)),"MESSWERT UNGUELTIG",IF(C923&lt;0,"MESSWERT UNGUELTIG",IF(H923="","TARIFPREIS FEHLT","OK"))))</f>
        <v>FEHLT</v>
      </c>
      <c r="K923" s="7">
        <f>IF(J923&lt;&gt;"OK","",C923*I923/100)</f>
        <v/>
      </c>
    </row>
    <row r="924" spans="1:11">
      <c r="A924" s="14">
        <v>46152</v>
      </c>
      <c r="B924" s="15">
        <v>0.5625</v>
      </c>
      <c r="C924" s="5">
        <f>IF('96 Werte'!BD15="","",'96 Werte'!BD15)</f>
        <v/>
      </c>
      <c r="D924" t="str">
        <f>IF(IF(Eingaben!$B$21&lt;Eingaben!$B$22,AND(B924&gt;=Eingaben!$B$21,B924&lt;Eingaben!$B$22),OR(B924&gt;=Eingaben!$B$21,B924&lt;Eingaben!$B$22)),"GO",IF(AND(ISNUMBER(Eingaben!$B$23),ISNUMBER(Eingaben!$B$24),IF(Eingaben!$B$23&lt;Eingaben!$B$24,AND(B924&gt;=Eingaben!$B$23,B924&lt;Eingaben!$B$24),OR(B924&gt;=Eingaben!$B$23,B924&lt;Eingaben!$B$24))),"HEAT","STANDARD"))</f>
        <v>STANDARD</v>
      </c>
      <c r="E924" s="9"/>
      <c r="F924" t="str">
        <f>IF(E924="",D924,E924)</f>
        <v>STANDARD</v>
      </c>
      <c r="G924" t="str">
        <f>INDEX(Netzzeiten!$B$6:$B$29,HOUR(B924)+1)</f>
        <v>NT</v>
      </c>
      <c r="H924" s="6">
        <f>IF(F924="GO",Eingaben!$B$11,IF(F924="STANDARD",Eingaben!$B$12,IF(AND(F924="HEAT",ISNUMBER(Eingaben!$B$13)),Eingaben!$B$13,"")))</f>
        <v>28.2744</v>
      </c>
      <c r="I924" s="6">
        <f>INDEX(Netzzeiten!$C$6:$C$29,HOUR(B924)+1)</f>
        <v>1.64</v>
      </c>
      <c r="J924" t="str">
        <f>IF(C924="","FEHLT",IF(NOT(ISNUMBER(C924)),"MESSWERT UNGUELTIG",IF(C924&lt;0,"MESSWERT UNGUELTIG",IF(H924="","TARIFPREIS FEHLT","OK"))))</f>
        <v>FEHLT</v>
      </c>
      <c r="K924" s="7">
        <f>IF(J924&lt;&gt;"OK","",C924*I924/100)</f>
        <v/>
      </c>
    </row>
    <row r="925" spans="1:11">
      <c r="A925" s="14">
        <v>46152</v>
      </c>
      <c r="B925" s="15">
        <v>0.5729166666666666</v>
      </c>
      <c r="C925" s="5">
        <f>IF('96 Werte'!BE15="","",'96 Werte'!BE15)</f>
        <v/>
      </c>
      <c r="D925" t="str">
        <f>IF(IF(Eingaben!$B$21&lt;Eingaben!$B$22,AND(B925&gt;=Eingaben!$B$21,B925&lt;Eingaben!$B$22),OR(B925&gt;=Eingaben!$B$21,B925&lt;Eingaben!$B$22)),"GO",IF(AND(ISNUMBER(Eingaben!$B$23),ISNUMBER(Eingaben!$B$24),IF(Eingaben!$B$23&lt;Eingaben!$B$24,AND(B925&gt;=Eingaben!$B$23,B925&lt;Eingaben!$B$24),OR(B925&gt;=Eingaben!$B$23,B925&lt;Eingaben!$B$24))),"HEAT","STANDARD"))</f>
        <v>STANDARD</v>
      </c>
      <c r="E925" s="9"/>
      <c r="F925" t="str">
        <f>IF(E925="",D925,E925)</f>
        <v>STANDARD</v>
      </c>
      <c r="G925" t="str">
        <f>INDEX(Netzzeiten!$B$6:$B$29,HOUR(B925)+1)</f>
        <v>NT</v>
      </c>
      <c r="H925" s="6">
        <f>IF(F925="GO",Eingaben!$B$11,IF(F925="STANDARD",Eingaben!$B$12,IF(AND(F925="HEAT",ISNUMBER(Eingaben!$B$13)),Eingaben!$B$13,"")))</f>
        <v>28.2744</v>
      </c>
      <c r="I925" s="6">
        <f>INDEX(Netzzeiten!$C$6:$C$29,HOUR(B925)+1)</f>
        <v>1.64</v>
      </c>
      <c r="J925" t="str">
        <f>IF(C925="","FEHLT",IF(NOT(ISNUMBER(C925)),"MESSWERT UNGUELTIG",IF(C925&lt;0,"MESSWERT UNGUELTIG",IF(H925="","TARIFPREIS FEHLT","OK"))))</f>
        <v>FEHLT</v>
      </c>
      <c r="K925" s="7">
        <f>IF(J925&lt;&gt;"OK","",C925*I925/100)</f>
        <v/>
      </c>
    </row>
    <row r="926" spans="1:11">
      <c r="A926" s="14">
        <v>46152</v>
      </c>
      <c r="B926" s="15">
        <v>0.5833333333333334</v>
      </c>
      <c r="C926" s="5">
        <f>IF('96 Werte'!BF15="","",'96 Werte'!BF15)</f>
        <v/>
      </c>
      <c r="D926" t="str">
        <f>IF(IF(Eingaben!$B$21&lt;Eingaben!$B$22,AND(B926&gt;=Eingaben!$B$21,B926&lt;Eingaben!$B$22),OR(B926&gt;=Eingaben!$B$21,B926&lt;Eingaben!$B$22)),"GO",IF(AND(ISNUMBER(Eingaben!$B$23),ISNUMBER(Eingaben!$B$24),IF(Eingaben!$B$23&lt;Eingaben!$B$24,AND(B926&gt;=Eingaben!$B$23,B926&lt;Eingaben!$B$24),OR(B926&gt;=Eingaben!$B$23,B926&lt;Eingaben!$B$24))),"HEAT","STANDARD"))</f>
        <v>STANDARD</v>
      </c>
      <c r="E926" s="9"/>
      <c r="F926" t="str">
        <f>IF(E926="",D926,E926)</f>
        <v>STANDARD</v>
      </c>
      <c r="G926" t="str">
        <f>INDEX(Netzzeiten!$B$6:$B$29,HOUR(B926)+1)</f>
        <v>NT</v>
      </c>
      <c r="H926" s="6">
        <f>IF(F926="GO",Eingaben!$B$11,IF(F926="STANDARD",Eingaben!$B$12,IF(AND(F926="HEAT",ISNUMBER(Eingaben!$B$13)),Eingaben!$B$13,"")))</f>
        <v>28.2744</v>
      </c>
      <c r="I926" s="6">
        <f>INDEX(Netzzeiten!$C$6:$C$29,HOUR(B926)+1)</f>
        <v>1.64</v>
      </c>
      <c r="J926" t="str">
        <f>IF(C926="","FEHLT",IF(NOT(ISNUMBER(C926)),"MESSWERT UNGUELTIG",IF(C926&lt;0,"MESSWERT UNGUELTIG",IF(H926="","TARIFPREIS FEHLT","OK"))))</f>
        <v>FEHLT</v>
      </c>
      <c r="K926" s="7">
        <f>IF(J926&lt;&gt;"OK","",C926*I926/100)</f>
        <v/>
      </c>
    </row>
    <row r="927" spans="1:11">
      <c r="A927" s="14">
        <v>46152</v>
      </c>
      <c r="B927" s="15">
        <v>0.59375</v>
      </c>
      <c r="C927" s="5">
        <f>IF('96 Werte'!BG15="","",'96 Werte'!BG15)</f>
        <v/>
      </c>
      <c r="D927" t="str">
        <f>IF(IF(Eingaben!$B$21&lt;Eingaben!$B$22,AND(B927&gt;=Eingaben!$B$21,B927&lt;Eingaben!$B$22),OR(B927&gt;=Eingaben!$B$21,B927&lt;Eingaben!$B$22)),"GO",IF(AND(ISNUMBER(Eingaben!$B$23),ISNUMBER(Eingaben!$B$24),IF(Eingaben!$B$23&lt;Eingaben!$B$24,AND(B927&gt;=Eingaben!$B$23,B927&lt;Eingaben!$B$24),OR(B927&gt;=Eingaben!$B$23,B927&lt;Eingaben!$B$24))),"HEAT","STANDARD"))</f>
        <v>STANDARD</v>
      </c>
      <c r="E927" s="9"/>
      <c r="F927" t="str">
        <f>IF(E927="",D927,E927)</f>
        <v>STANDARD</v>
      </c>
      <c r="G927" t="str">
        <f>INDEX(Netzzeiten!$B$6:$B$29,HOUR(B927)+1)</f>
        <v>NT</v>
      </c>
      <c r="H927" s="6">
        <f>IF(F927="GO",Eingaben!$B$11,IF(F927="STANDARD",Eingaben!$B$12,IF(AND(F927="HEAT",ISNUMBER(Eingaben!$B$13)),Eingaben!$B$13,"")))</f>
        <v>28.2744</v>
      </c>
      <c r="I927" s="6">
        <f>INDEX(Netzzeiten!$C$6:$C$29,HOUR(B927)+1)</f>
        <v>1.64</v>
      </c>
      <c r="J927" t="str">
        <f>IF(C927="","FEHLT",IF(NOT(ISNUMBER(C927)),"MESSWERT UNGUELTIG",IF(C927&lt;0,"MESSWERT UNGUELTIG",IF(H927="","TARIFPREIS FEHLT","OK"))))</f>
        <v>FEHLT</v>
      </c>
      <c r="K927" s="7">
        <f>IF(J927&lt;&gt;"OK","",C927*I927/100)</f>
        <v/>
      </c>
    </row>
    <row r="928" spans="1:11">
      <c r="A928" s="14">
        <v>46152</v>
      </c>
      <c r="B928" s="15">
        <v>0.6041666666666666</v>
      </c>
      <c r="C928" s="5">
        <f>IF('96 Werte'!BH15="","",'96 Werte'!BH15)</f>
        <v/>
      </c>
      <c r="D928" t="str">
        <f>IF(IF(Eingaben!$B$21&lt;Eingaben!$B$22,AND(B928&gt;=Eingaben!$B$21,B928&lt;Eingaben!$B$22),OR(B928&gt;=Eingaben!$B$21,B928&lt;Eingaben!$B$22)),"GO",IF(AND(ISNUMBER(Eingaben!$B$23),ISNUMBER(Eingaben!$B$24),IF(Eingaben!$B$23&lt;Eingaben!$B$24,AND(B928&gt;=Eingaben!$B$23,B928&lt;Eingaben!$B$24),OR(B928&gt;=Eingaben!$B$23,B928&lt;Eingaben!$B$24))),"HEAT","STANDARD"))</f>
        <v>STANDARD</v>
      </c>
      <c r="E928" s="9"/>
      <c r="F928" t="str">
        <f>IF(E928="",D928,E928)</f>
        <v>STANDARD</v>
      </c>
      <c r="G928" t="str">
        <f>INDEX(Netzzeiten!$B$6:$B$29,HOUR(B928)+1)</f>
        <v>NT</v>
      </c>
      <c r="H928" s="6">
        <f>IF(F928="GO",Eingaben!$B$11,IF(F928="STANDARD",Eingaben!$B$12,IF(AND(F928="HEAT",ISNUMBER(Eingaben!$B$13)),Eingaben!$B$13,"")))</f>
        <v>28.2744</v>
      </c>
      <c r="I928" s="6">
        <f>INDEX(Netzzeiten!$C$6:$C$29,HOUR(B928)+1)</f>
        <v>1.64</v>
      </c>
      <c r="J928" t="str">
        <f>IF(C928="","FEHLT",IF(NOT(ISNUMBER(C928)),"MESSWERT UNGUELTIG",IF(C928&lt;0,"MESSWERT UNGUELTIG",IF(H928="","TARIFPREIS FEHLT","OK"))))</f>
        <v>FEHLT</v>
      </c>
      <c r="K928" s="7">
        <f>IF(J928&lt;&gt;"OK","",C928*I928/100)</f>
        <v/>
      </c>
    </row>
    <row r="929" spans="1:11">
      <c r="A929" s="14">
        <v>46152</v>
      </c>
      <c r="B929" s="15">
        <v>0.6145833333333334</v>
      </c>
      <c r="C929" s="5">
        <f>IF('96 Werte'!BI15="","",'96 Werte'!BI15)</f>
        <v/>
      </c>
      <c r="D929" t="str">
        <f>IF(IF(Eingaben!$B$21&lt;Eingaben!$B$22,AND(B929&gt;=Eingaben!$B$21,B929&lt;Eingaben!$B$22),OR(B929&gt;=Eingaben!$B$21,B929&lt;Eingaben!$B$22)),"GO",IF(AND(ISNUMBER(Eingaben!$B$23),ISNUMBER(Eingaben!$B$24),IF(Eingaben!$B$23&lt;Eingaben!$B$24,AND(B929&gt;=Eingaben!$B$23,B929&lt;Eingaben!$B$24),OR(B929&gt;=Eingaben!$B$23,B929&lt;Eingaben!$B$24))),"HEAT","STANDARD"))</f>
        <v>STANDARD</v>
      </c>
      <c r="E929" s="9"/>
      <c r="F929" t="str">
        <f>IF(E929="",D929,E929)</f>
        <v>STANDARD</v>
      </c>
      <c r="G929" t="str">
        <f>INDEX(Netzzeiten!$B$6:$B$29,HOUR(B929)+1)</f>
        <v>NT</v>
      </c>
      <c r="H929" s="6">
        <f>IF(F929="GO",Eingaben!$B$11,IF(F929="STANDARD",Eingaben!$B$12,IF(AND(F929="HEAT",ISNUMBER(Eingaben!$B$13)),Eingaben!$B$13,"")))</f>
        <v>28.2744</v>
      </c>
      <c r="I929" s="6">
        <f>INDEX(Netzzeiten!$C$6:$C$29,HOUR(B929)+1)</f>
        <v>1.64</v>
      </c>
      <c r="J929" t="str">
        <f>IF(C929="","FEHLT",IF(NOT(ISNUMBER(C929)),"MESSWERT UNGUELTIG",IF(C929&lt;0,"MESSWERT UNGUELTIG",IF(H929="","TARIFPREIS FEHLT","OK"))))</f>
        <v>FEHLT</v>
      </c>
      <c r="K929" s="7">
        <f>IF(J929&lt;&gt;"OK","",C929*I929/100)</f>
        <v/>
      </c>
    </row>
    <row r="930" spans="1:11">
      <c r="A930" s="14">
        <v>46152</v>
      </c>
      <c r="B930" s="15">
        <v>0.625</v>
      </c>
      <c r="C930" s="5">
        <f>IF('96 Werte'!BJ15="","",'96 Werte'!BJ15)</f>
        <v/>
      </c>
      <c r="D930" t="str">
        <f>IF(IF(Eingaben!$B$21&lt;Eingaben!$B$22,AND(B930&gt;=Eingaben!$B$21,B930&lt;Eingaben!$B$22),OR(B930&gt;=Eingaben!$B$21,B930&lt;Eingaben!$B$22)),"GO",IF(AND(ISNUMBER(Eingaben!$B$23),ISNUMBER(Eingaben!$B$24),IF(Eingaben!$B$23&lt;Eingaben!$B$24,AND(B930&gt;=Eingaben!$B$23,B930&lt;Eingaben!$B$24),OR(B930&gt;=Eingaben!$B$23,B930&lt;Eingaben!$B$24))),"HEAT","STANDARD"))</f>
        <v>STANDARD</v>
      </c>
      <c r="E930" s="9"/>
      <c r="F930" t="str">
        <f>IF(E930="",D930,E930)</f>
        <v>STANDARD</v>
      </c>
      <c r="G930" t="str">
        <f>INDEX(Netzzeiten!$B$6:$B$29,HOUR(B930)+1)</f>
        <v>ST</v>
      </c>
      <c r="H930" s="6">
        <f>IF(F930="GO",Eingaben!$B$11,IF(F930="STANDARD",Eingaben!$B$12,IF(AND(F930="HEAT",ISNUMBER(Eingaben!$B$13)),Eingaben!$B$13,"")))</f>
        <v>28.2744</v>
      </c>
      <c r="I930" s="6">
        <f>INDEX(Netzzeiten!$C$6:$C$29,HOUR(B930)+1)</f>
        <v>5.48</v>
      </c>
      <c r="J930" t="str">
        <f>IF(C930="","FEHLT",IF(NOT(ISNUMBER(C930)),"MESSWERT UNGUELTIG",IF(C930&lt;0,"MESSWERT UNGUELTIG",IF(H930="","TARIFPREIS FEHLT","OK"))))</f>
        <v>FEHLT</v>
      </c>
      <c r="K930" s="7">
        <f>IF(J930&lt;&gt;"OK","",C930*I930/100)</f>
        <v/>
      </c>
    </row>
    <row r="931" spans="1:11">
      <c r="A931" s="14">
        <v>46152</v>
      </c>
      <c r="B931" s="15">
        <v>0.6354166666666666</v>
      </c>
      <c r="C931" s="5">
        <f>IF('96 Werte'!BK15="","",'96 Werte'!BK15)</f>
        <v/>
      </c>
      <c r="D931" t="str">
        <f>IF(IF(Eingaben!$B$21&lt;Eingaben!$B$22,AND(B931&gt;=Eingaben!$B$21,B931&lt;Eingaben!$B$22),OR(B931&gt;=Eingaben!$B$21,B931&lt;Eingaben!$B$22)),"GO",IF(AND(ISNUMBER(Eingaben!$B$23),ISNUMBER(Eingaben!$B$24),IF(Eingaben!$B$23&lt;Eingaben!$B$24,AND(B931&gt;=Eingaben!$B$23,B931&lt;Eingaben!$B$24),OR(B931&gt;=Eingaben!$B$23,B931&lt;Eingaben!$B$24))),"HEAT","STANDARD"))</f>
        <v>STANDARD</v>
      </c>
      <c r="E931" s="9"/>
      <c r="F931" t="str">
        <f>IF(E931="",D931,E931)</f>
        <v>STANDARD</v>
      </c>
      <c r="G931" t="str">
        <f>INDEX(Netzzeiten!$B$6:$B$29,HOUR(B931)+1)</f>
        <v>ST</v>
      </c>
      <c r="H931" s="6">
        <f>IF(F931="GO",Eingaben!$B$11,IF(F931="STANDARD",Eingaben!$B$12,IF(AND(F931="HEAT",ISNUMBER(Eingaben!$B$13)),Eingaben!$B$13,"")))</f>
        <v>28.2744</v>
      </c>
      <c r="I931" s="6">
        <f>INDEX(Netzzeiten!$C$6:$C$29,HOUR(B931)+1)</f>
        <v>5.48</v>
      </c>
      <c r="J931" t="str">
        <f>IF(C931="","FEHLT",IF(NOT(ISNUMBER(C931)),"MESSWERT UNGUELTIG",IF(C931&lt;0,"MESSWERT UNGUELTIG",IF(H931="","TARIFPREIS FEHLT","OK"))))</f>
        <v>FEHLT</v>
      </c>
      <c r="K931" s="7">
        <f>IF(J931&lt;&gt;"OK","",C931*I931/100)</f>
        <v/>
      </c>
    </row>
    <row r="932" spans="1:11">
      <c r="A932" s="14">
        <v>46152</v>
      </c>
      <c r="B932" s="15">
        <v>0.6458333333333334</v>
      </c>
      <c r="C932" s="5">
        <f>IF('96 Werte'!BL15="","",'96 Werte'!BL15)</f>
        <v/>
      </c>
      <c r="D932" t="str">
        <f>IF(IF(Eingaben!$B$21&lt;Eingaben!$B$22,AND(B932&gt;=Eingaben!$B$21,B932&lt;Eingaben!$B$22),OR(B932&gt;=Eingaben!$B$21,B932&lt;Eingaben!$B$22)),"GO",IF(AND(ISNUMBER(Eingaben!$B$23),ISNUMBER(Eingaben!$B$24),IF(Eingaben!$B$23&lt;Eingaben!$B$24,AND(B932&gt;=Eingaben!$B$23,B932&lt;Eingaben!$B$24),OR(B932&gt;=Eingaben!$B$23,B932&lt;Eingaben!$B$24))),"HEAT","STANDARD"))</f>
        <v>STANDARD</v>
      </c>
      <c r="E932" s="9"/>
      <c r="F932" t="str">
        <f>IF(E932="",D932,E932)</f>
        <v>STANDARD</v>
      </c>
      <c r="G932" t="str">
        <f>INDEX(Netzzeiten!$B$6:$B$29,HOUR(B932)+1)</f>
        <v>ST</v>
      </c>
      <c r="H932" s="6">
        <f>IF(F932="GO",Eingaben!$B$11,IF(F932="STANDARD",Eingaben!$B$12,IF(AND(F932="HEAT",ISNUMBER(Eingaben!$B$13)),Eingaben!$B$13,"")))</f>
        <v>28.2744</v>
      </c>
      <c r="I932" s="6">
        <f>INDEX(Netzzeiten!$C$6:$C$29,HOUR(B932)+1)</f>
        <v>5.48</v>
      </c>
      <c r="J932" t="str">
        <f>IF(C932="","FEHLT",IF(NOT(ISNUMBER(C932)),"MESSWERT UNGUELTIG",IF(C932&lt;0,"MESSWERT UNGUELTIG",IF(H932="","TARIFPREIS FEHLT","OK"))))</f>
        <v>FEHLT</v>
      </c>
      <c r="K932" s="7">
        <f>IF(J932&lt;&gt;"OK","",C932*I932/100)</f>
        <v/>
      </c>
    </row>
    <row r="933" spans="1:11">
      <c r="A933" s="14">
        <v>46152</v>
      </c>
      <c r="B933" s="15">
        <v>0.65625</v>
      </c>
      <c r="C933" s="5">
        <f>IF('96 Werte'!BM15="","",'96 Werte'!BM15)</f>
        <v/>
      </c>
      <c r="D933" t="str">
        <f>IF(IF(Eingaben!$B$21&lt;Eingaben!$B$22,AND(B933&gt;=Eingaben!$B$21,B933&lt;Eingaben!$B$22),OR(B933&gt;=Eingaben!$B$21,B933&lt;Eingaben!$B$22)),"GO",IF(AND(ISNUMBER(Eingaben!$B$23),ISNUMBER(Eingaben!$B$24),IF(Eingaben!$B$23&lt;Eingaben!$B$24,AND(B933&gt;=Eingaben!$B$23,B933&lt;Eingaben!$B$24),OR(B933&gt;=Eingaben!$B$23,B933&lt;Eingaben!$B$24))),"HEAT","STANDARD"))</f>
        <v>STANDARD</v>
      </c>
      <c r="E933" s="9"/>
      <c r="F933" t="str">
        <f>IF(E933="",D933,E933)</f>
        <v>STANDARD</v>
      </c>
      <c r="G933" t="str">
        <f>INDEX(Netzzeiten!$B$6:$B$29,HOUR(B933)+1)</f>
        <v>ST</v>
      </c>
      <c r="H933" s="6">
        <f>IF(F933="GO",Eingaben!$B$11,IF(F933="STANDARD",Eingaben!$B$12,IF(AND(F933="HEAT",ISNUMBER(Eingaben!$B$13)),Eingaben!$B$13,"")))</f>
        <v>28.2744</v>
      </c>
      <c r="I933" s="6">
        <f>INDEX(Netzzeiten!$C$6:$C$29,HOUR(B933)+1)</f>
        <v>5.48</v>
      </c>
      <c r="J933" t="str">
        <f>IF(C933="","FEHLT",IF(NOT(ISNUMBER(C933)),"MESSWERT UNGUELTIG",IF(C933&lt;0,"MESSWERT UNGUELTIG",IF(H933="","TARIFPREIS FEHLT","OK"))))</f>
        <v>FEHLT</v>
      </c>
      <c r="K933" s="7">
        <f>IF(J933&lt;&gt;"OK","",C933*I933/100)</f>
        <v/>
      </c>
    </row>
    <row r="934" spans="1:11">
      <c r="A934" s="14">
        <v>46152</v>
      </c>
      <c r="B934" s="15">
        <v>0.6666666666666666</v>
      </c>
      <c r="C934" s="5">
        <f>IF('96 Werte'!BN15="","",'96 Werte'!BN15)</f>
        <v/>
      </c>
      <c r="D934" t="str">
        <f>IF(IF(Eingaben!$B$21&lt;Eingaben!$B$22,AND(B934&gt;=Eingaben!$B$21,B934&lt;Eingaben!$B$22),OR(B934&gt;=Eingaben!$B$21,B934&lt;Eingaben!$B$22)),"GO",IF(AND(ISNUMBER(Eingaben!$B$23),ISNUMBER(Eingaben!$B$24),IF(Eingaben!$B$23&lt;Eingaben!$B$24,AND(B934&gt;=Eingaben!$B$23,B934&lt;Eingaben!$B$24),OR(B934&gt;=Eingaben!$B$23,B934&lt;Eingaben!$B$24))),"HEAT","STANDARD"))</f>
        <v>STANDARD</v>
      </c>
      <c r="E934" s="9"/>
      <c r="F934" t="str">
        <f>IF(E934="",D934,E934)</f>
        <v>STANDARD</v>
      </c>
      <c r="G934" t="str">
        <f>INDEX(Netzzeiten!$B$6:$B$29,HOUR(B934)+1)</f>
        <v>ST</v>
      </c>
      <c r="H934" s="6">
        <f>IF(F934="GO",Eingaben!$B$11,IF(F934="STANDARD",Eingaben!$B$12,IF(AND(F934="HEAT",ISNUMBER(Eingaben!$B$13)),Eingaben!$B$13,"")))</f>
        <v>28.2744</v>
      </c>
      <c r="I934" s="6">
        <f>INDEX(Netzzeiten!$C$6:$C$29,HOUR(B934)+1)</f>
        <v>5.48</v>
      </c>
      <c r="J934" t="str">
        <f>IF(C934="","FEHLT",IF(NOT(ISNUMBER(C934)),"MESSWERT UNGUELTIG",IF(C934&lt;0,"MESSWERT UNGUELTIG",IF(H934="","TARIFPREIS FEHLT","OK"))))</f>
        <v>FEHLT</v>
      </c>
      <c r="K934" s="7">
        <f>IF(J934&lt;&gt;"OK","",C934*I934/100)</f>
        <v/>
      </c>
    </row>
    <row r="935" spans="1:11">
      <c r="A935" s="14">
        <v>46152</v>
      </c>
      <c r="B935" s="15">
        <v>0.6770833333333334</v>
      </c>
      <c r="C935" s="5">
        <f>IF('96 Werte'!BO15="","",'96 Werte'!BO15)</f>
        <v/>
      </c>
      <c r="D935" t="str">
        <f>IF(IF(Eingaben!$B$21&lt;Eingaben!$B$22,AND(B935&gt;=Eingaben!$B$21,B935&lt;Eingaben!$B$22),OR(B935&gt;=Eingaben!$B$21,B935&lt;Eingaben!$B$22)),"GO",IF(AND(ISNUMBER(Eingaben!$B$23),ISNUMBER(Eingaben!$B$24),IF(Eingaben!$B$23&lt;Eingaben!$B$24,AND(B935&gt;=Eingaben!$B$23,B935&lt;Eingaben!$B$24),OR(B935&gt;=Eingaben!$B$23,B935&lt;Eingaben!$B$24))),"HEAT","STANDARD"))</f>
        <v>STANDARD</v>
      </c>
      <c r="E935" s="9"/>
      <c r="F935" t="str">
        <f>IF(E935="",D935,E935)</f>
        <v>STANDARD</v>
      </c>
      <c r="G935" t="str">
        <f>INDEX(Netzzeiten!$B$6:$B$29,HOUR(B935)+1)</f>
        <v>ST</v>
      </c>
      <c r="H935" s="6">
        <f>IF(F935="GO",Eingaben!$B$11,IF(F935="STANDARD",Eingaben!$B$12,IF(AND(F935="HEAT",ISNUMBER(Eingaben!$B$13)),Eingaben!$B$13,"")))</f>
        <v>28.2744</v>
      </c>
      <c r="I935" s="6">
        <f>INDEX(Netzzeiten!$C$6:$C$29,HOUR(B935)+1)</f>
        <v>5.48</v>
      </c>
      <c r="J935" t="str">
        <f>IF(C935="","FEHLT",IF(NOT(ISNUMBER(C935)),"MESSWERT UNGUELTIG",IF(C935&lt;0,"MESSWERT UNGUELTIG",IF(H935="","TARIFPREIS FEHLT","OK"))))</f>
        <v>FEHLT</v>
      </c>
      <c r="K935" s="7">
        <f>IF(J935&lt;&gt;"OK","",C935*I935/100)</f>
        <v/>
      </c>
    </row>
    <row r="936" spans="1:11">
      <c r="A936" s="14">
        <v>46152</v>
      </c>
      <c r="B936" s="15">
        <v>0.6875</v>
      </c>
      <c r="C936" s="5">
        <f>IF('96 Werte'!BP15="","",'96 Werte'!BP15)</f>
        <v/>
      </c>
      <c r="D936" t="str">
        <f>IF(IF(Eingaben!$B$21&lt;Eingaben!$B$22,AND(B936&gt;=Eingaben!$B$21,B936&lt;Eingaben!$B$22),OR(B936&gt;=Eingaben!$B$21,B936&lt;Eingaben!$B$22)),"GO",IF(AND(ISNUMBER(Eingaben!$B$23),ISNUMBER(Eingaben!$B$24),IF(Eingaben!$B$23&lt;Eingaben!$B$24,AND(B936&gt;=Eingaben!$B$23,B936&lt;Eingaben!$B$24),OR(B936&gt;=Eingaben!$B$23,B936&lt;Eingaben!$B$24))),"HEAT","STANDARD"))</f>
        <v>STANDARD</v>
      </c>
      <c r="E936" s="9"/>
      <c r="F936" t="str">
        <f>IF(E936="",D936,E936)</f>
        <v>STANDARD</v>
      </c>
      <c r="G936" t="str">
        <f>INDEX(Netzzeiten!$B$6:$B$29,HOUR(B936)+1)</f>
        <v>ST</v>
      </c>
      <c r="H936" s="6">
        <f>IF(F936="GO",Eingaben!$B$11,IF(F936="STANDARD",Eingaben!$B$12,IF(AND(F936="HEAT",ISNUMBER(Eingaben!$B$13)),Eingaben!$B$13,"")))</f>
        <v>28.2744</v>
      </c>
      <c r="I936" s="6">
        <f>INDEX(Netzzeiten!$C$6:$C$29,HOUR(B936)+1)</f>
        <v>5.48</v>
      </c>
      <c r="J936" t="str">
        <f>IF(C936="","FEHLT",IF(NOT(ISNUMBER(C936)),"MESSWERT UNGUELTIG",IF(C936&lt;0,"MESSWERT UNGUELTIG",IF(H936="","TARIFPREIS FEHLT","OK"))))</f>
        <v>FEHLT</v>
      </c>
      <c r="K936" s="7">
        <f>IF(J936&lt;&gt;"OK","",C936*I936/100)</f>
        <v/>
      </c>
    </row>
    <row r="937" spans="1:11">
      <c r="A937" s="14">
        <v>46152</v>
      </c>
      <c r="B937" s="15">
        <v>0.6979166666666666</v>
      </c>
      <c r="C937" s="5">
        <f>IF('96 Werte'!BQ15="","",'96 Werte'!BQ15)</f>
        <v/>
      </c>
      <c r="D937" t="str">
        <f>IF(IF(Eingaben!$B$21&lt;Eingaben!$B$22,AND(B937&gt;=Eingaben!$B$21,B937&lt;Eingaben!$B$22),OR(B937&gt;=Eingaben!$B$21,B937&lt;Eingaben!$B$22)),"GO",IF(AND(ISNUMBER(Eingaben!$B$23),ISNUMBER(Eingaben!$B$24),IF(Eingaben!$B$23&lt;Eingaben!$B$24,AND(B937&gt;=Eingaben!$B$23,B937&lt;Eingaben!$B$24),OR(B937&gt;=Eingaben!$B$23,B937&lt;Eingaben!$B$24))),"HEAT","STANDARD"))</f>
        <v>STANDARD</v>
      </c>
      <c r="E937" s="9"/>
      <c r="F937" t="str">
        <f>IF(E937="",D937,E937)</f>
        <v>STANDARD</v>
      </c>
      <c r="G937" t="str">
        <f>INDEX(Netzzeiten!$B$6:$B$29,HOUR(B937)+1)</f>
        <v>ST</v>
      </c>
      <c r="H937" s="6">
        <f>IF(F937="GO",Eingaben!$B$11,IF(F937="STANDARD",Eingaben!$B$12,IF(AND(F937="HEAT",ISNUMBER(Eingaben!$B$13)),Eingaben!$B$13,"")))</f>
        <v>28.2744</v>
      </c>
      <c r="I937" s="6">
        <f>INDEX(Netzzeiten!$C$6:$C$29,HOUR(B937)+1)</f>
        <v>5.48</v>
      </c>
      <c r="J937" t="str">
        <f>IF(C937="","FEHLT",IF(NOT(ISNUMBER(C937)),"MESSWERT UNGUELTIG",IF(C937&lt;0,"MESSWERT UNGUELTIG",IF(H937="","TARIFPREIS FEHLT","OK"))))</f>
        <v>FEHLT</v>
      </c>
      <c r="K937" s="7">
        <f>IF(J937&lt;&gt;"OK","",C937*I937/100)</f>
        <v/>
      </c>
    </row>
    <row r="938" spans="1:11">
      <c r="A938" s="14">
        <v>46152</v>
      </c>
      <c r="B938" s="15">
        <v>0.7083333333333334</v>
      </c>
      <c r="C938" s="5">
        <f>IF('96 Werte'!BR15="","",'96 Werte'!BR15)</f>
        <v/>
      </c>
      <c r="D938" t="str">
        <f>IF(IF(Eingaben!$B$21&lt;Eingaben!$B$22,AND(B938&gt;=Eingaben!$B$21,B938&lt;Eingaben!$B$22),OR(B938&gt;=Eingaben!$B$21,B938&lt;Eingaben!$B$22)),"GO",IF(AND(ISNUMBER(Eingaben!$B$23),ISNUMBER(Eingaben!$B$24),IF(Eingaben!$B$23&lt;Eingaben!$B$24,AND(B938&gt;=Eingaben!$B$23,B938&lt;Eingaben!$B$24),OR(B938&gt;=Eingaben!$B$23,B938&lt;Eingaben!$B$24))),"HEAT","STANDARD"))</f>
        <v>STANDARD</v>
      </c>
      <c r="E938" s="9"/>
      <c r="F938" t="str">
        <f>IF(E938="",D938,E938)</f>
        <v>STANDARD</v>
      </c>
      <c r="G938" t="str">
        <f>INDEX(Netzzeiten!$B$6:$B$29,HOUR(B938)+1)</f>
        <v>HT</v>
      </c>
      <c r="H938" s="6">
        <f>IF(F938="GO",Eingaben!$B$11,IF(F938="STANDARD",Eingaben!$B$12,IF(AND(F938="HEAT",ISNUMBER(Eingaben!$B$13)),Eingaben!$B$13,"")))</f>
        <v>28.2744</v>
      </c>
      <c r="I938" s="6">
        <f>INDEX(Netzzeiten!$C$6:$C$29,HOUR(B938)+1)</f>
        <v>10.52</v>
      </c>
      <c r="J938" t="str">
        <f>IF(C938="","FEHLT",IF(NOT(ISNUMBER(C938)),"MESSWERT UNGUELTIG",IF(C938&lt;0,"MESSWERT UNGUELTIG",IF(H938="","TARIFPREIS FEHLT","OK"))))</f>
        <v>FEHLT</v>
      </c>
      <c r="K938" s="7">
        <f>IF(J938&lt;&gt;"OK","",C938*I938/100)</f>
        <v/>
      </c>
    </row>
    <row r="939" spans="1:11">
      <c r="A939" s="14">
        <v>46152</v>
      </c>
      <c r="B939" s="15">
        <v>0.71875</v>
      </c>
      <c r="C939" s="5">
        <f>IF('96 Werte'!BS15="","",'96 Werte'!BS15)</f>
        <v/>
      </c>
      <c r="D939" t="str">
        <f>IF(IF(Eingaben!$B$21&lt;Eingaben!$B$22,AND(B939&gt;=Eingaben!$B$21,B939&lt;Eingaben!$B$22),OR(B939&gt;=Eingaben!$B$21,B939&lt;Eingaben!$B$22)),"GO",IF(AND(ISNUMBER(Eingaben!$B$23),ISNUMBER(Eingaben!$B$24),IF(Eingaben!$B$23&lt;Eingaben!$B$24,AND(B939&gt;=Eingaben!$B$23,B939&lt;Eingaben!$B$24),OR(B939&gt;=Eingaben!$B$23,B939&lt;Eingaben!$B$24))),"HEAT","STANDARD"))</f>
        <v>STANDARD</v>
      </c>
      <c r="E939" s="9"/>
      <c r="F939" t="str">
        <f>IF(E939="",D939,E939)</f>
        <v>STANDARD</v>
      </c>
      <c r="G939" t="str">
        <f>INDEX(Netzzeiten!$B$6:$B$29,HOUR(B939)+1)</f>
        <v>HT</v>
      </c>
      <c r="H939" s="6">
        <f>IF(F939="GO",Eingaben!$B$11,IF(F939="STANDARD",Eingaben!$B$12,IF(AND(F939="HEAT",ISNUMBER(Eingaben!$B$13)),Eingaben!$B$13,"")))</f>
        <v>28.2744</v>
      </c>
      <c r="I939" s="6">
        <f>INDEX(Netzzeiten!$C$6:$C$29,HOUR(B939)+1)</f>
        <v>10.52</v>
      </c>
      <c r="J939" t="str">
        <f>IF(C939="","FEHLT",IF(NOT(ISNUMBER(C939)),"MESSWERT UNGUELTIG",IF(C939&lt;0,"MESSWERT UNGUELTIG",IF(H939="","TARIFPREIS FEHLT","OK"))))</f>
        <v>FEHLT</v>
      </c>
      <c r="K939" s="7">
        <f>IF(J939&lt;&gt;"OK","",C939*I939/100)</f>
        <v/>
      </c>
    </row>
    <row r="940" spans="1:11">
      <c r="A940" s="14">
        <v>46152</v>
      </c>
      <c r="B940" s="15">
        <v>0.7291666666666666</v>
      </c>
      <c r="C940" s="5">
        <f>IF('96 Werte'!BT15="","",'96 Werte'!BT15)</f>
        <v/>
      </c>
      <c r="D940" t="str">
        <f>IF(IF(Eingaben!$B$21&lt;Eingaben!$B$22,AND(B940&gt;=Eingaben!$B$21,B940&lt;Eingaben!$B$22),OR(B940&gt;=Eingaben!$B$21,B940&lt;Eingaben!$B$22)),"GO",IF(AND(ISNUMBER(Eingaben!$B$23),ISNUMBER(Eingaben!$B$24),IF(Eingaben!$B$23&lt;Eingaben!$B$24,AND(B940&gt;=Eingaben!$B$23,B940&lt;Eingaben!$B$24),OR(B940&gt;=Eingaben!$B$23,B940&lt;Eingaben!$B$24))),"HEAT","STANDARD"))</f>
        <v>STANDARD</v>
      </c>
      <c r="E940" s="9"/>
      <c r="F940" t="str">
        <f>IF(E940="",D940,E940)</f>
        <v>STANDARD</v>
      </c>
      <c r="G940" t="str">
        <f>INDEX(Netzzeiten!$B$6:$B$29,HOUR(B940)+1)</f>
        <v>HT</v>
      </c>
      <c r="H940" s="6">
        <f>IF(F940="GO",Eingaben!$B$11,IF(F940="STANDARD",Eingaben!$B$12,IF(AND(F940="HEAT",ISNUMBER(Eingaben!$B$13)),Eingaben!$B$13,"")))</f>
        <v>28.2744</v>
      </c>
      <c r="I940" s="6">
        <f>INDEX(Netzzeiten!$C$6:$C$29,HOUR(B940)+1)</f>
        <v>10.52</v>
      </c>
      <c r="J940" t="str">
        <f>IF(C940="","FEHLT",IF(NOT(ISNUMBER(C940)),"MESSWERT UNGUELTIG",IF(C940&lt;0,"MESSWERT UNGUELTIG",IF(H940="","TARIFPREIS FEHLT","OK"))))</f>
        <v>FEHLT</v>
      </c>
      <c r="K940" s="7">
        <f>IF(J940&lt;&gt;"OK","",C940*I940/100)</f>
        <v/>
      </c>
    </row>
    <row r="941" spans="1:11">
      <c r="A941" s="14">
        <v>46152</v>
      </c>
      <c r="B941" s="15">
        <v>0.7395833333333334</v>
      </c>
      <c r="C941" s="5">
        <f>IF('96 Werte'!BU15="","",'96 Werte'!BU15)</f>
        <v/>
      </c>
      <c r="D941" t="str">
        <f>IF(IF(Eingaben!$B$21&lt;Eingaben!$B$22,AND(B941&gt;=Eingaben!$B$21,B941&lt;Eingaben!$B$22),OR(B941&gt;=Eingaben!$B$21,B941&lt;Eingaben!$B$22)),"GO",IF(AND(ISNUMBER(Eingaben!$B$23),ISNUMBER(Eingaben!$B$24),IF(Eingaben!$B$23&lt;Eingaben!$B$24,AND(B941&gt;=Eingaben!$B$23,B941&lt;Eingaben!$B$24),OR(B941&gt;=Eingaben!$B$23,B941&lt;Eingaben!$B$24))),"HEAT","STANDARD"))</f>
        <v>STANDARD</v>
      </c>
      <c r="E941" s="9"/>
      <c r="F941" t="str">
        <f>IF(E941="",D941,E941)</f>
        <v>STANDARD</v>
      </c>
      <c r="G941" t="str">
        <f>INDEX(Netzzeiten!$B$6:$B$29,HOUR(B941)+1)</f>
        <v>HT</v>
      </c>
      <c r="H941" s="6">
        <f>IF(F941="GO",Eingaben!$B$11,IF(F941="STANDARD",Eingaben!$B$12,IF(AND(F941="HEAT",ISNUMBER(Eingaben!$B$13)),Eingaben!$B$13,"")))</f>
        <v>28.2744</v>
      </c>
      <c r="I941" s="6">
        <f>INDEX(Netzzeiten!$C$6:$C$29,HOUR(B941)+1)</f>
        <v>10.52</v>
      </c>
      <c r="J941" t="str">
        <f>IF(C941="","FEHLT",IF(NOT(ISNUMBER(C941)),"MESSWERT UNGUELTIG",IF(C941&lt;0,"MESSWERT UNGUELTIG",IF(H941="","TARIFPREIS FEHLT","OK"))))</f>
        <v>FEHLT</v>
      </c>
      <c r="K941" s="7">
        <f>IF(J941&lt;&gt;"OK","",C941*I941/100)</f>
        <v/>
      </c>
    </row>
    <row r="942" spans="1:11">
      <c r="A942" s="14">
        <v>46152</v>
      </c>
      <c r="B942" s="15">
        <v>0.75</v>
      </c>
      <c r="C942" s="5">
        <f>IF('96 Werte'!BV15="","",'96 Werte'!BV15)</f>
        <v/>
      </c>
      <c r="D942" t="str">
        <f>IF(IF(Eingaben!$B$21&lt;Eingaben!$B$22,AND(B942&gt;=Eingaben!$B$21,B942&lt;Eingaben!$B$22),OR(B942&gt;=Eingaben!$B$21,B942&lt;Eingaben!$B$22)),"GO",IF(AND(ISNUMBER(Eingaben!$B$23),ISNUMBER(Eingaben!$B$24),IF(Eingaben!$B$23&lt;Eingaben!$B$24,AND(B942&gt;=Eingaben!$B$23,B942&lt;Eingaben!$B$24),OR(B942&gt;=Eingaben!$B$23,B942&lt;Eingaben!$B$24))),"HEAT","STANDARD"))</f>
        <v>STANDARD</v>
      </c>
      <c r="E942" s="9"/>
      <c r="F942" t="str">
        <f>IF(E942="",D942,E942)</f>
        <v>STANDARD</v>
      </c>
      <c r="G942" t="str">
        <f>INDEX(Netzzeiten!$B$6:$B$29,HOUR(B942)+1)</f>
        <v>HT</v>
      </c>
      <c r="H942" s="6">
        <f>IF(F942="GO",Eingaben!$B$11,IF(F942="STANDARD",Eingaben!$B$12,IF(AND(F942="HEAT",ISNUMBER(Eingaben!$B$13)),Eingaben!$B$13,"")))</f>
        <v>28.2744</v>
      </c>
      <c r="I942" s="6">
        <f>INDEX(Netzzeiten!$C$6:$C$29,HOUR(B942)+1)</f>
        <v>10.52</v>
      </c>
      <c r="J942" t="str">
        <f>IF(C942="","FEHLT",IF(NOT(ISNUMBER(C942)),"MESSWERT UNGUELTIG",IF(C942&lt;0,"MESSWERT UNGUELTIG",IF(H942="","TARIFPREIS FEHLT","OK"))))</f>
        <v>FEHLT</v>
      </c>
      <c r="K942" s="7">
        <f>IF(J942&lt;&gt;"OK","",C942*I942/100)</f>
        <v/>
      </c>
    </row>
    <row r="943" spans="1:11">
      <c r="A943" s="14">
        <v>46152</v>
      </c>
      <c r="B943" s="15">
        <v>0.7604166666666666</v>
      </c>
      <c r="C943" s="5">
        <f>IF('96 Werte'!BW15="","",'96 Werte'!BW15)</f>
        <v/>
      </c>
      <c r="D943" t="str">
        <f>IF(IF(Eingaben!$B$21&lt;Eingaben!$B$22,AND(B943&gt;=Eingaben!$B$21,B943&lt;Eingaben!$B$22),OR(B943&gt;=Eingaben!$B$21,B943&lt;Eingaben!$B$22)),"GO",IF(AND(ISNUMBER(Eingaben!$B$23),ISNUMBER(Eingaben!$B$24),IF(Eingaben!$B$23&lt;Eingaben!$B$24,AND(B943&gt;=Eingaben!$B$23,B943&lt;Eingaben!$B$24),OR(B943&gt;=Eingaben!$B$23,B943&lt;Eingaben!$B$24))),"HEAT","STANDARD"))</f>
        <v>STANDARD</v>
      </c>
      <c r="E943" s="9"/>
      <c r="F943" t="str">
        <f>IF(E943="",D943,E943)</f>
        <v>STANDARD</v>
      </c>
      <c r="G943" t="str">
        <f>INDEX(Netzzeiten!$B$6:$B$29,HOUR(B943)+1)</f>
        <v>HT</v>
      </c>
      <c r="H943" s="6">
        <f>IF(F943="GO",Eingaben!$B$11,IF(F943="STANDARD",Eingaben!$B$12,IF(AND(F943="HEAT",ISNUMBER(Eingaben!$B$13)),Eingaben!$B$13,"")))</f>
        <v>28.2744</v>
      </c>
      <c r="I943" s="6">
        <f>INDEX(Netzzeiten!$C$6:$C$29,HOUR(B943)+1)</f>
        <v>10.52</v>
      </c>
      <c r="J943" t="str">
        <f>IF(C943="","FEHLT",IF(NOT(ISNUMBER(C943)),"MESSWERT UNGUELTIG",IF(C943&lt;0,"MESSWERT UNGUELTIG",IF(H943="","TARIFPREIS FEHLT","OK"))))</f>
        <v>FEHLT</v>
      </c>
      <c r="K943" s="7">
        <f>IF(J943&lt;&gt;"OK","",C943*I943/100)</f>
        <v/>
      </c>
    </row>
    <row r="944" spans="1:11">
      <c r="A944" s="14">
        <v>46152</v>
      </c>
      <c r="B944" s="15">
        <v>0.7708333333333334</v>
      </c>
      <c r="C944" s="5">
        <f>IF('96 Werte'!BX15="","",'96 Werte'!BX15)</f>
        <v/>
      </c>
      <c r="D944" t="str">
        <f>IF(IF(Eingaben!$B$21&lt;Eingaben!$B$22,AND(B944&gt;=Eingaben!$B$21,B944&lt;Eingaben!$B$22),OR(B944&gt;=Eingaben!$B$21,B944&lt;Eingaben!$B$22)),"GO",IF(AND(ISNUMBER(Eingaben!$B$23),ISNUMBER(Eingaben!$B$24),IF(Eingaben!$B$23&lt;Eingaben!$B$24,AND(B944&gt;=Eingaben!$B$23,B944&lt;Eingaben!$B$24),OR(B944&gt;=Eingaben!$B$23,B944&lt;Eingaben!$B$24))),"HEAT","STANDARD"))</f>
        <v>STANDARD</v>
      </c>
      <c r="E944" s="9"/>
      <c r="F944" t="str">
        <f>IF(E944="",D944,E944)</f>
        <v>STANDARD</v>
      </c>
      <c r="G944" t="str">
        <f>INDEX(Netzzeiten!$B$6:$B$29,HOUR(B944)+1)</f>
        <v>HT</v>
      </c>
      <c r="H944" s="6">
        <f>IF(F944="GO",Eingaben!$B$11,IF(F944="STANDARD",Eingaben!$B$12,IF(AND(F944="HEAT",ISNUMBER(Eingaben!$B$13)),Eingaben!$B$13,"")))</f>
        <v>28.2744</v>
      </c>
      <c r="I944" s="6">
        <f>INDEX(Netzzeiten!$C$6:$C$29,HOUR(B944)+1)</f>
        <v>10.52</v>
      </c>
      <c r="J944" t="str">
        <f>IF(C944="","FEHLT",IF(NOT(ISNUMBER(C944)),"MESSWERT UNGUELTIG",IF(C944&lt;0,"MESSWERT UNGUELTIG",IF(H944="","TARIFPREIS FEHLT","OK"))))</f>
        <v>FEHLT</v>
      </c>
      <c r="K944" s="7">
        <f>IF(J944&lt;&gt;"OK","",C944*I944/100)</f>
        <v/>
      </c>
    </row>
    <row r="945" spans="1:11">
      <c r="A945" s="14">
        <v>46152</v>
      </c>
      <c r="B945" s="15">
        <v>0.78125</v>
      </c>
      <c r="C945" s="5">
        <f>IF('96 Werte'!BY15="","",'96 Werte'!BY15)</f>
        <v/>
      </c>
      <c r="D945" t="str">
        <f>IF(IF(Eingaben!$B$21&lt;Eingaben!$B$22,AND(B945&gt;=Eingaben!$B$21,B945&lt;Eingaben!$B$22),OR(B945&gt;=Eingaben!$B$21,B945&lt;Eingaben!$B$22)),"GO",IF(AND(ISNUMBER(Eingaben!$B$23),ISNUMBER(Eingaben!$B$24),IF(Eingaben!$B$23&lt;Eingaben!$B$24,AND(B945&gt;=Eingaben!$B$23,B945&lt;Eingaben!$B$24),OR(B945&gt;=Eingaben!$B$23,B945&lt;Eingaben!$B$24))),"HEAT","STANDARD"))</f>
        <v>STANDARD</v>
      </c>
      <c r="E945" s="9"/>
      <c r="F945" t="str">
        <f>IF(E945="",D945,E945)</f>
        <v>STANDARD</v>
      </c>
      <c r="G945" t="str">
        <f>INDEX(Netzzeiten!$B$6:$B$29,HOUR(B945)+1)</f>
        <v>HT</v>
      </c>
      <c r="H945" s="6">
        <f>IF(F945="GO",Eingaben!$B$11,IF(F945="STANDARD",Eingaben!$B$12,IF(AND(F945="HEAT",ISNUMBER(Eingaben!$B$13)),Eingaben!$B$13,"")))</f>
        <v>28.2744</v>
      </c>
      <c r="I945" s="6">
        <f>INDEX(Netzzeiten!$C$6:$C$29,HOUR(B945)+1)</f>
        <v>10.52</v>
      </c>
      <c r="J945" t="str">
        <f>IF(C945="","FEHLT",IF(NOT(ISNUMBER(C945)),"MESSWERT UNGUELTIG",IF(C945&lt;0,"MESSWERT UNGUELTIG",IF(H945="","TARIFPREIS FEHLT","OK"))))</f>
        <v>FEHLT</v>
      </c>
      <c r="K945" s="7">
        <f>IF(J945&lt;&gt;"OK","",C945*I945/100)</f>
        <v/>
      </c>
    </row>
    <row r="946" spans="1:11">
      <c r="A946" s="14">
        <v>46152</v>
      </c>
      <c r="B946" s="15">
        <v>0.7916666666666666</v>
      </c>
      <c r="C946" s="5">
        <f>IF('96 Werte'!BZ15="","",'96 Werte'!BZ15)</f>
        <v/>
      </c>
      <c r="D946" t="str">
        <f>IF(IF(Eingaben!$B$21&lt;Eingaben!$B$22,AND(B946&gt;=Eingaben!$B$21,B946&lt;Eingaben!$B$22),OR(B946&gt;=Eingaben!$B$21,B946&lt;Eingaben!$B$22)),"GO",IF(AND(ISNUMBER(Eingaben!$B$23),ISNUMBER(Eingaben!$B$24),IF(Eingaben!$B$23&lt;Eingaben!$B$24,AND(B946&gt;=Eingaben!$B$23,B946&lt;Eingaben!$B$24),OR(B946&gt;=Eingaben!$B$23,B946&lt;Eingaben!$B$24))),"HEAT","STANDARD"))</f>
        <v>STANDARD</v>
      </c>
      <c r="E946" s="9"/>
      <c r="F946" t="str">
        <f>IF(E946="",D946,E946)</f>
        <v>STANDARD</v>
      </c>
      <c r="G946" t="str">
        <f>INDEX(Netzzeiten!$B$6:$B$29,HOUR(B946)+1)</f>
        <v>HT</v>
      </c>
      <c r="H946" s="6">
        <f>IF(F946="GO",Eingaben!$B$11,IF(F946="STANDARD",Eingaben!$B$12,IF(AND(F946="HEAT",ISNUMBER(Eingaben!$B$13)),Eingaben!$B$13,"")))</f>
        <v>28.2744</v>
      </c>
      <c r="I946" s="6">
        <f>INDEX(Netzzeiten!$C$6:$C$29,HOUR(B946)+1)</f>
        <v>10.52</v>
      </c>
      <c r="J946" t="str">
        <f>IF(C946="","FEHLT",IF(NOT(ISNUMBER(C946)),"MESSWERT UNGUELTIG",IF(C946&lt;0,"MESSWERT UNGUELTIG",IF(H946="","TARIFPREIS FEHLT","OK"))))</f>
        <v>FEHLT</v>
      </c>
      <c r="K946" s="7">
        <f>IF(J946&lt;&gt;"OK","",C946*I946/100)</f>
        <v/>
      </c>
    </row>
    <row r="947" spans="1:11">
      <c r="A947" s="14">
        <v>46152</v>
      </c>
      <c r="B947" s="15">
        <v>0.8020833333333334</v>
      </c>
      <c r="C947" s="5">
        <f>IF('96 Werte'!CA15="","",'96 Werte'!CA15)</f>
        <v/>
      </c>
      <c r="D947" t="str">
        <f>IF(IF(Eingaben!$B$21&lt;Eingaben!$B$22,AND(B947&gt;=Eingaben!$B$21,B947&lt;Eingaben!$B$22),OR(B947&gt;=Eingaben!$B$21,B947&lt;Eingaben!$B$22)),"GO",IF(AND(ISNUMBER(Eingaben!$B$23),ISNUMBER(Eingaben!$B$24),IF(Eingaben!$B$23&lt;Eingaben!$B$24,AND(B947&gt;=Eingaben!$B$23,B947&lt;Eingaben!$B$24),OR(B947&gt;=Eingaben!$B$23,B947&lt;Eingaben!$B$24))),"HEAT","STANDARD"))</f>
        <v>STANDARD</v>
      </c>
      <c r="E947" s="9"/>
      <c r="F947" t="str">
        <f>IF(E947="",D947,E947)</f>
        <v>STANDARD</v>
      </c>
      <c r="G947" t="str">
        <f>INDEX(Netzzeiten!$B$6:$B$29,HOUR(B947)+1)</f>
        <v>HT</v>
      </c>
      <c r="H947" s="6">
        <f>IF(F947="GO",Eingaben!$B$11,IF(F947="STANDARD",Eingaben!$B$12,IF(AND(F947="HEAT",ISNUMBER(Eingaben!$B$13)),Eingaben!$B$13,"")))</f>
        <v>28.2744</v>
      </c>
      <c r="I947" s="6">
        <f>INDEX(Netzzeiten!$C$6:$C$29,HOUR(B947)+1)</f>
        <v>10.52</v>
      </c>
      <c r="J947" t="str">
        <f>IF(C947="","FEHLT",IF(NOT(ISNUMBER(C947)),"MESSWERT UNGUELTIG",IF(C947&lt;0,"MESSWERT UNGUELTIG",IF(H947="","TARIFPREIS FEHLT","OK"))))</f>
        <v>FEHLT</v>
      </c>
      <c r="K947" s="7">
        <f>IF(J947&lt;&gt;"OK","",C947*I947/100)</f>
        <v/>
      </c>
    </row>
    <row r="948" spans="1:11">
      <c r="A948" s="14">
        <v>46152</v>
      </c>
      <c r="B948" s="15">
        <v>0.8125</v>
      </c>
      <c r="C948" s="5">
        <f>IF('96 Werte'!CB15="","",'96 Werte'!CB15)</f>
        <v/>
      </c>
      <c r="D948" t="str">
        <f>IF(IF(Eingaben!$B$21&lt;Eingaben!$B$22,AND(B948&gt;=Eingaben!$B$21,B948&lt;Eingaben!$B$22),OR(B948&gt;=Eingaben!$B$21,B948&lt;Eingaben!$B$22)),"GO",IF(AND(ISNUMBER(Eingaben!$B$23),ISNUMBER(Eingaben!$B$24),IF(Eingaben!$B$23&lt;Eingaben!$B$24,AND(B948&gt;=Eingaben!$B$23,B948&lt;Eingaben!$B$24),OR(B948&gt;=Eingaben!$B$23,B948&lt;Eingaben!$B$24))),"HEAT","STANDARD"))</f>
        <v>STANDARD</v>
      </c>
      <c r="E948" s="9"/>
      <c r="F948" t="str">
        <f>IF(E948="",D948,E948)</f>
        <v>STANDARD</v>
      </c>
      <c r="G948" t="str">
        <f>INDEX(Netzzeiten!$B$6:$B$29,HOUR(B948)+1)</f>
        <v>HT</v>
      </c>
      <c r="H948" s="6">
        <f>IF(F948="GO",Eingaben!$B$11,IF(F948="STANDARD",Eingaben!$B$12,IF(AND(F948="HEAT",ISNUMBER(Eingaben!$B$13)),Eingaben!$B$13,"")))</f>
        <v>28.2744</v>
      </c>
      <c r="I948" s="6">
        <f>INDEX(Netzzeiten!$C$6:$C$29,HOUR(B948)+1)</f>
        <v>10.52</v>
      </c>
      <c r="J948" t="str">
        <f>IF(C948="","FEHLT",IF(NOT(ISNUMBER(C948)),"MESSWERT UNGUELTIG",IF(C948&lt;0,"MESSWERT UNGUELTIG",IF(H948="","TARIFPREIS FEHLT","OK"))))</f>
        <v>FEHLT</v>
      </c>
      <c r="K948" s="7">
        <f>IF(J948&lt;&gt;"OK","",C948*I948/100)</f>
        <v/>
      </c>
    </row>
    <row r="949" spans="1:11">
      <c r="A949" s="14">
        <v>46152</v>
      </c>
      <c r="B949" s="15">
        <v>0.8229166666666666</v>
      </c>
      <c r="C949" s="5">
        <f>IF('96 Werte'!CC15="","",'96 Werte'!CC15)</f>
        <v/>
      </c>
      <c r="D949" t="str">
        <f>IF(IF(Eingaben!$B$21&lt;Eingaben!$B$22,AND(B949&gt;=Eingaben!$B$21,B949&lt;Eingaben!$B$22),OR(B949&gt;=Eingaben!$B$21,B949&lt;Eingaben!$B$22)),"GO",IF(AND(ISNUMBER(Eingaben!$B$23),ISNUMBER(Eingaben!$B$24),IF(Eingaben!$B$23&lt;Eingaben!$B$24,AND(B949&gt;=Eingaben!$B$23,B949&lt;Eingaben!$B$24),OR(B949&gt;=Eingaben!$B$23,B949&lt;Eingaben!$B$24))),"HEAT","STANDARD"))</f>
        <v>STANDARD</v>
      </c>
      <c r="E949" s="9"/>
      <c r="F949" t="str">
        <f>IF(E949="",D949,E949)</f>
        <v>STANDARD</v>
      </c>
      <c r="G949" t="str">
        <f>INDEX(Netzzeiten!$B$6:$B$29,HOUR(B949)+1)</f>
        <v>HT</v>
      </c>
      <c r="H949" s="6">
        <f>IF(F949="GO",Eingaben!$B$11,IF(F949="STANDARD",Eingaben!$B$12,IF(AND(F949="HEAT",ISNUMBER(Eingaben!$B$13)),Eingaben!$B$13,"")))</f>
        <v>28.2744</v>
      </c>
      <c r="I949" s="6">
        <f>INDEX(Netzzeiten!$C$6:$C$29,HOUR(B949)+1)</f>
        <v>10.52</v>
      </c>
      <c r="J949" t="str">
        <f>IF(C949="","FEHLT",IF(NOT(ISNUMBER(C949)),"MESSWERT UNGUELTIG",IF(C949&lt;0,"MESSWERT UNGUELTIG",IF(H949="","TARIFPREIS FEHLT","OK"))))</f>
        <v>FEHLT</v>
      </c>
      <c r="K949" s="7">
        <f>IF(J949&lt;&gt;"OK","",C949*I949/100)</f>
        <v/>
      </c>
    </row>
    <row r="950" spans="1:11">
      <c r="A950" s="14">
        <v>46152</v>
      </c>
      <c r="B950" s="15">
        <v>0.8333333333333334</v>
      </c>
      <c r="C950" s="5">
        <f>IF('96 Werte'!CD15="","",'96 Werte'!CD15)</f>
        <v/>
      </c>
      <c r="D950" t="str">
        <f>IF(IF(Eingaben!$B$21&lt;Eingaben!$B$22,AND(B950&gt;=Eingaben!$B$21,B950&lt;Eingaben!$B$22),OR(B950&gt;=Eingaben!$B$21,B950&lt;Eingaben!$B$22)),"GO",IF(AND(ISNUMBER(Eingaben!$B$23),ISNUMBER(Eingaben!$B$24),IF(Eingaben!$B$23&lt;Eingaben!$B$24,AND(B950&gt;=Eingaben!$B$23,B950&lt;Eingaben!$B$24),OR(B950&gt;=Eingaben!$B$23,B950&lt;Eingaben!$B$24))),"HEAT","STANDARD"))</f>
        <v>STANDARD</v>
      </c>
      <c r="E950" s="9"/>
      <c r="F950" t="str">
        <f>IF(E950="",D950,E950)</f>
        <v>STANDARD</v>
      </c>
      <c r="G950" t="str">
        <f>INDEX(Netzzeiten!$B$6:$B$29,HOUR(B950)+1)</f>
        <v>HT</v>
      </c>
      <c r="H950" s="6">
        <f>IF(F950="GO",Eingaben!$B$11,IF(F950="STANDARD",Eingaben!$B$12,IF(AND(F950="HEAT",ISNUMBER(Eingaben!$B$13)),Eingaben!$B$13,"")))</f>
        <v>28.2744</v>
      </c>
      <c r="I950" s="6">
        <f>INDEX(Netzzeiten!$C$6:$C$29,HOUR(B950)+1)</f>
        <v>10.52</v>
      </c>
      <c r="J950" t="str">
        <f>IF(C950="","FEHLT",IF(NOT(ISNUMBER(C950)),"MESSWERT UNGUELTIG",IF(C950&lt;0,"MESSWERT UNGUELTIG",IF(H950="","TARIFPREIS FEHLT","OK"))))</f>
        <v>FEHLT</v>
      </c>
      <c r="K950" s="7">
        <f>IF(J950&lt;&gt;"OK","",C950*I950/100)</f>
        <v/>
      </c>
    </row>
    <row r="951" spans="1:11">
      <c r="A951" s="14">
        <v>46152</v>
      </c>
      <c r="B951" s="15">
        <v>0.84375</v>
      </c>
      <c r="C951" s="5">
        <f>IF('96 Werte'!CE15="","",'96 Werte'!CE15)</f>
        <v/>
      </c>
      <c r="D951" t="str">
        <f>IF(IF(Eingaben!$B$21&lt;Eingaben!$B$22,AND(B951&gt;=Eingaben!$B$21,B951&lt;Eingaben!$B$22),OR(B951&gt;=Eingaben!$B$21,B951&lt;Eingaben!$B$22)),"GO",IF(AND(ISNUMBER(Eingaben!$B$23),ISNUMBER(Eingaben!$B$24),IF(Eingaben!$B$23&lt;Eingaben!$B$24,AND(B951&gt;=Eingaben!$B$23,B951&lt;Eingaben!$B$24),OR(B951&gt;=Eingaben!$B$23,B951&lt;Eingaben!$B$24))),"HEAT","STANDARD"))</f>
        <v>STANDARD</v>
      </c>
      <c r="E951" s="9"/>
      <c r="F951" t="str">
        <f>IF(E951="",D951,E951)</f>
        <v>STANDARD</v>
      </c>
      <c r="G951" t="str">
        <f>INDEX(Netzzeiten!$B$6:$B$29,HOUR(B951)+1)</f>
        <v>HT</v>
      </c>
      <c r="H951" s="6">
        <f>IF(F951="GO",Eingaben!$B$11,IF(F951="STANDARD",Eingaben!$B$12,IF(AND(F951="HEAT",ISNUMBER(Eingaben!$B$13)),Eingaben!$B$13,"")))</f>
        <v>28.2744</v>
      </c>
      <c r="I951" s="6">
        <f>INDEX(Netzzeiten!$C$6:$C$29,HOUR(B951)+1)</f>
        <v>10.52</v>
      </c>
      <c r="J951" t="str">
        <f>IF(C951="","FEHLT",IF(NOT(ISNUMBER(C951)),"MESSWERT UNGUELTIG",IF(C951&lt;0,"MESSWERT UNGUELTIG",IF(H951="","TARIFPREIS FEHLT","OK"))))</f>
        <v>FEHLT</v>
      </c>
      <c r="K951" s="7">
        <f>IF(J951&lt;&gt;"OK","",C951*I951/100)</f>
        <v/>
      </c>
    </row>
    <row r="952" spans="1:11">
      <c r="A952" s="14">
        <v>46152</v>
      </c>
      <c r="B952" s="15">
        <v>0.8541666666666666</v>
      </c>
      <c r="C952" s="5">
        <f>IF('96 Werte'!CF15="","",'96 Werte'!CF15)</f>
        <v/>
      </c>
      <c r="D952" t="str">
        <f>IF(IF(Eingaben!$B$21&lt;Eingaben!$B$22,AND(B952&gt;=Eingaben!$B$21,B952&lt;Eingaben!$B$22),OR(B952&gt;=Eingaben!$B$21,B952&lt;Eingaben!$B$22)),"GO",IF(AND(ISNUMBER(Eingaben!$B$23),ISNUMBER(Eingaben!$B$24),IF(Eingaben!$B$23&lt;Eingaben!$B$24,AND(B952&gt;=Eingaben!$B$23,B952&lt;Eingaben!$B$24),OR(B952&gt;=Eingaben!$B$23,B952&lt;Eingaben!$B$24))),"HEAT","STANDARD"))</f>
        <v>STANDARD</v>
      </c>
      <c r="E952" s="9"/>
      <c r="F952" t="str">
        <f>IF(E952="",D952,E952)</f>
        <v>STANDARD</v>
      </c>
      <c r="G952" t="str">
        <f>INDEX(Netzzeiten!$B$6:$B$29,HOUR(B952)+1)</f>
        <v>HT</v>
      </c>
      <c r="H952" s="6">
        <f>IF(F952="GO",Eingaben!$B$11,IF(F952="STANDARD",Eingaben!$B$12,IF(AND(F952="HEAT",ISNUMBER(Eingaben!$B$13)),Eingaben!$B$13,"")))</f>
        <v>28.2744</v>
      </c>
      <c r="I952" s="6">
        <f>INDEX(Netzzeiten!$C$6:$C$29,HOUR(B952)+1)</f>
        <v>10.52</v>
      </c>
      <c r="J952" t="str">
        <f>IF(C952="","FEHLT",IF(NOT(ISNUMBER(C952)),"MESSWERT UNGUELTIG",IF(C952&lt;0,"MESSWERT UNGUELTIG",IF(H952="","TARIFPREIS FEHLT","OK"))))</f>
        <v>FEHLT</v>
      </c>
      <c r="K952" s="7">
        <f>IF(J952&lt;&gt;"OK","",C952*I952/100)</f>
        <v/>
      </c>
    </row>
    <row r="953" spans="1:11">
      <c r="A953" s="14">
        <v>46152</v>
      </c>
      <c r="B953" s="15">
        <v>0.8645833333333334</v>
      </c>
      <c r="C953" s="5">
        <f>IF('96 Werte'!CG15="","",'96 Werte'!CG15)</f>
        <v/>
      </c>
      <c r="D953" t="str">
        <f>IF(IF(Eingaben!$B$21&lt;Eingaben!$B$22,AND(B953&gt;=Eingaben!$B$21,B953&lt;Eingaben!$B$22),OR(B953&gt;=Eingaben!$B$21,B953&lt;Eingaben!$B$22)),"GO",IF(AND(ISNUMBER(Eingaben!$B$23),ISNUMBER(Eingaben!$B$24),IF(Eingaben!$B$23&lt;Eingaben!$B$24,AND(B953&gt;=Eingaben!$B$23,B953&lt;Eingaben!$B$24),OR(B953&gt;=Eingaben!$B$23,B953&lt;Eingaben!$B$24))),"HEAT","STANDARD"))</f>
        <v>STANDARD</v>
      </c>
      <c r="E953" s="9"/>
      <c r="F953" t="str">
        <f>IF(E953="",D953,E953)</f>
        <v>STANDARD</v>
      </c>
      <c r="G953" t="str">
        <f>INDEX(Netzzeiten!$B$6:$B$29,HOUR(B953)+1)</f>
        <v>HT</v>
      </c>
      <c r="H953" s="6">
        <f>IF(F953="GO",Eingaben!$B$11,IF(F953="STANDARD",Eingaben!$B$12,IF(AND(F953="HEAT",ISNUMBER(Eingaben!$B$13)),Eingaben!$B$13,"")))</f>
        <v>28.2744</v>
      </c>
      <c r="I953" s="6">
        <f>INDEX(Netzzeiten!$C$6:$C$29,HOUR(B953)+1)</f>
        <v>10.52</v>
      </c>
      <c r="J953" t="str">
        <f>IF(C953="","FEHLT",IF(NOT(ISNUMBER(C953)),"MESSWERT UNGUELTIG",IF(C953&lt;0,"MESSWERT UNGUELTIG",IF(H953="","TARIFPREIS FEHLT","OK"))))</f>
        <v>FEHLT</v>
      </c>
      <c r="K953" s="7">
        <f>IF(J953&lt;&gt;"OK","",C953*I953/100)</f>
        <v/>
      </c>
    </row>
    <row r="954" spans="1:11">
      <c r="A954" s="14">
        <v>46152</v>
      </c>
      <c r="B954" s="15">
        <v>0.875</v>
      </c>
      <c r="C954" s="5">
        <f>IF('96 Werte'!CH15="","",'96 Werte'!CH15)</f>
        <v/>
      </c>
      <c r="D954" t="str">
        <f>IF(IF(Eingaben!$B$21&lt;Eingaben!$B$22,AND(B954&gt;=Eingaben!$B$21,B954&lt;Eingaben!$B$22),OR(B954&gt;=Eingaben!$B$21,B954&lt;Eingaben!$B$22)),"GO",IF(AND(ISNUMBER(Eingaben!$B$23),ISNUMBER(Eingaben!$B$24),IF(Eingaben!$B$23&lt;Eingaben!$B$24,AND(B954&gt;=Eingaben!$B$23,B954&lt;Eingaben!$B$24),OR(B954&gt;=Eingaben!$B$23,B954&lt;Eingaben!$B$24))),"HEAT","STANDARD"))</f>
        <v>STANDARD</v>
      </c>
      <c r="E954" s="9"/>
      <c r="F954" t="str">
        <f>IF(E954="",D954,E954)</f>
        <v>STANDARD</v>
      </c>
      <c r="G954" t="str">
        <f>INDEX(Netzzeiten!$B$6:$B$29,HOUR(B954)+1)</f>
        <v>HT</v>
      </c>
      <c r="H954" s="6">
        <f>IF(F954="GO",Eingaben!$B$11,IF(F954="STANDARD",Eingaben!$B$12,IF(AND(F954="HEAT",ISNUMBER(Eingaben!$B$13)),Eingaben!$B$13,"")))</f>
        <v>28.2744</v>
      </c>
      <c r="I954" s="6">
        <f>INDEX(Netzzeiten!$C$6:$C$29,HOUR(B954)+1)</f>
        <v>10.52</v>
      </c>
      <c r="J954" t="str">
        <f>IF(C954="","FEHLT",IF(NOT(ISNUMBER(C954)),"MESSWERT UNGUELTIG",IF(C954&lt;0,"MESSWERT UNGUELTIG",IF(H954="","TARIFPREIS FEHLT","OK"))))</f>
        <v>FEHLT</v>
      </c>
      <c r="K954" s="7">
        <f>IF(J954&lt;&gt;"OK","",C954*I954/100)</f>
        <v/>
      </c>
    </row>
    <row r="955" spans="1:11">
      <c r="A955" s="14">
        <v>46152</v>
      </c>
      <c r="B955" s="15">
        <v>0.8854166666666666</v>
      </c>
      <c r="C955" s="5">
        <f>IF('96 Werte'!CI15="","",'96 Werte'!CI15)</f>
        <v/>
      </c>
      <c r="D955" t="str">
        <f>IF(IF(Eingaben!$B$21&lt;Eingaben!$B$22,AND(B955&gt;=Eingaben!$B$21,B955&lt;Eingaben!$B$22),OR(B955&gt;=Eingaben!$B$21,B955&lt;Eingaben!$B$22)),"GO",IF(AND(ISNUMBER(Eingaben!$B$23),ISNUMBER(Eingaben!$B$24),IF(Eingaben!$B$23&lt;Eingaben!$B$24,AND(B955&gt;=Eingaben!$B$23,B955&lt;Eingaben!$B$24),OR(B955&gt;=Eingaben!$B$23,B955&lt;Eingaben!$B$24))),"HEAT","STANDARD"))</f>
        <v>STANDARD</v>
      </c>
      <c r="E955" s="9"/>
      <c r="F955" t="str">
        <f>IF(E955="",D955,E955)</f>
        <v>STANDARD</v>
      </c>
      <c r="G955" t="str">
        <f>INDEX(Netzzeiten!$B$6:$B$29,HOUR(B955)+1)</f>
        <v>HT</v>
      </c>
      <c r="H955" s="6">
        <f>IF(F955="GO",Eingaben!$B$11,IF(F955="STANDARD",Eingaben!$B$12,IF(AND(F955="HEAT",ISNUMBER(Eingaben!$B$13)),Eingaben!$B$13,"")))</f>
        <v>28.2744</v>
      </c>
      <c r="I955" s="6">
        <f>INDEX(Netzzeiten!$C$6:$C$29,HOUR(B955)+1)</f>
        <v>10.52</v>
      </c>
      <c r="J955" t="str">
        <f>IF(C955="","FEHLT",IF(NOT(ISNUMBER(C955)),"MESSWERT UNGUELTIG",IF(C955&lt;0,"MESSWERT UNGUELTIG",IF(H955="","TARIFPREIS FEHLT","OK"))))</f>
        <v>FEHLT</v>
      </c>
      <c r="K955" s="7">
        <f>IF(J955&lt;&gt;"OK","",C955*I955/100)</f>
        <v/>
      </c>
    </row>
    <row r="956" spans="1:11">
      <c r="A956" s="14">
        <v>46152</v>
      </c>
      <c r="B956" s="15">
        <v>0.8958333333333334</v>
      </c>
      <c r="C956" s="5">
        <f>IF('96 Werte'!CJ15="","",'96 Werte'!CJ15)</f>
        <v/>
      </c>
      <c r="D956" t="str">
        <f>IF(IF(Eingaben!$B$21&lt;Eingaben!$B$22,AND(B956&gt;=Eingaben!$B$21,B956&lt;Eingaben!$B$22),OR(B956&gt;=Eingaben!$B$21,B956&lt;Eingaben!$B$22)),"GO",IF(AND(ISNUMBER(Eingaben!$B$23),ISNUMBER(Eingaben!$B$24),IF(Eingaben!$B$23&lt;Eingaben!$B$24,AND(B956&gt;=Eingaben!$B$23,B956&lt;Eingaben!$B$24),OR(B956&gt;=Eingaben!$B$23,B956&lt;Eingaben!$B$24))),"HEAT","STANDARD"))</f>
        <v>STANDARD</v>
      </c>
      <c r="E956" s="9"/>
      <c r="F956" t="str">
        <f>IF(E956="",D956,E956)</f>
        <v>STANDARD</v>
      </c>
      <c r="G956" t="str">
        <f>INDEX(Netzzeiten!$B$6:$B$29,HOUR(B956)+1)</f>
        <v>HT</v>
      </c>
      <c r="H956" s="6">
        <f>IF(F956="GO",Eingaben!$B$11,IF(F956="STANDARD",Eingaben!$B$12,IF(AND(F956="HEAT",ISNUMBER(Eingaben!$B$13)),Eingaben!$B$13,"")))</f>
        <v>28.2744</v>
      </c>
      <c r="I956" s="6">
        <f>INDEX(Netzzeiten!$C$6:$C$29,HOUR(B956)+1)</f>
        <v>10.52</v>
      </c>
      <c r="J956" t="str">
        <f>IF(C956="","FEHLT",IF(NOT(ISNUMBER(C956)),"MESSWERT UNGUELTIG",IF(C956&lt;0,"MESSWERT UNGUELTIG",IF(H956="","TARIFPREIS FEHLT","OK"))))</f>
        <v>FEHLT</v>
      </c>
      <c r="K956" s="7">
        <f>IF(J956&lt;&gt;"OK","",C956*I956/100)</f>
        <v/>
      </c>
    </row>
    <row r="957" spans="1:11">
      <c r="A957" s="14">
        <v>46152</v>
      </c>
      <c r="B957" s="15">
        <v>0.90625</v>
      </c>
      <c r="C957" s="5">
        <f>IF('96 Werte'!CK15="","",'96 Werte'!CK15)</f>
        <v/>
      </c>
      <c r="D957" t="str">
        <f>IF(IF(Eingaben!$B$21&lt;Eingaben!$B$22,AND(B957&gt;=Eingaben!$B$21,B957&lt;Eingaben!$B$22),OR(B957&gt;=Eingaben!$B$21,B957&lt;Eingaben!$B$22)),"GO",IF(AND(ISNUMBER(Eingaben!$B$23),ISNUMBER(Eingaben!$B$24),IF(Eingaben!$B$23&lt;Eingaben!$B$24,AND(B957&gt;=Eingaben!$B$23,B957&lt;Eingaben!$B$24),OR(B957&gt;=Eingaben!$B$23,B957&lt;Eingaben!$B$24))),"HEAT","STANDARD"))</f>
        <v>STANDARD</v>
      </c>
      <c r="E957" s="9"/>
      <c r="F957" t="str">
        <f>IF(E957="",D957,E957)</f>
        <v>STANDARD</v>
      </c>
      <c r="G957" t="str">
        <f>INDEX(Netzzeiten!$B$6:$B$29,HOUR(B957)+1)</f>
        <v>HT</v>
      </c>
      <c r="H957" s="6">
        <f>IF(F957="GO",Eingaben!$B$11,IF(F957="STANDARD",Eingaben!$B$12,IF(AND(F957="HEAT",ISNUMBER(Eingaben!$B$13)),Eingaben!$B$13,"")))</f>
        <v>28.2744</v>
      </c>
      <c r="I957" s="6">
        <f>INDEX(Netzzeiten!$C$6:$C$29,HOUR(B957)+1)</f>
        <v>10.52</v>
      </c>
      <c r="J957" t="str">
        <f>IF(C957="","FEHLT",IF(NOT(ISNUMBER(C957)),"MESSWERT UNGUELTIG",IF(C957&lt;0,"MESSWERT UNGUELTIG",IF(H957="","TARIFPREIS FEHLT","OK"))))</f>
        <v>FEHLT</v>
      </c>
      <c r="K957" s="7">
        <f>IF(J957&lt;&gt;"OK","",C957*I957/100)</f>
        <v/>
      </c>
    </row>
    <row r="958" spans="1:11">
      <c r="A958" s="14">
        <v>46152</v>
      </c>
      <c r="B958" s="15">
        <v>0.9166666666666666</v>
      </c>
      <c r="C958" s="5">
        <f>IF('96 Werte'!CL15="","",'96 Werte'!CL15)</f>
        <v/>
      </c>
      <c r="D958" t="str">
        <f>IF(IF(Eingaben!$B$21&lt;Eingaben!$B$22,AND(B958&gt;=Eingaben!$B$21,B958&lt;Eingaben!$B$22),OR(B958&gt;=Eingaben!$B$21,B958&lt;Eingaben!$B$22)),"GO",IF(AND(ISNUMBER(Eingaben!$B$23),ISNUMBER(Eingaben!$B$24),IF(Eingaben!$B$23&lt;Eingaben!$B$24,AND(B958&gt;=Eingaben!$B$23,B958&lt;Eingaben!$B$24),OR(B958&gt;=Eingaben!$B$23,B958&lt;Eingaben!$B$24))),"HEAT","STANDARD"))</f>
        <v>STANDARD</v>
      </c>
      <c r="E958" s="9"/>
      <c r="F958" t="str">
        <f>IF(E958="",D958,E958)</f>
        <v>STANDARD</v>
      </c>
      <c r="G958" t="str">
        <f>INDEX(Netzzeiten!$B$6:$B$29,HOUR(B958)+1)</f>
        <v>ST</v>
      </c>
      <c r="H958" s="6">
        <f>IF(F958="GO",Eingaben!$B$11,IF(F958="STANDARD",Eingaben!$B$12,IF(AND(F958="HEAT",ISNUMBER(Eingaben!$B$13)),Eingaben!$B$13,"")))</f>
        <v>28.2744</v>
      </c>
      <c r="I958" s="6">
        <f>INDEX(Netzzeiten!$C$6:$C$29,HOUR(B958)+1)</f>
        <v>5.48</v>
      </c>
      <c r="J958" t="str">
        <f>IF(C958="","FEHLT",IF(NOT(ISNUMBER(C958)),"MESSWERT UNGUELTIG",IF(C958&lt;0,"MESSWERT UNGUELTIG",IF(H958="","TARIFPREIS FEHLT","OK"))))</f>
        <v>FEHLT</v>
      </c>
      <c r="K958" s="7">
        <f>IF(J958&lt;&gt;"OK","",C958*I958/100)</f>
        <v/>
      </c>
    </row>
    <row r="959" spans="1:11">
      <c r="A959" s="14">
        <v>46152</v>
      </c>
      <c r="B959" s="15">
        <v>0.9270833333333334</v>
      </c>
      <c r="C959" s="5">
        <f>IF('96 Werte'!CM15="","",'96 Werte'!CM15)</f>
        <v/>
      </c>
      <c r="D959" t="str">
        <f>IF(IF(Eingaben!$B$21&lt;Eingaben!$B$22,AND(B959&gt;=Eingaben!$B$21,B959&lt;Eingaben!$B$22),OR(B959&gt;=Eingaben!$B$21,B959&lt;Eingaben!$B$22)),"GO",IF(AND(ISNUMBER(Eingaben!$B$23),ISNUMBER(Eingaben!$B$24),IF(Eingaben!$B$23&lt;Eingaben!$B$24,AND(B959&gt;=Eingaben!$B$23,B959&lt;Eingaben!$B$24),OR(B959&gt;=Eingaben!$B$23,B959&lt;Eingaben!$B$24))),"HEAT","STANDARD"))</f>
        <v>STANDARD</v>
      </c>
      <c r="E959" s="9"/>
      <c r="F959" t="str">
        <f>IF(E959="",D959,E959)</f>
        <v>STANDARD</v>
      </c>
      <c r="G959" t="str">
        <f>INDEX(Netzzeiten!$B$6:$B$29,HOUR(B959)+1)</f>
        <v>ST</v>
      </c>
      <c r="H959" s="6">
        <f>IF(F959="GO",Eingaben!$B$11,IF(F959="STANDARD",Eingaben!$B$12,IF(AND(F959="HEAT",ISNUMBER(Eingaben!$B$13)),Eingaben!$B$13,"")))</f>
        <v>28.2744</v>
      </c>
      <c r="I959" s="6">
        <f>INDEX(Netzzeiten!$C$6:$C$29,HOUR(B959)+1)</f>
        <v>5.48</v>
      </c>
      <c r="J959" t="str">
        <f>IF(C959="","FEHLT",IF(NOT(ISNUMBER(C959)),"MESSWERT UNGUELTIG",IF(C959&lt;0,"MESSWERT UNGUELTIG",IF(H959="","TARIFPREIS FEHLT","OK"))))</f>
        <v>FEHLT</v>
      </c>
      <c r="K959" s="7">
        <f>IF(J959&lt;&gt;"OK","",C959*I959/100)</f>
        <v/>
      </c>
    </row>
    <row r="960" spans="1:11">
      <c r="A960" s="14">
        <v>46152</v>
      </c>
      <c r="B960" s="15">
        <v>0.9375</v>
      </c>
      <c r="C960" s="5">
        <f>IF('96 Werte'!CN15="","",'96 Werte'!CN15)</f>
        <v/>
      </c>
      <c r="D960" t="str">
        <f>IF(IF(Eingaben!$B$21&lt;Eingaben!$B$22,AND(B960&gt;=Eingaben!$B$21,B960&lt;Eingaben!$B$22),OR(B960&gt;=Eingaben!$B$21,B960&lt;Eingaben!$B$22)),"GO",IF(AND(ISNUMBER(Eingaben!$B$23),ISNUMBER(Eingaben!$B$24),IF(Eingaben!$B$23&lt;Eingaben!$B$24,AND(B960&gt;=Eingaben!$B$23,B960&lt;Eingaben!$B$24),OR(B960&gt;=Eingaben!$B$23,B960&lt;Eingaben!$B$24))),"HEAT","STANDARD"))</f>
        <v>STANDARD</v>
      </c>
      <c r="E960" s="9"/>
      <c r="F960" t="str">
        <f>IF(E960="",D960,E960)</f>
        <v>STANDARD</v>
      </c>
      <c r="G960" t="str">
        <f>INDEX(Netzzeiten!$B$6:$B$29,HOUR(B960)+1)</f>
        <v>ST</v>
      </c>
      <c r="H960" s="6">
        <f>IF(F960="GO",Eingaben!$B$11,IF(F960="STANDARD",Eingaben!$B$12,IF(AND(F960="HEAT",ISNUMBER(Eingaben!$B$13)),Eingaben!$B$13,"")))</f>
        <v>28.2744</v>
      </c>
      <c r="I960" s="6">
        <f>INDEX(Netzzeiten!$C$6:$C$29,HOUR(B960)+1)</f>
        <v>5.48</v>
      </c>
      <c r="J960" t="str">
        <f>IF(C960="","FEHLT",IF(NOT(ISNUMBER(C960)),"MESSWERT UNGUELTIG",IF(C960&lt;0,"MESSWERT UNGUELTIG",IF(H960="","TARIFPREIS FEHLT","OK"))))</f>
        <v>FEHLT</v>
      </c>
      <c r="K960" s="7">
        <f>IF(J960&lt;&gt;"OK","",C960*I960/100)</f>
        <v/>
      </c>
    </row>
    <row r="961" spans="1:11">
      <c r="A961" s="14">
        <v>46152</v>
      </c>
      <c r="B961" s="15">
        <v>0.9479166666666666</v>
      </c>
      <c r="C961" s="5">
        <f>IF('96 Werte'!CO15="","",'96 Werte'!CO15)</f>
        <v/>
      </c>
      <c r="D961" t="str">
        <f>IF(IF(Eingaben!$B$21&lt;Eingaben!$B$22,AND(B961&gt;=Eingaben!$B$21,B961&lt;Eingaben!$B$22),OR(B961&gt;=Eingaben!$B$21,B961&lt;Eingaben!$B$22)),"GO",IF(AND(ISNUMBER(Eingaben!$B$23),ISNUMBER(Eingaben!$B$24),IF(Eingaben!$B$23&lt;Eingaben!$B$24,AND(B961&gt;=Eingaben!$B$23,B961&lt;Eingaben!$B$24),OR(B961&gt;=Eingaben!$B$23,B961&lt;Eingaben!$B$24))),"HEAT","STANDARD"))</f>
        <v>STANDARD</v>
      </c>
      <c r="E961" s="9"/>
      <c r="F961" t="str">
        <f>IF(E961="",D961,E961)</f>
        <v>STANDARD</v>
      </c>
      <c r="G961" t="str">
        <f>INDEX(Netzzeiten!$B$6:$B$29,HOUR(B961)+1)</f>
        <v>ST</v>
      </c>
      <c r="H961" s="6">
        <f>IF(F961="GO",Eingaben!$B$11,IF(F961="STANDARD",Eingaben!$B$12,IF(AND(F961="HEAT",ISNUMBER(Eingaben!$B$13)),Eingaben!$B$13,"")))</f>
        <v>28.2744</v>
      </c>
      <c r="I961" s="6">
        <f>INDEX(Netzzeiten!$C$6:$C$29,HOUR(B961)+1)</f>
        <v>5.48</v>
      </c>
      <c r="J961" t="str">
        <f>IF(C961="","FEHLT",IF(NOT(ISNUMBER(C961)),"MESSWERT UNGUELTIG",IF(C961&lt;0,"MESSWERT UNGUELTIG",IF(H961="","TARIFPREIS FEHLT","OK"))))</f>
        <v>FEHLT</v>
      </c>
      <c r="K961" s="7">
        <f>IF(J961&lt;&gt;"OK","",C961*I961/100)</f>
        <v/>
      </c>
    </row>
    <row r="962" spans="1:11">
      <c r="A962" s="14">
        <v>46152</v>
      </c>
      <c r="B962" s="15">
        <v>0.9583333333333334</v>
      </c>
      <c r="C962" s="5">
        <f>IF('96 Werte'!CP15="","",'96 Werte'!CP15)</f>
        <v/>
      </c>
      <c r="D962" t="str">
        <f>IF(IF(Eingaben!$B$21&lt;Eingaben!$B$22,AND(B962&gt;=Eingaben!$B$21,B962&lt;Eingaben!$B$22),OR(B962&gt;=Eingaben!$B$21,B962&lt;Eingaben!$B$22)),"GO",IF(AND(ISNUMBER(Eingaben!$B$23),ISNUMBER(Eingaben!$B$24),IF(Eingaben!$B$23&lt;Eingaben!$B$24,AND(B962&gt;=Eingaben!$B$23,B962&lt;Eingaben!$B$24),OR(B962&gt;=Eingaben!$B$23,B962&lt;Eingaben!$B$24))),"HEAT","STANDARD"))</f>
        <v>STANDARD</v>
      </c>
      <c r="E962" s="9"/>
      <c r="F962" t="str">
        <f>IF(E962="",D962,E962)</f>
        <v>STANDARD</v>
      </c>
      <c r="G962" t="str">
        <f>INDEX(Netzzeiten!$B$6:$B$29,HOUR(B962)+1)</f>
        <v>NT</v>
      </c>
      <c r="H962" s="6">
        <f>IF(F962="GO",Eingaben!$B$11,IF(F962="STANDARD",Eingaben!$B$12,IF(AND(F962="HEAT",ISNUMBER(Eingaben!$B$13)),Eingaben!$B$13,"")))</f>
        <v>28.2744</v>
      </c>
      <c r="I962" s="6">
        <f>INDEX(Netzzeiten!$C$6:$C$29,HOUR(B962)+1)</f>
        <v>1.64</v>
      </c>
      <c r="J962" t="str">
        <f>IF(C962="","FEHLT",IF(NOT(ISNUMBER(C962)),"MESSWERT UNGUELTIG",IF(C962&lt;0,"MESSWERT UNGUELTIG",IF(H962="","TARIFPREIS FEHLT","OK"))))</f>
        <v>FEHLT</v>
      </c>
      <c r="K962" s="7">
        <f>IF(J962&lt;&gt;"OK","",C962*I962/100)</f>
        <v/>
      </c>
    </row>
    <row r="963" spans="1:11">
      <c r="A963" s="14">
        <v>46152</v>
      </c>
      <c r="B963" s="15">
        <v>0.96875</v>
      </c>
      <c r="C963" s="5">
        <f>IF('96 Werte'!CQ15="","",'96 Werte'!CQ15)</f>
        <v/>
      </c>
      <c r="D963" t="str">
        <f>IF(IF(Eingaben!$B$21&lt;Eingaben!$B$22,AND(B963&gt;=Eingaben!$B$21,B963&lt;Eingaben!$B$22),OR(B963&gt;=Eingaben!$B$21,B963&lt;Eingaben!$B$22)),"GO",IF(AND(ISNUMBER(Eingaben!$B$23),ISNUMBER(Eingaben!$B$24),IF(Eingaben!$B$23&lt;Eingaben!$B$24,AND(B963&gt;=Eingaben!$B$23,B963&lt;Eingaben!$B$24),OR(B963&gt;=Eingaben!$B$23,B963&lt;Eingaben!$B$24))),"HEAT","STANDARD"))</f>
        <v>STANDARD</v>
      </c>
      <c r="E963" s="9"/>
      <c r="F963" t="str">
        <f>IF(E963="",D963,E963)</f>
        <v>STANDARD</v>
      </c>
      <c r="G963" t="str">
        <f>INDEX(Netzzeiten!$B$6:$B$29,HOUR(B963)+1)</f>
        <v>NT</v>
      </c>
      <c r="H963" s="6">
        <f>IF(F963="GO",Eingaben!$B$11,IF(F963="STANDARD",Eingaben!$B$12,IF(AND(F963="HEAT",ISNUMBER(Eingaben!$B$13)),Eingaben!$B$13,"")))</f>
        <v>28.2744</v>
      </c>
      <c r="I963" s="6">
        <f>INDEX(Netzzeiten!$C$6:$C$29,HOUR(B963)+1)</f>
        <v>1.64</v>
      </c>
      <c r="J963" t="str">
        <f>IF(C963="","FEHLT",IF(NOT(ISNUMBER(C963)),"MESSWERT UNGUELTIG",IF(C963&lt;0,"MESSWERT UNGUELTIG",IF(H963="","TARIFPREIS FEHLT","OK"))))</f>
        <v>FEHLT</v>
      </c>
      <c r="K963" s="7">
        <f>IF(J963&lt;&gt;"OK","",C963*I963/100)</f>
        <v/>
      </c>
    </row>
    <row r="964" spans="1:11">
      <c r="A964" s="14">
        <v>46152</v>
      </c>
      <c r="B964" s="15">
        <v>0.9791666666666666</v>
      </c>
      <c r="C964" s="5">
        <f>IF('96 Werte'!CR15="","",'96 Werte'!CR15)</f>
        <v/>
      </c>
      <c r="D964" t="str">
        <f>IF(IF(Eingaben!$B$21&lt;Eingaben!$B$22,AND(B964&gt;=Eingaben!$B$21,B964&lt;Eingaben!$B$22),OR(B964&gt;=Eingaben!$B$21,B964&lt;Eingaben!$B$22)),"GO",IF(AND(ISNUMBER(Eingaben!$B$23),ISNUMBER(Eingaben!$B$24),IF(Eingaben!$B$23&lt;Eingaben!$B$24,AND(B964&gt;=Eingaben!$B$23,B964&lt;Eingaben!$B$24),OR(B964&gt;=Eingaben!$B$23,B964&lt;Eingaben!$B$24))),"HEAT","STANDARD"))</f>
        <v>STANDARD</v>
      </c>
      <c r="E964" s="9"/>
      <c r="F964" t="str">
        <f>IF(E964="",D964,E964)</f>
        <v>STANDARD</v>
      </c>
      <c r="G964" t="str">
        <f>INDEX(Netzzeiten!$B$6:$B$29,HOUR(B964)+1)</f>
        <v>NT</v>
      </c>
      <c r="H964" s="6">
        <f>IF(F964="GO",Eingaben!$B$11,IF(F964="STANDARD",Eingaben!$B$12,IF(AND(F964="HEAT",ISNUMBER(Eingaben!$B$13)),Eingaben!$B$13,"")))</f>
        <v>28.2744</v>
      </c>
      <c r="I964" s="6">
        <f>INDEX(Netzzeiten!$C$6:$C$29,HOUR(B964)+1)</f>
        <v>1.64</v>
      </c>
      <c r="J964" t="str">
        <f>IF(C964="","FEHLT",IF(NOT(ISNUMBER(C964)),"MESSWERT UNGUELTIG",IF(C964&lt;0,"MESSWERT UNGUELTIG",IF(H964="","TARIFPREIS FEHLT","OK"))))</f>
        <v>FEHLT</v>
      </c>
      <c r="K964" s="7">
        <f>IF(J964&lt;&gt;"OK","",C964*I964/100)</f>
        <v/>
      </c>
    </row>
    <row r="965" spans="1:11">
      <c r="A965" s="14">
        <v>46152</v>
      </c>
      <c r="B965" s="15">
        <v>0.9895833333333334</v>
      </c>
      <c r="C965" s="5">
        <f>IF('96 Werte'!CS15="","",'96 Werte'!CS15)</f>
        <v/>
      </c>
      <c r="D965" t="str">
        <f>IF(IF(Eingaben!$B$21&lt;Eingaben!$B$22,AND(B965&gt;=Eingaben!$B$21,B965&lt;Eingaben!$B$22),OR(B965&gt;=Eingaben!$B$21,B965&lt;Eingaben!$B$22)),"GO",IF(AND(ISNUMBER(Eingaben!$B$23),ISNUMBER(Eingaben!$B$24),IF(Eingaben!$B$23&lt;Eingaben!$B$24,AND(B965&gt;=Eingaben!$B$23,B965&lt;Eingaben!$B$24),OR(B965&gt;=Eingaben!$B$23,B965&lt;Eingaben!$B$24))),"HEAT","STANDARD"))</f>
        <v>STANDARD</v>
      </c>
      <c r="E965" s="9"/>
      <c r="F965" t="str">
        <f>IF(E965="",D965,E965)</f>
        <v>STANDARD</v>
      </c>
      <c r="G965" t="str">
        <f>INDEX(Netzzeiten!$B$6:$B$29,HOUR(B965)+1)</f>
        <v>NT</v>
      </c>
      <c r="H965" s="6">
        <f>IF(F965="GO",Eingaben!$B$11,IF(F965="STANDARD",Eingaben!$B$12,IF(AND(F965="HEAT",ISNUMBER(Eingaben!$B$13)),Eingaben!$B$13,"")))</f>
        <v>28.2744</v>
      </c>
      <c r="I965" s="6">
        <f>INDEX(Netzzeiten!$C$6:$C$29,HOUR(B965)+1)</f>
        <v>1.64</v>
      </c>
      <c r="J965" t="str">
        <f>IF(C965="","FEHLT",IF(NOT(ISNUMBER(C965)),"MESSWERT UNGUELTIG",IF(C965&lt;0,"MESSWERT UNGUELTIG",IF(H965="","TARIFPREIS FEHLT","OK"))))</f>
        <v>FEHLT</v>
      </c>
      <c r="K965" s="7">
        <f>IF(J965&lt;&gt;"OK","",C965*I965/100)</f>
        <v/>
      </c>
    </row>
    <row r="966" spans="1:11">
      <c r="A966" s="14">
        <v>46153</v>
      </c>
      <c r="B966" s="15">
        <v>0</v>
      </c>
      <c r="C966" s="5">
        <f>IF('96 Werte'!B16="","",'96 Werte'!B16)</f>
        <v/>
      </c>
      <c r="D966" t="str">
        <f>IF(IF(Eingaben!$B$21&lt;Eingaben!$B$22,AND(B966&gt;=Eingaben!$B$21,B966&lt;Eingaben!$B$22),OR(B966&gt;=Eingaben!$B$21,B966&lt;Eingaben!$B$22)),"GO",IF(AND(ISNUMBER(Eingaben!$B$23),ISNUMBER(Eingaben!$B$24),IF(Eingaben!$B$23&lt;Eingaben!$B$24,AND(B966&gt;=Eingaben!$B$23,B966&lt;Eingaben!$B$24),OR(B966&gt;=Eingaben!$B$23,B966&lt;Eingaben!$B$24))),"HEAT","STANDARD"))</f>
        <v>GO</v>
      </c>
      <c r="E966" s="9"/>
      <c r="F966" t="str">
        <f>IF(E966="",D966,E966)</f>
        <v>GO</v>
      </c>
      <c r="G966" t="str">
        <f>INDEX(Netzzeiten!$B$6:$B$29,HOUR(B966)+1)</f>
        <v>NT</v>
      </c>
      <c r="H966" s="6">
        <f>IF(F966="GO",Eingaben!$B$11,IF(F966="STANDARD",Eingaben!$B$12,IF(AND(F966="HEAT",ISNUMBER(Eingaben!$B$13)),Eingaben!$B$13,"")))</f>
        <v>15.0654</v>
      </c>
      <c r="I966" s="6">
        <f>INDEX(Netzzeiten!$C$6:$C$29,HOUR(B966)+1)</f>
        <v>1.64</v>
      </c>
      <c r="J966" t="str">
        <f>IF(C966="","FEHLT",IF(NOT(ISNUMBER(C966)),"MESSWERT UNGUELTIG",IF(C966&lt;0,"MESSWERT UNGUELTIG",IF(H966="","TARIFPREIS FEHLT","OK"))))</f>
        <v>FEHLT</v>
      </c>
      <c r="K966" s="7">
        <f>IF(J966&lt;&gt;"OK","",C966*I966/100)</f>
        <v/>
      </c>
    </row>
    <row r="967" spans="1:11">
      <c r="A967" s="14">
        <v>46153</v>
      </c>
      <c r="B967" s="15">
        <v>0.01041666666666667</v>
      </c>
      <c r="C967" s="5">
        <f>IF('96 Werte'!C16="","",'96 Werte'!C16)</f>
        <v/>
      </c>
      <c r="D967" t="str">
        <f>IF(IF(Eingaben!$B$21&lt;Eingaben!$B$22,AND(B967&gt;=Eingaben!$B$21,B967&lt;Eingaben!$B$22),OR(B967&gt;=Eingaben!$B$21,B967&lt;Eingaben!$B$22)),"GO",IF(AND(ISNUMBER(Eingaben!$B$23),ISNUMBER(Eingaben!$B$24),IF(Eingaben!$B$23&lt;Eingaben!$B$24,AND(B967&gt;=Eingaben!$B$23,B967&lt;Eingaben!$B$24),OR(B967&gt;=Eingaben!$B$23,B967&lt;Eingaben!$B$24))),"HEAT","STANDARD"))</f>
        <v>GO</v>
      </c>
      <c r="E967" s="9"/>
      <c r="F967" t="str">
        <f>IF(E967="",D967,E967)</f>
        <v>GO</v>
      </c>
      <c r="G967" t="str">
        <f>INDEX(Netzzeiten!$B$6:$B$29,HOUR(B967)+1)</f>
        <v>NT</v>
      </c>
      <c r="H967" s="6">
        <f>IF(F967="GO",Eingaben!$B$11,IF(F967="STANDARD",Eingaben!$B$12,IF(AND(F967="HEAT",ISNUMBER(Eingaben!$B$13)),Eingaben!$B$13,"")))</f>
        <v>15.0654</v>
      </c>
      <c r="I967" s="6">
        <f>INDEX(Netzzeiten!$C$6:$C$29,HOUR(B967)+1)</f>
        <v>1.64</v>
      </c>
      <c r="J967" t="str">
        <f>IF(C967="","FEHLT",IF(NOT(ISNUMBER(C967)),"MESSWERT UNGUELTIG",IF(C967&lt;0,"MESSWERT UNGUELTIG",IF(H967="","TARIFPREIS FEHLT","OK"))))</f>
        <v>FEHLT</v>
      </c>
      <c r="K967" s="7">
        <f>IF(J967&lt;&gt;"OK","",C967*I967/100)</f>
        <v/>
      </c>
    </row>
    <row r="968" spans="1:11">
      <c r="A968" s="14">
        <v>46153</v>
      </c>
      <c r="B968" s="15">
        <v>0.02083333333333333</v>
      </c>
      <c r="C968" s="5">
        <f>IF('96 Werte'!D16="","",'96 Werte'!D16)</f>
        <v/>
      </c>
      <c r="D968" t="str">
        <f>IF(IF(Eingaben!$B$21&lt;Eingaben!$B$22,AND(B968&gt;=Eingaben!$B$21,B968&lt;Eingaben!$B$22),OR(B968&gt;=Eingaben!$B$21,B968&lt;Eingaben!$B$22)),"GO",IF(AND(ISNUMBER(Eingaben!$B$23),ISNUMBER(Eingaben!$B$24),IF(Eingaben!$B$23&lt;Eingaben!$B$24,AND(B968&gt;=Eingaben!$B$23,B968&lt;Eingaben!$B$24),OR(B968&gt;=Eingaben!$B$23,B968&lt;Eingaben!$B$24))),"HEAT","STANDARD"))</f>
        <v>GO</v>
      </c>
      <c r="E968" s="9"/>
      <c r="F968" t="str">
        <f>IF(E968="",D968,E968)</f>
        <v>GO</v>
      </c>
      <c r="G968" t="str">
        <f>INDEX(Netzzeiten!$B$6:$B$29,HOUR(B968)+1)</f>
        <v>NT</v>
      </c>
      <c r="H968" s="6">
        <f>IF(F968="GO",Eingaben!$B$11,IF(F968="STANDARD",Eingaben!$B$12,IF(AND(F968="HEAT",ISNUMBER(Eingaben!$B$13)),Eingaben!$B$13,"")))</f>
        <v>15.0654</v>
      </c>
      <c r="I968" s="6">
        <f>INDEX(Netzzeiten!$C$6:$C$29,HOUR(B968)+1)</f>
        <v>1.64</v>
      </c>
      <c r="J968" t="str">
        <f>IF(C968="","FEHLT",IF(NOT(ISNUMBER(C968)),"MESSWERT UNGUELTIG",IF(C968&lt;0,"MESSWERT UNGUELTIG",IF(H968="","TARIFPREIS FEHLT","OK"))))</f>
        <v>FEHLT</v>
      </c>
      <c r="K968" s="7">
        <f>IF(J968&lt;&gt;"OK","",C968*I968/100)</f>
        <v/>
      </c>
    </row>
    <row r="969" spans="1:11">
      <c r="A969" s="14">
        <v>46153</v>
      </c>
      <c r="B969" s="15">
        <v>0.03125</v>
      </c>
      <c r="C969" s="5">
        <f>IF('96 Werte'!E16="","",'96 Werte'!E16)</f>
        <v/>
      </c>
      <c r="D969" t="str">
        <f>IF(IF(Eingaben!$B$21&lt;Eingaben!$B$22,AND(B969&gt;=Eingaben!$B$21,B969&lt;Eingaben!$B$22),OR(B969&gt;=Eingaben!$B$21,B969&lt;Eingaben!$B$22)),"GO",IF(AND(ISNUMBER(Eingaben!$B$23),ISNUMBER(Eingaben!$B$24),IF(Eingaben!$B$23&lt;Eingaben!$B$24,AND(B969&gt;=Eingaben!$B$23,B969&lt;Eingaben!$B$24),OR(B969&gt;=Eingaben!$B$23,B969&lt;Eingaben!$B$24))),"HEAT","STANDARD"))</f>
        <v>GO</v>
      </c>
      <c r="E969" s="9"/>
      <c r="F969" t="str">
        <f>IF(E969="",D969,E969)</f>
        <v>GO</v>
      </c>
      <c r="G969" t="str">
        <f>INDEX(Netzzeiten!$B$6:$B$29,HOUR(B969)+1)</f>
        <v>NT</v>
      </c>
      <c r="H969" s="6">
        <f>IF(F969="GO",Eingaben!$B$11,IF(F969="STANDARD",Eingaben!$B$12,IF(AND(F969="HEAT",ISNUMBER(Eingaben!$B$13)),Eingaben!$B$13,"")))</f>
        <v>15.0654</v>
      </c>
      <c r="I969" s="6">
        <f>INDEX(Netzzeiten!$C$6:$C$29,HOUR(B969)+1)</f>
        <v>1.64</v>
      </c>
      <c r="J969" t="str">
        <f>IF(C969="","FEHLT",IF(NOT(ISNUMBER(C969)),"MESSWERT UNGUELTIG",IF(C969&lt;0,"MESSWERT UNGUELTIG",IF(H969="","TARIFPREIS FEHLT","OK"))))</f>
        <v>FEHLT</v>
      </c>
      <c r="K969" s="7">
        <f>IF(J969&lt;&gt;"OK","",C969*I969/100)</f>
        <v/>
      </c>
    </row>
    <row r="970" spans="1:11">
      <c r="A970" s="14">
        <v>46153</v>
      </c>
      <c r="B970" s="15">
        <v>0.04166666666666666</v>
      </c>
      <c r="C970" s="5">
        <f>IF('96 Werte'!F16="","",'96 Werte'!F16)</f>
        <v/>
      </c>
      <c r="D970" t="str">
        <f>IF(IF(Eingaben!$B$21&lt;Eingaben!$B$22,AND(B970&gt;=Eingaben!$B$21,B970&lt;Eingaben!$B$22),OR(B970&gt;=Eingaben!$B$21,B970&lt;Eingaben!$B$22)),"GO",IF(AND(ISNUMBER(Eingaben!$B$23),ISNUMBER(Eingaben!$B$24),IF(Eingaben!$B$23&lt;Eingaben!$B$24,AND(B970&gt;=Eingaben!$B$23,B970&lt;Eingaben!$B$24),OR(B970&gt;=Eingaben!$B$23,B970&lt;Eingaben!$B$24))),"HEAT","STANDARD"))</f>
        <v>GO</v>
      </c>
      <c r="E970" s="9"/>
      <c r="F970" t="str">
        <f>IF(E970="",D970,E970)</f>
        <v>GO</v>
      </c>
      <c r="G970" t="str">
        <f>INDEX(Netzzeiten!$B$6:$B$29,HOUR(B970)+1)</f>
        <v>NT</v>
      </c>
      <c r="H970" s="6">
        <f>IF(F970="GO",Eingaben!$B$11,IF(F970="STANDARD",Eingaben!$B$12,IF(AND(F970="HEAT",ISNUMBER(Eingaben!$B$13)),Eingaben!$B$13,"")))</f>
        <v>15.0654</v>
      </c>
      <c r="I970" s="6">
        <f>INDEX(Netzzeiten!$C$6:$C$29,HOUR(B970)+1)</f>
        <v>1.64</v>
      </c>
      <c r="J970" t="str">
        <f>IF(C970="","FEHLT",IF(NOT(ISNUMBER(C970)),"MESSWERT UNGUELTIG",IF(C970&lt;0,"MESSWERT UNGUELTIG",IF(H970="","TARIFPREIS FEHLT","OK"))))</f>
        <v>FEHLT</v>
      </c>
      <c r="K970" s="7">
        <f>IF(J970&lt;&gt;"OK","",C970*I970/100)</f>
        <v/>
      </c>
    </row>
    <row r="971" spans="1:11">
      <c r="A971" s="14">
        <v>46153</v>
      </c>
      <c r="B971" s="15">
        <v>0.05208333333333334</v>
      </c>
      <c r="C971" s="5">
        <f>IF('96 Werte'!G16="","",'96 Werte'!G16)</f>
        <v/>
      </c>
      <c r="D971" t="str">
        <f>IF(IF(Eingaben!$B$21&lt;Eingaben!$B$22,AND(B971&gt;=Eingaben!$B$21,B971&lt;Eingaben!$B$22),OR(B971&gt;=Eingaben!$B$21,B971&lt;Eingaben!$B$22)),"GO",IF(AND(ISNUMBER(Eingaben!$B$23),ISNUMBER(Eingaben!$B$24),IF(Eingaben!$B$23&lt;Eingaben!$B$24,AND(B971&gt;=Eingaben!$B$23,B971&lt;Eingaben!$B$24),OR(B971&gt;=Eingaben!$B$23,B971&lt;Eingaben!$B$24))),"HEAT","STANDARD"))</f>
        <v>GO</v>
      </c>
      <c r="E971" s="9"/>
      <c r="F971" t="str">
        <f>IF(E971="",D971,E971)</f>
        <v>GO</v>
      </c>
      <c r="G971" t="str">
        <f>INDEX(Netzzeiten!$B$6:$B$29,HOUR(B971)+1)</f>
        <v>NT</v>
      </c>
      <c r="H971" s="6">
        <f>IF(F971="GO",Eingaben!$B$11,IF(F971="STANDARD",Eingaben!$B$12,IF(AND(F971="HEAT",ISNUMBER(Eingaben!$B$13)),Eingaben!$B$13,"")))</f>
        <v>15.0654</v>
      </c>
      <c r="I971" s="6">
        <f>INDEX(Netzzeiten!$C$6:$C$29,HOUR(B971)+1)</f>
        <v>1.64</v>
      </c>
      <c r="J971" t="str">
        <f>IF(C971="","FEHLT",IF(NOT(ISNUMBER(C971)),"MESSWERT UNGUELTIG",IF(C971&lt;0,"MESSWERT UNGUELTIG",IF(H971="","TARIFPREIS FEHLT","OK"))))</f>
        <v>FEHLT</v>
      </c>
      <c r="K971" s="7">
        <f>IF(J971&lt;&gt;"OK","",C971*I971/100)</f>
        <v/>
      </c>
    </row>
    <row r="972" spans="1:11">
      <c r="A972" s="14">
        <v>46153</v>
      </c>
      <c r="B972" s="15">
        <v>0.0625</v>
      </c>
      <c r="C972" s="5">
        <f>IF('96 Werte'!H16="","",'96 Werte'!H16)</f>
        <v/>
      </c>
      <c r="D972" t="str">
        <f>IF(IF(Eingaben!$B$21&lt;Eingaben!$B$22,AND(B972&gt;=Eingaben!$B$21,B972&lt;Eingaben!$B$22),OR(B972&gt;=Eingaben!$B$21,B972&lt;Eingaben!$B$22)),"GO",IF(AND(ISNUMBER(Eingaben!$B$23),ISNUMBER(Eingaben!$B$24),IF(Eingaben!$B$23&lt;Eingaben!$B$24,AND(B972&gt;=Eingaben!$B$23,B972&lt;Eingaben!$B$24),OR(B972&gt;=Eingaben!$B$23,B972&lt;Eingaben!$B$24))),"HEAT","STANDARD"))</f>
        <v>GO</v>
      </c>
      <c r="E972" s="9"/>
      <c r="F972" t="str">
        <f>IF(E972="",D972,E972)</f>
        <v>GO</v>
      </c>
      <c r="G972" t="str">
        <f>INDEX(Netzzeiten!$B$6:$B$29,HOUR(B972)+1)</f>
        <v>NT</v>
      </c>
      <c r="H972" s="6">
        <f>IF(F972="GO",Eingaben!$B$11,IF(F972="STANDARD",Eingaben!$B$12,IF(AND(F972="HEAT",ISNUMBER(Eingaben!$B$13)),Eingaben!$B$13,"")))</f>
        <v>15.0654</v>
      </c>
      <c r="I972" s="6">
        <f>INDEX(Netzzeiten!$C$6:$C$29,HOUR(B972)+1)</f>
        <v>1.64</v>
      </c>
      <c r="J972" t="str">
        <f>IF(C972="","FEHLT",IF(NOT(ISNUMBER(C972)),"MESSWERT UNGUELTIG",IF(C972&lt;0,"MESSWERT UNGUELTIG",IF(H972="","TARIFPREIS FEHLT","OK"))))</f>
        <v>FEHLT</v>
      </c>
      <c r="K972" s="7">
        <f>IF(J972&lt;&gt;"OK","",C972*I972/100)</f>
        <v/>
      </c>
    </row>
    <row r="973" spans="1:11">
      <c r="A973" s="14">
        <v>46153</v>
      </c>
      <c r="B973" s="15">
        <v>0.07291666666666667</v>
      </c>
      <c r="C973" s="5">
        <f>IF('96 Werte'!I16="","",'96 Werte'!I16)</f>
        <v/>
      </c>
      <c r="D973" t="str">
        <f>IF(IF(Eingaben!$B$21&lt;Eingaben!$B$22,AND(B973&gt;=Eingaben!$B$21,B973&lt;Eingaben!$B$22),OR(B973&gt;=Eingaben!$B$21,B973&lt;Eingaben!$B$22)),"GO",IF(AND(ISNUMBER(Eingaben!$B$23),ISNUMBER(Eingaben!$B$24),IF(Eingaben!$B$23&lt;Eingaben!$B$24,AND(B973&gt;=Eingaben!$B$23,B973&lt;Eingaben!$B$24),OR(B973&gt;=Eingaben!$B$23,B973&lt;Eingaben!$B$24))),"HEAT","STANDARD"))</f>
        <v>GO</v>
      </c>
      <c r="E973" s="9"/>
      <c r="F973" t="str">
        <f>IF(E973="",D973,E973)</f>
        <v>GO</v>
      </c>
      <c r="G973" t="str">
        <f>INDEX(Netzzeiten!$B$6:$B$29,HOUR(B973)+1)</f>
        <v>NT</v>
      </c>
      <c r="H973" s="6">
        <f>IF(F973="GO",Eingaben!$B$11,IF(F973="STANDARD",Eingaben!$B$12,IF(AND(F973="HEAT",ISNUMBER(Eingaben!$B$13)),Eingaben!$B$13,"")))</f>
        <v>15.0654</v>
      </c>
      <c r="I973" s="6">
        <f>INDEX(Netzzeiten!$C$6:$C$29,HOUR(B973)+1)</f>
        <v>1.64</v>
      </c>
      <c r="J973" t="str">
        <f>IF(C973="","FEHLT",IF(NOT(ISNUMBER(C973)),"MESSWERT UNGUELTIG",IF(C973&lt;0,"MESSWERT UNGUELTIG",IF(H973="","TARIFPREIS FEHLT","OK"))))</f>
        <v>FEHLT</v>
      </c>
      <c r="K973" s="7">
        <f>IF(J973&lt;&gt;"OK","",C973*I973/100)</f>
        <v/>
      </c>
    </row>
    <row r="974" spans="1:11">
      <c r="A974" s="14">
        <v>46153</v>
      </c>
      <c r="B974" s="15">
        <v>0.08333333333333333</v>
      </c>
      <c r="C974" s="5">
        <f>IF('96 Werte'!J16="","",'96 Werte'!J16)</f>
        <v/>
      </c>
      <c r="D974" t="str">
        <f>IF(IF(Eingaben!$B$21&lt;Eingaben!$B$22,AND(B974&gt;=Eingaben!$B$21,B974&lt;Eingaben!$B$22),OR(B974&gt;=Eingaben!$B$21,B974&lt;Eingaben!$B$22)),"GO",IF(AND(ISNUMBER(Eingaben!$B$23),ISNUMBER(Eingaben!$B$24),IF(Eingaben!$B$23&lt;Eingaben!$B$24,AND(B974&gt;=Eingaben!$B$23,B974&lt;Eingaben!$B$24),OR(B974&gt;=Eingaben!$B$23,B974&lt;Eingaben!$B$24))),"HEAT","STANDARD"))</f>
        <v>GO</v>
      </c>
      <c r="E974" s="9"/>
      <c r="F974" t="str">
        <f>IF(E974="",D974,E974)</f>
        <v>GO</v>
      </c>
      <c r="G974" t="str">
        <f>INDEX(Netzzeiten!$B$6:$B$29,HOUR(B974)+1)</f>
        <v>NT</v>
      </c>
      <c r="H974" s="6">
        <f>IF(F974="GO",Eingaben!$B$11,IF(F974="STANDARD",Eingaben!$B$12,IF(AND(F974="HEAT",ISNUMBER(Eingaben!$B$13)),Eingaben!$B$13,"")))</f>
        <v>15.0654</v>
      </c>
      <c r="I974" s="6">
        <f>INDEX(Netzzeiten!$C$6:$C$29,HOUR(B974)+1)</f>
        <v>1.64</v>
      </c>
      <c r="J974" t="str">
        <f>IF(C974="","FEHLT",IF(NOT(ISNUMBER(C974)),"MESSWERT UNGUELTIG",IF(C974&lt;0,"MESSWERT UNGUELTIG",IF(H974="","TARIFPREIS FEHLT","OK"))))</f>
        <v>FEHLT</v>
      </c>
      <c r="K974" s="7">
        <f>IF(J974&lt;&gt;"OK","",C974*I974/100)</f>
        <v/>
      </c>
    </row>
    <row r="975" spans="1:11">
      <c r="A975" s="14">
        <v>46153</v>
      </c>
      <c r="B975" s="15">
        <v>0.09375</v>
      </c>
      <c r="C975" s="5">
        <f>IF('96 Werte'!K16="","",'96 Werte'!K16)</f>
        <v/>
      </c>
      <c r="D975" t="str">
        <f>IF(IF(Eingaben!$B$21&lt;Eingaben!$B$22,AND(B975&gt;=Eingaben!$B$21,B975&lt;Eingaben!$B$22),OR(B975&gt;=Eingaben!$B$21,B975&lt;Eingaben!$B$22)),"GO",IF(AND(ISNUMBER(Eingaben!$B$23),ISNUMBER(Eingaben!$B$24),IF(Eingaben!$B$23&lt;Eingaben!$B$24,AND(B975&gt;=Eingaben!$B$23,B975&lt;Eingaben!$B$24),OR(B975&gt;=Eingaben!$B$23,B975&lt;Eingaben!$B$24))),"HEAT","STANDARD"))</f>
        <v>GO</v>
      </c>
      <c r="E975" s="9"/>
      <c r="F975" t="str">
        <f>IF(E975="",D975,E975)</f>
        <v>GO</v>
      </c>
      <c r="G975" t="str">
        <f>INDEX(Netzzeiten!$B$6:$B$29,HOUR(B975)+1)</f>
        <v>NT</v>
      </c>
      <c r="H975" s="6">
        <f>IF(F975="GO",Eingaben!$B$11,IF(F975="STANDARD",Eingaben!$B$12,IF(AND(F975="HEAT",ISNUMBER(Eingaben!$B$13)),Eingaben!$B$13,"")))</f>
        <v>15.0654</v>
      </c>
      <c r="I975" s="6">
        <f>INDEX(Netzzeiten!$C$6:$C$29,HOUR(B975)+1)</f>
        <v>1.64</v>
      </c>
      <c r="J975" t="str">
        <f>IF(C975="","FEHLT",IF(NOT(ISNUMBER(C975)),"MESSWERT UNGUELTIG",IF(C975&lt;0,"MESSWERT UNGUELTIG",IF(H975="","TARIFPREIS FEHLT","OK"))))</f>
        <v>FEHLT</v>
      </c>
      <c r="K975" s="7">
        <f>IF(J975&lt;&gt;"OK","",C975*I975/100)</f>
        <v/>
      </c>
    </row>
    <row r="976" spans="1:11">
      <c r="A976" s="14">
        <v>46153</v>
      </c>
      <c r="B976" s="15">
        <v>0.1041666666666667</v>
      </c>
      <c r="C976" s="5">
        <f>IF('96 Werte'!L16="","",'96 Werte'!L16)</f>
        <v/>
      </c>
      <c r="D976" t="str">
        <f>IF(IF(Eingaben!$B$21&lt;Eingaben!$B$22,AND(B976&gt;=Eingaben!$B$21,B976&lt;Eingaben!$B$22),OR(B976&gt;=Eingaben!$B$21,B976&lt;Eingaben!$B$22)),"GO",IF(AND(ISNUMBER(Eingaben!$B$23),ISNUMBER(Eingaben!$B$24),IF(Eingaben!$B$23&lt;Eingaben!$B$24,AND(B976&gt;=Eingaben!$B$23,B976&lt;Eingaben!$B$24),OR(B976&gt;=Eingaben!$B$23,B976&lt;Eingaben!$B$24))),"HEAT","STANDARD"))</f>
        <v>GO</v>
      </c>
      <c r="E976" s="9"/>
      <c r="F976" t="str">
        <f>IF(E976="",D976,E976)</f>
        <v>GO</v>
      </c>
      <c r="G976" t="str">
        <f>INDEX(Netzzeiten!$B$6:$B$29,HOUR(B976)+1)</f>
        <v>NT</v>
      </c>
      <c r="H976" s="6">
        <f>IF(F976="GO",Eingaben!$B$11,IF(F976="STANDARD",Eingaben!$B$12,IF(AND(F976="HEAT",ISNUMBER(Eingaben!$B$13)),Eingaben!$B$13,"")))</f>
        <v>15.0654</v>
      </c>
      <c r="I976" s="6">
        <f>INDEX(Netzzeiten!$C$6:$C$29,HOUR(B976)+1)</f>
        <v>1.64</v>
      </c>
      <c r="J976" t="str">
        <f>IF(C976="","FEHLT",IF(NOT(ISNUMBER(C976)),"MESSWERT UNGUELTIG",IF(C976&lt;0,"MESSWERT UNGUELTIG",IF(H976="","TARIFPREIS FEHLT","OK"))))</f>
        <v>FEHLT</v>
      </c>
      <c r="K976" s="7">
        <f>IF(J976&lt;&gt;"OK","",C976*I976/100)</f>
        <v/>
      </c>
    </row>
    <row r="977" spans="1:11">
      <c r="A977" s="14">
        <v>46153</v>
      </c>
      <c r="B977" s="15">
        <v>0.1145833333333333</v>
      </c>
      <c r="C977" s="5">
        <f>IF('96 Werte'!M16="","",'96 Werte'!M16)</f>
        <v/>
      </c>
      <c r="D977" t="str">
        <f>IF(IF(Eingaben!$B$21&lt;Eingaben!$B$22,AND(B977&gt;=Eingaben!$B$21,B977&lt;Eingaben!$B$22),OR(B977&gt;=Eingaben!$B$21,B977&lt;Eingaben!$B$22)),"GO",IF(AND(ISNUMBER(Eingaben!$B$23),ISNUMBER(Eingaben!$B$24),IF(Eingaben!$B$23&lt;Eingaben!$B$24,AND(B977&gt;=Eingaben!$B$23,B977&lt;Eingaben!$B$24),OR(B977&gt;=Eingaben!$B$23,B977&lt;Eingaben!$B$24))),"HEAT","STANDARD"))</f>
        <v>GO</v>
      </c>
      <c r="E977" s="9"/>
      <c r="F977" t="str">
        <f>IF(E977="",D977,E977)</f>
        <v>GO</v>
      </c>
      <c r="G977" t="str">
        <f>INDEX(Netzzeiten!$B$6:$B$29,HOUR(B977)+1)</f>
        <v>NT</v>
      </c>
      <c r="H977" s="6">
        <f>IF(F977="GO",Eingaben!$B$11,IF(F977="STANDARD",Eingaben!$B$12,IF(AND(F977="HEAT",ISNUMBER(Eingaben!$B$13)),Eingaben!$B$13,"")))</f>
        <v>15.0654</v>
      </c>
      <c r="I977" s="6">
        <f>INDEX(Netzzeiten!$C$6:$C$29,HOUR(B977)+1)</f>
        <v>1.64</v>
      </c>
      <c r="J977" t="str">
        <f>IF(C977="","FEHLT",IF(NOT(ISNUMBER(C977)),"MESSWERT UNGUELTIG",IF(C977&lt;0,"MESSWERT UNGUELTIG",IF(H977="","TARIFPREIS FEHLT","OK"))))</f>
        <v>FEHLT</v>
      </c>
      <c r="K977" s="7">
        <f>IF(J977&lt;&gt;"OK","",C977*I977/100)</f>
        <v/>
      </c>
    </row>
    <row r="978" spans="1:11">
      <c r="A978" s="14">
        <v>46153</v>
      </c>
      <c r="B978" s="15">
        <v>0.125</v>
      </c>
      <c r="C978" s="5">
        <f>IF('96 Werte'!N16="","",'96 Werte'!N16)</f>
        <v/>
      </c>
      <c r="D978" t="str">
        <f>IF(IF(Eingaben!$B$21&lt;Eingaben!$B$22,AND(B978&gt;=Eingaben!$B$21,B978&lt;Eingaben!$B$22),OR(B978&gt;=Eingaben!$B$21,B978&lt;Eingaben!$B$22)),"GO",IF(AND(ISNUMBER(Eingaben!$B$23),ISNUMBER(Eingaben!$B$24),IF(Eingaben!$B$23&lt;Eingaben!$B$24,AND(B978&gt;=Eingaben!$B$23,B978&lt;Eingaben!$B$24),OR(B978&gt;=Eingaben!$B$23,B978&lt;Eingaben!$B$24))),"HEAT","STANDARD"))</f>
        <v>GO</v>
      </c>
      <c r="E978" s="9"/>
      <c r="F978" t="str">
        <f>IF(E978="",D978,E978)</f>
        <v>GO</v>
      </c>
      <c r="G978" t="str">
        <f>INDEX(Netzzeiten!$B$6:$B$29,HOUR(B978)+1)</f>
        <v>NT</v>
      </c>
      <c r="H978" s="6">
        <f>IF(F978="GO",Eingaben!$B$11,IF(F978="STANDARD",Eingaben!$B$12,IF(AND(F978="HEAT",ISNUMBER(Eingaben!$B$13)),Eingaben!$B$13,"")))</f>
        <v>15.0654</v>
      </c>
      <c r="I978" s="6">
        <f>INDEX(Netzzeiten!$C$6:$C$29,HOUR(B978)+1)</f>
        <v>1.64</v>
      </c>
      <c r="J978" t="str">
        <f>IF(C978="","FEHLT",IF(NOT(ISNUMBER(C978)),"MESSWERT UNGUELTIG",IF(C978&lt;0,"MESSWERT UNGUELTIG",IF(H978="","TARIFPREIS FEHLT","OK"))))</f>
        <v>FEHLT</v>
      </c>
      <c r="K978" s="7">
        <f>IF(J978&lt;&gt;"OK","",C978*I978/100)</f>
        <v/>
      </c>
    </row>
    <row r="979" spans="1:11">
      <c r="A979" s="14">
        <v>46153</v>
      </c>
      <c r="B979" s="15">
        <v>0.1354166666666667</v>
      </c>
      <c r="C979" s="5">
        <f>IF('96 Werte'!O16="","",'96 Werte'!O16)</f>
        <v/>
      </c>
      <c r="D979" t="str">
        <f>IF(IF(Eingaben!$B$21&lt;Eingaben!$B$22,AND(B979&gt;=Eingaben!$B$21,B979&lt;Eingaben!$B$22),OR(B979&gt;=Eingaben!$B$21,B979&lt;Eingaben!$B$22)),"GO",IF(AND(ISNUMBER(Eingaben!$B$23),ISNUMBER(Eingaben!$B$24),IF(Eingaben!$B$23&lt;Eingaben!$B$24,AND(B979&gt;=Eingaben!$B$23,B979&lt;Eingaben!$B$24),OR(B979&gt;=Eingaben!$B$23,B979&lt;Eingaben!$B$24))),"HEAT","STANDARD"))</f>
        <v>GO</v>
      </c>
      <c r="E979" s="9"/>
      <c r="F979" t="str">
        <f>IF(E979="",D979,E979)</f>
        <v>GO</v>
      </c>
      <c r="G979" t="str">
        <f>INDEX(Netzzeiten!$B$6:$B$29,HOUR(B979)+1)</f>
        <v>NT</v>
      </c>
      <c r="H979" s="6">
        <f>IF(F979="GO",Eingaben!$B$11,IF(F979="STANDARD",Eingaben!$B$12,IF(AND(F979="HEAT",ISNUMBER(Eingaben!$B$13)),Eingaben!$B$13,"")))</f>
        <v>15.0654</v>
      </c>
      <c r="I979" s="6">
        <f>INDEX(Netzzeiten!$C$6:$C$29,HOUR(B979)+1)</f>
        <v>1.64</v>
      </c>
      <c r="J979" t="str">
        <f>IF(C979="","FEHLT",IF(NOT(ISNUMBER(C979)),"MESSWERT UNGUELTIG",IF(C979&lt;0,"MESSWERT UNGUELTIG",IF(H979="","TARIFPREIS FEHLT","OK"))))</f>
        <v>FEHLT</v>
      </c>
      <c r="K979" s="7">
        <f>IF(J979&lt;&gt;"OK","",C979*I979/100)</f>
        <v/>
      </c>
    </row>
    <row r="980" spans="1:11">
      <c r="A980" s="14">
        <v>46153</v>
      </c>
      <c r="B980" s="15">
        <v>0.1458333333333333</v>
      </c>
      <c r="C980" s="5">
        <f>IF('96 Werte'!P16="","",'96 Werte'!P16)</f>
        <v/>
      </c>
      <c r="D980" t="str">
        <f>IF(IF(Eingaben!$B$21&lt;Eingaben!$B$22,AND(B980&gt;=Eingaben!$B$21,B980&lt;Eingaben!$B$22),OR(B980&gt;=Eingaben!$B$21,B980&lt;Eingaben!$B$22)),"GO",IF(AND(ISNUMBER(Eingaben!$B$23),ISNUMBER(Eingaben!$B$24),IF(Eingaben!$B$23&lt;Eingaben!$B$24,AND(B980&gt;=Eingaben!$B$23,B980&lt;Eingaben!$B$24),OR(B980&gt;=Eingaben!$B$23,B980&lt;Eingaben!$B$24))),"HEAT","STANDARD"))</f>
        <v>GO</v>
      </c>
      <c r="E980" s="9"/>
      <c r="F980" t="str">
        <f>IF(E980="",D980,E980)</f>
        <v>GO</v>
      </c>
      <c r="G980" t="str">
        <f>INDEX(Netzzeiten!$B$6:$B$29,HOUR(B980)+1)</f>
        <v>NT</v>
      </c>
      <c r="H980" s="6">
        <f>IF(F980="GO",Eingaben!$B$11,IF(F980="STANDARD",Eingaben!$B$12,IF(AND(F980="HEAT",ISNUMBER(Eingaben!$B$13)),Eingaben!$B$13,"")))</f>
        <v>15.0654</v>
      </c>
      <c r="I980" s="6">
        <f>INDEX(Netzzeiten!$C$6:$C$29,HOUR(B980)+1)</f>
        <v>1.64</v>
      </c>
      <c r="J980" t="str">
        <f>IF(C980="","FEHLT",IF(NOT(ISNUMBER(C980)),"MESSWERT UNGUELTIG",IF(C980&lt;0,"MESSWERT UNGUELTIG",IF(H980="","TARIFPREIS FEHLT","OK"))))</f>
        <v>FEHLT</v>
      </c>
      <c r="K980" s="7">
        <f>IF(J980&lt;&gt;"OK","",C980*I980/100)</f>
        <v/>
      </c>
    </row>
    <row r="981" spans="1:11">
      <c r="A981" s="14">
        <v>46153</v>
      </c>
      <c r="B981" s="15">
        <v>0.15625</v>
      </c>
      <c r="C981" s="5">
        <f>IF('96 Werte'!Q16="","",'96 Werte'!Q16)</f>
        <v/>
      </c>
      <c r="D981" t="str">
        <f>IF(IF(Eingaben!$B$21&lt;Eingaben!$B$22,AND(B981&gt;=Eingaben!$B$21,B981&lt;Eingaben!$B$22),OR(B981&gt;=Eingaben!$B$21,B981&lt;Eingaben!$B$22)),"GO",IF(AND(ISNUMBER(Eingaben!$B$23),ISNUMBER(Eingaben!$B$24),IF(Eingaben!$B$23&lt;Eingaben!$B$24,AND(B981&gt;=Eingaben!$B$23,B981&lt;Eingaben!$B$24),OR(B981&gt;=Eingaben!$B$23,B981&lt;Eingaben!$B$24))),"HEAT","STANDARD"))</f>
        <v>GO</v>
      </c>
      <c r="E981" s="9"/>
      <c r="F981" t="str">
        <f>IF(E981="",D981,E981)</f>
        <v>GO</v>
      </c>
      <c r="G981" t="str">
        <f>INDEX(Netzzeiten!$B$6:$B$29,HOUR(B981)+1)</f>
        <v>NT</v>
      </c>
      <c r="H981" s="6">
        <f>IF(F981="GO",Eingaben!$B$11,IF(F981="STANDARD",Eingaben!$B$12,IF(AND(F981="HEAT",ISNUMBER(Eingaben!$B$13)),Eingaben!$B$13,"")))</f>
        <v>15.0654</v>
      </c>
      <c r="I981" s="6">
        <f>INDEX(Netzzeiten!$C$6:$C$29,HOUR(B981)+1)</f>
        <v>1.64</v>
      </c>
      <c r="J981" t="str">
        <f>IF(C981="","FEHLT",IF(NOT(ISNUMBER(C981)),"MESSWERT UNGUELTIG",IF(C981&lt;0,"MESSWERT UNGUELTIG",IF(H981="","TARIFPREIS FEHLT","OK"))))</f>
        <v>FEHLT</v>
      </c>
      <c r="K981" s="7">
        <f>IF(J981&lt;&gt;"OK","",C981*I981/100)</f>
        <v/>
      </c>
    </row>
    <row r="982" spans="1:11">
      <c r="A982" s="14">
        <v>46153</v>
      </c>
      <c r="B982" s="15">
        <v>0.1666666666666667</v>
      </c>
      <c r="C982" s="5">
        <f>IF('96 Werte'!R16="","",'96 Werte'!R16)</f>
        <v/>
      </c>
      <c r="D982" t="str">
        <f>IF(IF(Eingaben!$B$21&lt;Eingaben!$B$22,AND(B982&gt;=Eingaben!$B$21,B982&lt;Eingaben!$B$22),OR(B982&gt;=Eingaben!$B$21,B982&lt;Eingaben!$B$22)),"GO",IF(AND(ISNUMBER(Eingaben!$B$23),ISNUMBER(Eingaben!$B$24),IF(Eingaben!$B$23&lt;Eingaben!$B$24,AND(B982&gt;=Eingaben!$B$23,B982&lt;Eingaben!$B$24),OR(B982&gt;=Eingaben!$B$23,B982&lt;Eingaben!$B$24))),"HEAT","STANDARD"))</f>
        <v>GO</v>
      </c>
      <c r="E982" s="9"/>
      <c r="F982" t="str">
        <f>IF(E982="",D982,E982)</f>
        <v>GO</v>
      </c>
      <c r="G982" t="str">
        <f>INDEX(Netzzeiten!$B$6:$B$29,HOUR(B982)+1)</f>
        <v>NT</v>
      </c>
      <c r="H982" s="6">
        <f>IF(F982="GO",Eingaben!$B$11,IF(F982="STANDARD",Eingaben!$B$12,IF(AND(F982="HEAT",ISNUMBER(Eingaben!$B$13)),Eingaben!$B$13,"")))</f>
        <v>15.0654</v>
      </c>
      <c r="I982" s="6">
        <f>INDEX(Netzzeiten!$C$6:$C$29,HOUR(B982)+1)</f>
        <v>1.64</v>
      </c>
      <c r="J982" t="str">
        <f>IF(C982="","FEHLT",IF(NOT(ISNUMBER(C982)),"MESSWERT UNGUELTIG",IF(C982&lt;0,"MESSWERT UNGUELTIG",IF(H982="","TARIFPREIS FEHLT","OK"))))</f>
        <v>FEHLT</v>
      </c>
      <c r="K982" s="7">
        <f>IF(J982&lt;&gt;"OK","",C982*I982/100)</f>
        <v/>
      </c>
    </row>
    <row r="983" spans="1:11">
      <c r="A983" s="14">
        <v>46153</v>
      </c>
      <c r="B983" s="15">
        <v>0.1770833333333333</v>
      </c>
      <c r="C983" s="5">
        <f>IF('96 Werte'!S16="","",'96 Werte'!S16)</f>
        <v/>
      </c>
      <c r="D983" t="str">
        <f>IF(IF(Eingaben!$B$21&lt;Eingaben!$B$22,AND(B983&gt;=Eingaben!$B$21,B983&lt;Eingaben!$B$22),OR(B983&gt;=Eingaben!$B$21,B983&lt;Eingaben!$B$22)),"GO",IF(AND(ISNUMBER(Eingaben!$B$23),ISNUMBER(Eingaben!$B$24),IF(Eingaben!$B$23&lt;Eingaben!$B$24,AND(B983&gt;=Eingaben!$B$23,B983&lt;Eingaben!$B$24),OR(B983&gt;=Eingaben!$B$23,B983&lt;Eingaben!$B$24))),"HEAT","STANDARD"))</f>
        <v>GO</v>
      </c>
      <c r="E983" s="9"/>
      <c r="F983" t="str">
        <f>IF(E983="",D983,E983)</f>
        <v>GO</v>
      </c>
      <c r="G983" t="str">
        <f>INDEX(Netzzeiten!$B$6:$B$29,HOUR(B983)+1)</f>
        <v>NT</v>
      </c>
      <c r="H983" s="6">
        <f>IF(F983="GO",Eingaben!$B$11,IF(F983="STANDARD",Eingaben!$B$12,IF(AND(F983="HEAT",ISNUMBER(Eingaben!$B$13)),Eingaben!$B$13,"")))</f>
        <v>15.0654</v>
      </c>
      <c r="I983" s="6">
        <f>INDEX(Netzzeiten!$C$6:$C$29,HOUR(B983)+1)</f>
        <v>1.64</v>
      </c>
      <c r="J983" t="str">
        <f>IF(C983="","FEHLT",IF(NOT(ISNUMBER(C983)),"MESSWERT UNGUELTIG",IF(C983&lt;0,"MESSWERT UNGUELTIG",IF(H983="","TARIFPREIS FEHLT","OK"))))</f>
        <v>FEHLT</v>
      </c>
      <c r="K983" s="7">
        <f>IF(J983&lt;&gt;"OK","",C983*I983/100)</f>
        <v/>
      </c>
    </row>
    <row r="984" spans="1:11">
      <c r="A984" s="14">
        <v>46153</v>
      </c>
      <c r="B984" s="15">
        <v>0.1875</v>
      </c>
      <c r="C984" s="5">
        <f>IF('96 Werte'!T16="","",'96 Werte'!T16)</f>
        <v/>
      </c>
      <c r="D984" t="str">
        <f>IF(IF(Eingaben!$B$21&lt;Eingaben!$B$22,AND(B984&gt;=Eingaben!$B$21,B984&lt;Eingaben!$B$22),OR(B984&gt;=Eingaben!$B$21,B984&lt;Eingaben!$B$22)),"GO",IF(AND(ISNUMBER(Eingaben!$B$23),ISNUMBER(Eingaben!$B$24),IF(Eingaben!$B$23&lt;Eingaben!$B$24,AND(B984&gt;=Eingaben!$B$23,B984&lt;Eingaben!$B$24),OR(B984&gt;=Eingaben!$B$23,B984&lt;Eingaben!$B$24))),"HEAT","STANDARD"))</f>
        <v>GO</v>
      </c>
      <c r="E984" s="9"/>
      <c r="F984" t="str">
        <f>IF(E984="",D984,E984)</f>
        <v>GO</v>
      </c>
      <c r="G984" t="str">
        <f>INDEX(Netzzeiten!$B$6:$B$29,HOUR(B984)+1)</f>
        <v>NT</v>
      </c>
      <c r="H984" s="6">
        <f>IF(F984="GO",Eingaben!$B$11,IF(F984="STANDARD",Eingaben!$B$12,IF(AND(F984="HEAT",ISNUMBER(Eingaben!$B$13)),Eingaben!$B$13,"")))</f>
        <v>15.0654</v>
      </c>
      <c r="I984" s="6">
        <f>INDEX(Netzzeiten!$C$6:$C$29,HOUR(B984)+1)</f>
        <v>1.64</v>
      </c>
      <c r="J984" t="str">
        <f>IF(C984="","FEHLT",IF(NOT(ISNUMBER(C984)),"MESSWERT UNGUELTIG",IF(C984&lt;0,"MESSWERT UNGUELTIG",IF(H984="","TARIFPREIS FEHLT","OK"))))</f>
        <v>FEHLT</v>
      </c>
      <c r="K984" s="7">
        <f>IF(J984&lt;&gt;"OK","",C984*I984/100)</f>
        <v/>
      </c>
    </row>
    <row r="985" spans="1:11">
      <c r="A985" s="14">
        <v>46153</v>
      </c>
      <c r="B985" s="15">
        <v>0.1979166666666667</v>
      </c>
      <c r="C985" s="5">
        <f>IF('96 Werte'!U16="","",'96 Werte'!U16)</f>
        <v/>
      </c>
      <c r="D985" t="str">
        <f>IF(IF(Eingaben!$B$21&lt;Eingaben!$B$22,AND(B985&gt;=Eingaben!$B$21,B985&lt;Eingaben!$B$22),OR(B985&gt;=Eingaben!$B$21,B985&lt;Eingaben!$B$22)),"GO",IF(AND(ISNUMBER(Eingaben!$B$23),ISNUMBER(Eingaben!$B$24),IF(Eingaben!$B$23&lt;Eingaben!$B$24,AND(B985&gt;=Eingaben!$B$23,B985&lt;Eingaben!$B$24),OR(B985&gt;=Eingaben!$B$23,B985&lt;Eingaben!$B$24))),"HEAT","STANDARD"))</f>
        <v>GO</v>
      </c>
      <c r="E985" s="9"/>
      <c r="F985" t="str">
        <f>IF(E985="",D985,E985)</f>
        <v>GO</v>
      </c>
      <c r="G985" t="str">
        <f>INDEX(Netzzeiten!$B$6:$B$29,HOUR(B985)+1)</f>
        <v>NT</v>
      </c>
      <c r="H985" s="6">
        <f>IF(F985="GO",Eingaben!$B$11,IF(F985="STANDARD",Eingaben!$B$12,IF(AND(F985="HEAT",ISNUMBER(Eingaben!$B$13)),Eingaben!$B$13,"")))</f>
        <v>15.0654</v>
      </c>
      <c r="I985" s="6">
        <f>INDEX(Netzzeiten!$C$6:$C$29,HOUR(B985)+1)</f>
        <v>1.64</v>
      </c>
      <c r="J985" t="str">
        <f>IF(C985="","FEHLT",IF(NOT(ISNUMBER(C985)),"MESSWERT UNGUELTIG",IF(C985&lt;0,"MESSWERT UNGUELTIG",IF(H985="","TARIFPREIS FEHLT","OK"))))</f>
        <v>FEHLT</v>
      </c>
      <c r="K985" s="7">
        <f>IF(J985&lt;&gt;"OK","",C985*I985/100)</f>
        <v/>
      </c>
    </row>
    <row r="986" spans="1:11">
      <c r="A986" s="14">
        <v>46153</v>
      </c>
      <c r="B986" s="15">
        <v>0.2083333333333333</v>
      </c>
      <c r="C986" s="5">
        <f>IF('96 Werte'!V16="","",'96 Werte'!V16)</f>
        <v/>
      </c>
      <c r="D986" t="str">
        <f>IF(IF(Eingaben!$B$21&lt;Eingaben!$B$22,AND(B986&gt;=Eingaben!$B$21,B986&lt;Eingaben!$B$22),OR(B986&gt;=Eingaben!$B$21,B986&lt;Eingaben!$B$22)),"GO",IF(AND(ISNUMBER(Eingaben!$B$23),ISNUMBER(Eingaben!$B$24),IF(Eingaben!$B$23&lt;Eingaben!$B$24,AND(B986&gt;=Eingaben!$B$23,B986&lt;Eingaben!$B$24),OR(B986&gt;=Eingaben!$B$23,B986&lt;Eingaben!$B$24))),"HEAT","STANDARD"))</f>
        <v>STANDARD</v>
      </c>
      <c r="E986" s="9"/>
      <c r="F986" t="str">
        <f>IF(E986="",D986,E986)</f>
        <v>STANDARD</v>
      </c>
      <c r="G986" t="str">
        <f>INDEX(Netzzeiten!$B$6:$B$29,HOUR(B986)+1)</f>
        <v>NT</v>
      </c>
      <c r="H986" s="6">
        <f>IF(F986="GO",Eingaben!$B$11,IF(F986="STANDARD",Eingaben!$B$12,IF(AND(F986="HEAT",ISNUMBER(Eingaben!$B$13)),Eingaben!$B$13,"")))</f>
        <v>28.2744</v>
      </c>
      <c r="I986" s="6">
        <f>INDEX(Netzzeiten!$C$6:$C$29,HOUR(B986)+1)</f>
        <v>1.64</v>
      </c>
      <c r="J986" t="str">
        <f>IF(C986="","FEHLT",IF(NOT(ISNUMBER(C986)),"MESSWERT UNGUELTIG",IF(C986&lt;0,"MESSWERT UNGUELTIG",IF(H986="","TARIFPREIS FEHLT","OK"))))</f>
        <v>FEHLT</v>
      </c>
      <c r="K986" s="7">
        <f>IF(J986&lt;&gt;"OK","",C986*I986/100)</f>
        <v/>
      </c>
    </row>
    <row r="987" spans="1:11">
      <c r="A987" s="14">
        <v>46153</v>
      </c>
      <c r="B987" s="15">
        <v>0.21875</v>
      </c>
      <c r="C987" s="5">
        <f>IF('96 Werte'!W16="","",'96 Werte'!W16)</f>
        <v/>
      </c>
      <c r="D987" t="str">
        <f>IF(IF(Eingaben!$B$21&lt;Eingaben!$B$22,AND(B987&gt;=Eingaben!$B$21,B987&lt;Eingaben!$B$22),OR(B987&gt;=Eingaben!$B$21,B987&lt;Eingaben!$B$22)),"GO",IF(AND(ISNUMBER(Eingaben!$B$23),ISNUMBER(Eingaben!$B$24),IF(Eingaben!$B$23&lt;Eingaben!$B$24,AND(B987&gt;=Eingaben!$B$23,B987&lt;Eingaben!$B$24),OR(B987&gt;=Eingaben!$B$23,B987&lt;Eingaben!$B$24))),"HEAT","STANDARD"))</f>
        <v>STANDARD</v>
      </c>
      <c r="E987" s="9"/>
      <c r="F987" t="str">
        <f>IF(E987="",D987,E987)</f>
        <v>STANDARD</v>
      </c>
      <c r="G987" t="str">
        <f>INDEX(Netzzeiten!$B$6:$B$29,HOUR(B987)+1)</f>
        <v>NT</v>
      </c>
      <c r="H987" s="6">
        <f>IF(F987="GO",Eingaben!$B$11,IF(F987="STANDARD",Eingaben!$B$12,IF(AND(F987="HEAT",ISNUMBER(Eingaben!$B$13)),Eingaben!$B$13,"")))</f>
        <v>28.2744</v>
      </c>
      <c r="I987" s="6">
        <f>INDEX(Netzzeiten!$C$6:$C$29,HOUR(B987)+1)</f>
        <v>1.64</v>
      </c>
      <c r="J987" t="str">
        <f>IF(C987="","FEHLT",IF(NOT(ISNUMBER(C987)),"MESSWERT UNGUELTIG",IF(C987&lt;0,"MESSWERT UNGUELTIG",IF(H987="","TARIFPREIS FEHLT","OK"))))</f>
        <v>FEHLT</v>
      </c>
      <c r="K987" s="7">
        <f>IF(J987&lt;&gt;"OK","",C987*I987/100)</f>
        <v/>
      </c>
    </row>
    <row r="988" spans="1:11">
      <c r="A988" s="14">
        <v>46153</v>
      </c>
      <c r="B988" s="15">
        <v>0.2291666666666667</v>
      </c>
      <c r="C988" s="5">
        <f>IF('96 Werte'!X16="","",'96 Werte'!X16)</f>
        <v/>
      </c>
      <c r="D988" t="str">
        <f>IF(IF(Eingaben!$B$21&lt;Eingaben!$B$22,AND(B988&gt;=Eingaben!$B$21,B988&lt;Eingaben!$B$22),OR(B988&gt;=Eingaben!$B$21,B988&lt;Eingaben!$B$22)),"GO",IF(AND(ISNUMBER(Eingaben!$B$23),ISNUMBER(Eingaben!$B$24),IF(Eingaben!$B$23&lt;Eingaben!$B$24,AND(B988&gt;=Eingaben!$B$23,B988&lt;Eingaben!$B$24),OR(B988&gt;=Eingaben!$B$23,B988&lt;Eingaben!$B$24))),"HEAT","STANDARD"))</f>
        <v>STANDARD</v>
      </c>
      <c r="E988" s="9"/>
      <c r="F988" t="str">
        <f>IF(E988="",D988,E988)</f>
        <v>STANDARD</v>
      </c>
      <c r="G988" t="str">
        <f>INDEX(Netzzeiten!$B$6:$B$29,HOUR(B988)+1)</f>
        <v>NT</v>
      </c>
      <c r="H988" s="6">
        <f>IF(F988="GO",Eingaben!$B$11,IF(F988="STANDARD",Eingaben!$B$12,IF(AND(F988="HEAT",ISNUMBER(Eingaben!$B$13)),Eingaben!$B$13,"")))</f>
        <v>28.2744</v>
      </c>
      <c r="I988" s="6">
        <f>INDEX(Netzzeiten!$C$6:$C$29,HOUR(B988)+1)</f>
        <v>1.64</v>
      </c>
      <c r="J988" t="str">
        <f>IF(C988="","FEHLT",IF(NOT(ISNUMBER(C988)),"MESSWERT UNGUELTIG",IF(C988&lt;0,"MESSWERT UNGUELTIG",IF(H988="","TARIFPREIS FEHLT","OK"))))</f>
        <v>FEHLT</v>
      </c>
      <c r="K988" s="7">
        <f>IF(J988&lt;&gt;"OK","",C988*I988/100)</f>
        <v/>
      </c>
    </row>
    <row r="989" spans="1:11">
      <c r="A989" s="14">
        <v>46153</v>
      </c>
      <c r="B989" s="15">
        <v>0.2395833333333333</v>
      </c>
      <c r="C989" s="5">
        <f>IF('96 Werte'!Y16="","",'96 Werte'!Y16)</f>
        <v/>
      </c>
      <c r="D989" t="str">
        <f>IF(IF(Eingaben!$B$21&lt;Eingaben!$B$22,AND(B989&gt;=Eingaben!$B$21,B989&lt;Eingaben!$B$22),OR(B989&gt;=Eingaben!$B$21,B989&lt;Eingaben!$B$22)),"GO",IF(AND(ISNUMBER(Eingaben!$B$23),ISNUMBER(Eingaben!$B$24),IF(Eingaben!$B$23&lt;Eingaben!$B$24,AND(B989&gt;=Eingaben!$B$23,B989&lt;Eingaben!$B$24),OR(B989&gt;=Eingaben!$B$23,B989&lt;Eingaben!$B$24))),"HEAT","STANDARD"))</f>
        <v>STANDARD</v>
      </c>
      <c r="E989" s="9"/>
      <c r="F989" t="str">
        <f>IF(E989="",D989,E989)</f>
        <v>STANDARD</v>
      </c>
      <c r="G989" t="str">
        <f>INDEX(Netzzeiten!$B$6:$B$29,HOUR(B989)+1)</f>
        <v>NT</v>
      </c>
      <c r="H989" s="6">
        <f>IF(F989="GO",Eingaben!$B$11,IF(F989="STANDARD",Eingaben!$B$12,IF(AND(F989="HEAT",ISNUMBER(Eingaben!$B$13)),Eingaben!$B$13,"")))</f>
        <v>28.2744</v>
      </c>
      <c r="I989" s="6">
        <f>INDEX(Netzzeiten!$C$6:$C$29,HOUR(B989)+1)</f>
        <v>1.64</v>
      </c>
      <c r="J989" t="str">
        <f>IF(C989="","FEHLT",IF(NOT(ISNUMBER(C989)),"MESSWERT UNGUELTIG",IF(C989&lt;0,"MESSWERT UNGUELTIG",IF(H989="","TARIFPREIS FEHLT","OK"))))</f>
        <v>FEHLT</v>
      </c>
      <c r="K989" s="7">
        <f>IF(J989&lt;&gt;"OK","",C989*I989/100)</f>
        <v/>
      </c>
    </row>
    <row r="990" spans="1:11">
      <c r="A990" s="14">
        <v>46153</v>
      </c>
      <c r="B990" s="15">
        <v>0.25</v>
      </c>
      <c r="C990" s="5">
        <f>IF('96 Werte'!Z16="","",'96 Werte'!Z16)</f>
        <v/>
      </c>
      <c r="D990" t="str">
        <f>IF(IF(Eingaben!$B$21&lt;Eingaben!$B$22,AND(B990&gt;=Eingaben!$B$21,B990&lt;Eingaben!$B$22),OR(B990&gt;=Eingaben!$B$21,B990&lt;Eingaben!$B$22)),"GO",IF(AND(ISNUMBER(Eingaben!$B$23),ISNUMBER(Eingaben!$B$24),IF(Eingaben!$B$23&lt;Eingaben!$B$24,AND(B990&gt;=Eingaben!$B$23,B990&lt;Eingaben!$B$24),OR(B990&gt;=Eingaben!$B$23,B990&lt;Eingaben!$B$24))),"HEAT","STANDARD"))</f>
        <v>STANDARD</v>
      </c>
      <c r="E990" s="9"/>
      <c r="F990" t="str">
        <f>IF(E990="",D990,E990)</f>
        <v>STANDARD</v>
      </c>
      <c r="G990" t="str">
        <f>INDEX(Netzzeiten!$B$6:$B$29,HOUR(B990)+1)</f>
        <v>ST</v>
      </c>
      <c r="H990" s="6">
        <f>IF(F990="GO",Eingaben!$B$11,IF(F990="STANDARD",Eingaben!$B$12,IF(AND(F990="HEAT",ISNUMBER(Eingaben!$B$13)),Eingaben!$B$13,"")))</f>
        <v>28.2744</v>
      </c>
      <c r="I990" s="6">
        <f>INDEX(Netzzeiten!$C$6:$C$29,HOUR(B990)+1)</f>
        <v>5.48</v>
      </c>
      <c r="J990" t="str">
        <f>IF(C990="","FEHLT",IF(NOT(ISNUMBER(C990)),"MESSWERT UNGUELTIG",IF(C990&lt;0,"MESSWERT UNGUELTIG",IF(H990="","TARIFPREIS FEHLT","OK"))))</f>
        <v>FEHLT</v>
      </c>
      <c r="K990" s="7">
        <f>IF(J990&lt;&gt;"OK","",C990*I990/100)</f>
        <v/>
      </c>
    </row>
    <row r="991" spans="1:11">
      <c r="A991" s="14">
        <v>46153</v>
      </c>
      <c r="B991" s="15">
        <v>0.2604166666666667</v>
      </c>
      <c r="C991" s="5">
        <f>IF('96 Werte'!AA16="","",'96 Werte'!AA16)</f>
        <v/>
      </c>
      <c r="D991" t="str">
        <f>IF(IF(Eingaben!$B$21&lt;Eingaben!$B$22,AND(B991&gt;=Eingaben!$B$21,B991&lt;Eingaben!$B$22),OR(B991&gt;=Eingaben!$B$21,B991&lt;Eingaben!$B$22)),"GO",IF(AND(ISNUMBER(Eingaben!$B$23),ISNUMBER(Eingaben!$B$24),IF(Eingaben!$B$23&lt;Eingaben!$B$24,AND(B991&gt;=Eingaben!$B$23,B991&lt;Eingaben!$B$24),OR(B991&gt;=Eingaben!$B$23,B991&lt;Eingaben!$B$24))),"HEAT","STANDARD"))</f>
        <v>STANDARD</v>
      </c>
      <c r="E991" s="9"/>
      <c r="F991" t="str">
        <f>IF(E991="",D991,E991)</f>
        <v>STANDARD</v>
      </c>
      <c r="G991" t="str">
        <f>INDEX(Netzzeiten!$B$6:$B$29,HOUR(B991)+1)</f>
        <v>ST</v>
      </c>
      <c r="H991" s="6">
        <f>IF(F991="GO",Eingaben!$B$11,IF(F991="STANDARD",Eingaben!$B$12,IF(AND(F991="HEAT",ISNUMBER(Eingaben!$B$13)),Eingaben!$B$13,"")))</f>
        <v>28.2744</v>
      </c>
      <c r="I991" s="6">
        <f>INDEX(Netzzeiten!$C$6:$C$29,HOUR(B991)+1)</f>
        <v>5.48</v>
      </c>
      <c r="J991" t="str">
        <f>IF(C991="","FEHLT",IF(NOT(ISNUMBER(C991)),"MESSWERT UNGUELTIG",IF(C991&lt;0,"MESSWERT UNGUELTIG",IF(H991="","TARIFPREIS FEHLT","OK"))))</f>
        <v>FEHLT</v>
      </c>
      <c r="K991" s="7">
        <f>IF(J991&lt;&gt;"OK","",C991*I991/100)</f>
        <v/>
      </c>
    </row>
    <row r="992" spans="1:11">
      <c r="A992" s="14">
        <v>46153</v>
      </c>
      <c r="B992" s="15">
        <v>0.2708333333333333</v>
      </c>
      <c r="C992" s="5">
        <f>IF('96 Werte'!AB16="","",'96 Werte'!AB16)</f>
        <v/>
      </c>
      <c r="D992" t="str">
        <f>IF(IF(Eingaben!$B$21&lt;Eingaben!$B$22,AND(B992&gt;=Eingaben!$B$21,B992&lt;Eingaben!$B$22),OR(B992&gt;=Eingaben!$B$21,B992&lt;Eingaben!$B$22)),"GO",IF(AND(ISNUMBER(Eingaben!$B$23),ISNUMBER(Eingaben!$B$24),IF(Eingaben!$B$23&lt;Eingaben!$B$24,AND(B992&gt;=Eingaben!$B$23,B992&lt;Eingaben!$B$24),OR(B992&gt;=Eingaben!$B$23,B992&lt;Eingaben!$B$24))),"HEAT","STANDARD"))</f>
        <v>STANDARD</v>
      </c>
      <c r="E992" s="9"/>
      <c r="F992" t="str">
        <f>IF(E992="",D992,E992)</f>
        <v>STANDARD</v>
      </c>
      <c r="G992" t="str">
        <f>INDEX(Netzzeiten!$B$6:$B$29,HOUR(B992)+1)</f>
        <v>ST</v>
      </c>
      <c r="H992" s="6">
        <f>IF(F992="GO",Eingaben!$B$11,IF(F992="STANDARD",Eingaben!$B$12,IF(AND(F992="HEAT",ISNUMBER(Eingaben!$B$13)),Eingaben!$B$13,"")))</f>
        <v>28.2744</v>
      </c>
      <c r="I992" s="6">
        <f>INDEX(Netzzeiten!$C$6:$C$29,HOUR(B992)+1)</f>
        <v>5.48</v>
      </c>
      <c r="J992" t="str">
        <f>IF(C992="","FEHLT",IF(NOT(ISNUMBER(C992)),"MESSWERT UNGUELTIG",IF(C992&lt;0,"MESSWERT UNGUELTIG",IF(H992="","TARIFPREIS FEHLT","OK"))))</f>
        <v>FEHLT</v>
      </c>
      <c r="K992" s="7">
        <f>IF(J992&lt;&gt;"OK","",C992*I992/100)</f>
        <v/>
      </c>
    </row>
    <row r="993" spans="1:11">
      <c r="A993" s="14">
        <v>46153</v>
      </c>
      <c r="B993" s="15">
        <v>0.28125</v>
      </c>
      <c r="C993" s="5">
        <f>IF('96 Werte'!AC16="","",'96 Werte'!AC16)</f>
        <v/>
      </c>
      <c r="D993" t="str">
        <f>IF(IF(Eingaben!$B$21&lt;Eingaben!$B$22,AND(B993&gt;=Eingaben!$B$21,B993&lt;Eingaben!$B$22),OR(B993&gt;=Eingaben!$B$21,B993&lt;Eingaben!$B$22)),"GO",IF(AND(ISNUMBER(Eingaben!$B$23),ISNUMBER(Eingaben!$B$24),IF(Eingaben!$B$23&lt;Eingaben!$B$24,AND(B993&gt;=Eingaben!$B$23,B993&lt;Eingaben!$B$24),OR(B993&gt;=Eingaben!$B$23,B993&lt;Eingaben!$B$24))),"HEAT","STANDARD"))</f>
        <v>STANDARD</v>
      </c>
      <c r="E993" s="9"/>
      <c r="F993" t="str">
        <f>IF(E993="",D993,E993)</f>
        <v>STANDARD</v>
      </c>
      <c r="G993" t="str">
        <f>INDEX(Netzzeiten!$B$6:$B$29,HOUR(B993)+1)</f>
        <v>ST</v>
      </c>
      <c r="H993" s="6">
        <f>IF(F993="GO",Eingaben!$B$11,IF(F993="STANDARD",Eingaben!$B$12,IF(AND(F993="HEAT",ISNUMBER(Eingaben!$B$13)),Eingaben!$B$13,"")))</f>
        <v>28.2744</v>
      </c>
      <c r="I993" s="6">
        <f>INDEX(Netzzeiten!$C$6:$C$29,HOUR(B993)+1)</f>
        <v>5.48</v>
      </c>
      <c r="J993" t="str">
        <f>IF(C993="","FEHLT",IF(NOT(ISNUMBER(C993)),"MESSWERT UNGUELTIG",IF(C993&lt;0,"MESSWERT UNGUELTIG",IF(H993="","TARIFPREIS FEHLT","OK"))))</f>
        <v>FEHLT</v>
      </c>
      <c r="K993" s="7">
        <f>IF(J993&lt;&gt;"OK","",C993*I993/100)</f>
        <v/>
      </c>
    </row>
    <row r="994" spans="1:11">
      <c r="A994" s="14">
        <v>46153</v>
      </c>
      <c r="B994" s="15">
        <v>0.2916666666666667</v>
      </c>
      <c r="C994" s="5">
        <f>IF('96 Werte'!AD16="","",'96 Werte'!AD16)</f>
        <v/>
      </c>
      <c r="D994" t="str">
        <f>IF(IF(Eingaben!$B$21&lt;Eingaben!$B$22,AND(B994&gt;=Eingaben!$B$21,B994&lt;Eingaben!$B$22),OR(B994&gt;=Eingaben!$B$21,B994&lt;Eingaben!$B$22)),"GO",IF(AND(ISNUMBER(Eingaben!$B$23),ISNUMBER(Eingaben!$B$24),IF(Eingaben!$B$23&lt;Eingaben!$B$24,AND(B994&gt;=Eingaben!$B$23,B994&lt;Eingaben!$B$24),OR(B994&gt;=Eingaben!$B$23,B994&lt;Eingaben!$B$24))),"HEAT","STANDARD"))</f>
        <v>STANDARD</v>
      </c>
      <c r="E994" s="9"/>
      <c r="F994" t="str">
        <f>IF(E994="",D994,E994)</f>
        <v>STANDARD</v>
      </c>
      <c r="G994" t="str">
        <f>INDEX(Netzzeiten!$B$6:$B$29,HOUR(B994)+1)</f>
        <v>ST</v>
      </c>
      <c r="H994" s="6">
        <f>IF(F994="GO",Eingaben!$B$11,IF(F994="STANDARD",Eingaben!$B$12,IF(AND(F994="HEAT",ISNUMBER(Eingaben!$B$13)),Eingaben!$B$13,"")))</f>
        <v>28.2744</v>
      </c>
      <c r="I994" s="6">
        <f>INDEX(Netzzeiten!$C$6:$C$29,HOUR(B994)+1)</f>
        <v>5.48</v>
      </c>
      <c r="J994" t="str">
        <f>IF(C994="","FEHLT",IF(NOT(ISNUMBER(C994)),"MESSWERT UNGUELTIG",IF(C994&lt;0,"MESSWERT UNGUELTIG",IF(H994="","TARIFPREIS FEHLT","OK"))))</f>
        <v>FEHLT</v>
      </c>
      <c r="K994" s="7">
        <f>IF(J994&lt;&gt;"OK","",C994*I994/100)</f>
        <v/>
      </c>
    </row>
    <row r="995" spans="1:11">
      <c r="A995" s="14">
        <v>46153</v>
      </c>
      <c r="B995" s="15">
        <v>0.3020833333333333</v>
      </c>
      <c r="C995" s="5">
        <f>IF('96 Werte'!AE16="","",'96 Werte'!AE16)</f>
        <v/>
      </c>
      <c r="D995" t="str">
        <f>IF(IF(Eingaben!$B$21&lt;Eingaben!$B$22,AND(B995&gt;=Eingaben!$B$21,B995&lt;Eingaben!$B$22),OR(B995&gt;=Eingaben!$B$21,B995&lt;Eingaben!$B$22)),"GO",IF(AND(ISNUMBER(Eingaben!$B$23),ISNUMBER(Eingaben!$B$24),IF(Eingaben!$B$23&lt;Eingaben!$B$24,AND(B995&gt;=Eingaben!$B$23,B995&lt;Eingaben!$B$24),OR(B995&gt;=Eingaben!$B$23,B995&lt;Eingaben!$B$24))),"HEAT","STANDARD"))</f>
        <v>STANDARD</v>
      </c>
      <c r="E995" s="9"/>
      <c r="F995" t="str">
        <f>IF(E995="",D995,E995)</f>
        <v>STANDARD</v>
      </c>
      <c r="G995" t="str">
        <f>INDEX(Netzzeiten!$B$6:$B$29,HOUR(B995)+1)</f>
        <v>ST</v>
      </c>
      <c r="H995" s="6">
        <f>IF(F995="GO",Eingaben!$B$11,IF(F995="STANDARD",Eingaben!$B$12,IF(AND(F995="HEAT",ISNUMBER(Eingaben!$B$13)),Eingaben!$B$13,"")))</f>
        <v>28.2744</v>
      </c>
      <c r="I995" s="6">
        <f>INDEX(Netzzeiten!$C$6:$C$29,HOUR(B995)+1)</f>
        <v>5.48</v>
      </c>
      <c r="J995" t="str">
        <f>IF(C995="","FEHLT",IF(NOT(ISNUMBER(C995)),"MESSWERT UNGUELTIG",IF(C995&lt;0,"MESSWERT UNGUELTIG",IF(H995="","TARIFPREIS FEHLT","OK"))))</f>
        <v>FEHLT</v>
      </c>
      <c r="K995" s="7">
        <f>IF(J995&lt;&gt;"OK","",C995*I995/100)</f>
        <v/>
      </c>
    </row>
    <row r="996" spans="1:11">
      <c r="A996" s="14">
        <v>46153</v>
      </c>
      <c r="B996" s="15">
        <v>0.3125</v>
      </c>
      <c r="C996" s="5">
        <f>IF('96 Werte'!AF16="","",'96 Werte'!AF16)</f>
        <v/>
      </c>
      <c r="D996" t="str">
        <f>IF(IF(Eingaben!$B$21&lt;Eingaben!$B$22,AND(B996&gt;=Eingaben!$B$21,B996&lt;Eingaben!$B$22),OR(B996&gt;=Eingaben!$B$21,B996&lt;Eingaben!$B$22)),"GO",IF(AND(ISNUMBER(Eingaben!$B$23),ISNUMBER(Eingaben!$B$24),IF(Eingaben!$B$23&lt;Eingaben!$B$24,AND(B996&gt;=Eingaben!$B$23,B996&lt;Eingaben!$B$24),OR(B996&gt;=Eingaben!$B$23,B996&lt;Eingaben!$B$24))),"HEAT","STANDARD"))</f>
        <v>STANDARD</v>
      </c>
      <c r="E996" s="9"/>
      <c r="F996" t="str">
        <f>IF(E996="",D996,E996)</f>
        <v>STANDARD</v>
      </c>
      <c r="G996" t="str">
        <f>INDEX(Netzzeiten!$B$6:$B$29,HOUR(B996)+1)</f>
        <v>ST</v>
      </c>
      <c r="H996" s="6">
        <f>IF(F996="GO",Eingaben!$B$11,IF(F996="STANDARD",Eingaben!$B$12,IF(AND(F996="HEAT",ISNUMBER(Eingaben!$B$13)),Eingaben!$B$13,"")))</f>
        <v>28.2744</v>
      </c>
      <c r="I996" s="6">
        <f>INDEX(Netzzeiten!$C$6:$C$29,HOUR(B996)+1)</f>
        <v>5.48</v>
      </c>
      <c r="J996" t="str">
        <f>IF(C996="","FEHLT",IF(NOT(ISNUMBER(C996)),"MESSWERT UNGUELTIG",IF(C996&lt;0,"MESSWERT UNGUELTIG",IF(H996="","TARIFPREIS FEHLT","OK"))))</f>
        <v>FEHLT</v>
      </c>
      <c r="K996" s="7">
        <f>IF(J996&lt;&gt;"OK","",C996*I996/100)</f>
        <v/>
      </c>
    </row>
    <row r="997" spans="1:11">
      <c r="A997" s="14">
        <v>46153</v>
      </c>
      <c r="B997" s="15">
        <v>0.3229166666666667</v>
      </c>
      <c r="C997" s="5">
        <f>IF('96 Werte'!AG16="","",'96 Werte'!AG16)</f>
        <v/>
      </c>
      <c r="D997" t="str">
        <f>IF(IF(Eingaben!$B$21&lt;Eingaben!$B$22,AND(B997&gt;=Eingaben!$B$21,B997&lt;Eingaben!$B$22),OR(B997&gt;=Eingaben!$B$21,B997&lt;Eingaben!$B$22)),"GO",IF(AND(ISNUMBER(Eingaben!$B$23),ISNUMBER(Eingaben!$B$24),IF(Eingaben!$B$23&lt;Eingaben!$B$24,AND(B997&gt;=Eingaben!$B$23,B997&lt;Eingaben!$B$24),OR(B997&gt;=Eingaben!$B$23,B997&lt;Eingaben!$B$24))),"HEAT","STANDARD"))</f>
        <v>STANDARD</v>
      </c>
      <c r="E997" s="9"/>
      <c r="F997" t="str">
        <f>IF(E997="",D997,E997)</f>
        <v>STANDARD</v>
      </c>
      <c r="G997" t="str">
        <f>INDEX(Netzzeiten!$B$6:$B$29,HOUR(B997)+1)</f>
        <v>ST</v>
      </c>
      <c r="H997" s="6">
        <f>IF(F997="GO",Eingaben!$B$11,IF(F997="STANDARD",Eingaben!$B$12,IF(AND(F997="HEAT",ISNUMBER(Eingaben!$B$13)),Eingaben!$B$13,"")))</f>
        <v>28.2744</v>
      </c>
      <c r="I997" s="6">
        <f>INDEX(Netzzeiten!$C$6:$C$29,HOUR(B997)+1)</f>
        <v>5.48</v>
      </c>
      <c r="J997" t="str">
        <f>IF(C997="","FEHLT",IF(NOT(ISNUMBER(C997)),"MESSWERT UNGUELTIG",IF(C997&lt;0,"MESSWERT UNGUELTIG",IF(H997="","TARIFPREIS FEHLT","OK"))))</f>
        <v>FEHLT</v>
      </c>
      <c r="K997" s="7">
        <f>IF(J997&lt;&gt;"OK","",C997*I997/100)</f>
        <v/>
      </c>
    </row>
    <row r="998" spans="1:11">
      <c r="A998" s="14">
        <v>46153</v>
      </c>
      <c r="B998" s="15">
        <v>0.3333333333333333</v>
      </c>
      <c r="C998" s="5">
        <f>IF('96 Werte'!AH16="","",'96 Werte'!AH16)</f>
        <v/>
      </c>
      <c r="D998" t="str">
        <f>IF(IF(Eingaben!$B$21&lt;Eingaben!$B$22,AND(B998&gt;=Eingaben!$B$21,B998&lt;Eingaben!$B$22),OR(B998&gt;=Eingaben!$B$21,B998&lt;Eingaben!$B$22)),"GO",IF(AND(ISNUMBER(Eingaben!$B$23),ISNUMBER(Eingaben!$B$24),IF(Eingaben!$B$23&lt;Eingaben!$B$24,AND(B998&gt;=Eingaben!$B$23,B998&lt;Eingaben!$B$24),OR(B998&gt;=Eingaben!$B$23,B998&lt;Eingaben!$B$24))),"HEAT","STANDARD"))</f>
        <v>STANDARD</v>
      </c>
      <c r="E998" s="9"/>
      <c r="F998" t="str">
        <f>IF(E998="",D998,E998)</f>
        <v>STANDARD</v>
      </c>
      <c r="G998" t="str">
        <f>INDEX(Netzzeiten!$B$6:$B$29,HOUR(B998)+1)</f>
        <v>ST</v>
      </c>
      <c r="H998" s="6">
        <f>IF(F998="GO",Eingaben!$B$11,IF(F998="STANDARD",Eingaben!$B$12,IF(AND(F998="HEAT",ISNUMBER(Eingaben!$B$13)),Eingaben!$B$13,"")))</f>
        <v>28.2744</v>
      </c>
      <c r="I998" s="6">
        <f>INDEX(Netzzeiten!$C$6:$C$29,HOUR(B998)+1)</f>
        <v>5.48</v>
      </c>
      <c r="J998" t="str">
        <f>IF(C998="","FEHLT",IF(NOT(ISNUMBER(C998)),"MESSWERT UNGUELTIG",IF(C998&lt;0,"MESSWERT UNGUELTIG",IF(H998="","TARIFPREIS FEHLT","OK"))))</f>
        <v>FEHLT</v>
      </c>
      <c r="K998" s="7">
        <f>IF(J998&lt;&gt;"OK","",C998*I998/100)</f>
        <v/>
      </c>
    </row>
    <row r="999" spans="1:11">
      <c r="A999" s="14">
        <v>46153</v>
      </c>
      <c r="B999" s="15">
        <v>0.34375</v>
      </c>
      <c r="C999" s="5">
        <f>IF('96 Werte'!AI16="","",'96 Werte'!AI16)</f>
        <v/>
      </c>
      <c r="D999" t="str">
        <f>IF(IF(Eingaben!$B$21&lt;Eingaben!$B$22,AND(B999&gt;=Eingaben!$B$21,B999&lt;Eingaben!$B$22),OR(B999&gt;=Eingaben!$B$21,B999&lt;Eingaben!$B$22)),"GO",IF(AND(ISNUMBER(Eingaben!$B$23),ISNUMBER(Eingaben!$B$24),IF(Eingaben!$B$23&lt;Eingaben!$B$24,AND(B999&gt;=Eingaben!$B$23,B999&lt;Eingaben!$B$24),OR(B999&gt;=Eingaben!$B$23,B999&lt;Eingaben!$B$24))),"HEAT","STANDARD"))</f>
        <v>STANDARD</v>
      </c>
      <c r="E999" s="9"/>
      <c r="F999" t="str">
        <f>IF(E999="",D999,E999)</f>
        <v>STANDARD</v>
      </c>
      <c r="G999" t="str">
        <f>INDEX(Netzzeiten!$B$6:$B$29,HOUR(B999)+1)</f>
        <v>ST</v>
      </c>
      <c r="H999" s="6">
        <f>IF(F999="GO",Eingaben!$B$11,IF(F999="STANDARD",Eingaben!$B$12,IF(AND(F999="HEAT",ISNUMBER(Eingaben!$B$13)),Eingaben!$B$13,"")))</f>
        <v>28.2744</v>
      </c>
      <c r="I999" s="6">
        <f>INDEX(Netzzeiten!$C$6:$C$29,HOUR(B999)+1)</f>
        <v>5.48</v>
      </c>
      <c r="J999" t="str">
        <f>IF(C999="","FEHLT",IF(NOT(ISNUMBER(C999)),"MESSWERT UNGUELTIG",IF(C999&lt;0,"MESSWERT UNGUELTIG",IF(H999="","TARIFPREIS FEHLT","OK"))))</f>
        <v>FEHLT</v>
      </c>
      <c r="K999" s="7">
        <f>IF(J999&lt;&gt;"OK","",C999*I999/100)</f>
        <v/>
      </c>
    </row>
    <row r="1000" spans="1:11">
      <c r="A1000" s="14">
        <v>46153</v>
      </c>
      <c r="B1000" s="15">
        <v>0.3541666666666667</v>
      </c>
      <c r="C1000" s="5">
        <f>IF('96 Werte'!AJ16="","",'96 Werte'!AJ16)</f>
        <v/>
      </c>
      <c r="D1000" t="str">
        <f>IF(IF(Eingaben!$B$21&lt;Eingaben!$B$22,AND(B1000&gt;=Eingaben!$B$21,B1000&lt;Eingaben!$B$22),OR(B1000&gt;=Eingaben!$B$21,B1000&lt;Eingaben!$B$22)),"GO",IF(AND(ISNUMBER(Eingaben!$B$23),ISNUMBER(Eingaben!$B$24),IF(Eingaben!$B$23&lt;Eingaben!$B$24,AND(B1000&gt;=Eingaben!$B$23,B1000&lt;Eingaben!$B$24),OR(B1000&gt;=Eingaben!$B$23,B1000&lt;Eingaben!$B$24))),"HEAT","STANDARD"))</f>
        <v>STANDARD</v>
      </c>
      <c r="E1000" s="9"/>
      <c r="F1000" t="str">
        <f>IF(E1000="",D1000,E1000)</f>
        <v>STANDARD</v>
      </c>
      <c r="G1000" t="str">
        <f>INDEX(Netzzeiten!$B$6:$B$29,HOUR(B1000)+1)</f>
        <v>ST</v>
      </c>
      <c r="H1000" s="6">
        <f>IF(F1000="GO",Eingaben!$B$11,IF(F1000="STANDARD",Eingaben!$B$12,IF(AND(F1000="HEAT",ISNUMBER(Eingaben!$B$13)),Eingaben!$B$13,"")))</f>
        <v>28.2744</v>
      </c>
      <c r="I1000" s="6">
        <f>INDEX(Netzzeiten!$C$6:$C$29,HOUR(B1000)+1)</f>
        <v>5.48</v>
      </c>
      <c r="J1000" t="str">
        <f>IF(C1000="","FEHLT",IF(NOT(ISNUMBER(C1000)),"MESSWERT UNGUELTIG",IF(C1000&lt;0,"MESSWERT UNGUELTIG",IF(H1000="","TARIFPREIS FEHLT","OK"))))</f>
        <v>FEHLT</v>
      </c>
      <c r="K1000" s="7">
        <f>IF(J1000&lt;&gt;"OK","",C1000*I1000/100)</f>
        <v/>
      </c>
    </row>
    <row r="1001" spans="1:11">
      <c r="A1001" s="14">
        <v>46153</v>
      </c>
      <c r="B1001" s="15">
        <v>0.3645833333333333</v>
      </c>
      <c r="C1001" s="5">
        <f>IF('96 Werte'!AK16="","",'96 Werte'!AK16)</f>
        <v/>
      </c>
      <c r="D1001" t="str">
        <f>IF(IF(Eingaben!$B$21&lt;Eingaben!$B$22,AND(B1001&gt;=Eingaben!$B$21,B1001&lt;Eingaben!$B$22),OR(B1001&gt;=Eingaben!$B$21,B1001&lt;Eingaben!$B$22)),"GO",IF(AND(ISNUMBER(Eingaben!$B$23),ISNUMBER(Eingaben!$B$24),IF(Eingaben!$B$23&lt;Eingaben!$B$24,AND(B1001&gt;=Eingaben!$B$23,B1001&lt;Eingaben!$B$24),OR(B1001&gt;=Eingaben!$B$23,B1001&lt;Eingaben!$B$24))),"HEAT","STANDARD"))</f>
        <v>STANDARD</v>
      </c>
      <c r="E1001" s="9"/>
      <c r="F1001" t="str">
        <f>IF(E1001="",D1001,E1001)</f>
        <v>STANDARD</v>
      </c>
      <c r="G1001" t="str">
        <f>INDEX(Netzzeiten!$B$6:$B$29,HOUR(B1001)+1)</f>
        <v>ST</v>
      </c>
      <c r="H1001" s="6">
        <f>IF(F1001="GO",Eingaben!$B$11,IF(F1001="STANDARD",Eingaben!$B$12,IF(AND(F1001="HEAT",ISNUMBER(Eingaben!$B$13)),Eingaben!$B$13,"")))</f>
        <v>28.2744</v>
      </c>
      <c r="I1001" s="6">
        <f>INDEX(Netzzeiten!$C$6:$C$29,HOUR(B1001)+1)</f>
        <v>5.48</v>
      </c>
      <c r="J1001" t="str">
        <f>IF(C1001="","FEHLT",IF(NOT(ISNUMBER(C1001)),"MESSWERT UNGUELTIG",IF(C1001&lt;0,"MESSWERT UNGUELTIG",IF(H1001="","TARIFPREIS FEHLT","OK"))))</f>
        <v>FEHLT</v>
      </c>
      <c r="K1001" s="7">
        <f>IF(J1001&lt;&gt;"OK","",C1001*I1001/100)</f>
        <v/>
      </c>
    </row>
    <row r="1002" spans="1:11">
      <c r="A1002" s="14">
        <v>46153</v>
      </c>
      <c r="B1002" s="15">
        <v>0.375</v>
      </c>
      <c r="C1002" s="5">
        <f>IF('96 Werte'!AL16="","",'96 Werte'!AL16)</f>
        <v/>
      </c>
      <c r="D1002" t="str">
        <f>IF(IF(Eingaben!$B$21&lt;Eingaben!$B$22,AND(B1002&gt;=Eingaben!$B$21,B1002&lt;Eingaben!$B$22),OR(B1002&gt;=Eingaben!$B$21,B1002&lt;Eingaben!$B$22)),"GO",IF(AND(ISNUMBER(Eingaben!$B$23),ISNUMBER(Eingaben!$B$24),IF(Eingaben!$B$23&lt;Eingaben!$B$24,AND(B1002&gt;=Eingaben!$B$23,B1002&lt;Eingaben!$B$24),OR(B1002&gt;=Eingaben!$B$23,B1002&lt;Eingaben!$B$24))),"HEAT","STANDARD"))</f>
        <v>STANDARD</v>
      </c>
      <c r="E1002" s="9"/>
      <c r="F1002" t="str">
        <f>IF(E1002="",D1002,E1002)</f>
        <v>STANDARD</v>
      </c>
      <c r="G1002" t="str">
        <f>INDEX(Netzzeiten!$B$6:$B$29,HOUR(B1002)+1)</f>
        <v>ST</v>
      </c>
      <c r="H1002" s="6">
        <f>IF(F1002="GO",Eingaben!$B$11,IF(F1002="STANDARD",Eingaben!$B$12,IF(AND(F1002="HEAT",ISNUMBER(Eingaben!$B$13)),Eingaben!$B$13,"")))</f>
        <v>28.2744</v>
      </c>
      <c r="I1002" s="6">
        <f>INDEX(Netzzeiten!$C$6:$C$29,HOUR(B1002)+1)</f>
        <v>5.48</v>
      </c>
      <c r="J1002" t="str">
        <f>IF(C1002="","FEHLT",IF(NOT(ISNUMBER(C1002)),"MESSWERT UNGUELTIG",IF(C1002&lt;0,"MESSWERT UNGUELTIG",IF(H1002="","TARIFPREIS FEHLT","OK"))))</f>
        <v>FEHLT</v>
      </c>
      <c r="K1002" s="7">
        <f>IF(J1002&lt;&gt;"OK","",C1002*I1002/100)</f>
        <v/>
      </c>
    </row>
    <row r="1003" spans="1:11">
      <c r="A1003" s="14">
        <v>46153</v>
      </c>
      <c r="B1003" s="15">
        <v>0.3854166666666667</v>
      </c>
      <c r="C1003" s="5">
        <f>IF('96 Werte'!AM16="","",'96 Werte'!AM16)</f>
        <v/>
      </c>
      <c r="D1003" t="str">
        <f>IF(IF(Eingaben!$B$21&lt;Eingaben!$B$22,AND(B1003&gt;=Eingaben!$B$21,B1003&lt;Eingaben!$B$22),OR(B1003&gt;=Eingaben!$B$21,B1003&lt;Eingaben!$B$22)),"GO",IF(AND(ISNUMBER(Eingaben!$B$23),ISNUMBER(Eingaben!$B$24),IF(Eingaben!$B$23&lt;Eingaben!$B$24,AND(B1003&gt;=Eingaben!$B$23,B1003&lt;Eingaben!$B$24),OR(B1003&gt;=Eingaben!$B$23,B1003&lt;Eingaben!$B$24))),"HEAT","STANDARD"))</f>
        <v>STANDARD</v>
      </c>
      <c r="E1003" s="9"/>
      <c r="F1003" t="str">
        <f>IF(E1003="",D1003,E1003)</f>
        <v>STANDARD</v>
      </c>
      <c r="G1003" t="str">
        <f>INDEX(Netzzeiten!$B$6:$B$29,HOUR(B1003)+1)</f>
        <v>ST</v>
      </c>
      <c r="H1003" s="6">
        <f>IF(F1003="GO",Eingaben!$B$11,IF(F1003="STANDARD",Eingaben!$B$12,IF(AND(F1003="HEAT",ISNUMBER(Eingaben!$B$13)),Eingaben!$B$13,"")))</f>
        <v>28.2744</v>
      </c>
      <c r="I1003" s="6">
        <f>INDEX(Netzzeiten!$C$6:$C$29,HOUR(B1003)+1)</f>
        <v>5.48</v>
      </c>
      <c r="J1003" t="str">
        <f>IF(C1003="","FEHLT",IF(NOT(ISNUMBER(C1003)),"MESSWERT UNGUELTIG",IF(C1003&lt;0,"MESSWERT UNGUELTIG",IF(H1003="","TARIFPREIS FEHLT","OK"))))</f>
        <v>FEHLT</v>
      </c>
      <c r="K1003" s="7">
        <f>IF(J1003&lt;&gt;"OK","",C1003*I1003/100)</f>
        <v/>
      </c>
    </row>
    <row r="1004" spans="1:11">
      <c r="A1004" s="14">
        <v>46153</v>
      </c>
      <c r="B1004" s="15">
        <v>0.3958333333333333</v>
      </c>
      <c r="C1004" s="5">
        <f>IF('96 Werte'!AN16="","",'96 Werte'!AN16)</f>
        <v/>
      </c>
      <c r="D1004" t="str">
        <f>IF(IF(Eingaben!$B$21&lt;Eingaben!$B$22,AND(B1004&gt;=Eingaben!$B$21,B1004&lt;Eingaben!$B$22),OR(B1004&gt;=Eingaben!$B$21,B1004&lt;Eingaben!$B$22)),"GO",IF(AND(ISNUMBER(Eingaben!$B$23),ISNUMBER(Eingaben!$B$24),IF(Eingaben!$B$23&lt;Eingaben!$B$24,AND(B1004&gt;=Eingaben!$B$23,B1004&lt;Eingaben!$B$24),OR(B1004&gt;=Eingaben!$B$23,B1004&lt;Eingaben!$B$24))),"HEAT","STANDARD"))</f>
        <v>STANDARD</v>
      </c>
      <c r="E1004" s="9"/>
      <c r="F1004" t="str">
        <f>IF(E1004="",D1004,E1004)</f>
        <v>STANDARD</v>
      </c>
      <c r="G1004" t="str">
        <f>INDEX(Netzzeiten!$B$6:$B$29,HOUR(B1004)+1)</f>
        <v>ST</v>
      </c>
      <c r="H1004" s="6">
        <f>IF(F1004="GO",Eingaben!$B$11,IF(F1004="STANDARD",Eingaben!$B$12,IF(AND(F1004="HEAT",ISNUMBER(Eingaben!$B$13)),Eingaben!$B$13,"")))</f>
        <v>28.2744</v>
      </c>
      <c r="I1004" s="6">
        <f>INDEX(Netzzeiten!$C$6:$C$29,HOUR(B1004)+1)</f>
        <v>5.48</v>
      </c>
      <c r="J1004" t="str">
        <f>IF(C1004="","FEHLT",IF(NOT(ISNUMBER(C1004)),"MESSWERT UNGUELTIG",IF(C1004&lt;0,"MESSWERT UNGUELTIG",IF(H1004="","TARIFPREIS FEHLT","OK"))))</f>
        <v>FEHLT</v>
      </c>
      <c r="K1004" s="7">
        <f>IF(J1004&lt;&gt;"OK","",C1004*I1004/100)</f>
        <v/>
      </c>
    </row>
    <row r="1005" spans="1:11">
      <c r="A1005" s="14">
        <v>46153</v>
      </c>
      <c r="B1005" s="15">
        <v>0.40625</v>
      </c>
      <c r="C1005" s="5">
        <f>IF('96 Werte'!AO16="","",'96 Werte'!AO16)</f>
        <v/>
      </c>
      <c r="D1005" t="str">
        <f>IF(IF(Eingaben!$B$21&lt;Eingaben!$B$22,AND(B1005&gt;=Eingaben!$B$21,B1005&lt;Eingaben!$B$22),OR(B1005&gt;=Eingaben!$B$21,B1005&lt;Eingaben!$B$22)),"GO",IF(AND(ISNUMBER(Eingaben!$B$23),ISNUMBER(Eingaben!$B$24),IF(Eingaben!$B$23&lt;Eingaben!$B$24,AND(B1005&gt;=Eingaben!$B$23,B1005&lt;Eingaben!$B$24),OR(B1005&gt;=Eingaben!$B$23,B1005&lt;Eingaben!$B$24))),"HEAT","STANDARD"))</f>
        <v>STANDARD</v>
      </c>
      <c r="E1005" s="9"/>
      <c r="F1005" t="str">
        <f>IF(E1005="",D1005,E1005)</f>
        <v>STANDARD</v>
      </c>
      <c r="G1005" t="str">
        <f>INDEX(Netzzeiten!$B$6:$B$29,HOUR(B1005)+1)</f>
        <v>ST</v>
      </c>
      <c r="H1005" s="6">
        <f>IF(F1005="GO",Eingaben!$B$11,IF(F1005="STANDARD",Eingaben!$B$12,IF(AND(F1005="HEAT",ISNUMBER(Eingaben!$B$13)),Eingaben!$B$13,"")))</f>
        <v>28.2744</v>
      </c>
      <c r="I1005" s="6">
        <f>INDEX(Netzzeiten!$C$6:$C$29,HOUR(B1005)+1)</f>
        <v>5.48</v>
      </c>
      <c r="J1005" t="str">
        <f>IF(C1005="","FEHLT",IF(NOT(ISNUMBER(C1005)),"MESSWERT UNGUELTIG",IF(C1005&lt;0,"MESSWERT UNGUELTIG",IF(H1005="","TARIFPREIS FEHLT","OK"))))</f>
        <v>FEHLT</v>
      </c>
      <c r="K1005" s="7">
        <f>IF(J1005&lt;&gt;"OK","",C1005*I1005/100)</f>
        <v/>
      </c>
    </row>
    <row r="1006" spans="1:11">
      <c r="A1006" s="14">
        <v>46153</v>
      </c>
      <c r="B1006" s="15">
        <v>0.4166666666666667</v>
      </c>
      <c r="C1006" s="5">
        <f>IF('96 Werte'!AP16="","",'96 Werte'!AP16)</f>
        <v/>
      </c>
      <c r="D1006" t="str">
        <f>IF(IF(Eingaben!$B$21&lt;Eingaben!$B$22,AND(B1006&gt;=Eingaben!$B$21,B1006&lt;Eingaben!$B$22),OR(B1006&gt;=Eingaben!$B$21,B1006&lt;Eingaben!$B$22)),"GO",IF(AND(ISNUMBER(Eingaben!$B$23),ISNUMBER(Eingaben!$B$24),IF(Eingaben!$B$23&lt;Eingaben!$B$24,AND(B1006&gt;=Eingaben!$B$23,B1006&lt;Eingaben!$B$24),OR(B1006&gt;=Eingaben!$B$23,B1006&lt;Eingaben!$B$24))),"HEAT","STANDARD"))</f>
        <v>STANDARD</v>
      </c>
      <c r="E1006" s="9"/>
      <c r="F1006" t="str">
        <f>IF(E1006="",D1006,E1006)</f>
        <v>STANDARD</v>
      </c>
      <c r="G1006" t="str">
        <f>INDEX(Netzzeiten!$B$6:$B$29,HOUR(B1006)+1)</f>
        <v>ST</v>
      </c>
      <c r="H1006" s="6">
        <f>IF(F1006="GO",Eingaben!$B$11,IF(F1006="STANDARD",Eingaben!$B$12,IF(AND(F1006="HEAT",ISNUMBER(Eingaben!$B$13)),Eingaben!$B$13,"")))</f>
        <v>28.2744</v>
      </c>
      <c r="I1006" s="6">
        <f>INDEX(Netzzeiten!$C$6:$C$29,HOUR(B1006)+1)</f>
        <v>5.48</v>
      </c>
      <c r="J1006" t="str">
        <f>IF(C1006="","FEHLT",IF(NOT(ISNUMBER(C1006)),"MESSWERT UNGUELTIG",IF(C1006&lt;0,"MESSWERT UNGUELTIG",IF(H1006="","TARIFPREIS FEHLT","OK"))))</f>
        <v>FEHLT</v>
      </c>
      <c r="K1006" s="7">
        <f>IF(J1006&lt;&gt;"OK","",C1006*I1006/100)</f>
        <v/>
      </c>
    </row>
    <row r="1007" spans="1:11">
      <c r="A1007" s="14">
        <v>46153</v>
      </c>
      <c r="B1007" s="15">
        <v>0.4270833333333333</v>
      </c>
      <c r="C1007" s="5">
        <f>IF('96 Werte'!AQ16="","",'96 Werte'!AQ16)</f>
        <v/>
      </c>
      <c r="D1007" t="str">
        <f>IF(IF(Eingaben!$B$21&lt;Eingaben!$B$22,AND(B1007&gt;=Eingaben!$B$21,B1007&lt;Eingaben!$B$22),OR(B1007&gt;=Eingaben!$B$21,B1007&lt;Eingaben!$B$22)),"GO",IF(AND(ISNUMBER(Eingaben!$B$23),ISNUMBER(Eingaben!$B$24),IF(Eingaben!$B$23&lt;Eingaben!$B$24,AND(B1007&gt;=Eingaben!$B$23,B1007&lt;Eingaben!$B$24),OR(B1007&gt;=Eingaben!$B$23,B1007&lt;Eingaben!$B$24))),"HEAT","STANDARD"))</f>
        <v>STANDARD</v>
      </c>
      <c r="E1007" s="9"/>
      <c r="F1007" t="str">
        <f>IF(E1007="",D1007,E1007)</f>
        <v>STANDARD</v>
      </c>
      <c r="G1007" t="str">
        <f>INDEX(Netzzeiten!$B$6:$B$29,HOUR(B1007)+1)</f>
        <v>ST</v>
      </c>
      <c r="H1007" s="6">
        <f>IF(F1007="GO",Eingaben!$B$11,IF(F1007="STANDARD",Eingaben!$B$12,IF(AND(F1007="HEAT",ISNUMBER(Eingaben!$B$13)),Eingaben!$B$13,"")))</f>
        <v>28.2744</v>
      </c>
      <c r="I1007" s="6">
        <f>INDEX(Netzzeiten!$C$6:$C$29,HOUR(B1007)+1)</f>
        <v>5.48</v>
      </c>
      <c r="J1007" t="str">
        <f>IF(C1007="","FEHLT",IF(NOT(ISNUMBER(C1007)),"MESSWERT UNGUELTIG",IF(C1007&lt;0,"MESSWERT UNGUELTIG",IF(H1007="","TARIFPREIS FEHLT","OK"))))</f>
        <v>FEHLT</v>
      </c>
      <c r="K1007" s="7">
        <f>IF(J1007&lt;&gt;"OK","",C1007*I1007/100)</f>
        <v/>
      </c>
    </row>
    <row r="1008" spans="1:11">
      <c r="A1008" s="14">
        <v>46153</v>
      </c>
      <c r="B1008" s="15">
        <v>0.4375</v>
      </c>
      <c r="C1008" s="5">
        <f>IF('96 Werte'!AR16="","",'96 Werte'!AR16)</f>
        <v/>
      </c>
      <c r="D1008" t="str">
        <f>IF(IF(Eingaben!$B$21&lt;Eingaben!$B$22,AND(B1008&gt;=Eingaben!$B$21,B1008&lt;Eingaben!$B$22),OR(B1008&gt;=Eingaben!$B$21,B1008&lt;Eingaben!$B$22)),"GO",IF(AND(ISNUMBER(Eingaben!$B$23),ISNUMBER(Eingaben!$B$24),IF(Eingaben!$B$23&lt;Eingaben!$B$24,AND(B1008&gt;=Eingaben!$B$23,B1008&lt;Eingaben!$B$24),OR(B1008&gt;=Eingaben!$B$23,B1008&lt;Eingaben!$B$24))),"HEAT","STANDARD"))</f>
        <v>STANDARD</v>
      </c>
      <c r="E1008" s="9"/>
      <c r="F1008" t="str">
        <f>IF(E1008="",D1008,E1008)</f>
        <v>STANDARD</v>
      </c>
      <c r="G1008" t="str">
        <f>INDEX(Netzzeiten!$B$6:$B$29,HOUR(B1008)+1)</f>
        <v>ST</v>
      </c>
      <c r="H1008" s="6">
        <f>IF(F1008="GO",Eingaben!$B$11,IF(F1008="STANDARD",Eingaben!$B$12,IF(AND(F1008="HEAT",ISNUMBER(Eingaben!$B$13)),Eingaben!$B$13,"")))</f>
        <v>28.2744</v>
      </c>
      <c r="I1008" s="6">
        <f>INDEX(Netzzeiten!$C$6:$C$29,HOUR(B1008)+1)</f>
        <v>5.48</v>
      </c>
      <c r="J1008" t="str">
        <f>IF(C1008="","FEHLT",IF(NOT(ISNUMBER(C1008)),"MESSWERT UNGUELTIG",IF(C1008&lt;0,"MESSWERT UNGUELTIG",IF(H1008="","TARIFPREIS FEHLT","OK"))))</f>
        <v>FEHLT</v>
      </c>
      <c r="K1008" s="7">
        <f>IF(J1008&lt;&gt;"OK","",C1008*I1008/100)</f>
        <v/>
      </c>
    </row>
    <row r="1009" spans="1:11">
      <c r="A1009" s="14">
        <v>46153</v>
      </c>
      <c r="B1009" s="15">
        <v>0.4479166666666667</v>
      </c>
      <c r="C1009" s="5">
        <f>IF('96 Werte'!AS16="","",'96 Werte'!AS16)</f>
        <v/>
      </c>
      <c r="D1009" t="str">
        <f>IF(IF(Eingaben!$B$21&lt;Eingaben!$B$22,AND(B1009&gt;=Eingaben!$B$21,B1009&lt;Eingaben!$B$22),OR(B1009&gt;=Eingaben!$B$21,B1009&lt;Eingaben!$B$22)),"GO",IF(AND(ISNUMBER(Eingaben!$B$23),ISNUMBER(Eingaben!$B$24),IF(Eingaben!$B$23&lt;Eingaben!$B$24,AND(B1009&gt;=Eingaben!$B$23,B1009&lt;Eingaben!$B$24),OR(B1009&gt;=Eingaben!$B$23,B1009&lt;Eingaben!$B$24))),"HEAT","STANDARD"))</f>
        <v>STANDARD</v>
      </c>
      <c r="E1009" s="9"/>
      <c r="F1009" t="str">
        <f>IF(E1009="",D1009,E1009)</f>
        <v>STANDARD</v>
      </c>
      <c r="G1009" t="str">
        <f>INDEX(Netzzeiten!$B$6:$B$29,HOUR(B1009)+1)</f>
        <v>ST</v>
      </c>
      <c r="H1009" s="6">
        <f>IF(F1009="GO",Eingaben!$B$11,IF(F1009="STANDARD",Eingaben!$B$12,IF(AND(F1009="HEAT",ISNUMBER(Eingaben!$B$13)),Eingaben!$B$13,"")))</f>
        <v>28.2744</v>
      </c>
      <c r="I1009" s="6">
        <f>INDEX(Netzzeiten!$C$6:$C$29,HOUR(B1009)+1)</f>
        <v>5.48</v>
      </c>
      <c r="J1009" t="str">
        <f>IF(C1009="","FEHLT",IF(NOT(ISNUMBER(C1009)),"MESSWERT UNGUELTIG",IF(C1009&lt;0,"MESSWERT UNGUELTIG",IF(H1009="","TARIFPREIS FEHLT","OK"))))</f>
        <v>FEHLT</v>
      </c>
      <c r="K1009" s="7">
        <f>IF(J1009&lt;&gt;"OK","",C1009*I1009/100)</f>
        <v/>
      </c>
    </row>
    <row r="1010" spans="1:11">
      <c r="A1010" s="14">
        <v>46153</v>
      </c>
      <c r="B1010" s="15">
        <v>0.4583333333333333</v>
      </c>
      <c r="C1010" s="5">
        <f>IF('96 Werte'!AT16="","",'96 Werte'!AT16)</f>
        <v/>
      </c>
      <c r="D1010" t="str">
        <f>IF(IF(Eingaben!$B$21&lt;Eingaben!$B$22,AND(B1010&gt;=Eingaben!$B$21,B1010&lt;Eingaben!$B$22),OR(B1010&gt;=Eingaben!$B$21,B1010&lt;Eingaben!$B$22)),"GO",IF(AND(ISNUMBER(Eingaben!$B$23),ISNUMBER(Eingaben!$B$24),IF(Eingaben!$B$23&lt;Eingaben!$B$24,AND(B1010&gt;=Eingaben!$B$23,B1010&lt;Eingaben!$B$24),OR(B1010&gt;=Eingaben!$B$23,B1010&lt;Eingaben!$B$24))),"HEAT","STANDARD"))</f>
        <v>STANDARD</v>
      </c>
      <c r="E1010" s="9"/>
      <c r="F1010" t="str">
        <f>IF(E1010="",D1010,E1010)</f>
        <v>STANDARD</v>
      </c>
      <c r="G1010" t="str">
        <f>INDEX(Netzzeiten!$B$6:$B$29,HOUR(B1010)+1)</f>
        <v>NT</v>
      </c>
      <c r="H1010" s="6">
        <f>IF(F1010="GO",Eingaben!$B$11,IF(F1010="STANDARD",Eingaben!$B$12,IF(AND(F1010="HEAT",ISNUMBER(Eingaben!$B$13)),Eingaben!$B$13,"")))</f>
        <v>28.2744</v>
      </c>
      <c r="I1010" s="6">
        <f>INDEX(Netzzeiten!$C$6:$C$29,HOUR(B1010)+1)</f>
        <v>1.64</v>
      </c>
      <c r="J1010" t="str">
        <f>IF(C1010="","FEHLT",IF(NOT(ISNUMBER(C1010)),"MESSWERT UNGUELTIG",IF(C1010&lt;0,"MESSWERT UNGUELTIG",IF(H1010="","TARIFPREIS FEHLT","OK"))))</f>
        <v>FEHLT</v>
      </c>
      <c r="K1010" s="7">
        <f>IF(J1010&lt;&gt;"OK","",C1010*I1010/100)</f>
        <v/>
      </c>
    </row>
    <row r="1011" spans="1:11">
      <c r="A1011" s="14">
        <v>46153</v>
      </c>
      <c r="B1011" s="15">
        <v>0.46875</v>
      </c>
      <c r="C1011" s="5">
        <f>IF('96 Werte'!AU16="","",'96 Werte'!AU16)</f>
        <v/>
      </c>
      <c r="D1011" t="str">
        <f>IF(IF(Eingaben!$B$21&lt;Eingaben!$B$22,AND(B1011&gt;=Eingaben!$B$21,B1011&lt;Eingaben!$B$22),OR(B1011&gt;=Eingaben!$B$21,B1011&lt;Eingaben!$B$22)),"GO",IF(AND(ISNUMBER(Eingaben!$B$23),ISNUMBER(Eingaben!$B$24),IF(Eingaben!$B$23&lt;Eingaben!$B$24,AND(B1011&gt;=Eingaben!$B$23,B1011&lt;Eingaben!$B$24),OR(B1011&gt;=Eingaben!$B$23,B1011&lt;Eingaben!$B$24))),"HEAT","STANDARD"))</f>
        <v>STANDARD</v>
      </c>
      <c r="E1011" s="9"/>
      <c r="F1011" t="str">
        <f>IF(E1011="",D1011,E1011)</f>
        <v>STANDARD</v>
      </c>
      <c r="G1011" t="str">
        <f>INDEX(Netzzeiten!$B$6:$B$29,HOUR(B1011)+1)</f>
        <v>NT</v>
      </c>
      <c r="H1011" s="6">
        <f>IF(F1011="GO",Eingaben!$B$11,IF(F1011="STANDARD",Eingaben!$B$12,IF(AND(F1011="HEAT",ISNUMBER(Eingaben!$B$13)),Eingaben!$B$13,"")))</f>
        <v>28.2744</v>
      </c>
      <c r="I1011" s="6">
        <f>INDEX(Netzzeiten!$C$6:$C$29,HOUR(B1011)+1)</f>
        <v>1.64</v>
      </c>
      <c r="J1011" t="str">
        <f>IF(C1011="","FEHLT",IF(NOT(ISNUMBER(C1011)),"MESSWERT UNGUELTIG",IF(C1011&lt;0,"MESSWERT UNGUELTIG",IF(H1011="","TARIFPREIS FEHLT","OK"))))</f>
        <v>FEHLT</v>
      </c>
      <c r="K1011" s="7">
        <f>IF(J1011&lt;&gt;"OK","",C1011*I1011/100)</f>
        <v/>
      </c>
    </row>
    <row r="1012" spans="1:11">
      <c r="A1012" s="14">
        <v>46153</v>
      </c>
      <c r="B1012" s="15">
        <v>0.4791666666666667</v>
      </c>
      <c r="C1012" s="5">
        <f>IF('96 Werte'!AV16="","",'96 Werte'!AV16)</f>
        <v/>
      </c>
      <c r="D1012" t="str">
        <f>IF(IF(Eingaben!$B$21&lt;Eingaben!$B$22,AND(B1012&gt;=Eingaben!$B$21,B1012&lt;Eingaben!$B$22),OR(B1012&gt;=Eingaben!$B$21,B1012&lt;Eingaben!$B$22)),"GO",IF(AND(ISNUMBER(Eingaben!$B$23),ISNUMBER(Eingaben!$B$24),IF(Eingaben!$B$23&lt;Eingaben!$B$24,AND(B1012&gt;=Eingaben!$B$23,B1012&lt;Eingaben!$B$24),OR(B1012&gt;=Eingaben!$B$23,B1012&lt;Eingaben!$B$24))),"HEAT","STANDARD"))</f>
        <v>STANDARD</v>
      </c>
      <c r="E1012" s="9"/>
      <c r="F1012" t="str">
        <f>IF(E1012="",D1012,E1012)</f>
        <v>STANDARD</v>
      </c>
      <c r="G1012" t="str">
        <f>INDEX(Netzzeiten!$B$6:$B$29,HOUR(B1012)+1)</f>
        <v>NT</v>
      </c>
      <c r="H1012" s="6">
        <f>IF(F1012="GO",Eingaben!$B$11,IF(F1012="STANDARD",Eingaben!$B$12,IF(AND(F1012="HEAT",ISNUMBER(Eingaben!$B$13)),Eingaben!$B$13,"")))</f>
        <v>28.2744</v>
      </c>
      <c r="I1012" s="6">
        <f>INDEX(Netzzeiten!$C$6:$C$29,HOUR(B1012)+1)</f>
        <v>1.64</v>
      </c>
      <c r="J1012" t="str">
        <f>IF(C1012="","FEHLT",IF(NOT(ISNUMBER(C1012)),"MESSWERT UNGUELTIG",IF(C1012&lt;0,"MESSWERT UNGUELTIG",IF(H1012="","TARIFPREIS FEHLT","OK"))))</f>
        <v>FEHLT</v>
      </c>
      <c r="K1012" s="7">
        <f>IF(J1012&lt;&gt;"OK","",C1012*I1012/100)</f>
        <v/>
      </c>
    </row>
    <row r="1013" spans="1:11">
      <c r="A1013" s="14">
        <v>46153</v>
      </c>
      <c r="B1013" s="15">
        <v>0.4895833333333333</v>
      </c>
      <c r="C1013" s="5">
        <f>IF('96 Werte'!AW16="","",'96 Werte'!AW16)</f>
        <v/>
      </c>
      <c r="D1013" t="str">
        <f>IF(IF(Eingaben!$B$21&lt;Eingaben!$B$22,AND(B1013&gt;=Eingaben!$B$21,B1013&lt;Eingaben!$B$22),OR(B1013&gt;=Eingaben!$B$21,B1013&lt;Eingaben!$B$22)),"GO",IF(AND(ISNUMBER(Eingaben!$B$23),ISNUMBER(Eingaben!$B$24),IF(Eingaben!$B$23&lt;Eingaben!$B$24,AND(B1013&gt;=Eingaben!$B$23,B1013&lt;Eingaben!$B$24),OR(B1013&gt;=Eingaben!$B$23,B1013&lt;Eingaben!$B$24))),"HEAT","STANDARD"))</f>
        <v>STANDARD</v>
      </c>
      <c r="E1013" s="9"/>
      <c r="F1013" t="str">
        <f>IF(E1013="",D1013,E1013)</f>
        <v>STANDARD</v>
      </c>
      <c r="G1013" t="str">
        <f>INDEX(Netzzeiten!$B$6:$B$29,HOUR(B1013)+1)</f>
        <v>NT</v>
      </c>
      <c r="H1013" s="6">
        <f>IF(F1013="GO",Eingaben!$B$11,IF(F1013="STANDARD",Eingaben!$B$12,IF(AND(F1013="HEAT",ISNUMBER(Eingaben!$B$13)),Eingaben!$B$13,"")))</f>
        <v>28.2744</v>
      </c>
      <c r="I1013" s="6">
        <f>INDEX(Netzzeiten!$C$6:$C$29,HOUR(B1013)+1)</f>
        <v>1.64</v>
      </c>
      <c r="J1013" t="str">
        <f>IF(C1013="","FEHLT",IF(NOT(ISNUMBER(C1013)),"MESSWERT UNGUELTIG",IF(C1013&lt;0,"MESSWERT UNGUELTIG",IF(H1013="","TARIFPREIS FEHLT","OK"))))</f>
        <v>FEHLT</v>
      </c>
      <c r="K1013" s="7">
        <f>IF(J1013&lt;&gt;"OK","",C1013*I1013/100)</f>
        <v/>
      </c>
    </row>
    <row r="1014" spans="1:11">
      <c r="A1014" s="14">
        <v>46153</v>
      </c>
      <c r="B1014" s="15">
        <v>0.5</v>
      </c>
      <c r="C1014" s="5">
        <f>IF('96 Werte'!AX16="","",'96 Werte'!AX16)</f>
        <v/>
      </c>
      <c r="D1014" t="str">
        <f>IF(IF(Eingaben!$B$21&lt;Eingaben!$B$22,AND(B1014&gt;=Eingaben!$B$21,B1014&lt;Eingaben!$B$22),OR(B1014&gt;=Eingaben!$B$21,B1014&lt;Eingaben!$B$22)),"GO",IF(AND(ISNUMBER(Eingaben!$B$23),ISNUMBER(Eingaben!$B$24),IF(Eingaben!$B$23&lt;Eingaben!$B$24,AND(B1014&gt;=Eingaben!$B$23,B1014&lt;Eingaben!$B$24),OR(B1014&gt;=Eingaben!$B$23,B1014&lt;Eingaben!$B$24))),"HEAT","STANDARD"))</f>
        <v>STANDARD</v>
      </c>
      <c r="E1014" s="9"/>
      <c r="F1014" t="str">
        <f>IF(E1014="",D1014,E1014)</f>
        <v>STANDARD</v>
      </c>
      <c r="G1014" t="str">
        <f>INDEX(Netzzeiten!$B$6:$B$29,HOUR(B1014)+1)</f>
        <v>NT</v>
      </c>
      <c r="H1014" s="6">
        <f>IF(F1014="GO",Eingaben!$B$11,IF(F1014="STANDARD",Eingaben!$B$12,IF(AND(F1014="HEAT",ISNUMBER(Eingaben!$B$13)),Eingaben!$B$13,"")))</f>
        <v>28.2744</v>
      </c>
      <c r="I1014" s="6">
        <f>INDEX(Netzzeiten!$C$6:$C$29,HOUR(B1014)+1)</f>
        <v>1.64</v>
      </c>
      <c r="J1014" t="str">
        <f>IF(C1014="","FEHLT",IF(NOT(ISNUMBER(C1014)),"MESSWERT UNGUELTIG",IF(C1014&lt;0,"MESSWERT UNGUELTIG",IF(H1014="","TARIFPREIS FEHLT","OK"))))</f>
        <v>FEHLT</v>
      </c>
      <c r="K1014" s="7">
        <f>IF(J1014&lt;&gt;"OK","",C1014*I1014/100)</f>
        <v/>
      </c>
    </row>
    <row r="1015" spans="1:11">
      <c r="A1015" s="14">
        <v>46153</v>
      </c>
      <c r="B1015" s="15">
        <v>0.5104166666666666</v>
      </c>
      <c r="C1015" s="5">
        <f>IF('96 Werte'!AY16="","",'96 Werte'!AY16)</f>
        <v/>
      </c>
      <c r="D1015" t="str">
        <f>IF(IF(Eingaben!$B$21&lt;Eingaben!$B$22,AND(B1015&gt;=Eingaben!$B$21,B1015&lt;Eingaben!$B$22),OR(B1015&gt;=Eingaben!$B$21,B1015&lt;Eingaben!$B$22)),"GO",IF(AND(ISNUMBER(Eingaben!$B$23),ISNUMBER(Eingaben!$B$24),IF(Eingaben!$B$23&lt;Eingaben!$B$24,AND(B1015&gt;=Eingaben!$B$23,B1015&lt;Eingaben!$B$24),OR(B1015&gt;=Eingaben!$B$23,B1015&lt;Eingaben!$B$24))),"HEAT","STANDARD"))</f>
        <v>STANDARD</v>
      </c>
      <c r="E1015" s="9"/>
      <c r="F1015" t="str">
        <f>IF(E1015="",D1015,E1015)</f>
        <v>STANDARD</v>
      </c>
      <c r="G1015" t="str">
        <f>INDEX(Netzzeiten!$B$6:$B$29,HOUR(B1015)+1)</f>
        <v>NT</v>
      </c>
      <c r="H1015" s="6">
        <f>IF(F1015="GO",Eingaben!$B$11,IF(F1015="STANDARD",Eingaben!$B$12,IF(AND(F1015="HEAT",ISNUMBER(Eingaben!$B$13)),Eingaben!$B$13,"")))</f>
        <v>28.2744</v>
      </c>
      <c r="I1015" s="6">
        <f>INDEX(Netzzeiten!$C$6:$C$29,HOUR(B1015)+1)</f>
        <v>1.64</v>
      </c>
      <c r="J1015" t="str">
        <f>IF(C1015="","FEHLT",IF(NOT(ISNUMBER(C1015)),"MESSWERT UNGUELTIG",IF(C1015&lt;0,"MESSWERT UNGUELTIG",IF(H1015="","TARIFPREIS FEHLT","OK"))))</f>
        <v>FEHLT</v>
      </c>
      <c r="K1015" s="7">
        <f>IF(J1015&lt;&gt;"OK","",C1015*I1015/100)</f>
        <v/>
      </c>
    </row>
    <row r="1016" spans="1:11">
      <c r="A1016" s="14">
        <v>46153</v>
      </c>
      <c r="B1016" s="15">
        <v>0.5208333333333334</v>
      </c>
      <c r="C1016" s="5">
        <f>IF('96 Werte'!AZ16="","",'96 Werte'!AZ16)</f>
        <v/>
      </c>
      <c r="D1016" t="str">
        <f>IF(IF(Eingaben!$B$21&lt;Eingaben!$B$22,AND(B1016&gt;=Eingaben!$B$21,B1016&lt;Eingaben!$B$22),OR(B1016&gt;=Eingaben!$B$21,B1016&lt;Eingaben!$B$22)),"GO",IF(AND(ISNUMBER(Eingaben!$B$23),ISNUMBER(Eingaben!$B$24),IF(Eingaben!$B$23&lt;Eingaben!$B$24,AND(B1016&gt;=Eingaben!$B$23,B1016&lt;Eingaben!$B$24),OR(B1016&gt;=Eingaben!$B$23,B1016&lt;Eingaben!$B$24))),"HEAT","STANDARD"))</f>
        <v>STANDARD</v>
      </c>
      <c r="E1016" s="9"/>
      <c r="F1016" t="str">
        <f>IF(E1016="",D1016,E1016)</f>
        <v>STANDARD</v>
      </c>
      <c r="G1016" t="str">
        <f>INDEX(Netzzeiten!$B$6:$B$29,HOUR(B1016)+1)</f>
        <v>NT</v>
      </c>
      <c r="H1016" s="6">
        <f>IF(F1016="GO",Eingaben!$B$11,IF(F1016="STANDARD",Eingaben!$B$12,IF(AND(F1016="HEAT",ISNUMBER(Eingaben!$B$13)),Eingaben!$B$13,"")))</f>
        <v>28.2744</v>
      </c>
      <c r="I1016" s="6">
        <f>INDEX(Netzzeiten!$C$6:$C$29,HOUR(B1016)+1)</f>
        <v>1.64</v>
      </c>
      <c r="J1016" t="str">
        <f>IF(C1016="","FEHLT",IF(NOT(ISNUMBER(C1016)),"MESSWERT UNGUELTIG",IF(C1016&lt;0,"MESSWERT UNGUELTIG",IF(H1016="","TARIFPREIS FEHLT","OK"))))</f>
        <v>FEHLT</v>
      </c>
      <c r="K1016" s="7">
        <f>IF(J1016&lt;&gt;"OK","",C1016*I1016/100)</f>
        <v/>
      </c>
    </row>
    <row r="1017" spans="1:11">
      <c r="A1017" s="14">
        <v>46153</v>
      </c>
      <c r="B1017" s="15">
        <v>0.53125</v>
      </c>
      <c r="C1017" s="5">
        <f>IF('96 Werte'!BA16="","",'96 Werte'!BA16)</f>
        <v/>
      </c>
      <c r="D1017" t="str">
        <f>IF(IF(Eingaben!$B$21&lt;Eingaben!$B$22,AND(B1017&gt;=Eingaben!$B$21,B1017&lt;Eingaben!$B$22),OR(B1017&gt;=Eingaben!$B$21,B1017&lt;Eingaben!$B$22)),"GO",IF(AND(ISNUMBER(Eingaben!$B$23),ISNUMBER(Eingaben!$B$24),IF(Eingaben!$B$23&lt;Eingaben!$B$24,AND(B1017&gt;=Eingaben!$B$23,B1017&lt;Eingaben!$B$24),OR(B1017&gt;=Eingaben!$B$23,B1017&lt;Eingaben!$B$24))),"HEAT","STANDARD"))</f>
        <v>STANDARD</v>
      </c>
      <c r="E1017" s="9"/>
      <c r="F1017" t="str">
        <f>IF(E1017="",D1017,E1017)</f>
        <v>STANDARD</v>
      </c>
      <c r="G1017" t="str">
        <f>INDEX(Netzzeiten!$B$6:$B$29,HOUR(B1017)+1)</f>
        <v>NT</v>
      </c>
      <c r="H1017" s="6">
        <f>IF(F1017="GO",Eingaben!$B$11,IF(F1017="STANDARD",Eingaben!$B$12,IF(AND(F1017="HEAT",ISNUMBER(Eingaben!$B$13)),Eingaben!$B$13,"")))</f>
        <v>28.2744</v>
      </c>
      <c r="I1017" s="6">
        <f>INDEX(Netzzeiten!$C$6:$C$29,HOUR(B1017)+1)</f>
        <v>1.64</v>
      </c>
      <c r="J1017" t="str">
        <f>IF(C1017="","FEHLT",IF(NOT(ISNUMBER(C1017)),"MESSWERT UNGUELTIG",IF(C1017&lt;0,"MESSWERT UNGUELTIG",IF(H1017="","TARIFPREIS FEHLT","OK"))))</f>
        <v>FEHLT</v>
      </c>
      <c r="K1017" s="7">
        <f>IF(J1017&lt;&gt;"OK","",C1017*I1017/100)</f>
        <v/>
      </c>
    </row>
    <row r="1018" spans="1:11">
      <c r="A1018" s="14">
        <v>46153</v>
      </c>
      <c r="B1018" s="15">
        <v>0.5416666666666666</v>
      </c>
      <c r="C1018" s="5">
        <f>IF('96 Werte'!BB16="","",'96 Werte'!BB16)</f>
        <v/>
      </c>
      <c r="D1018" t="str">
        <f>IF(IF(Eingaben!$B$21&lt;Eingaben!$B$22,AND(B1018&gt;=Eingaben!$B$21,B1018&lt;Eingaben!$B$22),OR(B1018&gt;=Eingaben!$B$21,B1018&lt;Eingaben!$B$22)),"GO",IF(AND(ISNUMBER(Eingaben!$B$23),ISNUMBER(Eingaben!$B$24),IF(Eingaben!$B$23&lt;Eingaben!$B$24,AND(B1018&gt;=Eingaben!$B$23,B1018&lt;Eingaben!$B$24),OR(B1018&gt;=Eingaben!$B$23,B1018&lt;Eingaben!$B$24))),"HEAT","STANDARD"))</f>
        <v>STANDARD</v>
      </c>
      <c r="E1018" s="9"/>
      <c r="F1018" t="str">
        <f>IF(E1018="",D1018,E1018)</f>
        <v>STANDARD</v>
      </c>
      <c r="G1018" t="str">
        <f>INDEX(Netzzeiten!$B$6:$B$29,HOUR(B1018)+1)</f>
        <v>NT</v>
      </c>
      <c r="H1018" s="6">
        <f>IF(F1018="GO",Eingaben!$B$11,IF(F1018="STANDARD",Eingaben!$B$12,IF(AND(F1018="HEAT",ISNUMBER(Eingaben!$B$13)),Eingaben!$B$13,"")))</f>
        <v>28.2744</v>
      </c>
      <c r="I1018" s="6">
        <f>INDEX(Netzzeiten!$C$6:$C$29,HOUR(B1018)+1)</f>
        <v>1.64</v>
      </c>
      <c r="J1018" t="str">
        <f>IF(C1018="","FEHLT",IF(NOT(ISNUMBER(C1018)),"MESSWERT UNGUELTIG",IF(C1018&lt;0,"MESSWERT UNGUELTIG",IF(H1018="","TARIFPREIS FEHLT","OK"))))</f>
        <v>FEHLT</v>
      </c>
      <c r="K1018" s="7">
        <f>IF(J1018&lt;&gt;"OK","",C1018*I1018/100)</f>
        <v/>
      </c>
    </row>
    <row r="1019" spans="1:11">
      <c r="A1019" s="14">
        <v>46153</v>
      </c>
      <c r="B1019" s="15">
        <v>0.5520833333333334</v>
      </c>
      <c r="C1019" s="5">
        <f>IF('96 Werte'!BC16="","",'96 Werte'!BC16)</f>
        <v/>
      </c>
      <c r="D1019" t="str">
        <f>IF(IF(Eingaben!$B$21&lt;Eingaben!$B$22,AND(B1019&gt;=Eingaben!$B$21,B1019&lt;Eingaben!$B$22),OR(B1019&gt;=Eingaben!$B$21,B1019&lt;Eingaben!$B$22)),"GO",IF(AND(ISNUMBER(Eingaben!$B$23),ISNUMBER(Eingaben!$B$24),IF(Eingaben!$B$23&lt;Eingaben!$B$24,AND(B1019&gt;=Eingaben!$B$23,B1019&lt;Eingaben!$B$24),OR(B1019&gt;=Eingaben!$B$23,B1019&lt;Eingaben!$B$24))),"HEAT","STANDARD"))</f>
        <v>STANDARD</v>
      </c>
      <c r="E1019" s="9"/>
      <c r="F1019" t="str">
        <f>IF(E1019="",D1019,E1019)</f>
        <v>STANDARD</v>
      </c>
      <c r="G1019" t="str">
        <f>INDEX(Netzzeiten!$B$6:$B$29,HOUR(B1019)+1)</f>
        <v>NT</v>
      </c>
      <c r="H1019" s="6">
        <f>IF(F1019="GO",Eingaben!$B$11,IF(F1019="STANDARD",Eingaben!$B$12,IF(AND(F1019="HEAT",ISNUMBER(Eingaben!$B$13)),Eingaben!$B$13,"")))</f>
        <v>28.2744</v>
      </c>
      <c r="I1019" s="6">
        <f>INDEX(Netzzeiten!$C$6:$C$29,HOUR(B1019)+1)</f>
        <v>1.64</v>
      </c>
      <c r="J1019" t="str">
        <f>IF(C1019="","FEHLT",IF(NOT(ISNUMBER(C1019)),"MESSWERT UNGUELTIG",IF(C1019&lt;0,"MESSWERT UNGUELTIG",IF(H1019="","TARIFPREIS FEHLT","OK"))))</f>
        <v>FEHLT</v>
      </c>
      <c r="K1019" s="7">
        <f>IF(J1019&lt;&gt;"OK","",C1019*I1019/100)</f>
        <v/>
      </c>
    </row>
    <row r="1020" spans="1:11">
      <c r="A1020" s="14">
        <v>46153</v>
      </c>
      <c r="B1020" s="15">
        <v>0.5625</v>
      </c>
      <c r="C1020" s="5">
        <f>IF('96 Werte'!BD16="","",'96 Werte'!BD16)</f>
        <v/>
      </c>
      <c r="D1020" t="str">
        <f>IF(IF(Eingaben!$B$21&lt;Eingaben!$B$22,AND(B1020&gt;=Eingaben!$B$21,B1020&lt;Eingaben!$B$22),OR(B1020&gt;=Eingaben!$B$21,B1020&lt;Eingaben!$B$22)),"GO",IF(AND(ISNUMBER(Eingaben!$B$23),ISNUMBER(Eingaben!$B$24),IF(Eingaben!$B$23&lt;Eingaben!$B$24,AND(B1020&gt;=Eingaben!$B$23,B1020&lt;Eingaben!$B$24),OR(B1020&gt;=Eingaben!$B$23,B1020&lt;Eingaben!$B$24))),"HEAT","STANDARD"))</f>
        <v>STANDARD</v>
      </c>
      <c r="E1020" s="9"/>
      <c r="F1020" t="str">
        <f>IF(E1020="",D1020,E1020)</f>
        <v>STANDARD</v>
      </c>
      <c r="G1020" t="str">
        <f>INDEX(Netzzeiten!$B$6:$B$29,HOUR(B1020)+1)</f>
        <v>NT</v>
      </c>
      <c r="H1020" s="6">
        <f>IF(F1020="GO",Eingaben!$B$11,IF(F1020="STANDARD",Eingaben!$B$12,IF(AND(F1020="HEAT",ISNUMBER(Eingaben!$B$13)),Eingaben!$B$13,"")))</f>
        <v>28.2744</v>
      </c>
      <c r="I1020" s="6">
        <f>INDEX(Netzzeiten!$C$6:$C$29,HOUR(B1020)+1)</f>
        <v>1.64</v>
      </c>
      <c r="J1020" t="str">
        <f>IF(C1020="","FEHLT",IF(NOT(ISNUMBER(C1020)),"MESSWERT UNGUELTIG",IF(C1020&lt;0,"MESSWERT UNGUELTIG",IF(H1020="","TARIFPREIS FEHLT","OK"))))</f>
        <v>FEHLT</v>
      </c>
      <c r="K1020" s="7">
        <f>IF(J1020&lt;&gt;"OK","",C1020*I1020/100)</f>
        <v/>
      </c>
    </row>
    <row r="1021" spans="1:11">
      <c r="A1021" s="14">
        <v>46153</v>
      </c>
      <c r="B1021" s="15">
        <v>0.5729166666666666</v>
      </c>
      <c r="C1021" s="5">
        <f>IF('96 Werte'!BE16="","",'96 Werte'!BE16)</f>
        <v/>
      </c>
      <c r="D1021" t="str">
        <f>IF(IF(Eingaben!$B$21&lt;Eingaben!$B$22,AND(B1021&gt;=Eingaben!$B$21,B1021&lt;Eingaben!$B$22),OR(B1021&gt;=Eingaben!$B$21,B1021&lt;Eingaben!$B$22)),"GO",IF(AND(ISNUMBER(Eingaben!$B$23),ISNUMBER(Eingaben!$B$24),IF(Eingaben!$B$23&lt;Eingaben!$B$24,AND(B1021&gt;=Eingaben!$B$23,B1021&lt;Eingaben!$B$24),OR(B1021&gt;=Eingaben!$B$23,B1021&lt;Eingaben!$B$24))),"HEAT","STANDARD"))</f>
        <v>STANDARD</v>
      </c>
      <c r="E1021" s="9"/>
      <c r="F1021" t="str">
        <f>IF(E1021="",D1021,E1021)</f>
        <v>STANDARD</v>
      </c>
      <c r="G1021" t="str">
        <f>INDEX(Netzzeiten!$B$6:$B$29,HOUR(B1021)+1)</f>
        <v>NT</v>
      </c>
      <c r="H1021" s="6">
        <f>IF(F1021="GO",Eingaben!$B$11,IF(F1021="STANDARD",Eingaben!$B$12,IF(AND(F1021="HEAT",ISNUMBER(Eingaben!$B$13)),Eingaben!$B$13,"")))</f>
        <v>28.2744</v>
      </c>
      <c r="I1021" s="6">
        <f>INDEX(Netzzeiten!$C$6:$C$29,HOUR(B1021)+1)</f>
        <v>1.64</v>
      </c>
      <c r="J1021" t="str">
        <f>IF(C1021="","FEHLT",IF(NOT(ISNUMBER(C1021)),"MESSWERT UNGUELTIG",IF(C1021&lt;0,"MESSWERT UNGUELTIG",IF(H1021="","TARIFPREIS FEHLT","OK"))))</f>
        <v>FEHLT</v>
      </c>
      <c r="K1021" s="7">
        <f>IF(J1021&lt;&gt;"OK","",C1021*I1021/100)</f>
        <v/>
      </c>
    </row>
    <row r="1022" spans="1:11">
      <c r="A1022" s="14">
        <v>46153</v>
      </c>
      <c r="B1022" s="15">
        <v>0.5833333333333334</v>
      </c>
      <c r="C1022" s="5">
        <f>IF('96 Werte'!BF16="","",'96 Werte'!BF16)</f>
        <v/>
      </c>
      <c r="D1022" t="str">
        <f>IF(IF(Eingaben!$B$21&lt;Eingaben!$B$22,AND(B1022&gt;=Eingaben!$B$21,B1022&lt;Eingaben!$B$22),OR(B1022&gt;=Eingaben!$B$21,B1022&lt;Eingaben!$B$22)),"GO",IF(AND(ISNUMBER(Eingaben!$B$23),ISNUMBER(Eingaben!$B$24),IF(Eingaben!$B$23&lt;Eingaben!$B$24,AND(B1022&gt;=Eingaben!$B$23,B1022&lt;Eingaben!$B$24),OR(B1022&gt;=Eingaben!$B$23,B1022&lt;Eingaben!$B$24))),"HEAT","STANDARD"))</f>
        <v>STANDARD</v>
      </c>
      <c r="E1022" s="9"/>
      <c r="F1022" t="str">
        <f>IF(E1022="",D1022,E1022)</f>
        <v>STANDARD</v>
      </c>
      <c r="G1022" t="str">
        <f>INDEX(Netzzeiten!$B$6:$B$29,HOUR(B1022)+1)</f>
        <v>NT</v>
      </c>
      <c r="H1022" s="6">
        <f>IF(F1022="GO",Eingaben!$B$11,IF(F1022="STANDARD",Eingaben!$B$12,IF(AND(F1022="HEAT",ISNUMBER(Eingaben!$B$13)),Eingaben!$B$13,"")))</f>
        <v>28.2744</v>
      </c>
      <c r="I1022" s="6">
        <f>INDEX(Netzzeiten!$C$6:$C$29,HOUR(B1022)+1)</f>
        <v>1.64</v>
      </c>
      <c r="J1022" t="str">
        <f>IF(C1022="","FEHLT",IF(NOT(ISNUMBER(C1022)),"MESSWERT UNGUELTIG",IF(C1022&lt;0,"MESSWERT UNGUELTIG",IF(H1022="","TARIFPREIS FEHLT","OK"))))</f>
        <v>FEHLT</v>
      </c>
      <c r="K1022" s="7">
        <f>IF(J1022&lt;&gt;"OK","",C1022*I1022/100)</f>
        <v/>
      </c>
    </row>
    <row r="1023" spans="1:11">
      <c r="A1023" s="14">
        <v>46153</v>
      </c>
      <c r="B1023" s="15">
        <v>0.59375</v>
      </c>
      <c r="C1023" s="5">
        <f>IF('96 Werte'!BG16="","",'96 Werte'!BG16)</f>
        <v/>
      </c>
      <c r="D1023" t="str">
        <f>IF(IF(Eingaben!$B$21&lt;Eingaben!$B$22,AND(B1023&gt;=Eingaben!$B$21,B1023&lt;Eingaben!$B$22),OR(B1023&gt;=Eingaben!$B$21,B1023&lt;Eingaben!$B$22)),"GO",IF(AND(ISNUMBER(Eingaben!$B$23),ISNUMBER(Eingaben!$B$24),IF(Eingaben!$B$23&lt;Eingaben!$B$24,AND(B1023&gt;=Eingaben!$B$23,B1023&lt;Eingaben!$B$24),OR(B1023&gt;=Eingaben!$B$23,B1023&lt;Eingaben!$B$24))),"HEAT","STANDARD"))</f>
        <v>STANDARD</v>
      </c>
      <c r="E1023" s="9"/>
      <c r="F1023" t="str">
        <f>IF(E1023="",D1023,E1023)</f>
        <v>STANDARD</v>
      </c>
      <c r="G1023" t="str">
        <f>INDEX(Netzzeiten!$B$6:$B$29,HOUR(B1023)+1)</f>
        <v>NT</v>
      </c>
      <c r="H1023" s="6">
        <f>IF(F1023="GO",Eingaben!$B$11,IF(F1023="STANDARD",Eingaben!$B$12,IF(AND(F1023="HEAT",ISNUMBER(Eingaben!$B$13)),Eingaben!$B$13,"")))</f>
        <v>28.2744</v>
      </c>
      <c r="I1023" s="6">
        <f>INDEX(Netzzeiten!$C$6:$C$29,HOUR(B1023)+1)</f>
        <v>1.64</v>
      </c>
      <c r="J1023" t="str">
        <f>IF(C1023="","FEHLT",IF(NOT(ISNUMBER(C1023)),"MESSWERT UNGUELTIG",IF(C1023&lt;0,"MESSWERT UNGUELTIG",IF(H1023="","TARIFPREIS FEHLT","OK"))))</f>
        <v>FEHLT</v>
      </c>
      <c r="K1023" s="7">
        <f>IF(J1023&lt;&gt;"OK","",C1023*I1023/100)</f>
        <v/>
      </c>
    </row>
    <row r="1024" spans="1:11">
      <c r="A1024" s="14">
        <v>46153</v>
      </c>
      <c r="B1024" s="15">
        <v>0.6041666666666666</v>
      </c>
      <c r="C1024" s="5">
        <f>IF('96 Werte'!BH16="","",'96 Werte'!BH16)</f>
        <v/>
      </c>
      <c r="D1024" t="str">
        <f>IF(IF(Eingaben!$B$21&lt;Eingaben!$B$22,AND(B1024&gt;=Eingaben!$B$21,B1024&lt;Eingaben!$B$22),OR(B1024&gt;=Eingaben!$B$21,B1024&lt;Eingaben!$B$22)),"GO",IF(AND(ISNUMBER(Eingaben!$B$23),ISNUMBER(Eingaben!$B$24),IF(Eingaben!$B$23&lt;Eingaben!$B$24,AND(B1024&gt;=Eingaben!$B$23,B1024&lt;Eingaben!$B$24),OR(B1024&gt;=Eingaben!$B$23,B1024&lt;Eingaben!$B$24))),"HEAT","STANDARD"))</f>
        <v>STANDARD</v>
      </c>
      <c r="E1024" s="9"/>
      <c r="F1024" t="str">
        <f>IF(E1024="",D1024,E1024)</f>
        <v>STANDARD</v>
      </c>
      <c r="G1024" t="str">
        <f>INDEX(Netzzeiten!$B$6:$B$29,HOUR(B1024)+1)</f>
        <v>NT</v>
      </c>
      <c r="H1024" s="6">
        <f>IF(F1024="GO",Eingaben!$B$11,IF(F1024="STANDARD",Eingaben!$B$12,IF(AND(F1024="HEAT",ISNUMBER(Eingaben!$B$13)),Eingaben!$B$13,"")))</f>
        <v>28.2744</v>
      </c>
      <c r="I1024" s="6">
        <f>INDEX(Netzzeiten!$C$6:$C$29,HOUR(B1024)+1)</f>
        <v>1.64</v>
      </c>
      <c r="J1024" t="str">
        <f>IF(C1024="","FEHLT",IF(NOT(ISNUMBER(C1024)),"MESSWERT UNGUELTIG",IF(C1024&lt;0,"MESSWERT UNGUELTIG",IF(H1024="","TARIFPREIS FEHLT","OK"))))</f>
        <v>FEHLT</v>
      </c>
      <c r="K1024" s="7">
        <f>IF(J1024&lt;&gt;"OK","",C1024*I1024/100)</f>
        <v/>
      </c>
    </row>
    <row r="1025" spans="1:11">
      <c r="A1025" s="14">
        <v>46153</v>
      </c>
      <c r="B1025" s="15">
        <v>0.6145833333333334</v>
      </c>
      <c r="C1025" s="5">
        <f>IF('96 Werte'!BI16="","",'96 Werte'!BI16)</f>
        <v/>
      </c>
      <c r="D1025" t="str">
        <f>IF(IF(Eingaben!$B$21&lt;Eingaben!$B$22,AND(B1025&gt;=Eingaben!$B$21,B1025&lt;Eingaben!$B$22),OR(B1025&gt;=Eingaben!$B$21,B1025&lt;Eingaben!$B$22)),"GO",IF(AND(ISNUMBER(Eingaben!$B$23),ISNUMBER(Eingaben!$B$24),IF(Eingaben!$B$23&lt;Eingaben!$B$24,AND(B1025&gt;=Eingaben!$B$23,B1025&lt;Eingaben!$B$24),OR(B1025&gt;=Eingaben!$B$23,B1025&lt;Eingaben!$B$24))),"HEAT","STANDARD"))</f>
        <v>STANDARD</v>
      </c>
      <c r="E1025" s="9"/>
      <c r="F1025" t="str">
        <f>IF(E1025="",D1025,E1025)</f>
        <v>STANDARD</v>
      </c>
      <c r="G1025" t="str">
        <f>INDEX(Netzzeiten!$B$6:$B$29,HOUR(B1025)+1)</f>
        <v>NT</v>
      </c>
      <c r="H1025" s="6">
        <f>IF(F1025="GO",Eingaben!$B$11,IF(F1025="STANDARD",Eingaben!$B$12,IF(AND(F1025="HEAT",ISNUMBER(Eingaben!$B$13)),Eingaben!$B$13,"")))</f>
        <v>28.2744</v>
      </c>
      <c r="I1025" s="6">
        <f>INDEX(Netzzeiten!$C$6:$C$29,HOUR(B1025)+1)</f>
        <v>1.64</v>
      </c>
      <c r="J1025" t="str">
        <f>IF(C1025="","FEHLT",IF(NOT(ISNUMBER(C1025)),"MESSWERT UNGUELTIG",IF(C1025&lt;0,"MESSWERT UNGUELTIG",IF(H1025="","TARIFPREIS FEHLT","OK"))))</f>
        <v>FEHLT</v>
      </c>
      <c r="K1025" s="7">
        <f>IF(J1025&lt;&gt;"OK","",C1025*I1025/100)</f>
        <v/>
      </c>
    </row>
    <row r="1026" spans="1:11">
      <c r="A1026" s="14">
        <v>46153</v>
      </c>
      <c r="B1026" s="15">
        <v>0.625</v>
      </c>
      <c r="C1026" s="5">
        <f>IF('96 Werte'!BJ16="","",'96 Werte'!BJ16)</f>
        <v/>
      </c>
      <c r="D1026" t="str">
        <f>IF(IF(Eingaben!$B$21&lt;Eingaben!$B$22,AND(B1026&gt;=Eingaben!$B$21,B1026&lt;Eingaben!$B$22),OR(B1026&gt;=Eingaben!$B$21,B1026&lt;Eingaben!$B$22)),"GO",IF(AND(ISNUMBER(Eingaben!$B$23),ISNUMBER(Eingaben!$B$24),IF(Eingaben!$B$23&lt;Eingaben!$B$24,AND(B1026&gt;=Eingaben!$B$23,B1026&lt;Eingaben!$B$24),OR(B1026&gt;=Eingaben!$B$23,B1026&lt;Eingaben!$B$24))),"HEAT","STANDARD"))</f>
        <v>STANDARD</v>
      </c>
      <c r="E1026" s="9"/>
      <c r="F1026" t="str">
        <f>IF(E1026="",D1026,E1026)</f>
        <v>STANDARD</v>
      </c>
      <c r="G1026" t="str">
        <f>INDEX(Netzzeiten!$B$6:$B$29,HOUR(B1026)+1)</f>
        <v>ST</v>
      </c>
      <c r="H1026" s="6">
        <f>IF(F1026="GO",Eingaben!$B$11,IF(F1026="STANDARD",Eingaben!$B$12,IF(AND(F1026="HEAT",ISNUMBER(Eingaben!$B$13)),Eingaben!$B$13,"")))</f>
        <v>28.2744</v>
      </c>
      <c r="I1026" s="6">
        <f>INDEX(Netzzeiten!$C$6:$C$29,HOUR(B1026)+1)</f>
        <v>5.48</v>
      </c>
      <c r="J1026" t="str">
        <f>IF(C1026="","FEHLT",IF(NOT(ISNUMBER(C1026)),"MESSWERT UNGUELTIG",IF(C1026&lt;0,"MESSWERT UNGUELTIG",IF(H1026="","TARIFPREIS FEHLT","OK"))))</f>
        <v>FEHLT</v>
      </c>
      <c r="K1026" s="7">
        <f>IF(J1026&lt;&gt;"OK","",C1026*I1026/100)</f>
        <v/>
      </c>
    </row>
    <row r="1027" spans="1:11">
      <c r="A1027" s="14">
        <v>46153</v>
      </c>
      <c r="B1027" s="15">
        <v>0.6354166666666666</v>
      </c>
      <c r="C1027" s="5">
        <f>IF('96 Werte'!BK16="","",'96 Werte'!BK16)</f>
        <v/>
      </c>
      <c r="D1027" t="str">
        <f>IF(IF(Eingaben!$B$21&lt;Eingaben!$B$22,AND(B1027&gt;=Eingaben!$B$21,B1027&lt;Eingaben!$B$22),OR(B1027&gt;=Eingaben!$B$21,B1027&lt;Eingaben!$B$22)),"GO",IF(AND(ISNUMBER(Eingaben!$B$23),ISNUMBER(Eingaben!$B$24),IF(Eingaben!$B$23&lt;Eingaben!$B$24,AND(B1027&gt;=Eingaben!$B$23,B1027&lt;Eingaben!$B$24),OR(B1027&gt;=Eingaben!$B$23,B1027&lt;Eingaben!$B$24))),"HEAT","STANDARD"))</f>
        <v>STANDARD</v>
      </c>
      <c r="E1027" s="9"/>
      <c r="F1027" t="str">
        <f>IF(E1027="",D1027,E1027)</f>
        <v>STANDARD</v>
      </c>
      <c r="G1027" t="str">
        <f>INDEX(Netzzeiten!$B$6:$B$29,HOUR(B1027)+1)</f>
        <v>ST</v>
      </c>
      <c r="H1027" s="6">
        <f>IF(F1027="GO",Eingaben!$B$11,IF(F1027="STANDARD",Eingaben!$B$12,IF(AND(F1027="HEAT",ISNUMBER(Eingaben!$B$13)),Eingaben!$B$13,"")))</f>
        <v>28.2744</v>
      </c>
      <c r="I1027" s="6">
        <f>INDEX(Netzzeiten!$C$6:$C$29,HOUR(B1027)+1)</f>
        <v>5.48</v>
      </c>
      <c r="J1027" t="str">
        <f>IF(C1027="","FEHLT",IF(NOT(ISNUMBER(C1027)),"MESSWERT UNGUELTIG",IF(C1027&lt;0,"MESSWERT UNGUELTIG",IF(H1027="","TARIFPREIS FEHLT","OK"))))</f>
        <v>FEHLT</v>
      </c>
      <c r="K1027" s="7">
        <f>IF(J1027&lt;&gt;"OK","",C1027*I1027/100)</f>
        <v/>
      </c>
    </row>
    <row r="1028" spans="1:11">
      <c r="A1028" s="14">
        <v>46153</v>
      </c>
      <c r="B1028" s="15">
        <v>0.6458333333333334</v>
      </c>
      <c r="C1028" s="5">
        <f>IF('96 Werte'!BL16="","",'96 Werte'!BL16)</f>
        <v/>
      </c>
      <c r="D1028" t="str">
        <f>IF(IF(Eingaben!$B$21&lt;Eingaben!$B$22,AND(B1028&gt;=Eingaben!$B$21,B1028&lt;Eingaben!$B$22),OR(B1028&gt;=Eingaben!$B$21,B1028&lt;Eingaben!$B$22)),"GO",IF(AND(ISNUMBER(Eingaben!$B$23),ISNUMBER(Eingaben!$B$24),IF(Eingaben!$B$23&lt;Eingaben!$B$24,AND(B1028&gt;=Eingaben!$B$23,B1028&lt;Eingaben!$B$24),OR(B1028&gt;=Eingaben!$B$23,B1028&lt;Eingaben!$B$24))),"HEAT","STANDARD"))</f>
        <v>STANDARD</v>
      </c>
      <c r="E1028" s="9"/>
      <c r="F1028" t="str">
        <f>IF(E1028="",D1028,E1028)</f>
        <v>STANDARD</v>
      </c>
      <c r="G1028" t="str">
        <f>INDEX(Netzzeiten!$B$6:$B$29,HOUR(B1028)+1)</f>
        <v>ST</v>
      </c>
      <c r="H1028" s="6">
        <f>IF(F1028="GO",Eingaben!$B$11,IF(F1028="STANDARD",Eingaben!$B$12,IF(AND(F1028="HEAT",ISNUMBER(Eingaben!$B$13)),Eingaben!$B$13,"")))</f>
        <v>28.2744</v>
      </c>
      <c r="I1028" s="6">
        <f>INDEX(Netzzeiten!$C$6:$C$29,HOUR(B1028)+1)</f>
        <v>5.48</v>
      </c>
      <c r="J1028" t="str">
        <f>IF(C1028="","FEHLT",IF(NOT(ISNUMBER(C1028)),"MESSWERT UNGUELTIG",IF(C1028&lt;0,"MESSWERT UNGUELTIG",IF(H1028="","TARIFPREIS FEHLT","OK"))))</f>
        <v>FEHLT</v>
      </c>
      <c r="K1028" s="7">
        <f>IF(J1028&lt;&gt;"OK","",C1028*I1028/100)</f>
        <v/>
      </c>
    </row>
    <row r="1029" spans="1:11">
      <c r="A1029" s="14">
        <v>46153</v>
      </c>
      <c r="B1029" s="15">
        <v>0.65625</v>
      </c>
      <c r="C1029" s="5">
        <f>IF('96 Werte'!BM16="","",'96 Werte'!BM16)</f>
        <v/>
      </c>
      <c r="D1029" t="str">
        <f>IF(IF(Eingaben!$B$21&lt;Eingaben!$B$22,AND(B1029&gt;=Eingaben!$B$21,B1029&lt;Eingaben!$B$22),OR(B1029&gt;=Eingaben!$B$21,B1029&lt;Eingaben!$B$22)),"GO",IF(AND(ISNUMBER(Eingaben!$B$23),ISNUMBER(Eingaben!$B$24),IF(Eingaben!$B$23&lt;Eingaben!$B$24,AND(B1029&gt;=Eingaben!$B$23,B1029&lt;Eingaben!$B$24),OR(B1029&gt;=Eingaben!$B$23,B1029&lt;Eingaben!$B$24))),"HEAT","STANDARD"))</f>
        <v>STANDARD</v>
      </c>
      <c r="E1029" s="9"/>
      <c r="F1029" t="str">
        <f>IF(E1029="",D1029,E1029)</f>
        <v>STANDARD</v>
      </c>
      <c r="G1029" t="str">
        <f>INDEX(Netzzeiten!$B$6:$B$29,HOUR(B1029)+1)</f>
        <v>ST</v>
      </c>
      <c r="H1029" s="6">
        <f>IF(F1029="GO",Eingaben!$B$11,IF(F1029="STANDARD",Eingaben!$B$12,IF(AND(F1029="HEAT",ISNUMBER(Eingaben!$B$13)),Eingaben!$B$13,"")))</f>
        <v>28.2744</v>
      </c>
      <c r="I1029" s="6">
        <f>INDEX(Netzzeiten!$C$6:$C$29,HOUR(B1029)+1)</f>
        <v>5.48</v>
      </c>
      <c r="J1029" t="str">
        <f>IF(C1029="","FEHLT",IF(NOT(ISNUMBER(C1029)),"MESSWERT UNGUELTIG",IF(C1029&lt;0,"MESSWERT UNGUELTIG",IF(H1029="","TARIFPREIS FEHLT","OK"))))</f>
        <v>FEHLT</v>
      </c>
      <c r="K1029" s="7">
        <f>IF(J1029&lt;&gt;"OK","",C1029*I1029/100)</f>
        <v/>
      </c>
    </row>
    <row r="1030" spans="1:11">
      <c r="A1030" s="14">
        <v>46153</v>
      </c>
      <c r="B1030" s="15">
        <v>0.6666666666666666</v>
      </c>
      <c r="C1030" s="5">
        <f>IF('96 Werte'!BN16="","",'96 Werte'!BN16)</f>
        <v/>
      </c>
      <c r="D1030" t="str">
        <f>IF(IF(Eingaben!$B$21&lt;Eingaben!$B$22,AND(B1030&gt;=Eingaben!$B$21,B1030&lt;Eingaben!$B$22),OR(B1030&gt;=Eingaben!$B$21,B1030&lt;Eingaben!$B$22)),"GO",IF(AND(ISNUMBER(Eingaben!$B$23),ISNUMBER(Eingaben!$B$24),IF(Eingaben!$B$23&lt;Eingaben!$B$24,AND(B1030&gt;=Eingaben!$B$23,B1030&lt;Eingaben!$B$24),OR(B1030&gt;=Eingaben!$B$23,B1030&lt;Eingaben!$B$24))),"HEAT","STANDARD"))</f>
        <v>STANDARD</v>
      </c>
      <c r="E1030" s="9"/>
      <c r="F1030" t="str">
        <f>IF(E1030="",D1030,E1030)</f>
        <v>STANDARD</v>
      </c>
      <c r="G1030" t="str">
        <f>INDEX(Netzzeiten!$B$6:$B$29,HOUR(B1030)+1)</f>
        <v>ST</v>
      </c>
      <c r="H1030" s="6">
        <f>IF(F1030="GO",Eingaben!$B$11,IF(F1030="STANDARD",Eingaben!$B$12,IF(AND(F1030="HEAT",ISNUMBER(Eingaben!$B$13)),Eingaben!$B$13,"")))</f>
        <v>28.2744</v>
      </c>
      <c r="I1030" s="6">
        <f>INDEX(Netzzeiten!$C$6:$C$29,HOUR(B1030)+1)</f>
        <v>5.48</v>
      </c>
      <c r="J1030" t="str">
        <f>IF(C1030="","FEHLT",IF(NOT(ISNUMBER(C1030)),"MESSWERT UNGUELTIG",IF(C1030&lt;0,"MESSWERT UNGUELTIG",IF(H1030="","TARIFPREIS FEHLT","OK"))))</f>
        <v>FEHLT</v>
      </c>
      <c r="K1030" s="7">
        <f>IF(J1030&lt;&gt;"OK","",C1030*I1030/100)</f>
        <v/>
      </c>
    </row>
    <row r="1031" spans="1:11">
      <c r="A1031" s="14">
        <v>46153</v>
      </c>
      <c r="B1031" s="15">
        <v>0.6770833333333334</v>
      </c>
      <c r="C1031" s="5">
        <f>IF('96 Werte'!BO16="","",'96 Werte'!BO16)</f>
        <v/>
      </c>
      <c r="D1031" t="str">
        <f>IF(IF(Eingaben!$B$21&lt;Eingaben!$B$22,AND(B1031&gt;=Eingaben!$B$21,B1031&lt;Eingaben!$B$22),OR(B1031&gt;=Eingaben!$B$21,B1031&lt;Eingaben!$B$22)),"GO",IF(AND(ISNUMBER(Eingaben!$B$23),ISNUMBER(Eingaben!$B$24),IF(Eingaben!$B$23&lt;Eingaben!$B$24,AND(B1031&gt;=Eingaben!$B$23,B1031&lt;Eingaben!$B$24),OR(B1031&gt;=Eingaben!$B$23,B1031&lt;Eingaben!$B$24))),"HEAT","STANDARD"))</f>
        <v>STANDARD</v>
      </c>
      <c r="E1031" s="9"/>
      <c r="F1031" t="str">
        <f>IF(E1031="",D1031,E1031)</f>
        <v>STANDARD</v>
      </c>
      <c r="G1031" t="str">
        <f>INDEX(Netzzeiten!$B$6:$B$29,HOUR(B1031)+1)</f>
        <v>ST</v>
      </c>
      <c r="H1031" s="6">
        <f>IF(F1031="GO",Eingaben!$B$11,IF(F1031="STANDARD",Eingaben!$B$12,IF(AND(F1031="HEAT",ISNUMBER(Eingaben!$B$13)),Eingaben!$B$13,"")))</f>
        <v>28.2744</v>
      </c>
      <c r="I1031" s="6">
        <f>INDEX(Netzzeiten!$C$6:$C$29,HOUR(B1031)+1)</f>
        <v>5.48</v>
      </c>
      <c r="J1031" t="str">
        <f>IF(C1031="","FEHLT",IF(NOT(ISNUMBER(C1031)),"MESSWERT UNGUELTIG",IF(C1031&lt;0,"MESSWERT UNGUELTIG",IF(H1031="","TARIFPREIS FEHLT","OK"))))</f>
        <v>FEHLT</v>
      </c>
      <c r="K1031" s="7">
        <f>IF(J1031&lt;&gt;"OK","",C1031*I1031/100)</f>
        <v/>
      </c>
    </row>
    <row r="1032" spans="1:11">
      <c r="A1032" s="14">
        <v>46153</v>
      </c>
      <c r="B1032" s="15">
        <v>0.6875</v>
      </c>
      <c r="C1032" s="5">
        <f>IF('96 Werte'!BP16="","",'96 Werte'!BP16)</f>
        <v/>
      </c>
      <c r="D1032" t="str">
        <f>IF(IF(Eingaben!$B$21&lt;Eingaben!$B$22,AND(B1032&gt;=Eingaben!$B$21,B1032&lt;Eingaben!$B$22),OR(B1032&gt;=Eingaben!$B$21,B1032&lt;Eingaben!$B$22)),"GO",IF(AND(ISNUMBER(Eingaben!$B$23),ISNUMBER(Eingaben!$B$24),IF(Eingaben!$B$23&lt;Eingaben!$B$24,AND(B1032&gt;=Eingaben!$B$23,B1032&lt;Eingaben!$B$24),OR(B1032&gt;=Eingaben!$B$23,B1032&lt;Eingaben!$B$24))),"HEAT","STANDARD"))</f>
        <v>STANDARD</v>
      </c>
      <c r="E1032" s="9"/>
      <c r="F1032" t="str">
        <f>IF(E1032="",D1032,E1032)</f>
        <v>STANDARD</v>
      </c>
      <c r="G1032" t="str">
        <f>INDEX(Netzzeiten!$B$6:$B$29,HOUR(B1032)+1)</f>
        <v>ST</v>
      </c>
      <c r="H1032" s="6">
        <f>IF(F1032="GO",Eingaben!$B$11,IF(F1032="STANDARD",Eingaben!$B$12,IF(AND(F1032="HEAT",ISNUMBER(Eingaben!$B$13)),Eingaben!$B$13,"")))</f>
        <v>28.2744</v>
      </c>
      <c r="I1032" s="6">
        <f>INDEX(Netzzeiten!$C$6:$C$29,HOUR(B1032)+1)</f>
        <v>5.48</v>
      </c>
      <c r="J1032" t="str">
        <f>IF(C1032="","FEHLT",IF(NOT(ISNUMBER(C1032)),"MESSWERT UNGUELTIG",IF(C1032&lt;0,"MESSWERT UNGUELTIG",IF(H1032="","TARIFPREIS FEHLT","OK"))))</f>
        <v>FEHLT</v>
      </c>
      <c r="K1032" s="7">
        <f>IF(J1032&lt;&gt;"OK","",C1032*I1032/100)</f>
        <v/>
      </c>
    </row>
    <row r="1033" spans="1:11">
      <c r="A1033" s="14">
        <v>46153</v>
      </c>
      <c r="B1033" s="15">
        <v>0.6979166666666666</v>
      </c>
      <c r="C1033" s="5">
        <f>IF('96 Werte'!BQ16="","",'96 Werte'!BQ16)</f>
        <v/>
      </c>
      <c r="D1033" t="str">
        <f>IF(IF(Eingaben!$B$21&lt;Eingaben!$B$22,AND(B1033&gt;=Eingaben!$B$21,B1033&lt;Eingaben!$B$22),OR(B1033&gt;=Eingaben!$B$21,B1033&lt;Eingaben!$B$22)),"GO",IF(AND(ISNUMBER(Eingaben!$B$23),ISNUMBER(Eingaben!$B$24),IF(Eingaben!$B$23&lt;Eingaben!$B$24,AND(B1033&gt;=Eingaben!$B$23,B1033&lt;Eingaben!$B$24),OR(B1033&gt;=Eingaben!$B$23,B1033&lt;Eingaben!$B$24))),"HEAT","STANDARD"))</f>
        <v>STANDARD</v>
      </c>
      <c r="E1033" s="9"/>
      <c r="F1033" t="str">
        <f>IF(E1033="",D1033,E1033)</f>
        <v>STANDARD</v>
      </c>
      <c r="G1033" t="str">
        <f>INDEX(Netzzeiten!$B$6:$B$29,HOUR(B1033)+1)</f>
        <v>ST</v>
      </c>
      <c r="H1033" s="6">
        <f>IF(F1033="GO",Eingaben!$B$11,IF(F1033="STANDARD",Eingaben!$B$12,IF(AND(F1033="HEAT",ISNUMBER(Eingaben!$B$13)),Eingaben!$B$13,"")))</f>
        <v>28.2744</v>
      </c>
      <c r="I1033" s="6">
        <f>INDEX(Netzzeiten!$C$6:$C$29,HOUR(B1033)+1)</f>
        <v>5.48</v>
      </c>
      <c r="J1033" t="str">
        <f>IF(C1033="","FEHLT",IF(NOT(ISNUMBER(C1033)),"MESSWERT UNGUELTIG",IF(C1033&lt;0,"MESSWERT UNGUELTIG",IF(H1033="","TARIFPREIS FEHLT","OK"))))</f>
        <v>FEHLT</v>
      </c>
      <c r="K1033" s="7">
        <f>IF(J1033&lt;&gt;"OK","",C1033*I1033/100)</f>
        <v/>
      </c>
    </row>
    <row r="1034" spans="1:11">
      <c r="A1034" s="14">
        <v>46153</v>
      </c>
      <c r="B1034" s="15">
        <v>0.7083333333333334</v>
      </c>
      <c r="C1034" s="5">
        <f>IF('96 Werte'!BR16="","",'96 Werte'!BR16)</f>
        <v/>
      </c>
      <c r="D1034" t="str">
        <f>IF(IF(Eingaben!$B$21&lt;Eingaben!$B$22,AND(B1034&gt;=Eingaben!$B$21,B1034&lt;Eingaben!$B$22),OR(B1034&gt;=Eingaben!$B$21,B1034&lt;Eingaben!$B$22)),"GO",IF(AND(ISNUMBER(Eingaben!$B$23),ISNUMBER(Eingaben!$B$24),IF(Eingaben!$B$23&lt;Eingaben!$B$24,AND(B1034&gt;=Eingaben!$B$23,B1034&lt;Eingaben!$B$24),OR(B1034&gt;=Eingaben!$B$23,B1034&lt;Eingaben!$B$24))),"HEAT","STANDARD"))</f>
        <v>STANDARD</v>
      </c>
      <c r="E1034" s="9"/>
      <c r="F1034" t="str">
        <f>IF(E1034="",D1034,E1034)</f>
        <v>STANDARD</v>
      </c>
      <c r="G1034" t="str">
        <f>INDEX(Netzzeiten!$B$6:$B$29,HOUR(B1034)+1)</f>
        <v>HT</v>
      </c>
      <c r="H1034" s="6">
        <f>IF(F1034="GO",Eingaben!$B$11,IF(F1034="STANDARD",Eingaben!$B$12,IF(AND(F1034="HEAT",ISNUMBER(Eingaben!$B$13)),Eingaben!$B$13,"")))</f>
        <v>28.2744</v>
      </c>
      <c r="I1034" s="6">
        <f>INDEX(Netzzeiten!$C$6:$C$29,HOUR(B1034)+1)</f>
        <v>10.52</v>
      </c>
      <c r="J1034" t="str">
        <f>IF(C1034="","FEHLT",IF(NOT(ISNUMBER(C1034)),"MESSWERT UNGUELTIG",IF(C1034&lt;0,"MESSWERT UNGUELTIG",IF(H1034="","TARIFPREIS FEHLT","OK"))))</f>
        <v>FEHLT</v>
      </c>
      <c r="K1034" s="7">
        <f>IF(J1034&lt;&gt;"OK","",C1034*I1034/100)</f>
        <v/>
      </c>
    </row>
    <row r="1035" spans="1:11">
      <c r="A1035" s="14">
        <v>46153</v>
      </c>
      <c r="B1035" s="15">
        <v>0.71875</v>
      </c>
      <c r="C1035" s="5">
        <f>IF('96 Werte'!BS16="","",'96 Werte'!BS16)</f>
        <v/>
      </c>
      <c r="D1035" t="str">
        <f>IF(IF(Eingaben!$B$21&lt;Eingaben!$B$22,AND(B1035&gt;=Eingaben!$B$21,B1035&lt;Eingaben!$B$22),OR(B1035&gt;=Eingaben!$B$21,B1035&lt;Eingaben!$B$22)),"GO",IF(AND(ISNUMBER(Eingaben!$B$23),ISNUMBER(Eingaben!$B$24),IF(Eingaben!$B$23&lt;Eingaben!$B$24,AND(B1035&gt;=Eingaben!$B$23,B1035&lt;Eingaben!$B$24),OR(B1035&gt;=Eingaben!$B$23,B1035&lt;Eingaben!$B$24))),"HEAT","STANDARD"))</f>
        <v>STANDARD</v>
      </c>
      <c r="E1035" s="9"/>
      <c r="F1035" t="str">
        <f>IF(E1035="",D1035,E1035)</f>
        <v>STANDARD</v>
      </c>
      <c r="G1035" t="str">
        <f>INDEX(Netzzeiten!$B$6:$B$29,HOUR(B1035)+1)</f>
        <v>HT</v>
      </c>
      <c r="H1035" s="6">
        <f>IF(F1035="GO",Eingaben!$B$11,IF(F1035="STANDARD",Eingaben!$B$12,IF(AND(F1035="HEAT",ISNUMBER(Eingaben!$B$13)),Eingaben!$B$13,"")))</f>
        <v>28.2744</v>
      </c>
      <c r="I1035" s="6">
        <f>INDEX(Netzzeiten!$C$6:$C$29,HOUR(B1035)+1)</f>
        <v>10.52</v>
      </c>
      <c r="J1035" t="str">
        <f>IF(C1035="","FEHLT",IF(NOT(ISNUMBER(C1035)),"MESSWERT UNGUELTIG",IF(C1035&lt;0,"MESSWERT UNGUELTIG",IF(H1035="","TARIFPREIS FEHLT","OK"))))</f>
        <v>FEHLT</v>
      </c>
      <c r="K1035" s="7">
        <f>IF(J1035&lt;&gt;"OK","",C1035*I1035/100)</f>
        <v/>
      </c>
    </row>
    <row r="1036" spans="1:11">
      <c r="A1036" s="14">
        <v>46153</v>
      </c>
      <c r="B1036" s="15">
        <v>0.7291666666666666</v>
      </c>
      <c r="C1036" s="5">
        <f>IF('96 Werte'!BT16="","",'96 Werte'!BT16)</f>
        <v/>
      </c>
      <c r="D1036" t="str">
        <f>IF(IF(Eingaben!$B$21&lt;Eingaben!$B$22,AND(B1036&gt;=Eingaben!$B$21,B1036&lt;Eingaben!$B$22),OR(B1036&gt;=Eingaben!$B$21,B1036&lt;Eingaben!$B$22)),"GO",IF(AND(ISNUMBER(Eingaben!$B$23),ISNUMBER(Eingaben!$B$24),IF(Eingaben!$B$23&lt;Eingaben!$B$24,AND(B1036&gt;=Eingaben!$B$23,B1036&lt;Eingaben!$B$24),OR(B1036&gt;=Eingaben!$B$23,B1036&lt;Eingaben!$B$24))),"HEAT","STANDARD"))</f>
        <v>STANDARD</v>
      </c>
      <c r="E1036" s="9"/>
      <c r="F1036" t="str">
        <f>IF(E1036="",D1036,E1036)</f>
        <v>STANDARD</v>
      </c>
      <c r="G1036" t="str">
        <f>INDEX(Netzzeiten!$B$6:$B$29,HOUR(B1036)+1)</f>
        <v>HT</v>
      </c>
      <c r="H1036" s="6">
        <f>IF(F1036="GO",Eingaben!$B$11,IF(F1036="STANDARD",Eingaben!$B$12,IF(AND(F1036="HEAT",ISNUMBER(Eingaben!$B$13)),Eingaben!$B$13,"")))</f>
        <v>28.2744</v>
      </c>
      <c r="I1036" s="6">
        <f>INDEX(Netzzeiten!$C$6:$C$29,HOUR(B1036)+1)</f>
        <v>10.52</v>
      </c>
      <c r="J1036" t="str">
        <f>IF(C1036="","FEHLT",IF(NOT(ISNUMBER(C1036)),"MESSWERT UNGUELTIG",IF(C1036&lt;0,"MESSWERT UNGUELTIG",IF(H1036="","TARIFPREIS FEHLT","OK"))))</f>
        <v>FEHLT</v>
      </c>
      <c r="K1036" s="7">
        <f>IF(J1036&lt;&gt;"OK","",C1036*I1036/100)</f>
        <v/>
      </c>
    </row>
    <row r="1037" spans="1:11">
      <c r="A1037" s="14">
        <v>46153</v>
      </c>
      <c r="B1037" s="15">
        <v>0.7395833333333334</v>
      </c>
      <c r="C1037" s="5">
        <f>IF('96 Werte'!BU16="","",'96 Werte'!BU16)</f>
        <v/>
      </c>
      <c r="D1037" t="str">
        <f>IF(IF(Eingaben!$B$21&lt;Eingaben!$B$22,AND(B1037&gt;=Eingaben!$B$21,B1037&lt;Eingaben!$B$22),OR(B1037&gt;=Eingaben!$B$21,B1037&lt;Eingaben!$B$22)),"GO",IF(AND(ISNUMBER(Eingaben!$B$23),ISNUMBER(Eingaben!$B$24),IF(Eingaben!$B$23&lt;Eingaben!$B$24,AND(B1037&gt;=Eingaben!$B$23,B1037&lt;Eingaben!$B$24),OR(B1037&gt;=Eingaben!$B$23,B1037&lt;Eingaben!$B$24))),"HEAT","STANDARD"))</f>
        <v>STANDARD</v>
      </c>
      <c r="E1037" s="9"/>
      <c r="F1037" t="str">
        <f>IF(E1037="",D1037,E1037)</f>
        <v>STANDARD</v>
      </c>
      <c r="G1037" t="str">
        <f>INDEX(Netzzeiten!$B$6:$B$29,HOUR(B1037)+1)</f>
        <v>HT</v>
      </c>
      <c r="H1037" s="6">
        <f>IF(F1037="GO",Eingaben!$B$11,IF(F1037="STANDARD",Eingaben!$B$12,IF(AND(F1037="HEAT",ISNUMBER(Eingaben!$B$13)),Eingaben!$B$13,"")))</f>
        <v>28.2744</v>
      </c>
      <c r="I1037" s="6">
        <f>INDEX(Netzzeiten!$C$6:$C$29,HOUR(B1037)+1)</f>
        <v>10.52</v>
      </c>
      <c r="J1037" t="str">
        <f>IF(C1037="","FEHLT",IF(NOT(ISNUMBER(C1037)),"MESSWERT UNGUELTIG",IF(C1037&lt;0,"MESSWERT UNGUELTIG",IF(H1037="","TARIFPREIS FEHLT","OK"))))</f>
        <v>FEHLT</v>
      </c>
      <c r="K1037" s="7">
        <f>IF(J1037&lt;&gt;"OK","",C1037*I1037/100)</f>
        <v/>
      </c>
    </row>
    <row r="1038" spans="1:11">
      <c r="A1038" s="14">
        <v>46153</v>
      </c>
      <c r="B1038" s="15">
        <v>0.75</v>
      </c>
      <c r="C1038" s="5">
        <f>IF('96 Werte'!BV16="","",'96 Werte'!BV16)</f>
        <v/>
      </c>
      <c r="D1038" t="str">
        <f>IF(IF(Eingaben!$B$21&lt;Eingaben!$B$22,AND(B1038&gt;=Eingaben!$B$21,B1038&lt;Eingaben!$B$22),OR(B1038&gt;=Eingaben!$B$21,B1038&lt;Eingaben!$B$22)),"GO",IF(AND(ISNUMBER(Eingaben!$B$23),ISNUMBER(Eingaben!$B$24),IF(Eingaben!$B$23&lt;Eingaben!$B$24,AND(B1038&gt;=Eingaben!$B$23,B1038&lt;Eingaben!$B$24),OR(B1038&gt;=Eingaben!$B$23,B1038&lt;Eingaben!$B$24))),"HEAT","STANDARD"))</f>
        <v>STANDARD</v>
      </c>
      <c r="E1038" s="9"/>
      <c r="F1038" t="str">
        <f>IF(E1038="",D1038,E1038)</f>
        <v>STANDARD</v>
      </c>
      <c r="G1038" t="str">
        <f>INDEX(Netzzeiten!$B$6:$B$29,HOUR(B1038)+1)</f>
        <v>HT</v>
      </c>
      <c r="H1038" s="6">
        <f>IF(F1038="GO",Eingaben!$B$11,IF(F1038="STANDARD",Eingaben!$B$12,IF(AND(F1038="HEAT",ISNUMBER(Eingaben!$B$13)),Eingaben!$B$13,"")))</f>
        <v>28.2744</v>
      </c>
      <c r="I1038" s="6">
        <f>INDEX(Netzzeiten!$C$6:$C$29,HOUR(B1038)+1)</f>
        <v>10.52</v>
      </c>
      <c r="J1038" t="str">
        <f>IF(C1038="","FEHLT",IF(NOT(ISNUMBER(C1038)),"MESSWERT UNGUELTIG",IF(C1038&lt;0,"MESSWERT UNGUELTIG",IF(H1038="","TARIFPREIS FEHLT","OK"))))</f>
        <v>FEHLT</v>
      </c>
      <c r="K1038" s="7">
        <f>IF(J1038&lt;&gt;"OK","",C1038*I1038/100)</f>
        <v/>
      </c>
    </row>
    <row r="1039" spans="1:11">
      <c r="A1039" s="14">
        <v>46153</v>
      </c>
      <c r="B1039" s="15">
        <v>0.7604166666666666</v>
      </c>
      <c r="C1039" s="5">
        <f>IF('96 Werte'!BW16="","",'96 Werte'!BW16)</f>
        <v/>
      </c>
      <c r="D1039" t="str">
        <f>IF(IF(Eingaben!$B$21&lt;Eingaben!$B$22,AND(B1039&gt;=Eingaben!$B$21,B1039&lt;Eingaben!$B$22),OR(B1039&gt;=Eingaben!$B$21,B1039&lt;Eingaben!$B$22)),"GO",IF(AND(ISNUMBER(Eingaben!$B$23),ISNUMBER(Eingaben!$B$24),IF(Eingaben!$B$23&lt;Eingaben!$B$24,AND(B1039&gt;=Eingaben!$B$23,B1039&lt;Eingaben!$B$24),OR(B1039&gt;=Eingaben!$B$23,B1039&lt;Eingaben!$B$24))),"HEAT","STANDARD"))</f>
        <v>STANDARD</v>
      </c>
      <c r="E1039" s="9"/>
      <c r="F1039" t="str">
        <f>IF(E1039="",D1039,E1039)</f>
        <v>STANDARD</v>
      </c>
      <c r="G1039" t="str">
        <f>INDEX(Netzzeiten!$B$6:$B$29,HOUR(B1039)+1)</f>
        <v>HT</v>
      </c>
      <c r="H1039" s="6">
        <f>IF(F1039="GO",Eingaben!$B$11,IF(F1039="STANDARD",Eingaben!$B$12,IF(AND(F1039="HEAT",ISNUMBER(Eingaben!$B$13)),Eingaben!$B$13,"")))</f>
        <v>28.2744</v>
      </c>
      <c r="I1039" s="6">
        <f>INDEX(Netzzeiten!$C$6:$C$29,HOUR(B1039)+1)</f>
        <v>10.52</v>
      </c>
      <c r="J1039" t="str">
        <f>IF(C1039="","FEHLT",IF(NOT(ISNUMBER(C1039)),"MESSWERT UNGUELTIG",IF(C1039&lt;0,"MESSWERT UNGUELTIG",IF(H1039="","TARIFPREIS FEHLT","OK"))))</f>
        <v>FEHLT</v>
      </c>
      <c r="K1039" s="7">
        <f>IF(J1039&lt;&gt;"OK","",C1039*I1039/100)</f>
        <v/>
      </c>
    </row>
    <row r="1040" spans="1:11">
      <c r="A1040" s="14">
        <v>46153</v>
      </c>
      <c r="B1040" s="15">
        <v>0.7708333333333334</v>
      </c>
      <c r="C1040" s="5">
        <f>IF('96 Werte'!BX16="","",'96 Werte'!BX16)</f>
        <v/>
      </c>
      <c r="D1040" t="str">
        <f>IF(IF(Eingaben!$B$21&lt;Eingaben!$B$22,AND(B1040&gt;=Eingaben!$B$21,B1040&lt;Eingaben!$B$22),OR(B1040&gt;=Eingaben!$B$21,B1040&lt;Eingaben!$B$22)),"GO",IF(AND(ISNUMBER(Eingaben!$B$23),ISNUMBER(Eingaben!$B$24),IF(Eingaben!$B$23&lt;Eingaben!$B$24,AND(B1040&gt;=Eingaben!$B$23,B1040&lt;Eingaben!$B$24),OR(B1040&gt;=Eingaben!$B$23,B1040&lt;Eingaben!$B$24))),"HEAT","STANDARD"))</f>
        <v>STANDARD</v>
      </c>
      <c r="E1040" s="9"/>
      <c r="F1040" t="str">
        <f>IF(E1040="",D1040,E1040)</f>
        <v>STANDARD</v>
      </c>
      <c r="G1040" t="str">
        <f>INDEX(Netzzeiten!$B$6:$B$29,HOUR(B1040)+1)</f>
        <v>HT</v>
      </c>
      <c r="H1040" s="6">
        <f>IF(F1040="GO",Eingaben!$B$11,IF(F1040="STANDARD",Eingaben!$B$12,IF(AND(F1040="HEAT",ISNUMBER(Eingaben!$B$13)),Eingaben!$B$13,"")))</f>
        <v>28.2744</v>
      </c>
      <c r="I1040" s="6">
        <f>INDEX(Netzzeiten!$C$6:$C$29,HOUR(B1040)+1)</f>
        <v>10.52</v>
      </c>
      <c r="J1040" t="str">
        <f>IF(C1040="","FEHLT",IF(NOT(ISNUMBER(C1040)),"MESSWERT UNGUELTIG",IF(C1040&lt;0,"MESSWERT UNGUELTIG",IF(H1040="","TARIFPREIS FEHLT","OK"))))</f>
        <v>FEHLT</v>
      </c>
      <c r="K1040" s="7">
        <f>IF(J1040&lt;&gt;"OK","",C1040*I1040/100)</f>
        <v/>
      </c>
    </row>
    <row r="1041" spans="1:11">
      <c r="A1041" s="14">
        <v>46153</v>
      </c>
      <c r="B1041" s="15">
        <v>0.78125</v>
      </c>
      <c r="C1041" s="5">
        <f>IF('96 Werte'!BY16="","",'96 Werte'!BY16)</f>
        <v/>
      </c>
      <c r="D1041" t="str">
        <f>IF(IF(Eingaben!$B$21&lt;Eingaben!$B$22,AND(B1041&gt;=Eingaben!$B$21,B1041&lt;Eingaben!$B$22),OR(B1041&gt;=Eingaben!$B$21,B1041&lt;Eingaben!$B$22)),"GO",IF(AND(ISNUMBER(Eingaben!$B$23),ISNUMBER(Eingaben!$B$24),IF(Eingaben!$B$23&lt;Eingaben!$B$24,AND(B1041&gt;=Eingaben!$B$23,B1041&lt;Eingaben!$B$24),OR(B1041&gt;=Eingaben!$B$23,B1041&lt;Eingaben!$B$24))),"HEAT","STANDARD"))</f>
        <v>STANDARD</v>
      </c>
      <c r="E1041" s="9"/>
      <c r="F1041" t="str">
        <f>IF(E1041="",D1041,E1041)</f>
        <v>STANDARD</v>
      </c>
      <c r="G1041" t="str">
        <f>INDEX(Netzzeiten!$B$6:$B$29,HOUR(B1041)+1)</f>
        <v>HT</v>
      </c>
      <c r="H1041" s="6">
        <f>IF(F1041="GO",Eingaben!$B$11,IF(F1041="STANDARD",Eingaben!$B$12,IF(AND(F1041="HEAT",ISNUMBER(Eingaben!$B$13)),Eingaben!$B$13,"")))</f>
        <v>28.2744</v>
      </c>
      <c r="I1041" s="6">
        <f>INDEX(Netzzeiten!$C$6:$C$29,HOUR(B1041)+1)</f>
        <v>10.52</v>
      </c>
      <c r="J1041" t="str">
        <f>IF(C1041="","FEHLT",IF(NOT(ISNUMBER(C1041)),"MESSWERT UNGUELTIG",IF(C1041&lt;0,"MESSWERT UNGUELTIG",IF(H1041="","TARIFPREIS FEHLT","OK"))))</f>
        <v>FEHLT</v>
      </c>
      <c r="K1041" s="7">
        <f>IF(J1041&lt;&gt;"OK","",C1041*I1041/100)</f>
        <v/>
      </c>
    </row>
    <row r="1042" spans="1:11">
      <c r="A1042" s="14">
        <v>46153</v>
      </c>
      <c r="B1042" s="15">
        <v>0.7916666666666666</v>
      </c>
      <c r="C1042" s="5">
        <f>IF('96 Werte'!BZ16="","",'96 Werte'!BZ16)</f>
        <v/>
      </c>
      <c r="D1042" t="str">
        <f>IF(IF(Eingaben!$B$21&lt;Eingaben!$B$22,AND(B1042&gt;=Eingaben!$B$21,B1042&lt;Eingaben!$B$22),OR(B1042&gt;=Eingaben!$B$21,B1042&lt;Eingaben!$B$22)),"GO",IF(AND(ISNUMBER(Eingaben!$B$23),ISNUMBER(Eingaben!$B$24),IF(Eingaben!$B$23&lt;Eingaben!$B$24,AND(B1042&gt;=Eingaben!$B$23,B1042&lt;Eingaben!$B$24),OR(B1042&gt;=Eingaben!$B$23,B1042&lt;Eingaben!$B$24))),"HEAT","STANDARD"))</f>
        <v>STANDARD</v>
      </c>
      <c r="E1042" s="9"/>
      <c r="F1042" t="str">
        <f>IF(E1042="",D1042,E1042)</f>
        <v>STANDARD</v>
      </c>
      <c r="G1042" t="str">
        <f>INDEX(Netzzeiten!$B$6:$B$29,HOUR(B1042)+1)</f>
        <v>HT</v>
      </c>
      <c r="H1042" s="6">
        <f>IF(F1042="GO",Eingaben!$B$11,IF(F1042="STANDARD",Eingaben!$B$12,IF(AND(F1042="HEAT",ISNUMBER(Eingaben!$B$13)),Eingaben!$B$13,"")))</f>
        <v>28.2744</v>
      </c>
      <c r="I1042" s="6">
        <f>INDEX(Netzzeiten!$C$6:$C$29,HOUR(B1042)+1)</f>
        <v>10.52</v>
      </c>
      <c r="J1042" t="str">
        <f>IF(C1042="","FEHLT",IF(NOT(ISNUMBER(C1042)),"MESSWERT UNGUELTIG",IF(C1042&lt;0,"MESSWERT UNGUELTIG",IF(H1042="","TARIFPREIS FEHLT","OK"))))</f>
        <v>FEHLT</v>
      </c>
      <c r="K1042" s="7">
        <f>IF(J1042&lt;&gt;"OK","",C1042*I1042/100)</f>
        <v/>
      </c>
    </row>
    <row r="1043" spans="1:11">
      <c r="A1043" s="14">
        <v>46153</v>
      </c>
      <c r="B1043" s="15">
        <v>0.8020833333333334</v>
      </c>
      <c r="C1043" s="5">
        <f>IF('96 Werte'!CA16="","",'96 Werte'!CA16)</f>
        <v/>
      </c>
      <c r="D1043" t="str">
        <f>IF(IF(Eingaben!$B$21&lt;Eingaben!$B$22,AND(B1043&gt;=Eingaben!$B$21,B1043&lt;Eingaben!$B$22),OR(B1043&gt;=Eingaben!$B$21,B1043&lt;Eingaben!$B$22)),"GO",IF(AND(ISNUMBER(Eingaben!$B$23),ISNUMBER(Eingaben!$B$24),IF(Eingaben!$B$23&lt;Eingaben!$B$24,AND(B1043&gt;=Eingaben!$B$23,B1043&lt;Eingaben!$B$24),OR(B1043&gt;=Eingaben!$B$23,B1043&lt;Eingaben!$B$24))),"HEAT","STANDARD"))</f>
        <v>STANDARD</v>
      </c>
      <c r="E1043" s="9"/>
      <c r="F1043" t="str">
        <f>IF(E1043="",D1043,E1043)</f>
        <v>STANDARD</v>
      </c>
      <c r="G1043" t="str">
        <f>INDEX(Netzzeiten!$B$6:$B$29,HOUR(B1043)+1)</f>
        <v>HT</v>
      </c>
      <c r="H1043" s="6">
        <f>IF(F1043="GO",Eingaben!$B$11,IF(F1043="STANDARD",Eingaben!$B$12,IF(AND(F1043="HEAT",ISNUMBER(Eingaben!$B$13)),Eingaben!$B$13,"")))</f>
        <v>28.2744</v>
      </c>
      <c r="I1043" s="6">
        <f>INDEX(Netzzeiten!$C$6:$C$29,HOUR(B1043)+1)</f>
        <v>10.52</v>
      </c>
      <c r="J1043" t="str">
        <f>IF(C1043="","FEHLT",IF(NOT(ISNUMBER(C1043)),"MESSWERT UNGUELTIG",IF(C1043&lt;0,"MESSWERT UNGUELTIG",IF(H1043="","TARIFPREIS FEHLT","OK"))))</f>
        <v>FEHLT</v>
      </c>
      <c r="K1043" s="7">
        <f>IF(J1043&lt;&gt;"OK","",C1043*I1043/100)</f>
        <v/>
      </c>
    </row>
    <row r="1044" spans="1:11">
      <c r="A1044" s="14">
        <v>46153</v>
      </c>
      <c r="B1044" s="15">
        <v>0.8125</v>
      </c>
      <c r="C1044" s="5">
        <f>IF('96 Werte'!CB16="","",'96 Werte'!CB16)</f>
        <v/>
      </c>
      <c r="D1044" t="str">
        <f>IF(IF(Eingaben!$B$21&lt;Eingaben!$B$22,AND(B1044&gt;=Eingaben!$B$21,B1044&lt;Eingaben!$B$22),OR(B1044&gt;=Eingaben!$B$21,B1044&lt;Eingaben!$B$22)),"GO",IF(AND(ISNUMBER(Eingaben!$B$23),ISNUMBER(Eingaben!$B$24),IF(Eingaben!$B$23&lt;Eingaben!$B$24,AND(B1044&gt;=Eingaben!$B$23,B1044&lt;Eingaben!$B$24),OR(B1044&gt;=Eingaben!$B$23,B1044&lt;Eingaben!$B$24))),"HEAT","STANDARD"))</f>
        <v>STANDARD</v>
      </c>
      <c r="E1044" s="9"/>
      <c r="F1044" t="str">
        <f>IF(E1044="",D1044,E1044)</f>
        <v>STANDARD</v>
      </c>
      <c r="G1044" t="str">
        <f>INDEX(Netzzeiten!$B$6:$B$29,HOUR(B1044)+1)</f>
        <v>HT</v>
      </c>
      <c r="H1044" s="6">
        <f>IF(F1044="GO",Eingaben!$B$11,IF(F1044="STANDARD",Eingaben!$B$12,IF(AND(F1044="HEAT",ISNUMBER(Eingaben!$B$13)),Eingaben!$B$13,"")))</f>
        <v>28.2744</v>
      </c>
      <c r="I1044" s="6">
        <f>INDEX(Netzzeiten!$C$6:$C$29,HOUR(B1044)+1)</f>
        <v>10.52</v>
      </c>
      <c r="J1044" t="str">
        <f>IF(C1044="","FEHLT",IF(NOT(ISNUMBER(C1044)),"MESSWERT UNGUELTIG",IF(C1044&lt;0,"MESSWERT UNGUELTIG",IF(H1044="","TARIFPREIS FEHLT","OK"))))</f>
        <v>FEHLT</v>
      </c>
      <c r="K1044" s="7">
        <f>IF(J1044&lt;&gt;"OK","",C1044*I1044/100)</f>
        <v/>
      </c>
    </row>
    <row r="1045" spans="1:11">
      <c r="A1045" s="14">
        <v>46153</v>
      </c>
      <c r="B1045" s="15">
        <v>0.8229166666666666</v>
      </c>
      <c r="C1045" s="5">
        <f>IF('96 Werte'!CC16="","",'96 Werte'!CC16)</f>
        <v/>
      </c>
      <c r="D1045" t="str">
        <f>IF(IF(Eingaben!$B$21&lt;Eingaben!$B$22,AND(B1045&gt;=Eingaben!$B$21,B1045&lt;Eingaben!$B$22),OR(B1045&gt;=Eingaben!$B$21,B1045&lt;Eingaben!$B$22)),"GO",IF(AND(ISNUMBER(Eingaben!$B$23),ISNUMBER(Eingaben!$B$24),IF(Eingaben!$B$23&lt;Eingaben!$B$24,AND(B1045&gt;=Eingaben!$B$23,B1045&lt;Eingaben!$B$24),OR(B1045&gt;=Eingaben!$B$23,B1045&lt;Eingaben!$B$24))),"HEAT","STANDARD"))</f>
        <v>STANDARD</v>
      </c>
      <c r="E1045" s="9"/>
      <c r="F1045" t="str">
        <f>IF(E1045="",D1045,E1045)</f>
        <v>STANDARD</v>
      </c>
      <c r="G1045" t="str">
        <f>INDEX(Netzzeiten!$B$6:$B$29,HOUR(B1045)+1)</f>
        <v>HT</v>
      </c>
      <c r="H1045" s="6">
        <f>IF(F1045="GO",Eingaben!$B$11,IF(F1045="STANDARD",Eingaben!$B$12,IF(AND(F1045="HEAT",ISNUMBER(Eingaben!$B$13)),Eingaben!$B$13,"")))</f>
        <v>28.2744</v>
      </c>
      <c r="I1045" s="6">
        <f>INDEX(Netzzeiten!$C$6:$C$29,HOUR(B1045)+1)</f>
        <v>10.52</v>
      </c>
      <c r="J1045" t="str">
        <f>IF(C1045="","FEHLT",IF(NOT(ISNUMBER(C1045)),"MESSWERT UNGUELTIG",IF(C1045&lt;0,"MESSWERT UNGUELTIG",IF(H1045="","TARIFPREIS FEHLT","OK"))))</f>
        <v>FEHLT</v>
      </c>
      <c r="K1045" s="7">
        <f>IF(J1045&lt;&gt;"OK","",C1045*I1045/100)</f>
        <v/>
      </c>
    </row>
    <row r="1046" spans="1:11">
      <c r="A1046" s="14">
        <v>46153</v>
      </c>
      <c r="B1046" s="15">
        <v>0.8333333333333334</v>
      </c>
      <c r="C1046" s="5">
        <f>IF('96 Werte'!CD16="","",'96 Werte'!CD16)</f>
        <v/>
      </c>
      <c r="D1046" t="str">
        <f>IF(IF(Eingaben!$B$21&lt;Eingaben!$B$22,AND(B1046&gt;=Eingaben!$B$21,B1046&lt;Eingaben!$B$22),OR(B1046&gt;=Eingaben!$B$21,B1046&lt;Eingaben!$B$22)),"GO",IF(AND(ISNUMBER(Eingaben!$B$23),ISNUMBER(Eingaben!$B$24),IF(Eingaben!$B$23&lt;Eingaben!$B$24,AND(B1046&gt;=Eingaben!$B$23,B1046&lt;Eingaben!$B$24),OR(B1046&gt;=Eingaben!$B$23,B1046&lt;Eingaben!$B$24))),"HEAT","STANDARD"))</f>
        <v>STANDARD</v>
      </c>
      <c r="E1046" s="9"/>
      <c r="F1046" t="str">
        <f>IF(E1046="",D1046,E1046)</f>
        <v>STANDARD</v>
      </c>
      <c r="G1046" t="str">
        <f>INDEX(Netzzeiten!$B$6:$B$29,HOUR(B1046)+1)</f>
        <v>HT</v>
      </c>
      <c r="H1046" s="6">
        <f>IF(F1046="GO",Eingaben!$B$11,IF(F1046="STANDARD",Eingaben!$B$12,IF(AND(F1046="HEAT",ISNUMBER(Eingaben!$B$13)),Eingaben!$B$13,"")))</f>
        <v>28.2744</v>
      </c>
      <c r="I1046" s="6">
        <f>INDEX(Netzzeiten!$C$6:$C$29,HOUR(B1046)+1)</f>
        <v>10.52</v>
      </c>
      <c r="J1046" t="str">
        <f>IF(C1046="","FEHLT",IF(NOT(ISNUMBER(C1046)),"MESSWERT UNGUELTIG",IF(C1046&lt;0,"MESSWERT UNGUELTIG",IF(H1046="","TARIFPREIS FEHLT","OK"))))</f>
        <v>FEHLT</v>
      </c>
      <c r="K1046" s="7">
        <f>IF(J1046&lt;&gt;"OK","",C1046*I1046/100)</f>
        <v/>
      </c>
    </row>
    <row r="1047" spans="1:11">
      <c r="A1047" s="14">
        <v>46153</v>
      </c>
      <c r="B1047" s="15">
        <v>0.84375</v>
      </c>
      <c r="C1047" s="5">
        <f>IF('96 Werte'!CE16="","",'96 Werte'!CE16)</f>
        <v/>
      </c>
      <c r="D1047" t="str">
        <f>IF(IF(Eingaben!$B$21&lt;Eingaben!$B$22,AND(B1047&gt;=Eingaben!$B$21,B1047&lt;Eingaben!$B$22),OR(B1047&gt;=Eingaben!$B$21,B1047&lt;Eingaben!$B$22)),"GO",IF(AND(ISNUMBER(Eingaben!$B$23),ISNUMBER(Eingaben!$B$24),IF(Eingaben!$B$23&lt;Eingaben!$B$24,AND(B1047&gt;=Eingaben!$B$23,B1047&lt;Eingaben!$B$24),OR(B1047&gt;=Eingaben!$B$23,B1047&lt;Eingaben!$B$24))),"HEAT","STANDARD"))</f>
        <v>STANDARD</v>
      </c>
      <c r="E1047" s="9"/>
      <c r="F1047" t="str">
        <f>IF(E1047="",D1047,E1047)</f>
        <v>STANDARD</v>
      </c>
      <c r="G1047" t="str">
        <f>INDEX(Netzzeiten!$B$6:$B$29,HOUR(B1047)+1)</f>
        <v>HT</v>
      </c>
      <c r="H1047" s="6">
        <f>IF(F1047="GO",Eingaben!$B$11,IF(F1047="STANDARD",Eingaben!$B$12,IF(AND(F1047="HEAT",ISNUMBER(Eingaben!$B$13)),Eingaben!$B$13,"")))</f>
        <v>28.2744</v>
      </c>
      <c r="I1047" s="6">
        <f>INDEX(Netzzeiten!$C$6:$C$29,HOUR(B1047)+1)</f>
        <v>10.52</v>
      </c>
      <c r="J1047" t="str">
        <f>IF(C1047="","FEHLT",IF(NOT(ISNUMBER(C1047)),"MESSWERT UNGUELTIG",IF(C1047&lt;0,"MESSWERT UNGUELTIG",IF(H1047="","TARIFPREIS FEHLT","OK"))))</f>
        <v>FEHLT</v>
      </c>
      <c r="K1047" s="7">
        <f>IF(J1047&lt;&gt;"OK","",C1047*I1047/100)</f>
        <v/>
      </c>
    </row>
    <row r="1048" spans="1:11">
      <c r="A1048" s="14">
        <v>46153</v>
      </c>
      <c r="B1048" s="15">
        <v>0.8541666666666666</v>
      </c>
      <c r="C1048" s="5">
        <f>IF('96 Werte'!CF16="","",'96 Werte'!CF16)</f>
        <v/>
      </c>
      <c r="D1048" t="str">
        <f>IF(IF(Eingaben!$B$21&lt;Eingaben!$B$22,AND(B1048&gt;=Eingaben!$B$21,B1048&lt;Eingaben!$B$22),OR(B1048&gt;=Eingaben!$B$21,B1048&lt;Eingaben!$B$22)),"GO",IF(AND(ISNUMBER(Eingaben!$B$23),ISNUMBER(Eingaben!$B$24),IF(Eingaben!$B$23&lt;Eingaben!$B$24,AND(B1048&gt;=Eingaben!$B$23,B1048&lt;Eingaben!$B$24),OR(B1048&gt;=Eingaben!$B$23,B1048&lt;Eingaben!$B$24))),"HEAT","STANDARD"))</f>
        <v>STANDARD</v>
      </c>
      <c r="E1048" s="9"/>
      <c r="F1048" t="str">
        <f>IF(E1048="",D1048,E1048)</f>
        <v>STANDARD</v>
      </c>
      <c r="G1048" t="str">
        <f>INDEX(Netzzeiten!$B$6:$B$29,HOUR(B1048)+1)</f>
        <v>HT</v>
      </c>
      <c r="H1048" s="6">
        <f>IF(F1048="GO",Eingaben!$B$11,IF(F1048="STANDARD",Eingaben!$B$12,IF(AND(F1048="HEAT",ISNUMBER(Eingaben!$B$13)),Eingaben!$B$13,"")))</f>
        <v>28.2744</v>
      </c>
      <c r="I1048" s="6">
        <f>INDEX(Netzzeiten!$C$6:$C$29,HOUR(B1048)+1)</f>
        <v>10.52</v>
      </c>
      <c r="J1048" t="str">
        <f>IF(C1048="","FEHLT",IF(NOT(ISNUMBER(C1048)),"MESSWERT UNGUELTIG",IF(C1048&lt;0,"MESSWERT UNGUELTIG",IF(H1048="","TARIFPREIS FEHLT","OK"))))</f>
        <v>FEHLT</v>
      </c>
      <c r="K1048" s="7">
        <f>IF(J1048&lt;&gt;"OK","",C1048*I1048/100)</f>
        <v/>
      </c>
    </row>
    <row r="1049" spans="1:11">
      <c r="A1049" s="14">
        <v>46153</v>
      </c>
      <c r="B1049" s="15">
        <v>0.8645833333333334</v>
      </c>
      <c r="C1049" s="5">
        <f>IF('96 Werte'!CG16="","",'96 Werte'!CG16)</f>
        <v/>
      </c>
      <c r="D1049" t="str">
        <f>IF(IF(Eingaben!$B$21&lt;Eingaben!$B$22,AND(B1049&gt;=Eingaben!$B$21,B1049&lt;Eingaben!$B$22),OR(B1049&gt;=Eingaben!$B$21,B1049&lt;Eingaben!$B$22)),"GO",IF(AND(ISNUMBER(Eingaben!$B$23),ISNUMBER(Eingaben!$B$24),IF(Eingaben!$B$23&lt;Eingaben!$B$24,AND(B1049&gt;=Eingaben!$B$23,B1049&lt;Eingaben!$B$24),OR(B1049&gt;=Eingaben!$B$23,B1049&lt;Eingaben!$B$24))),"HEAT","STANDARD"))</f>
        <v>STANDARD</v>
      </c>
      <c r="E1049" s="9"/>
      <c r="F1049" t="str">
        <f>IF(E1049="",D1049,E1049)</f>
        <v>STANDARD</v>
      </c>
      <c r="G1049" t="str">
        <f>INDEX(Netzzeiten!$B$6:$B$29,HOUR(B1049)+1)</f>
        <v>HT</v>
      </c>
      <c r="H1049" s="6">
        <f>IF(F1049="GO",Eingaben!$B$11,IF(F1049="STANDARD",Eingaben!$B$12,IF(AND(F1049="HEAT",ISNUMBER(Eingaben!$B$13)),Eingaben!$B$13,"")))</f>
        <v>28.2744</v>
      </c>
      <c r="I1049" s="6">
        <f>INDEX(Netzzeiten!$C$6:$C$29,HOUR(B1049)+1)</f>
        <v>10.52</v>
      </c>
      <c r="J1049" t="str">
        <f>IF(C1049="","FEHLT",IF(NOT(ISNUMBER(C1049)),"MESSWERT UNGUELTIG",IF(C1049&lt;0,"MESSWERT UNGUELTIG",IF(H1049="","TARIFPREIS FEHLT","OK"))))</f>
        <v>FEHLT</v>
      </c>
      <c r="K1049" s="7">
        <f>IF(J1049&lt;&gt;"OK","",C1049*I1049/100)</f>
        <v/>
      </c>
    </row>
    <row r="1050" spans="1:11">
      <c r="A1050" s="14">
        <v>46153</v>
      </c>
      <c r="B1050" s="15">
        <v>0.875</v>
      </c>
      <c r="C1050" s="5">
        <f>IF('96 Werte'!CH16="","",'96 Werte'!CH16)</f>
        <v/>
      </c>
      <c r="D1050" t="str">
        <f>IF(IF(Eingaben!$B$21&lt;Eingaben!$B$22,AND(B1050&gt;=Eingaben!$B$21,B1050&lt;Eingaben!$B$22),OR(B1050&gt;=Eingaben!$B$21,B1050&lt;Eingaben!$B$22)),"GO",IF(AND(ISNUMBER(Eingaben!$B$23),ISNUMBER(Eingaben!$B$24),IF(Eingaben!$B$23&lt;Eingaben!$B$24,AND(B1050&gt;=Eingaben!$B$23,B1050&lt;Eingaben!$B$24),OR(B1050&gt;=Eingaben!$B$23,B1050&lt;Eingaben!$B$24))),"HEAT","STANDARD"))</f>
        <v>STANDARD</v>
      </c>
      <c r="E1050" s="9"/>
      <c r="F1050" t="str">
        <f>IF(E1050="",D1050,E1050)</f>
        <v>STANDARD</v>
      </c>
      <c r="G1050" t="str">
        <f>INDEX(Netzzeiten!$B$6:$B$29,HOUR(B1050)+1)</f>
        <v>HT</v>
      </c>
      <c r="H1050" s="6">
        <f>IF(F1050="GO",Eingaben!$B$11,IF(F1050="STANDARD",Eingaben!$B$12,IF(AND(F1050="HEAT",ISNUMBER(Eingaben!$B$13)),Eingaben!$B$13,"")))</f>
        <v>28.2744</v>
      </c>
      <c r="I1050" s="6">
        <f>INDEX(Netzzeiten!$C$6:$C$29,HOUR(B1050)+1)</f>
        <v>10.52</v>
      </c>
      <c r="J1050" t="str">
        <f>IF(C1050="","FEHLT",IF(NOT(ISNUMBER(C1050)),"MESSWERT UNGUELTIG",IF(C1050&lt;0,"MESSWERT UNGUELTIG",IF(H1050="","TARIFPREIS FEHLT","OK"))))</f>
        <v>FEHLT</v>
      </c>
      <c r="K1050" s="7">
        <f>IF(J1050&lt;&gt;"OK","",C1050*I1050/100)</f>
        <v/>
      </c>
    </row>
    <row r="1051" spans="1:11">
      <c r="A1051" s="14">
        <v>46153</v>
      </c>
      <c r="B1051" s="15">
        <v>0.8854166666666666</v>
      </c>
      <c r="C1051" s="5">
        <f>IF('96 Werte'!CI16="","",'96 Werte'!CI16)</f>
        <v/>
      </c>
      <c r="D1051" t="str">
        <f>IF(IF(Eingaben!$B$21&lt;Eingaben!$B$22,AND(B1051&gt;=Eingaben!$B$21,B1051&lt;Eingaben!$B$22),OR(B1051&gt;=Eingaben!$B$21,B1051&lt;Eingaben!$B$22)),"GO",IF(AND(ISNUMBER(Eingaben!$B$23),ISNUMBER(Eingaben!$B$24),IF(Eingaben!$B$23&lt;Eingaben!$B$24,AND(B1051&gt;=Eingaben!$B$23,B1051&lt;Eingaben!$B$24),OR(B1051&gt;=Eingaben!$B$23,B1051&lt;Eingaben!$B$24))),"HEAT","STANDARD"))</f>
        <v>STANDARD</v>
      </c>
      <c r="E1051" s="9"/>
      <c r="F1051" t="str">
        <f>IF(E1051="",D1051,E1051)</f>
        <v>STANDARD</v>
      </c>
      <c r="G1051" t="str">
        <f>INDEX(Netzzeiten!$B$6:$B$29,HOUR(B1051)+1)</f>
        <v>HT</v>
      </c>
      <c r="H1051" s="6">
        <f>IF(F1051="GO",Eingaben!$B$11,IF(F1051="STANDARD",Eingaben!$B$12,IF(AND(F1051="HEAT",ISNUMBER(Eingaben!$B$13)),Eingaben!$B$13,"")))</f>
        <v>28.2744</v>
      </c>
      <c r="I1051" s="6">
        <f>INDEX(Netzzeiten!$C$6:$C$29,HOUR(B1051)+1)</f>
        <v>10.52</v>
      </c>
      <c r="J1051" t="str">
        <f>IF(C1051="","FEHLT",IF(NOT(ISNUMBER(C1051)),"MESSWERT UNGUELTIG",IF(C1051&lt;0,"MESSWERT UNGUELTIG",IF(H1051="","TARIFPREIS FEHLT","OK"))))</f>
        <v>FEHLT</v>
      </c>
      <c r="K1051" s="7">
        <f>IF(J1051&lt;&gt;"OK","",C1051*I1051/100)</f>
        <v/>
      </c>
    </row>
    <row r="1052" spans="1:11">
      <c r="A1052" s="14">
        <v>46153</v>
      </c>
      <c r="B1052" s="15">
        <v>0.8958333333333334</v>
      </c>
      <c r="C1052" s="5">
        <f>IF('96 Werte'!CJ16="","",'96 Werte'!CJ16)</f>
        <v/>
      </c>
      <c r="D1052" t="str">
        <f>IF(IF(Eingaben!$B$21&lt;Eingaben!$B$22,AND(B1052&gt;=Eingaben!$B$21,B1052&lt;Eingaben!$B$22),OR(B1052&gt;=Eingaben!$B$21,B1052&lt;Eingaben!$B$22)),"GO",IF(AND(ISNUMBER(Eingaben!$B$23),ISNUMBER(Eingaben!$B$24),IF(Eingaben!$B$23&lt;Eingaben!$B$24,AND(B1052&gt;=Eingaben!$B$23,B1052&lt;Eingaben!$B$24),OR(B1052&gt;=Eingaben!$B$23,B1052&lt;Eingaben!$B$24))),"HEAT","STANDARD"))</f>
        <v>STANDARD</v>
      </c>
      <c r="E1052" s="9"/>
      <c r="F1052" t="str">
        <f>IF(E1052="",D1052,E1052)</f>
        <v>STANDARD</v>
      </c>
      <c r="G1052" t="str">
        <f>INDEX(Netzzeiten!$B$6:$B$29,HOUR(B1052)+1)</f>
        <v>HT</v>
      </c>
      <c r="H1052" s="6">
        <f>IF(F1052="GO",Eingaben!$B$11,IF(F1052="STANDARD",Eingaben!$B$12,IF(AND(F1052="HEAT",ISNUMBER(Eingaben!$B$13)),Eingaben!$B$13,"")))</f>
        <v>28.2744</v>
      </c>
      <c r="I1052" s="6">
        <f>INDEX(Netzzeiten!$C$6:$C$29,HOUR(B1052)+1)</f>
        <v>10.52</v>
      </c>
      <c r="J1052" t="str">
        <f>IF(C1052="","FEHLT",IF(NOT(ISNUMBER(C1052)),"MESSWERT UNGUELTIG",IF(C1052&lt;0,"MESSWERT UNGUELTIG",IF(H1052="","TARIFPREIS FEHLT","OK"))))</f>
        <v>FEHLT</v>
      </c>
      <c r="K1052" s="7">
        <f>IF(J1052&lt;&gt;"OK","",C1052*I1052/100)</f>
        <v/>
      </c>
    </row>
    <row r="1053" spans="1:11">
      <c r="A1053" s="14">
        <v>46153</v>
      </c>
      <c r="B1053" s="15">
        <v>0.90625</v>
      </c>
      <c r="C1053" s="5">
        <f>IF('96 Werte'!CK16="","",'96 Werte'!CK16)</f>
        <v/>
      </c>
      <c r="D1053" t="str">
        <f>IF(IF(Eingaben!$B$21&lt;Eingaben!$B$22,AND(B1053&gt;=Eingaben!$B$21,B1053&lt;Eingaben!$B$22),OR(B1053&gt;=Eingaben!$B$21,B1053&lt;Eingaben!$B$22)),"GO",IF(AND(ISNUMBER(Eingaben!$B$23),ISNUMBER(Eingaben!$B$24),IF(Eingaben!$B$23&lt;Eingaben!$B$24,AND(B1053&gt;=Eingaben!$B$23,B1053&lt;Eingaben!$B$24),OR(B1053&gt;=Eingaben!$B$23,B1053&lt;Eingaben!$B$24))),"HEAT","STANDARD"))</f>
        <v>STANDARD</v>
      </c>
      <c r="E1053" s="9"/>
      <c r="F1053" t="str">
        <f>IF(E1053="",D1053,E1053)</f>
        <v>STANDARD</v>
      </c>
      <c r="G1053" t="str">
        <f>INDEX(Netzzeiten!$B$6:$B$29,HOUR(B1053)+1)</f>
        <v>HT</v>
      </c>
      <c r="H1053" s="6">
        <f>IF(F1053="GO",Eingaben!$B$11,IF(F1053="STANDARD",Eingaben!$B$12,IF(AND(F1053="HEAT",ISNUMBER(Eingaben!$B$13)),Eingaben!$B$13,"")))</f>
        <v>28.2744</v>
      </c>
      <c r="I1053" s="6">
        <f>INDEX(Netzzeiten!$C$6:$C$29,HOUR(B1053)+1)</f>
        <v>10.52</v>
      </c>
      <c r="J1053" t="str">
        <f>IF(C1053="","FEHLT",IF(NOT(ISNUMBER(C1053)),"MESSWERT UNGUELTIG",IF(C1053&lt;0,"MESSWERT UNGUELTIG",IF(H1053="","TARIFPREIS FEHLT","OK"))))</f>
        <v>FEHLT</v>
      </c>
      <c r="K1053" s="7">
        <f>IF(J1053&lt;&gt;"OK","",C1053*I1053/100)</f>
        <v/>
      </c>
    </row>
    <row r="1054" spans="1:11">
      <c r="A1054" s="14">
        <v>46153</v>
      </c>
      <c r="B1054" s="15">
        <v>0.9166666666666666</v>
      </c>
      <c r="C1054" s="5">
        <f>IF('96 Werte'!CL16="","",'96 Werte'!CL16)</f>
        <v/>
      </c>
      <c r="D1054" t="str">
        <f>IF(IF(Eingaben!$B$21&lt;Eingaben!$B$22,AND(B1054&gt;=Eingaben!$B$21,B1054&lt;Eingaben!$B$22),OR(B1054&gt;=Eingaben!$B$21,B1054&lt;Eingaben!$B$22)),"GO",IF(AND(ISNUMBER(Eingaben!$B$23),ISNUMBER(Eingaben!$B$24),IF(Eingaben!$B$23&lt;Eingaben!$B$24,AND(B1054&gt;=Eingaben!$B$23,B1054&lt;Eingaben!$B$24),OR(B1054&gt;=Eingaben!$B$23,B1054&lt;Eingaben!$B$24))),"HEAT","STANDARD"))</f>
        <v>STANDARD</v>
      </c>
      <c r="E1054" s="9"/>
      <c r="F1054" t="str">
        <f>IF(E1054="",D1054,E1054)</f>
        <v>STANDARD</v>
      </c>
      <c r="G1054" t="str">
        <f>INDEX(Netzzeiten!$B$6:$B$29,HOUR(B1054)+1)</f>
        <v>ST</v>
      </c>
      <c r="H1054" s="6">
        <f>IF(F1054="GO",Eingaben!$B$11,IF(F1054="STANDARD",Eingaben!$B$12,IF(AND(F1054="HEAT",ISNUMBER(Eingaben!$B$13)),Eingaben!$B$13,"")))</f>
        <v>28.2744</v>
      </c>
      <c r="I1054" s="6">
        <f>INDEX(Netzzeiten!$C$6:$C$29,HOUR(B1054)+1)</f>
        <v>5.48</v>
      </c>
      <c r="J1054" t="str">
        <f>IF(C1054="","FEHLT",IF(NOT(ISNUMBER(C1054)),"MESSWERT UNGUELTIG",IF(C1054&lt;0,"MESSWERT UNGUELTIG",IF(H1054="","TARIFPREIS FEHLT","OK"))))</f>
        <v>FEHLT</v>
      </c>
      <c r="K1054" s="7">
        <f>IF(J1054&lt;&gt;"OK","",C1054*I1054/100)</f>
        <v/>
      </c>
    </row>
    <row r="1055" spans="1:11">
      <c r="A1055" s="14">
        <v>46153</v>
      </c>
      <c r="B1055" s="15">
        <v>0.9270833333333334</v>
      </c>
      <c r="C1055" s="5">
        <f>IF('96 Werte'!CM16="","",'96 Werte'!CM16)</f>
        <v/>
      </c>
      <c r="D1055" t="str">
        <f>IF(IF(Eingaben!$B$21&lt;Eingaben!$B$22,AND(B1055&gt;=Eingaben!$B$21,B1055&lt;Eingaben!$B$22),OR(B1055&gt;=Eingaben!$B$21,B1055&lt;Eingaben!$B$22)),"GO",IF(AND(ISNUMBER(Eingaben!$B$23),ISNUMBER(Eingaben!$B$24),IF(Eingaben!$B$23&lt;Eingaben!$B$24,AND(B1055&gt;=Eingaben!$B$23,B1055&lt;Eingaben!$B$24),OR(B1055&gt;=Eingaben!$B$23,B1055&lt;Eingaben!$B$24))),"HEAT","STANDARD"))</f>
        <v>STANDARD</v>
      </c>
      <c r="E1055" s="9"/>
      <c r="F1055" t="str">
        <f>IF(E1055="",D1055,E1055)</f>
        <v>STANDARD</v>
      </c>
      <c r="G1055" t="str">
        <f>INDEX(Netzzeiten!$B$6:$B$29,HOUR(B1055)+1)</f>
        <v>ST</v>
      </c>
      <c r="H1055" s="6">
        <f>IF(F1055="GO",Eingaben!$B$11,IF(F1055="STANDARD",Eingaben!$B$12,IF(AND(F1055="HEAT",ISNUMBER(Eingaben!$B$13)),Eingaben!$B$13,"")))</f>
        <v>28.2744</v>
      </c>
      <c r="I1055" s="6">
        <f>INDEX(Netzzeiten!$C$6:$C$29,HOUR(B1055)+1)</f>
        <v>5.48</v>
      </c>
      <c r="J1055" t="str">
        <f>IF(C1055="","FEHLT",IF(NOT(ISNUMBER(C1055)),"MESSWERT UNGUELTIG",IF(C1055&lt;0,"MESSWERT UNGUELTIG",IF(H1055="","TARIFPREIS FEHLT","OK"))))</f>
        <v>FEHLT</v>
      </c>
      <c r="K1055" s="7">
        <f>IF(J1055&lt;&gt;"OK","",C1055*I1055/100)</f>
        <v/>
      </c>
    </row>
    <row r="1056" spans="1:11">
      <c r="A1056" s="14">
        <v>46153</v>
      </c>
      <c r="B1056" s="15">
        <v>0.9375</v>
      </c>
      <c r="C1056" s="5">
        <f>IF('96 Werte'!CN16="","",'96 Werte'!CN16)</f>
        <v/>
      </c>
      <c r="D1056" t="str">
        <f>IF(IF(Eingaben!$B$21&lt;Eingaben!$B$22,AND(B1056&gt;=Eingaben!$B$21,B1056&lt;Eingaben!$B$22),OR(B1056&gt;=Eingaben!$B$21,B1056&lt;Eingaben!$B$22)),"GO",IF(AND(ISNUMBER(Eingaben!$B$23),ISNUMBER(Eingaben!$B$24),IF(Eingaben!$B$23&lt;Eingaben!$B$24,AND(B1056&gt;=Eingaben!$B$23,B1056&lt;Eingaben!$B$24),OR(B1056&gt;=Eingaben!$B$23,B1056&lt;Eingaben!$B$24))),"HEAT","STANDARD"))</f>
        <v>STANDARD</v>
      </c>
      <c r="E1056" s="9"/>
      <c r="F1056" t="str">
        <f>IF(E1056="",D1056,E1056)</f>
        <v>STANDARD</v>
      </c>
      <c r="G1056" t="str">
        <f>INDEX(Netzzeiten!$B$6:$B$29,HOUR(B1056)+1)</f>
        <v>ST</v>
      </c>
      <c r="H1056" s="6">
        <f>IF(F1056="GO",Eingaben!$B$11,IF(F1056="STANDARD",Eingaben!$B$12,IF(AND(F1056="HEAT",ISNUMBER(Eingaben!$B$13)),Eingaben!$B$13,"")))</f>
        <v>28.2744</v>
      </c>
      <c r="I1056" s="6">
        <f>INDEX(Netzzeiten!$C$6:$C$29,HOUR(B1056)+1)</f>
        <v>5.48</v>
      </c>
      <c r="J1056" t="str">
        <f>IF(C1056="","FEHLT",IF(NOT(ISNUMBER(C1056)),"MESSWERT UNGUELTIG",IF(C1056&lt;0,"MESSWERT UNGUELTIG",IF(H1056="","TARIFPREIS FEHLT","OK"))))</f>
        <v>FEHLT</v>
      </c>
      <c r="K1056" s="7">
        <f>IF(J1056&lt;&gt;"OK","",C1056*I1056/100)</f>
        <v/>
      </c>
    </row>
    <row r="1057" spans="1:11">
      <c r="A1057" s="14">
        <v>46153</v>
      </c>
      <c r="B1057" s="15">
        <v>0.9479166666666666</v>
      </c>
      <c r="C1057" s="5">
        <f>IF('96 Werte'!CO16="","",'96 Werte'!CO16)</f>
        <v/>
      </c>
      <c r="D1057" t="str">
        <f>IF(IF(Eingaben!$B$21&lt;Eingaben!$B$22,AND(B1057&gt;=Eingaben!$B$21,B1057&lt;Eingaben!$B$22),OR(B1057&gt;=Eingaben!$B$21,B1057&lt;Eingaben!$B$22)),"GO",IF(AND(ISNUMBER(Eingaben!$B$23),ISNUMBER(Eingaben!$B$24),IF(Eingaben!$B$23&lt;Eingaben!$B$24,AND(B1057&gt;=Eingaben!$B$23,B1057&lt;Eingaben!$B$24),OR(B1057&gt;=Eingaben!$B$23,B1057&lt;Eingaben!$B$24))),"HEAT","STANDARD"))</f>
        <v>STANDARD</v>
      </c>
      <c r="E1057" s="9"/>
      <c r="F1057" t="str">
        <f>IF(E1057="",D1057,E1057)</f>
        <v>STANDARD</v>
      </c>
      <c r="G1057" t="str">
        <f>INDEX(Netzzeiten!$B$6:$B$29,HOUR(B1057)+1)</f>
        <v>ST</v>
      </c>
      <c r="H1057" s="6">
        <f>IF(F1057="GO",Eingaben!$B$11,IF(F1057="STANDARD",Eingaben!$B$12,IF(AND(F1057="HEAT",ISNUMBER(Eingaben!$B$13)),Eingaben!$B$13,"")))</f>
        <v>28.2744</v>
      </c>
      <c r="I1057" s="6">
        <f>INDEX(Netzzeiten!$C$6:$C$29,HOUR(B1057)+1)</f>
        <v>5.48</v>
      </c>
      <c r="J1057" t="str">
        <f>IF(C1057="","FEHLT",IF(NOT(ISNUMBER(C1057)),"MESSWERT UNGUELTIG",IF(C1057&lt;0,"MESSWERT UNGUELTIG",IF(H1057="","TARIFPREIS FEHLT","OK"))))</f>
        <v>FEHLT</v>
      </c>
      <c r="K1057" s="7">
        <f>IF(J1057&lt;&gt;"OK","",C1057*I1057/100)</f>
        <v/>
      </c>
    </row>
    <row r="1058" spans="1:11">
      <c r="A1058" s="14">
        <v>46153</v>
      </c>
      <c r="B1058" s="15">
        <v>0.9583333333333334</v>
      </c>
      <c r="C1058" s="5">
        <f>IF('96 Werte'!CP16="","",'96 Werte'!CP16)</f>
        <v/>
      </c>
      <c r="D1058" t="str">
        <f>IF(IF(Eingaben!$B$21&lt;Eingaben!$B$22,AND(B1058&gt;=Eingaben!$B$21,B1058&lt;Eingaben!$B$22),OR(B1058&gt;=Eingaben!$B$21,B1058&lt;Eingaben!$B$22)),"GO",IF(AND(ISNUMBER(Eingaben!$B$23),ISNUMBER(Eingaben!$B$24),IF(Eingaben!$B$23&lt;Eingaben!$B$24,AND(B1058&gt;=Eingaben!$B$23,B1058&lt;Eingaben!$B$24),OR(B1058&gt;=Eingaben!$B$23,B1058&lt;Eingaben!$B$24))),"HEAT","STANDARD"))</f>
        <v>STANDARD</v>
      </c>
      <c r="E1058" s="9"/>
      <c r="F1058" t="str">
        <f>IF(E1058="",D1058,E1058)</f>
        <v>STANDARD</v>
      </c>
      <c r="G1058" t="str">
        <f>INDEX(Netzzeiten!$B$6:$B$29,HOUR(B1058)+1)</f>
        <v>NT</v>
      </c>
      <c r="H1058" s="6">
        <f>IF(F1058="GO",Eingaben!$B$11,IF(F1058="STANDARD",Eingaben!$B$12,IF(AND(F1058="HEAT",ISNUMBER(Eingaben!$B$13)),Eingaben!$B$13,"")))</f>
        <v>28.2744</v>
      </c>
      <c r="I1058" s="6">
        <f>INDEX(Netzzeiten!$C$6:$C$29,HOUR(B1058)+1)</f>
        <v>1.64</v>
      </c>
      <c r="J1058" t="str">
        <f>IF(C1058="","FEHLT",IF(NOT(ISNUMBER(C1058)),"MESSWERT UNGUELTIG",IF(C1058&lt;0,"MESSWERT UNGUELTIG",IF(H1058="","TARIFPREIS FEHLT","OK"))))</f>
        <v>FEHLT</v>
      </c>
      <c r="K1058" s="7">
        <f>IF(J1058&lt;&gt;"OK","",C1058*I1058/100)</f>
        <v/>
      </c>
    </row>
    <row r="1059" spans="1:11">
      <c r="A1059" s="14">
        <v>46153</v>
      </c>
      <c r="B1059" s="15">
        <v>0.96875</v>
      </c>
      <c r="C1059" s="5">
        <f>IF('96 Werte'!CQ16="","",'96 Werte'!CQ16)</f>
        <v/>
      </c>
      <c r="D1059" t="str">
        <f>IF(IF(Eingaben!$B$21&lt;Eingaben!$B$22,AND(B1059&gt;=Eingaben!$B$21,B1059&lt;Eingaben!$B$22),OR(B1059&gt;=Eingaben!$B$21,B1059&lt;Eingaben!$B$22)),"GO",IF(AND(ISNUMBER(Eingaben!$B$23),ISNUMBER(Eingaben!$B$24),IF(Eingaben!$B$23&lt;Eingaben!$B$24,AND(B1059&gt;=Eingaben!$B$23,B1059&lt;Eingaben!$B$24),OR(B1059&gt;=Eingaben!$B$23,B1059&lt;Eingaben!$B$24))),"HEAT","STANDARD"))</f>
        <v>STANDARD</v>
      </c>
      <c r="E1059" s="9"/>
      <c r="F1059" t="str">
        <f>IF(E1059="",D1059,E1059)</f>
        <v>STANDARD</v>
      </c>
      <c r="G1059" t="str">
        <f>INDEX(Netzzeiten!$B$6:$B$29,HOUR(B1059)+1)</f>
        <v>NT</v>
      </c>
      <c r="H1059" s="6">
        <f>IF(F1059="GO",Eingaben!$B$11,IF(F1059="STANDARD",Eingaben!$B$12,IF(AND(F1059="HEAT",ISNUMBER(Eingaben!$B$13)),Eingaben!$B$13,"")))</f>
        <v>28.2744</v>
      </c>
      <c r="I1059" s="6">
        <f>INDEX(Netzzeiten!$C$6:$C$29,HOUR(B1059)+1)</f>
        <v>1.64</v>
      </c>
      <c r="J1059" t="str">
        <f>IF(C1059="","FEHLT",IF(NOT(ISNUMBER(C1059)),"MESSWERT UNGUELTIG",IF(C1059&lt;0,"MESSWERT UNGUELTIG",IF(H1059="","TARIFPREIS FEHLT","OK"))))</f>
        <v>FEHLT</v>
      </c>
      <c r="K1059" s="7">
        <f>IF(J1059&lt;&gt;"OK","",C1059*I1059/100)</f>
        <v/>
      </c>
    </row>
    <row r="1060" spans="1:11">
      <c r="A1060" s="14">
        <v>46153</v>
      </c>
      <c r="B1060" s="15">
        <v>0.9791666666666666</v>
      </c>
      <c r="C1060" s="5">
        <f>IF('96 Werte'!CR16="","",'96 Werte'!CR16)</f>
        <v/>
      </c>
      <c r="D1060" t="str">
        <f>IF(IF(Eingaben!$B$21&lt;Eingaben!$B$22,AND(B1060&gt;=Eingaben!$B$21,B1060&lt;Eingaben!$B$22),OR(B1060&gt;=Eingaben!$B$21,B1060&lt;Eingaben!$B$22)),"GO",IF(AND(ISNUMBER(Eingaben!$B$23),ISNUMBER(Eingaben!$B$24),IF(Eingaben!$B$23&lt;Eingaben!$B$24,AND(B1060&gt;=Eingaben!$B$23,B1060&lt;Eingaben!$B$24),OR(B1060&gt;=Eingaben!$B$23,B1060&lt;Eingaben!$B$24))),"HEAT","STANDARD"))</f>
        <v>STANDARD</v>
      </c>
      <c r="E1060" s="9"/>
      <c r="F1060" t="str">
        <f>IF(E1060="",D1060,E1060)</f>
        <v>STANDARD</v>
      </c>
      <c r="G1060" t="str">
        <f>INDEX(Netzzeiten!$B$6:$B$29,HOUR(B1060)+1)</f>
        <v>NT</v>
      </c>
      <c r="H1060" s="6">
        <f>IF(F1060="GO",Eingaben!$B$11,IF(F1060="STANDARD",Eingaben!$B$12,IF(AND(F1060="HEAT",ISNUMBER(Eingaben!$B$13)),Eingaben!$B$13,"")))</f>
        <v>28.2744</v>
      </c>
      <c r="I1060" s="6">
        <f>INDEX(Netzzeiten!$C$6:$C$29,HOUR(B1060)+1)</f>
        <v>1.64</v>
      </c>
      <c r="J1060" t="str">
        <f>IF(C1060="","FEHLT",IF(NOT(ISNUMBER(C1060)),"MESSWERT UNGUELTIG",IF(C1060&lt;0,"MESSWERT UNGUELTIG",IF(H1060="","TARIFPREIS FEHLT","OK"))))</f>
        <v>FEHLT</v>
      </c>
      <c r="K1060" s="7">
        <f>IF(J1060&lt;&gt;"OK","",C1060*I1060/100)</f>
        <v/>
      </c>
    </row>
    <row r="1061" spans="1:11">
      <c r="A1061" s="14">
        <v>46153</v>
      </c>
      <c r="B1061" s="15">
        <v>0.9895833333333334</v>
      </c>
      <c r="C1061" s="5">
        <f>IF('96 Werte'!CS16="","",'96 Werte'!CS16)</f>
        <v/>
      </c>
      <c r="D1061" t="str">
        <f>IF(IF(Eingaben!$B$21&lt;Eingaben!$B$22,AND(B1061&gt;=Eingaben!$B$21,B1061&lt;Eingaben!$B$22),OR(B1061&gt;=Eingaben!$B$21,B1061&lt;Eingaben!$B$22)),"GO",IF(AND(ISNUMBER(Eingaben!$B$23),ISNUMBER(Eingaben!$B$24),IF(Eingaben!$B$23&lt;Eingaben!$B$24,AND(B1061&gt;=Eingaben!$B$23,B1061&lt;Eingaben!$B$24),OR(B1061&gt;=Eingaben!$B$23,B1061&lt;Eingaben!$B$24))),"HEAT","STANDARD"))</f>
        <v>STANDARD</v>
      </c>
      <c r="E1061" s="9"/>
      <c r="F1061" t="str">
        <f>IF(E1061="",D1061,E1061)</f>
        <v>STANDARD</v>
      </c>
      <c r="G1061" t="str">
        <f>INDEX(Netzzeiten!$B$6:$B$29,HOUR(B1061)+1)</f>
        <v>NT</v>
      </c>
      <c r="H1061" s="6">
        <f>IF(F1061="GO",Eingaben!$B$11,IF(F1061="STANDARD",Eingaben!$B$12,IF(AND(F1061="HEAT",ISNUMBER(Eingaben!$B$13)),Eingaben!$B$13,"")))</f>
        <v>28.2744</v>
      </c>
      <c r="I1061" s="6">
        <f>INDEX(Netzzeiten!$C$6:$C$29,HOUR(B1061)+1)</f>
        <v>1.64</v>
      </c>
      <c r="J1061" t="str">
        <f>IF(C1061="","FEHLT",IF(NOT(ISNUMBER(C1061)),"MESSWERT UNGUELTIG",IF(C1061&lt;0,"MESSWERT UNGUELTIG",IF(H1061="","TARIFPREIS FEHLT","OK"))))</f>
        <v>FEHLT</v>
      </c>
      <c r="K1061" s="7">
        <f>IF(J1061&lt;&gt;"OK","",C1061*I1061/100)</f>
        <v/>
      </c>
    </row>
    <row r="1062" spans="1:11">
      <c r="A1062" s="14">
        <v>46154</v>
      </c>
      <c r="B1062" s="15">
        <v>0</v>
      </c>
      <c r="C1062" s="5">
        <f>IF('96 Werte'!B17="","",'96 Werte'!B17)</f>
        <v/>
      </c>
      <c r="D1062" t="str">
        <f>IF(IF(Eingaben!$B$21&lt;Eingaben!$B$22,AND(B1062&gt;=Eingaben!$B$21,B1062&lt;Eingaben!$B$22),OR(B1062&gt;=Eingaben!$B$21,B1062&lt;Eingaben!$B$22)),"GO",IF(AND(ISNUMBER(Eingaben!$B$23),ISNUMBER(Eingaben!$B$24),IF(Eingaben!$B$23&lt;Eingaben!$B$24,AND(B1062&gt;=Eingaben!$B$23,B1062&lt;Eingaben!$B$24),OR(B1062&gt;=Eingaben!$B$23,B1062&lt;Eingaben!$B$24))),"HEAT","STANDARD"))</f>
        <v>GO</v>
      </c>
      <c r="E1062" s="9"/>
      <c r="F1062" t="str">
        <f>IF(E1062="",D1062,E1062)</f>
        <v>GO</v>
      </c>
      <c r="G1062" t="str">
        <f>INDEX(Netzzeiten!$B$6:$B$29,HOUR(B1062)+1)</f>
        <v>NT</v>
      </c>
      <c r="H1062" s="6">
        <f>IF(F1062="GO",Eingaben!$B$11,IF(F1062="STANDARD",Eingaben!$B$12,IF(AND(F1062="HEAT",ISNUMBER(Eingaben!$B$13)),Eingaben!$B$13,"")))</f>
        <v>15.0654</v>
      </c>
      <c r="I1062" s="6">
        <f>INDEX(Netzzeiten!$C$6:$C$29,HOUR(B1062)+1)</f>
        <v>1.64</v>
      </c>
      <c r="J1062" t="str">
        <f>IF(C1062="","FEHLT",IF(NOT(ISNUMBER(C1062)),"MESSWERT UNGUELTIG",IF(C1062&lt;0,"MESSWERT UNGUELTIG",IF(H1062="","TARIFPREIS FEHLT","OK"))))</f>
        <v>FEHLT</v>
      </c>
      <c r="K1062" s="7">
        <f>IF(J1062&lt;&gt;"OK","",C1062*I1062/100)</f>
        <v/>
      </c>
    </row>
    <row r="1063" spans="1:11">
      <c r="A1063" s="14">
        <v>46154</v>
      </c>
      <c r="B1063" s="15">
        <v>0.01041666666666667</v>
      </c>
      <c r="C1063" s="5">
        <f>IF('96 Werte'!C17="","",'96 Werte'!C17)</f>
        <v/>
      </c>
      <c r="D1063" t="str">
        <f>IF(IF(Eingaben!$B$21&lt;Eingaben!$B$22,AND(B1063&gt;=Eingaben!$B$21,B1063&lt;Eingaben!$B$22),OR(B1063&gt;=Eingaben!$B$21,B1063&lt;Eingaben!$B$22)),"GO",IF(AND(ISNUMBER(Eingaben!$B$23),ISNUMBER(Eingaben!$B$24),IF(Eingaben!$B$23&lt;Eingaben!$B$24,AND(B1063&gt;=Eingaben!$B$23,B1063&lt;Eingaben!$B$24),OR(B1063&gt;=Eingaben!$B$23,B1063&lt;Eingaben!$B$24))),"HEAT","STANDARD"))</f>
        <v>GO</v>
      </c>
      <c r="E1063" s="9"/>
      <c r="F1063" t="str">
        <f>IF(E1063="",D1063,E1063)</f>
        <v>GO</v>
      </c>
      <c r="G1063" t="str">
        <f>INDEX(Netzzeiten!$B$6:$B$29,HOUR(B1063)+1)</f>
        <v>NT</v>
      </c>
      <c r="H1063" s="6">
        <f>IF(F1063="GO",Eingaben!$B$11,IF(F1063="STANDARD",Eingaben!$B$12,IF(AND(F1063="HEAT",ISNUMBER(Eingaben!$B$13)),Eingaben!$B$13,"")))</f>
        <v>15.0654</v>
      </c>
      <c r="I1063" s="6">
        <f>INDEX(Netzzeiten!$C$6:$C$29,HOUR(B1063)+1)</f>
        <v>1.64</v>
      </c>
      <c r="J1063" t="str">
        <f>IF(C1063="","FEHLT",IF(NOT(ISNUMBER(C1063)),"MESSWERT UNGUELTIG",IF(C1063&lt;0,"MESSWERT UNGUELTIG",IF(H1063="","TARIFPREIS FEHLT","OK"))))</f>
        <v>FEHLT</v>
      </c>
      <c r="K1063" s="7">
        <f>IF(J1063&lt;&gt;"OK","",C1063*I1063/100)</f>
        <v/>
      </c>
    </row>
    <row r="1064" spans="1:11">
      <c r="A1064" s="14">
        <v>46154</v>
      </c>
      <c r="B1064" s="15">
        <v>0.02083333333333333</v>
      </c>
      <c r="C1064" s="5">
        <f>IF('96 Werte'!D17="","",'96 Werte'!D17)</f>
        <v/>
      </c>
      <c r="D1064" t="str">
        <f>IF(IF(Eingaben!$B$21&lt;Eingaben!$B$22,AND(B1064&gt;=Eingaben!$B$21,B1064&lt;Eingaben!$B$22),OR(B1064&gt;=Eingaben!$B$21,B1064&lt;Eingaben!$B$22)),"GO",IF(AND(ISNUMBER(Eingaben!$B$23),ISNUMBER(Eingaben!$B$24),IF(Eingaben!$B$23&lt;Eingaben!$B$24,AND(B1064&gt;=Eingaben!$B$23,B1064&lt;Eingaben!$B$24),OR(B1064&gt;=Eingaben!$B$23,B1064&lt;Eingaben!$B$24))),"HEAT","STANDARD"))</f>
        <v>GO</v>
      </c>
      <c r="E1064" s="9"/>
      <c r="F1064" t="str">
        <f>IF(E1064="",D1064,E1064)</f>
        <v>GO</v>
      </c>
      <c r="G1064" t="str">
        <f>INDEX(Netzzeiten!$B$6:$B$29,HOUR(B1064)+1)</f>
        <v>NT</v>
      </c>
      <c r="H1064" s="6">
        <f>IF(F1064="GO",Eingaben!$B$11,IF(F1064="STANDARD",Eingaben!$B$12,IF(AND(F1064="HEAT",ISNUMBER(Eingaben!$B$13)),Eingaben!$B$13,"")))</f>
        <v>15.0654</v>
      </c>
      <c r="I1064" s="6">
        <f>INDEX(Netzzeiten!$C$6:$C$29,HOUR(B1064)+1)</f>
        <v>1.64</v>
      </c>
      <c r="J1064" t="str">
        <f>IF(C1064="","FEHLT",IF(NOT(ISNUMBER(C1064)),"MESSWERT UNGUELTIG",IF(C1064&lt;0,"MESSWERT UNGUELTIG",IF(H1064="","TARIFPREIS FEHLT","OK"))))</f>
        <v>FEHLT</v>
      </c>
      <c r="K1064" s="7">
        <f>IF(J1064&lt;&gt;"OK","",C1064*I1064/100)</f>
        <v/>
      </c>
    </row>
    <row r="1065" spans="1:11">
      <c r="A1065" s="14">
        <v>46154</v>
      </c>
      <c r="B1065" s="15">
        <v>0.03125</v>
      </c>
      <c r="C1065" s="5">
        <f>IF('96 Werte'!E17="","",'96 Werte'!E17)</f>
        <v/>
      </c>
      <c r="D1065" t="str">
        <f>IF(IF(Eingaben!$B$21&lt;Eingaben!$B$22,AND(B1065&gt;=Eingaben!$B$21,B1065&lt;Eingaben!$B$22),OR(B1065&gt;=Eingaben!$B$21,B1065&lt;Eingaben!$B$22)),"GO",IF(AND(ISNUMBER(Eingaben!$B$23),ISNUMBER(Eingaben!$B$24),IF(Eingaben!$B$23&lt;Eingaben!$B$24,AND(B1065&gt;=Eingaben!$B$23,B1065&lt;Eingaben!$B$24),OR(B1065&gt;=Eingaben!$B$23,B1065&lt;Eingaben!$B$24))),"HEAT","STANDARD"))</f>
        <v>GO</v>
      </c>
      <c r="E1065" s="9"/>
      <c r="F1065" t="str">
        <f>IF(E1065="",D1065,E1065)</f>
        <v>GO</v>
      </c>
      <c r="G1065" t="str">
        <f>INDEX(Netzzeiten!$B$6:$B$29,HOUR(B1065)+1)</f>
        <v>NT</v>
      </c>
      <c r="H1065" s="6">
        <f>IF(F1065="GO",Eingaben!$B$11,IF(F1065="STANDARD",Eingaben!$B$12,IF(AND(F1065="HEAT",ISNUMBER(Eingaben!$B$13)),Eingaben!$B$13,"")))</f>
        <v>15.0654</v>
      </c>
      <c r="I1065" s="6">
        <f>INDEX(Netzzeiten!$C$6:$C$29,HOUR(B1065)+1)</f>
        <v>1.64</v>
      </c>
      <c r="J1065" t="str">
        <f>IF(C1065="","FEHLT",IF(NOT(ISNUMBER(C1065)),"MESSWERT UNGUELTIG",IF(C1065&lt;0,"MESSWERT UNGUELTIG",IF(H1065="","TARIFPREIS FEHLT","OK"))))</f>
        <v>FEHLT</v>
      </c>
      <c r="K1065" s="7">
        <f>IF(J1065&lt;&gt;"OK","",C1065*I1065/100)</f>
        <v/>
      </c>
    </row>
    <row r="1066" spans="1:11">
      <c r="A1066" s="14">
        <v>46154</v>
      </c>
      <c r="B1066" s="15">
        <v>0.04166666666666666</v>
      </c>
      <c r="C1066" s="5">
        <f>IF('96 Werte'!F17="","",'96 Werte'!F17)</f>
        <v/>
      </c>
      <c r="D1066" t="str">
        <f>IF(IF(Eingaben!$B$21&lt;Eingaben!$B$22,AND(B1066&gt;=Eingaben!$B$21,B1066&lt;Eingaben!$B$22),OR(B1066&gt;=Eingaben!$B$21,B1066&lt;Eingaben!$B$22)),"GO",IF(AND(ISNUMBER(Eingaben!$B$23),ISNUMBER(Eingaben!$B$24),IF(Eingaben!$B$23&lt;Eingaben!$B$24,AND(B1066&gt;=Eingaben!$B$23,B1066&lt;Eingaben!$B$24),OR(B1066&gt;=Eingaben!$B$23,B1066&lt;Eingaben!$B$24))),"HEAT","STANDARD"))</f>
        <v>GO</v>
      </c>
      <c r="E1066" s="9"/>
      <c r="F1066" t="str">
        <f>IF(E1066="",D1066,E1066)</f>
        <v>GO</v>
      </c>
      <c r="G1066" t="str">
        <f>INDEX(Netzzeiten!$B$6:$B$29,HOUR(B1066)+1)</f>
        <v>NT</v>
      </c>
      <c r="H1066" s="6">
        <f>IF(F1066="GO",Eingaben!$B$11,IF(F1066="STANDARD",Eingaben!$B$12,IF(AND(F1066="HEAT",ISNUMBER(Eingaben!$B$13)),Eingaben!$B$13,"")))</f>
        <v>15.0654</v>
      </c>
      <c r="I1066" s="6">
        <f>INDEX(Netzzeiten!$C$6:$C$29,HOUR(B1066)+1)</f>
        <v>1.64</v>
      </c>
      <c r="J1066" t="str">
        <f>IF(C1066="","FEHLT",IF(NOT(ISNUMBER(C1066)),"MESSWERT UNGUELTIG",IF(C1066&lt;0,"MESSWERT UNGUELTIG",IF(H1066="","TARIFPREIS FEHLT","OK"))))</f>
        <v>FEHLT</v>
      </c>
      <c r="K1066" s="7">
        <f>IF(J1066&lt;&gt;"OK","",C1066*I1066/100)</f>
        <v/>
      </c>
    </row>
    <row r="1067" spans="1:11">
      <c r="A1067" s="14">
        <v>46154</v>
      </c>
      <c r="B1067" s="15">
        <v>0.05208333333333334</v>
      </c>
      <c r="C1067" s="5">
        <f>IF('96 Werte'!G17="","",'96 Werte'!G17)</f>
        <v/>
      </c>
      <c r="D1067" t="str">
        <f>IF(IF(Eingaben!$B$21&lt;Eingaben!$B$22,AND(B1067&gt;=Eingaben!$B$21,B1067&lt;Eingaben!$B$22),OR(B1067&gt;=Eingaben!$B$21,B1067&lt;Eingaben!$B$22)),"GO",IF(AND(ISNUMBER(Eingaben!$B$23),ISNUMBER(Eingaben!$B$24),IF(Eingaben!$B$23&lt;Eingaben!$B$24,AND(B1067&gt;=Eingaben!$B$23,B1067&lt;Eingaben!$B$24),OR(B1067&gt;=Eingaben!$B$23,B1067&lt;Eingaben!$B$24))),"HEAT","STANDARD"))</f>
        <v>GO</v>
      </c>
      <c r="E1067" s="9"/>
      <c r="F1067" t="str">
        <f>IF(E1067="",D1067,E1067)</f>
        <v>GO</v>
      </c>
      <c r="G1067" t="str">
        <f>INDEX(Netzzeiten!$B$6:$B$29,HOUR(B1067)+1)</f>
        <v>NT</v>
      </c>
      <c r="H1067" s="6">
        <f>IF(F1067="GO",Eingaben!$B$11,IF(F1067="STANDARD",Eingaben!$B$12,IF(AND(F1067="HEAT",ISNUMBER(Eingaben!$B$13)),Eingaben!$B$13,"")))</f>
        <v>15.0654</v>
      </c>
      <c r="I1067" s="6">
        <f>INDEX(Netzzeiten!$C$6:$C$29,HOUR(B1067)+1)</f>
        <v>1.64</v>
      </c>
      <c r="J1067" t="str">
        <f>IF(C1067="","FEHLT",IF(NOT(ISNUMBER(C1067)),"MESSWERT UNGUELTIG",IF(C1067&lt;0,"MESSWERT UNGUELTIG",IF(H1067="","TARIFPREIS FEHLT","OK"))))</f>
        <v>FEHLT</v>
      </c>
      <c r="K1067" s="7">
        <f>IF(J1067&lt;&gt;"OK","",C1067*I1067/100)</f>
        <v/>
      </c>
    </row>
    <row r="1068" spans="1:11">
      <c r="A1068" s="14">
        <v>46154</v>
      </c>
      <c r="B1068" s="15">
        <v>0.0625</v>
      </c>
      <c r="C1068" s="5">
        <f>IF('96 Werte'!H17="","",'96 Werte'!H17)</f>
        <v/>
      </c>
      <c r="D1068" t="str">
        <f>IF(IF(Eingaben!$B$21&lt;Eingaben!$B$22,AND(B1068&gt;=Eingaben!$B$21,B1068&lt;Eingaben!$B$22),OR(B1068&gt;=Eingaben!$B$21,B1068&lt;Eingaben!$B$22)),"GO",IF(AND(ISNUMBER(Eingaben!$B$23),ISNUMBER(Eingaben!$B$24),IF(Eingaben!$B$23&lt;Eingaben!$B$24,AND(B1068&gt;=Eingaben!$B$23,B1068&lt;Eingaben!$B$24),OR(B1068&gt;=Eingaben!$B$23,B1068&lt;Eingaben!$B$24))),"HEAT","STANDARD"))</f>
        <v>GO</v>
      </c>
      <c r="E1068" s="9"/>
      <c r="F1068" t="str">
        <f>IF(E1068="",D1068,E1068)</f>
        <v>GO</v>
      </c>
      <c r="G1068" t="str">
        <f>INDEX(Netzzeiten!$B$6:$B$29,HOUR(B1068)+1)</f>
        <v>NT</v>
      </c>
      <c r="H1068" s="6">
        <f>IF(F1068="GO",Eingaben!$B$11,IF(F1068="STANDARD",Eingaben!$B$12,IF(AND(F1068="HEAT",ISNUMBER(Eingaben!$B$13)),Eingaben!$B$13,"")))</f>
        <v>15.0654</v>
      </c>
      <c r="I1068" s="6">
        <f>INDEX(Netzzeiten!$C$6:$C$29,HOUR(B1068)+1)</f>
        <v>1.64</v>
      </c>
      <c r="J1068" t="str">
        <f>IF(C1068="","FEHLT",IF(NOT(ISNUMBER(C1068)),"MESSWERT UNGUELTIG",IF(C1068&lt;0,"MESSWERT UNGUELTIG",IF(H1068="","TARIFPREIS FEHLT","OK"))))</f>
        <v>FEHLT</v>
      </c>
      <c r="K1068" s="7">
        <f>IF(J1068&lt;&gt;"OK","",C1068*I1068/100)</f>
        <v/>
      </c>
    </row>
    <row r="1069" spans="1:11">
      <c r="A1069" s="14">
        <v>46154</v>
      </c>
      <c r="B1069" s="15">
        <v>0.07291666666666667</v>
      </c>
      <c r="C1069" s="5">
        <f>IF('96 Werte'!I17="","",'96 Werte'!I17)</f>
        <v/>
      </c>
      <c r="D1069" t="str">
        <f>IF(IF(Eingaben!$B$21&lt;Eingaben!$B$22,AND(B1069&gt;=Eingaben!$B$21,B1069&lt;Eingaben!$B$22),OR(B1069&gt;=Eingaben!$B$21,B1069&lt;Eingaben!$B$22)),"GO",IF(AND(ISNUMBER(Eingaben!$B$23),ISNUMBER(Eingaben!$B$24),IF(Eingaben!$B$23&lt;Eingaben!$B$24,AND(B1069&gt;=Eingaben!$B$23,B1069&lt;Eingaben!$B$24),OR(B1069&gt;=Eingaben!$B$23,B1069&lt;Eingaben!$B$24))),"HEAT","STANDARD"))</f>
        <v>GO</v>
      </c>
      <c r="E1069" s="9"/>
      <c r="F1069" t="str">
        <f>IF(E1069="",D1069,E1069)</f>
        <v>GO</v>
      </c>
      <c r="G1069" t="str">
        <f>INDEX(Netzzeiten!$B$6:$B$29,HOUR(B1069)+1)</f>
        <v>NT</v>
      </c>
      <c r="H1069" s="6">
        <f>IF(F1069="GO",Eingaben!$B$11,IF(F1069="STANDARD",Eingaben!$B$12,IF(AND(F1069="HEAT",ISNUMBER(Eingaben!$B$13)),Eingaben!$B$13,"")))</f>
        <v>15.0654</v>
      </c>
      <c r="I1069" s="6">
        <f>INDEX(Netzzeiten!$C$6:$C$29,HOUR(B1069)+1)</f>
        <v>1.64</v>
      </c>
      <c r="J1069" t="str">
        <f>IF(C1069="","FEHLT",IF(NOT(ISNUMBER(C1069)),"MESSWERT UNGUELTIG",IF(C1069&lt;0,"MESSWERT UNGUELTIG",IF(H1069="","TARIFPREIS FEHLT","OK"))))</f>
        <v>FEHLT</v>
      </c>
      <c r="K1069" s="7">
        <f>IF(J1069&lt;&gt;"OK","",C1069*I1069/100)</f>
        <v/>
      </c>
    </row>
    <row r="1070" spans="1:11">
      <c r="A1070" s="14">
        <v>46154</v>
      </c>
      <c r="B1070" s="15">
        <v>0.08333333333333333</v>
      </c>
      <c r="C1070" s="5">
        <f>IF('96 Werte'!J17="","",'96 Werte'!J17)</f>
        <v/>
      </c>
      <c r="D1070" t="str">
        <f>IF(IF(Eingaben!$B$21&lt;Eingaben!$B$22,AND(B1070&gt;=Eingaben!$B$21,B1070&lt;Eingaben!$B$22),OR(B1070&gt;=Eingaben!$B$21,B1070&lt;Eingaben!$B$22)),"GO",IF(AND(ISNUMBER(Eingaben!$B$23),ISNUMBER(Eingaben!$B$24),IF(Eingaben!$B$23&lt;Eingaben!$B$24,AND(B1070&gt;=Eingaben!$B$23,B1070&lt;Eingaben!$B$24),OR(B1070&gt;=Eingaben!$B$23,B1070&lt;Eingaben!$B$24))),"HEAT","STANDARD"))</f>
        <v>GO</v>
      </c>
      <c r="E1070" s="9"/>
      <c r="F1070" t="str">
        <f>IF(E1070="",D1070,E1070)</f>
        <v>GO</v>
      </c>
      <c r="G1070" t="str">
        <f>INDEX(Netzzeiten!$B$6:$B$29,HOUR(B1070)+1)</f>
        <v>NT</v>
      </c>
      <c r="H1070" s="6">
        <f>IF(F1070="GO",Eingaben!$B$11,IF(F1070="STANDARD",Eingaben!$B$12,IF(AND(F1070="HEAT",ISNUMBER(Eingaben!$B$13)),Eingaben!$B$13,"")))</f>
        <v>15.0654</v>
      </c>
      <c r="I1070" s="6">
        <f>INDEX(Netzzeiten!$C$6:$C$29,HOUR(B1070)+1)</f>
        <v>1.64</v>
      </c>
      <c r="J1070" t="str">
        <f>IF(C1070="","FEHLT",IF(NOT(ISNUMBER(C1070)),"MESSWERT UNGUELTIG",IF(C1070&lt;0,"MESSWERT UNGUELTIG",IF(H1070="","TARIFPREIS FEHLT","OK"))))</f>
        <v>FEHLT</v>
      </c>
      <c r="K1070" s="7">
        <f>IF(J1070&lt;&gt;"OK","",C1070*I1070/100)</f>
        <v/>
      </c>
    </row>
    <row r="1071" spans="1:11">
      <c r="A1071" s="14">
        <v>46154</v>
      </c>
      <c r="B1071" s="15">
        <v>0.09375</v>
      </c>
      <c r="C1071" s="5">
        <f>IF('96 Werte'!K17="","",'96 Werte'!K17)</f>
        <v/>
      </c>
      <c r="D1071" t="str">
        <f>IF(IF(Eingaben!$B$21&lt;Eingaben!$B$22,AND(B1071&gt;=Eingaben!$B$21,B1071&lt;Eingaben!$B$22),OR(B1071&gt;=Eingaben!$B$21,B1071&lt;Eingaben!$B$22)),"GO",IF(AND(ISNUMBER(Eingaben!$B$23),ISNUMBER(Eingaben!$B$24),IF(Eingaben!$B$23&lt;Eingaben!$B$24,AND(B1071&gt;=Eingaben!$B$23,B1071&lt;Eingaben!$B$24),OR(B1071&gt;=Eingaben!$B$23,B1071&lt;Eingaben!$B$24))),"HEAT","STANDARD"))</f>
        <v>GO</v>
      </c>
      <c r="E1071" s="9"/>
      <c r="F1071" t="str">
        <f>IF(E1071="",D1071,E1071)</f>
        <v>GO</v>
      </c>
      <c r="G1071" t="str">
        <f>INDEX(Netzzeiten!$B$6:$B$29,HOUR(B1071)+1)</f>
        <v>NT</v>
      </c>
      <c r="H1071" s="6">
        <f>IF(F1071="GO",Eingaben!$B$11,IF(F1071="STANDARD",Eingaben!$B$12,IF(AND(F1071="HEAT",ISNUMBER(Eingaben!$B$13)),Eingaben!$B$13,"")))</f>
        <v>15.0654</v>
      </c>
      <c r="I1071" s="6">
        <f>INDEX(Netzzeiten!$C$6:$C$29,HOUR(B1071)+1)</f>
        <v>1.64</v>
      </c>
      <c r="J1071" t="str">
        <f>IF(C1071="","FEHLT",IF(NOT(ISNUMBER(C1071)),"MESSWERT UNGUELTIG",IF(C1071&lt;0,"MESSWERT UNGUELTIG",IF(H1071="","TARIFPREIS FEHLT","OK"))))</f>
        <v>FEHLT</v>
      </c>
      <c r="K1071" s="7">
        <f>IF(J1071&lt;&gt;"OK","",C1071*I1071/100)</f>
        <v/>
      </c>
    </row>
    <row r="1072" spans="1:11">
      <c r="A1072" s="14">
        <v>46154</v>
      </c>
      <c r="B1072" s="15">
        <v>0.1041666666666667</v>
      </c>
      <c r="C1072" s="5">
        <f>IF('96 Werte'!L17="","",'96 Werte'!L17)</f>
        <v/>
      </c>
      <c r="D1072" t="str">
        <f>IF(IF(Eingaben!$B$21&lt;Eingaben!$B$22,AND(B1072&gt;=Eingaben!$B$21,B1072&lt;Eingaben!$B$22),OR(B1072&gt;=Eingaben!$B$21,B1072&lt;Eingaben!$B$22)),"GO",IF(AND(ISNUMBER(Eingaben!$B$23),ISNUMBER(Eingaben!$B$24),IF(Eingaben!$B$23&lt;Eingaben!$B$24,AND(B1072&gt;=Eingaben!$B$23,B1072&lt;Eingaben!$B$24),OR(B1072&gt;=Eingaben!$B$23,B1072&lt;Eingaben!$B$24))),"HEAT","STANDARD"))</f>
        <v>GO</v>
      </c>
      <c r="E1072" s="9"/>
      <c r="F1072" t="str">
        <f>IF(E1072="",D1072,E1072)</f>
        <v>GO</v>
      </c>
      <c r="G1072" t="str">
        <f>INDEX(Netzzeiten!$B$6:$B$29,HOUR(B1072)+1)</f>
        <v>NT</v>
      </c>
      <c r="H1072" s="6">
        <f>IF(F1072="GO",Eingaben!$B$11,IF(F1072="STANDARD",Eingaben!$B$12,IF(AND(F1072="HEAT",ISNUMBER(Eingaben!$B$13)),Eingaben!$B$13,"")))</f>
        <v>15.0654</v>
      </c>
      <c r="I1072" s="6">
        <f>INDEX(Netzzeiten!$C$6:$C$29,HOUR(B1072)+1)</f>
        <v>1.64</v>
      </c>
      <c r="J1072" t="str">
        <f>IF(C1072="","FEHLT",IF(NOT(ISNUMBER(C1072)),"MESSWERT UNGUELTIG",IF(C1072&lt;0,"MESSWERT UNGUELTIG",IF(H1072="","TARIFPREIS FEHLT","OK"))))</f>
        <v>FEHLT</v>
      </c>
      <c r="K1072" s="7">
        <f>IF(J1072&lt;&gt;"OK","",C1072*I1072/100)</f>
        <v/>
      </c>
    </row>
    <row r="1073" spans="1:11">
      <c r="A1073" s="14">
        <v>46154</v>
      </c>
      <c r="B1073" s="15">
        <v>0.1145833333333333</v>
      </c>
      <c r="C1073" s="5">
        <f>IF('96 Werte'!M17="","",'96 Werte'!M17)</f>
        <v/>
      </c>
      <c r="D1073" t="str">
        <f>IF(IF(Eingaben!$B$21&lt;Eingaben!$B$22,AND(B1073&gt;=Eingaben!$B$21,B1073&lt;Eingaben!$B$22),OR(B1073&gt;=Eingaben!$B$21,B1073&lt;Eingaben!$B$22)),"GO",IF(AND(ISNUMBER(Eingaben!$B$23),ISNUMBER(Eingaben!$B$24),IF(Eingaben!$B$23&lt;Eingaben!$B$24,AND(B1073&gt;=Eingaben!$B$23,B1073&lt;Eingaben!$B$24),OR(B1073&gt;=Eingaben!$B$23,B1073&lt;Eingaben!$B$24))),"HEAT","STANDARD"))</f>
        <v>GO</v>
      </c>
      <c r="E1073" s="9"/>
      <c r="F1073" t="str">
        <f>IF(E1073="",D1073,E1073)</f>
        <v>GO</v>
      </c>
      <c r="G1073" t="str">
        <f>INDEX(Netzzeiten!$B$6:$B$29,HOUR(B1073)+1)</f>
        <v>NT</v>
      </c>
      <c r="H1073" s="6">
        <f>IF(F1073="GO",Eingaben!$B$11,IF(F1073="STANDARD",Eingaben!$B$12,IF(AND(F1073="HEAT",ISNUMBER(Eingaben!$B$13)),Eingaben!$B$13,"")))</f>
        <v>15.0654</v>
      </c>
      <c r="I1073" s="6">
        <f>INDEX(Netzzeiten!$C$6:$C$29,HOUR(B1073)+1)</f>
        <v>1.64</v>
      </c>
      <c r="J1073" t="str">
        <f>IF(C1073="","FEHLT",IF(NOT(ISNUMBER(C1073)),"MESSWERT UNGUELTIG",IF(C1073&lt;0,"MESSWERT UNGUELTIG",IF(H1073="","TARIFPREIS FEHLT","OK"))))</f>
        <v>FEHLT</v>
      </c>
      <c r="K1073" s="7">
        <f>IF(J1073&lt;&gt;"OK","",C1073*I1073/100)</f>
        <v/>
      </c>
    </row>
    <row r="1074" spans="1:11">
      <c r="A1074" s="14">
        <v>46154</v>
      </c>
      <c r="B1074" s="15">
        <v>0.125</v>
      </c>
      <c r="C1074" s="5">
        <f>IF('96 Werte'!N17="","",'96 Werte'!N17)</f>
        <v/>
      </c>
      <c r="D1074" t="str">
        <f>IF(IF(Eingaben!$B$21&lt;Eingaben!$B$22,AND(B1074&gt;=Eingaben!$B$21,B1074&lt;Eingaben!$B$22),OR(B1074&gt;=Eingaben!$B$21,B1074&lt;Eingaben!$B$22)),"GO",IF(AND(ISNUMBER(Eingaben!$B$23),ISNUMBER(Eingaben!$B$24),IF(Eingaben!$B$23&lt;Eingaben!$B$24,AND(B1074&gt;=Eingaben!$B$23,B1074&lt;Eingaben!$B$24),OR(B1074&gt;=Eingaben!$B$23,B1074&lt;Eingaben!$B$24))),"HEAT","STANDARD"))</f>
        <v>GO</v>
      </c>
      <c r="E1074" s="9"/>
      <c r="F1074" t="str">
        <f>IF(E1074="",D1074,E1074)</f>
        <v>GO</v>
      </c>
      <c r="G1074" t="str">
        <f>INDEX(Netzzeiten!$B$6:$B$29,HOUR(B1074)+1)</f>
        <v>NT</v>
      </c>
      <c r="H1074" s="6">
        <f>IF(F1074="GO",Eingaben!$B$11,IF(F1074="STANDARD",Eingaben!$B$12,IF(AND(F1074="HEAT",ISNUMBER(Eingaben!$B$13)),Eingaben!$B$13,"")))</f>
        <v>15.0654</v>
      </c>
      <c r="I1074" s="6">
        <f>INDEX(Netzzeiten!$C$6:$C$29,HOUR(B1074)+1)</f>
        <v>1.64</v>
      </c>
      <c r="J1074" t="str">
        <f>IF(C1074="","FEHLT",IF(NOT(ISNUMBER(C1074)),"MESSWERT UNGUELTIG",IF(C1074&lt;0,"MESSWERT UNGUELTIG",IF(H1074="","TARIFPREIS FEHLT","OK"))))</f>
        <v>FEHLT</v>
      </c>
      <c r="K1074" s="7">
        <f>IF(J1074&lt;&gt;"OK","",C1074*I1074/100)</f>
        <v/>
      </c>
    </row>
    <row r="1075" spans="1:11">
      <c r="A1075" s="14">
        <v>46154</v>
      </c>
      <c r="B1075" s="15">
        <v>0.1354166666666667</v>
      </c>
      <c r="C1075" s="5">
        <f>IF('96 Werte'!O17="","",'96 Werte'!O17)</f>
        <v/>
      </c>
      <c r="D1075" t="str">
        <f>IF(IF(Eingaben!$B$21&lt;Eingaben!$B$22,AND(B1075&gt;=Eingaben!$B$21,B1075&lt;Eingaben!$B$22),OR(B1075&gt;=Eingaben!$B$21,B1075&lt;Eingaben!$B$22)),"GO",IF(AND(ISNUMBER(Eingaben!$B$23),ISNUMBER(Eingaben!$B$24),IF(Eingaben!$B$23&lt;Eingaben!$B$24,AND(B1075&gt;=Eingaben!$B$23,B1075&lt;Eingaben!$B$24),OR(B1075&gt;=Eingaben!$B$23,B1075&lt;Eingaben!$B$24))),"HEAT","STANDARD"))</f>
        <v>GO</v>
      </c>
      <c r="E1075" s="9"/>
      <c r="F1075" t="str">
        <f>IF(E1075="",D1075,E1075)</f>
        <v>GO</v>
      </c>
      <c r="G1075" t="str">
        <f>INDEX(Netzzeiten!$B$6:$B$29,HOUR(B1075)+1)</f>
        <v>NT</v>
      </c>
      <c r="H1075" s="6">
        <f>IF(F1075="GO",Eingaben!$B$11,IF(F1075="STANDARD",Eingaben!$B$12,IF(AND(F1075="HEAT",ISNUMBER(Eingaben!$B$13)),Eingaben!$B$13,"")))</f>
        <v>15.0654</v>
      </c>
      <c r="I1075" s="6">
        <f>INDEX(Netzzeiten!$C$6:$C$29,HOUR(B1075)+1)</f>
        <v>1.64</v>
      </c>
      <c r="J1075" t="str">
        <f>IF(C1075="","FEHLT",IF(NOT(ISNUMBER(C1075)),"MESSWERT UNGUELTIG",IF(C1075&lt;0,"MESSWERT UNGUELTIG",IF(H1075="","TARIFPREIS FEHLT","OK"))))</f>
        <v>FEHLT</v>
      </c>
      <c r="K1075" s="7">
        <f>IF(J1075&lt;&gt;"OK","",C1075*I1075/100)</f>
        <v/>
      </c>
    </row>
    <row r="1076" spans="1:11">
      <c r="A1076" s="14">
        <v>46154</v>
      </c>
      <c r="B1076" s="15">
        <v>0.1458333333333333</v>
      </c>
      <c r="C1076" s="5">
        <f>IF('96 Werte'!P17="","",'96 Werte'!P17)</f>
        <v/>
      </c>
      <c r="D1076" t="str">
        <f>IF(IF(Eingaben!$B$21&lt;Eingaben!$B$22,AND(B1076&gt;=Eingaben!$B$21,B1076&lt;Eingaben!$B$22),OR(B1076&gt;=Eingaben!$B$21,B1076&lt;Eingaben!$B$22)),"GO",IF(AND(ISNUMBER(Eingaben!$B$23),ISNUMBER(Eingaben!$B$24),IF(Eingaben!$B$23&lt;Eingaben!$B$24,AND(B1076&gt;=Eingaben!$B$23,B1076&lt;Eingaben!$B$24),OR(B1076&gt;=Eingaben!$B$23,B1076&lt;Eingaben!$B$24))),"HEAT","STANDARD"))</f>
        <v>GO</v>
      </c>
      <c r="E1076" s="9"/>
      <c r="F1076" t="str">
        <f>IF(E1076="",D1076,E1076)</f>
        <v>GO</v>
      </c>
      <c r="G1076" t="str">
        <f>INDEX(Netzzeiten!$B$6:$B$29,HOUR(B1076)+1)</f>
        <v>NT</v>
      </c>
      <c r="H1076" s="6">
        <f>IF(F1076="GO",Eingaben!$B$11,IF(F1076="STANDARD",Eingaben!$B$12,IF(AND(F1076="HEAT",ISNUMBER(Eingaben!$B$13)),Eingaben!$B$13,"")))</f>
        <v>15.0654</v>
      </c>
      <c r="I1076" s="6">
        <f>INDEX(Netzzeiten!$C$6:$C$29,HOUR(B1076)+1)</f>
        <v>1.64</v>
      </c>
      <c r="J1076" t="str">
        <f>IF(C1076="","FEHLT",IF(NOT(ISNUMBER(C1076)),"MESSWERT UNGUELTIG",IF(C1076&lt;0,"MESSWERT UNGUELTIG",IF(H1076="","TARIFPREIS FEHLT","OK"))))</f>
        <v>FEHLT</v>
      </c>
      <c r="K1076" s="7">
        <f>IF(J1076&lt;&gt;"OK","",C1076*I1076/100)</f>
        <v/>
      </c>
    </row>
    <row r="1077" spans="1:11">
      <c r="A1077" s="14">
        <v>46154</v>
      </c>
      <c r="B1077" s="15">
        <v>0.15625</v>
      </c>
      <c r="C1077" s="5">
        <f>IF('96 Werte'!Q17="","",'96 Werte'!Q17)</f>
        <v/>
      </c>
      <c r="D1077" t="str">
        <f>IF(IF(Eingaben!$B$21&lt;Eingaben!$B$22,AND(B1077&gt;=Eingaben!$B$21,B1077&lt;Eingaben!$B$22),OR(B1077&gt;=Eingaben!$B$21,B1077&lt;Eingaben!$B$22)),"GO",IF(AND(ISNUMBER(Eingaben!$B$23),ISNUMBER(Eingaben!$B$24),IF(Eingaben!$B$23&lt;Eingaben!$B$24,AND(B1077&gt;=Eingaben!$B$23,B1077&lt;Eingaben!$B$24),OR(B1077&gt;=Eingaben!$B$23,B1077&lt;Eingaben!$B$24))),"HEAT","STANDARD"))</f>
        <v>GO</v>
      </c>
      <c r="E1077" s="9"/>
      <c r="F1077" t="str">
        <f>IF(E1077="",D1077,E1077)</f>
        <v>GO</v>
      </c>
      <c r="G1077" t="str">
        <f>INDEX(Netzzeiten!$B$6:$B$29,HOUR(B1077)+1)</f>
        <v>NT</v>
      </c>
      <c r="H1077" s="6">
        <f>IF(F1077="GO",Eingaben!$B$11,IF(F1077="STANDARD",Eingaben!$B$12,IF(AND(F1077="HEAT",ISNUMBER(Eingaben!$B$13)),Eingaben!$B$13,"")))</f>
        <v>15.0654</v>
      </c>
      <c r="I1077" s="6">
        <f>INDEX(Netzzeiten!$C$6:$C$29,HOUR(B1077)+1)</f>
        <v>1.64</v>
      </c>
      <c r="J1077" t="str">
        <f>IF(C1077="","FEHLT",IF(NOT(ISNUMBER(C1077)),"MESSWERT UNGUELTIG",IF(C1077&lt;0,"MESSWERT UNGUELTIG",IF(H1077="","TARIFPREIS FEHLT","OK"))))</f>
        <v>FEHLT</v>
      </c>
      <c r="K1077" s="7">
        <f>IF(J1077&lt;&gt;"OK","",C1077*I1077/100)</f>
        <v/>
      </c>
    </row>
    <row r="1078" spans="1:11">
      <c r="A1078" s="14">
        <v>46154</v>
      </c>
      <c r="B1078" s="15">
        <v>0.1666666666666667</v>
      </c>
      <c r="C1078" s="5">
        <f>IF('96 Werte'!R17="","",'96 Werte'!R17)</f>
        <v/>
      </c>
      <c r="D1078" t="str">
        <f>IF(IF(Eingaben!$B$21&lt;Eingaben!$B$22,AND(B1078&gt;=Eingaben!$B$21,B1078&lt;Eingaben!$B$22),OR(B1078&gt;=Eingaben!$B$21,B1078&lt;Eingaben!$B$22)),"GO",IF(AND(ISNUMBER(Eingaben!$B$23),ISNUMBER(Eingaben!$B$24),IF(Eingaben!$B$23&lt;Eingaben!$B$24,AND(B1078&gt;=Eingaben!$B$23,B1078&lt;Eingaben!$B$24),OR(B1078&gt;=Eingaben!$B$23,B1078&lt;Eingaben!$B$24))),"HEAT","STANDARD"))</f>
        <v>GO</v>
      </c>
      <c r="E1078" s="9"/>
      <c r="F1078" t="str">
        <f>IF(E1078="",D1078,E1078)</f>
        <v>GO</v>
      </c>
      <c r="G1078" t="str">
        <f>INDEX(Netzzeiten!$B$6:$B$29,HOUR(B1078)+1)</f>
        <v>NT</v>
      </c>
      <c r="H1078" s="6">
        <f>IF(F1078="GO",Eingaben!$B$11,IF(F1078="STANDARD",Eingaben!$B$12,IF(AND(F1078="HEAT",ISNUMBER(Eingaben!$B$13)),Eingaben!$B$13,"")))</f>
        <v>15.0654</v>
      </c>
      <c r="I1078" s="6">
        <f>INDEX(Netzzeiten!$C$6:$C$29,HOUR(B1078)+1)</f>
        <v>1.64</v>
      </c>
      <c r="J1078" t="str">
        <f>IF(C1078="","FEHLT",IF(NOT(ISNUMBER(C1078)),"MESSWERT UNGUELTIG",IF(C1078&lt;0,"MESSWERT UNGUELTIG",IF(H1078="","TARIFPREIS FEHLT","OK"))))</f>
        <v>FEHLT</v>
      </c>
      <c r="K1078" s="7">
        <f>IF(J1078&lt;&gt;"OK","",C1078*I1078/100)</f>
        <v/>
      </c>
    </row>
    <row r="1079" spans="1:11">
      <c r="A1079" s="14">
        <v>46154</v>
      </c>
      <c r="B1079" s="15">
        <v>0.1770833333333333</v>
      </c>
      <c r="C1079" s="5">
        <f>IF('96 Werte'!S17="","",'96 Werte'!S17)</f>
        <v/>
      </c>
      <c r="D1079" t="str">
        <f>IF(IF(Eingaben!$B$21&lt;Eingaben!$B$22,AND(B1079&gt;=Eingaben!$B$21,B1079&lt;Eingaben!$B$22),OR(B1079&gt;=Eingaben!$B$21,B1079&lt;Eingaben!$B$22)),"GO",IF(AND(ISNUMBER(Eingaben!$B$23),ISNUMBER(Eingaben!$B$24),IF(Eingaben!$B$23&lt;Eingaben!$B$24,AND(B1079&gt;=Eingaben!$B$23,B1079&lt;Eingaben!$B$24),OR(B1079&gt;=Eingaben!$B$23,B1079&lt;Eingaben!$B$24))),"HEAT","STANDARD"))</f>
        <v>GO</v>
      </c>
      <c r="E1079" s="9"/>
      <c r="F1079" t="str">
        <f>IF(E1079="",D1079,E1079)</f>
        <v>GO</v>
      </c>
      <c r="G1079" t="str">
        <f>INDEX(Netzzeiten!$B$6:$B$29,HOUR(B1079)+1)</f>
        <v>NT</v>
      </c>
      <c r="H1079" s="6">
        <f>IF(F1079="GO",Eingaben!$B$11,IF(F1079="STANDARD",Eingaben!$B$12,IF(AND(F1079="HEAT",ISNUMBER(Eingaben!$B$13)),Eingaben!$B$13,"")))</f>
        <v>15.0654</v>
      </c>
      <c r="I1079" s="6">
        <f>INDEX(Netzzeiten!$C$6:$C$29,HOUR(B1079)+1)</f>
        <v>1.64</v>
      </c>
      <c r="J1079" t="str">
        <f>IF(C1079="","FEHLT",IF(NOT(ISNUMBER(C1079)),"MESSWERT UNGUELTIG",IF(C1079&lt;0,"MESSWERT UNGUELTIG",IF(H1079="","TARIFPREIS FEHLT","OK"))))</f>
        <v>FEHLT</v>
      </c>
      <c r="K1079" s="7">
        <f>IF(J1079&lt;&gt;"OK","",C1079*I1079/100)</f>
        <v/>
      </c>
    </row>
    <row r="1080" spans="1:11">
      <c r="A1080" s="14">
        <v>46154</v>
      </c>
      <c r="B1080" s="15">
        <v>0.1875</v>
      </c>
      <c r="C1080" s="5">
        <f>IF('96 Werte'!T17="","",'96 Werte'!T17)</f>
        <v/>
      </c>
      <c r="D1080" t="str">
        <f>IF(IF(Eingaben!$B$21&lt;Eingaben!$B$22,AND(B1080&gt;=Eingaben!$B$21,B1080&lt;Eingaben!$B$22),OR(B1080&gt;=Eingaben!$B$21,B1080&lt;Eingaben!$B$22)),"GO",IF(AND(ISNUMBER(Eingaben!$B$23),ISNUMBER(Eingaben!$B$24),IF(Eingaben!$B$23&lt;Eingaben!$B$24,AND(B1080&gt;=Eingaben!$B$23,B1080&lt;Eingaben!$B$24),OR(B1080&gt;=Eingaben!$B$23,B1080&lt;Eingaben!$B$24))),"HEAT","STANDARD"))</f>
        <v>GO</v>
      </c>
      <c r="E1080" s="9"/>
      <c r="F1080" t="str">
        <f>IF(E1080="",D1080,E1080)</f>
        <v>GO</v>
      </c>
      <c r="G1080" t="str">
        <f>INDEX(Netzzeiten!$B$6:$B$29,HOUR(B1080)+1)</f>
        <v>NT</v>
      </c>
      <c r="H1080" s="6">
        <f>IF(F1080="GO",Eingaben!$B$11,IF(F1080="STANDARD",Eingaben!$B$12,IF(AND(F1080="HEAT",ISNUMBER(Eingaben!$B$13)),Eingaben!$B$13,"")))</f>
        <v>15.0654</v>
      </c>
      <c r="I1080" s="6">
        <f>INDEX(Netzzeiten!$C$6:$C$29,HOUR(B1080)+1)</f>
        <v>1.64</v>
      </c>
      <c r="J1080" t="str">
        <f>IF(C1080="","FEHLT",IF(NOT(ISNUMBER(C1080)),"MESSWERT UNGUELTIG",IF(C1080&lt;0,"MESSWERT UNGUELTIG",IF(H1080="","TARIFPREIS FEHLT","OK"))))</f>
        <v>FEHLT</v>
      </c>
      <c r="K1080" s="7">
        <f>IF(J1080&lt;&gt;"OK","",C1080*I1080/100)</f>
        <v/>
      </c>
    </row>
    <row r="1081" spans="1:11">
      <c r="A1081" s="14">
        <v>46154</v>
      </c>
      <c r="B1081" s="15">
        <v>0.1979166666666667</v>
      </c>
      <c r="C1081" s="5">
        <f>IF('96 Werte'!U17="","",'96 Werte'!U17)</f>
        <v/>
      </c>
      <c r="D1081" t="str">
        <f>IF(IF(Eingaben!$B$21&lt;Eingaben!$B$22,AND(B1081&gt;=Eingaben!$B$21,B1081&lt;Eingaben!$B$22),OR(B1081&gt;=Eingaben!$B$21,B1081&lt;Eingaben!$B$22)),"GO",IF(AND(ISNUMBER(Eingaben!$B$23),ISNUMBER(Eingaben!$B$24),IF(Eingaben!$B$23&lt;Eingaben!$B$24,AND(B1081&gt;=Eingaben!$B$23,B1081&lt;Eingaben!$B$24),OR(B1081&gt;=Eingaben!$B$23,B1081&lt;Eingaben!$B$24))),"HEAT","STANDARD"))</f>
        <v>GO</v>
      </c>
      <c r="E1081" s="9"/>
      <c r="F1081" t="str">
        <f>IF(E1081="",D1081,E1081)</f>
        <v>GO</v>
      </c>
      <c r="G1081" t="str">
        <f>INDEX(Netzzeiten!$B$6:$B$29,HOUR(B1081)+1)</f>
        <v>NT</v>
      </c>
      <c r="H1081" s="6">
        <f>IF(F1081="GO",Eingaben!$B$11,IF(F1081="STANDARD",Eingaben!$B$12,IF(AND(F1081="HEAT",ISNUMBER(Eingaben!$B$13)),Eingaben!$B$13,"")))</f>
        <v>15.0654</v>
      </c>
      <c r="I1081" s="6">
        <f>INDEX(Netzzeiten!$C$6:$C$29,HOUR(B1081)+1)</f>
        <v>1.64</v>
      </c>
      <c r="J1081" t="str">
        <f>IF(C1081="","FEHLT",IF(NOT(ISNUMBER(C1081)),"MESSWERT UNGUELTIG",IF(C1081&lt;0,"MESSWERT UNGUELTIG",IF(H1081="","TARIFPREIS FEHLT","OK"))))</f>
        <v>FEHLT</v>
      </c>
      <c r="K1081" s="7">
        <f>IF(J1081&lt;&gt;"OK","",C1081*I1081/100)</f>
        <v/>
      </c>
    </row>
    <row r="1082" spans="1:11">
      <c r="A1082" s="14">
        <v>46154</v>
      </c>
      <c r="B1082" s="15">
        <v>0.2083333333333333</v>
      </c>
      <c r="C1082" s="5">
        <f>IF('96 Werte'!V17="","",'96 Werte'!V17)</f>
        <v/>
      </c>
      <c r="D1082" t="str">
        <f>IF(IF(Eingaben!$B$21&lt;Eingaben!$B$22,AND(B1082&gt;=Eingaben!$B$21,B1082&lt;Eingaben!$B$22),OR(B1082&gt;=Eingaben!$B$21,B1082&lt;Eingaben!$B$22)),"GO",IF(AND(ISNUMBER(Eingaben!$B$23),ISNUMBER(Eingaben!$B$24),IF(Eingaben!$B$23&lt;Eingaben!$B$24,AND(B1082&gt;=Eingaben!$B$23,B1082&lt;Eingaben!$B$24),OR(B1082&gt;=Eingaben!$B$23,B1082&lt;Eingaben!$B$24))),"HEAT","STANDARD"))</f>
        <v>STANDARD</v>
      </c>
      <c r="E1082" s="9"/>
      <c r="F1082" t="str">
        <f>IF(E1082="",D1082,E1082)</f>
        <v>STANDARD</v>
      </c>
      <c r="G1082" t="str">
        <f>INDEX(Netzzeiten!$B$6:$B$29,HOUR(B1082)+1)</f>
        <v>NT</v>
      </c>
      <c r="H1082" s="6">
        <f>IF(F1082="GO",Eingaben!$B$11,IF(F1082="STANDARD",Eingaben!$B$12,IF(AND(F1082="HEAT",ISNUMBER(Eingaben!$B$13)),Eingaben!$B$13,"")))</f>
        <v>28.2744</v>
      </c>
      <c r="I1082" s="6">
        <f>INDEX(Netzzeiten!$C$6:$C$29,HOUR(B1082)+1)</f>
        <v>1.64</v>
      </c>
      <c r="J1082" t="str">
        <f>IF(C1082="","FEHLT",IF(NOT(ISNUMBER(C1082)),"MESSWERT UNGUELTIG",IF(C1082&lt;0,"MESSWERT UNGUELTIG",IF(H1082="","TARIFPREIS FEHLT","OK"))))</f>
        <v>FEHLT</v>
      </c>
      <c r="K1082" s="7">
        <f>IF(J1082&lt;&gt;"OK","",C1082*I1082/100)</f>
        <v/>
      </c>
    </row>
    <row r="1083" spans="1:11">
      <c r="A1083" s="14">
        <v>46154</v>
      </c>
      <c r="B1083" s="15">
        <v>0.21875</v>
      </c>
      <c r="C1083" s="5">
        <f>IF('96 Werte'!W17="","",'96 Werte'!W17)</f>
        <v/>
      </c>
      <c r="D1083" t="str">
        <f>IF(IF(Eingaben!$B$21&lt;Eingaben!$B$22,AND(B1083&gt;=Eingaben!$B$21,B1083&lt;Eingaben!$B$22),OR(B1083&gt;=Eingaben!$B$21,B1083&lt;Eingaben!$B$22)),"GO",IF(AND(ISNUMBER(Eingaben!$B$23),ISNUMBER(Eingaben!$B$24),IF(Eingaben!$B$23&lt;Eingaben!$B$24,AND(B1083&gt;=Eingaben!$B$23,B1083&lt;Eingaben!$B$24),OR(B1083&gt;=Eingaben!$B$23,B1083&lt;Eingaben!$B$24))),"HEAT","STANDARD"))</f>
        <v>STANDARD</v>
      </c>
      <c r="E1083" s="9"/>
      <c r="F1083" t="str">
        <f>IF(E1083="",D1083,E1083)</f>
        <v>STANDARD</v>
      </c>
      <c r="G1083" t="str">
        <f>INDEX(Netzzeiten!$B$6:$B$29,HOUR(B1083)+1)</f>
        <v>NT</v>
      </c>
      <c r="H1083" s="6">
        <f>IF(F1083="GO",Eingaben!$B$11,IF(F1083="STANDARD",Eingaben!$B$12,IF(AND(F1083="HEAT",ISNUMBER(Eingaben!$B$13)),Eingaben!$B$13,"")))</f>
        <v>28.2744</v>
      </c>
      <c r="I1083" s="6">
        <f>INDEX(Netzzeiten!$C$6:$C$29,HOUR(B1083)+1)</f>
        <v>1.64</v>
      </c>
      <c r="J1083" t="str">
        <f>IF(C1083="","FEHLT",IF(NOT(ISNUMBER(C1083)),"MESSWERT UNGUELTIG",IF(C1083&lt;0,"MESSWERT UNGUELTIG",IF(H1083="","TARIFPREIS FEHLT","OK"))))</f>
        <v>FEHLT</v>
      </c>
      <c r="K1083" s="7">
        <f>IF(J1083&lt;&gt;"OK","",C1083*I1083/100)</f>
        <v/>
      </c>
    </row>
    <row r="1084" spans="1:11">
      <c r="A1084" s="14">
        <v>46154</v>
      </c>
      <c r="B1084" s="15">
        <v>0.2291666666666667</v>
      </c>
      <c r="C1084" s="5">
        <f>IF('96 Werte'!X17="","",'96 Werte'!X17)</f>
        <v/>
      </c>
      <c r="D1084" t="str">
        <f>IF(IF(Eingaben!$B$21&lt;Eingaben!$B$22,AND(B1084&gt;=Eingaben!$B$21,B1084&lt;Eingaben!$B$22),OR(B1084&gt;=Eingaben!$B$21,B1084&lt;Eingaben!$B$22)),"GO",IF(AND(ISNUMBER(Eingaben!$B$23),ISNUMBER(Eingaben!$B$24),IF(Eingaben!$B$23&lt;Eingaben!$B$24,AND(B1084&gt;=Eingaben!$B$23,B1084&lt;Eingaben!$B$24),OR(B1084&gt;=Eingaben!$B$23,B1084&lt;Eingaben!$B$24))),"HEAT","STANDARD"))</f>
        <v>STANDARD</v>
      </c>
      <c r="E1084" s="9"/>
      <c r="F1084" t="str">
        <f>IF(E1084="",D1084,E1084)</f>
        <v>STANDARD</v>
      </c>
      <c r="G1084" t="str">
        <f>INDEX(Netzzeiten!$B$6:$B$29,HOUR(B1084)+1)</f>
        <v>NT</v>
      </c>
      <c r="H1084" s="6">
        <f>IF(F1084="GO",Eingaben!$B$11,IF(F1084="STANDARD",Eingaben!$B$12,IF(AND(F1084="HEAT",ISNUMBER(Eingaben!$B$13)),Eingaben!$B$13,"")))</f>
        <v>28.2744</v>
      </c>
      <c r="I1084" s="6">
        <f>INDEX(Netzzeiten!$C$6:$C$29,HOUR(B1084)+1)</f>
        <v>1.64</v>
      </c>
      <c r="J1084" t="str">
        <f>IF(C1084="","FEHLT",IF(NOT(ISNUMBER(C1084)),"MESSWERT UNGUELTIG",IF(C1084&lt;0,"MESSWERT UNGUELTIG",IF(H1084="","TARIFPREIS FEHLT","OK"))))</f>
        <v>FEHLT</v>
      </c>
      <c r="K1084" s="7">
        <f>IF(J1084&lt;&gt;"OK","",C1084*I1084/100)</f>
        <v/>
      </c>
    </row>
    <row r="1085" spans="1:11">
      <c r="A1085" s="14">
        <v>46154</v>
      </c>
      <c r="B1085" s="15">
        <v>0.2395833333333333</v>
      </c>
      <c r="C1085" s="5">
        <f>IF('96 Werte'!Y17="","",'96 Werte'!Y17)</f>
        <v/>
      </c>
      <c r="D1085" t="str">
        <f>IF(IF(Eingaben!$B$21&lt;Eingaben!$B$22,AND(B1085&gt;=Eingaben!$B$21,B1085&lt;Eingaben!$B$22),OR(B1085&gt;=Eingaben!$B$21,B1085&lt;Eingaben!$B$22)),"GO",IF(AND(ISNUMBER(Eingaben!$B$23),ISNUMBER(Eingaben!$B$24),IF(Eingaben!$B$23&lt;Eingaben!$B$24,AND(B1085&gt;=Eingaben!$B$23,B1085&lt;Eingaben!$B$24),OR(B1085&gt;=Eingaben!$B$23,B1085&lt;Eingaben!$B$24))),"HEAT","STANDARD"))</f>
        <v>STANDARD</v>
      </c>
      <c r="E1085" s="9"/>
      <c r="F1085" t="str">
        <f>IF(E1085="",D1085,E1085)</f>
        <v>STANDARD</v>
      </c>
      <c r="G1085" t="str">
        <f>INDEX(Netzzeiten!$B$6:$B$29,HOUR(B1085)+1)</f>
        <v>NT</v>
      </c>
      <c r="H1085" s="6">
        <f>IF(F1085="GO",Eingaben!$B$11,IF(F1085="STANDARD",Eingaben!$B$12,IF(AND(F1085="HEAT",ISNUMBER(Eingaben!$B$13)),Eingaben!$B$13,"")))</f>
        <v>28.2744</v>
      </c>
      <c r="I1085" s="6">
        <f>INDEX(Netzzeiten!$C$6:$C$29,HOUR(B1085)+1)</f>
        <v>1.64</v>
      </c>
      <c r="J1085" t="str">
        <f>IF(C1085="","FEHLT",IF(NOT(ISNUMBER(C1085)),"MESSWERT UNGUELTIG",IF(C1085&lt;0,"MESSWERT UNGUELTIG",IF(H1085="","TARIFPREIS FEHLT","OK"))))</f>
        <v>FEHLT</v>
      </c>
      <c r="K1085" s="7">
        <f>IF(J1085&lt;&gt;"OK","",C1085*I1085/100)</f>
        <v/>
      </c>
    </row>
    <row r="1086" spans="1:11">
      <c r="A1086" s="14">
        <v>46154</v>
      </c>
      <c r="B1086" s="15">
        <v>0.25</v>
      </c>
      <c r="C1086" s="5">
        <f>IF('96 Werte'!Z17="","",'96 Werte'!Z17)</f>
        <v/>
      </c>
      <c r="D1086" t="str">
        <f>IF(IF(Eingaben!$B$21&lt;Eingaben!$B$22,AND(B1086&gt;=Eingaben!$B$21,B1086&lt;Eingaben!$B$22),OR(B1086&gt;=Eingaben!$B$21,B1086&lt;Eingaben!$B$22)),"GO",IF(AND(ISNUMBER(Eingaben!$B$23),ISNUMBER(Eingaben!$B$24),IF(Eingaben!$B$23&lt;Eingaben!$B$24,AND(B1086&gt;=Eingaben!$B$23,B1086&lt;Eingaben!$B$24),OR(B1086&gt;=Eingaben!$B$23,B1086&lt;Eingaben!$B$24))),"HEAT","STANDARD"))</f>
        <v>STANDARD</v>
      </c>
      <c r="E1086" s="9"/>
      <c r="F1086" t="str">
        <f>IF(E1086="",D1086,E1086)</f>
        <v>STANDARD</v>
      </c>
      <c r="G1086" t="str">
        <f>INDEX(Netzzeiten!$B$6:$B$29,HOUR(B1086)+1)</f>
        <v>ST</v>
      </c>
      <c r="H1086" s="6">
        <f>IF(F1086="GO",Eingaben!$B$11,IF(F1086="STANDARD",Eingaben!$B$12,IF(AND(F1086="HEAT",ISNUMBER(Eingaben!$B$13)),Eingaben!$B$13,"")))</f>
        <v>28.2744</v>
      </c>
      <c r="I1086" s="6">
        <f>INDEX(Netzzeiten!$C$6:$C$29,HOUR(B1086)+1)</f>
        <v>5.48</v>
      </c>
      <c r="J1086" t="str">
        <f>IF(C1086="","FEHLT",IF(NOT(ISNUMBER(C1086)),"MESSWERT UNGUELTIG",IF(C1086&lt;0,"MESSWERT UNGUELTIG",IF(H1086="","TARIFPREIS FEHLT","OK"))))</f>
        <v>FEHLT</v>
      </c>
      <c r="K1086" s="7">
        <f>IF(J1086&lt;&gt;"OK","",C1086*I1086/100)</f>
        <v/>
      </c>
    </row>
    <row r="1087" spans="1:11">
      <c r="A1087" s="14">
        <v>46154</v>
      </c>
      <c r="B1087" s="15">
        <v>0.2604166666666667</v>
      </c>
      <c r="C1087" s="5">
        <f>IF('96 Werte'!AA17="","",'96 Werte'!AA17)</f>
        <v/>
      </c>
      <c r="D1087" t="str">
        <f>IF(IF(Eingaben!$B$21&lt;Eingaben!$B$22,AND(B1087&gt;=Eingaben!$B$21,B1087&lt;Eingaben!$B$22),OR(B1087&gt;=Eingaben!$B$21,B1087&lt;Eingaben!$B$22)),"GO",IF(AND(ISNUMBER(Eingaben!$B$23),ISNUMBER(Eingaben!$B$24),IF(Eingaben!$B$23&lt;Eingaben!$B$24,AND(B1087&gt;=Eingaben!$B$23,B1087&lt;Eingaben!$B$24),OR(B1087&gt;=Eingaben!$B$23,B1087&lt;Eingaben!$B$24))),"HEAT","STANDARD"))</f>
        <v>STANDARD</v>
      </c>
      <c r="E1087" s="9"/>
      <c r="F1087" t="str">
        <f>IF(E1087="",D1087,E1087)</f>
        <v>STANDARD</v>
      </c>
      <c r="G1087" t="str">
        <f>INDEX(Netzzeiten!$B$6:$B$29,HOUR(B1087)+1)</f>
        <v>ST</v>
      </c>
      <c r="H1087" s="6">
        <f>IF(F1087="GO",Eingaben!$B$11,IF(F1087="STANDARD",Eingaben!$B$12,IF(AND(F1087="HEAT",ISNUMBER(Eingaben!$B$13)),Eingaben!$B$13,"")))</f>
        <v>28.2744</v>
      </c>
      <c r="I1087" s="6">
        <f>INDEX(Netzzeiten!$C$6:$C$29,HOUR(B1087)+1)</f>
        <v>5.48</v>
      </c>
      <c r="J1087" t="str">
        <f>IF(C1087="","FEHLT",IF(NOT(ISNUMBER(C1087)),"MESSWERT UNGUELTIG",IF(C1087&lt;0,"MESSWERT UNGUELTIG",IF(H1087="","TARIFPREIS FEHLT","OK"))))</f>
        <v>FEHLT</v>
      </c>
      <c r="K1087" s="7">
        <f>IF(J1087&lt;&gt;"OK","",C1087*I1087/100)</f>
        <v/>
      </c>
    </row>
    <row r="1088" spans="1:11">
      <c r="A1088" s="14">
        <v>46154</v>
      </c>
      <c r="B1088" s="15">
        <v>0.2708333333333333</v>
      </c>
      <c r="C1088" s="5">
        <f>IF('96 Werte'!AB17="","",'96 Werte'!AB17)</f>
        <v/>
      </c>
      <c r="D1088" t="str">
        <f>IF(IF(Eingaben!$B$21&lt;Eingaben!$B$22,AND(B1088&gt;=Eingaben!$B$21,B1088&lt;Eingaben!$B$22),OR(B1088&gt;=Eingaben!$B$21,B1088&lt;Eingaben!$B$22)),"GO",IF(AND(ISNUMBER(Eingaben!$B$23),ISNUMBER(Eingaben!$B$24),IF(Eingaben!$B$23&lt;Eingaben!$B$24,AND(B1088&gt;=Eingaben!$B$23,B1088&lt;Eingaben!$B$24),OR(B1088&gt;=Eingaben!$B$23,B1088&lt;Eingaben!$B$24))),"HEAT","STANDARD"))</f>
        <v>STANDARD</v>
      </c>
      <c r="E1088" s="9"/>
      <c r="F1088" t="str">
        <f>IF(E1088="",D1088,E1088)</f>
        <v>STANDARD</v>
      </c>
      <c r="G1088" t="str">
        <f>INDEX(Netzzeiten!$B$6:$B$29,HOUR(B1088)+1)</f>
        <v>ST</v>
      </c>
      <c r="H1088" s="6">
        <f>IF(F1088="GO",Eingaben!$B$11,IF(F1088="STANDARD",Eingaben!$B$12,IF(AND(F1088="HEAT",ISNUMBER(Eingaben!$B$13)),Eingaben!$B$13,"")))</f>
        <v>28.2744</v>
      </c>
      <c r="I1088" s="6">
        <f>INDEX(Netzzeiten!$C$6:$C$29,HOUR(B1088)+1)</f>
        <v>5.48</v>
      </c>
      <c r="J1088" t="str">
        <f>IF(C1088="","FEHLT",IF(NOT(ISNUMBER(C1088)),"MESSWERT UNGUELTIG",IF(C1088&lt;0,"MESSWERT UNGUELTIG",IF(H1088="","TARIFPREIS FEHLT","OK"))))</f>
        <v>FEHLT</v>
      </c>
      <c r="K1088" s="7">
        <f>IF(J1088&lt;&gt;"OK","",C1088*I1088/100)</f>
        <v/>
      </c>
    </row>
    <row r="1089" spans="1:11">
      <c r="A1089" s="14">
        <v>46154</v>
      </c>
      <c r="B1089" s="15">
        <v>0.28125</v>
      </c>
      <c r="C1089" s="5">
        <f>IF('96 Werte'!AC17="","",'96 Werte'!AC17)</f>
        <v/>
      </c>
      <c r="D1089" t="str">
        <f>IF(IF(Eingaben!$B$21&lt;Eingaben!$B$22,AND(B1089&gt;=Eingaben!$B$21,B1089&lt;Eingaben!$B$22),OR(B1089&gt;=Eingaben!$B$21,B1089&lt;Eingaben!$B$22)),"GO",IF(AND(ISNUMBER(Eingaben!$B$23),ISNUMBER(Eingaben!$B$24),IF(Eingaben!$B$23&lt;Eingaben!$B$24,AND(B1089&gt;=Eingaben!$B$23,B1089&lt;Eingaben!$B$24),OR(B1089&gt;=Eingaben!$B$23,B1089&lt;Eingaben!$B$24))),"HEAT","STANDARD"))</f>
        <v>STANDARD</v>
      </c>
      <c r="E1089" s="9"/>
      <c r="F1089" t="str">
        <f>IF(E1089="",D1089,E1089)</f>
        <v>STANDARD</v>
      </c>
      <c r="G1089" t="str">
        <f>INDEX(Netzzeiten!$B$6:$B$29,HOUR(B1089)+1)</f>
        <v>ST</v>
      </c>
      <c r="H1089" s="6">
        <f>IF(F1089="GO",Eingaben!$B$11,IF(F1089="STANDARD",Eingaben!$B$12,IF(AND(F1089="HEAT",ISNUMBER(Eingaben!$B$13)),Eingaben!$B$13,"")))</f>
        <v>28.2744</v>
      </c>
      <c r="I1089" s="6">
        <f>INDEX(Netzzeiten!$C$6:$C$29,HOUR(B1089)+1)</f>
        <v>5.48</v>
      </c>
      <c r="J1089" t="str">
        <f>IF(C1089="","FEHLT",IF(NOT(ISNUMBER(C1089)),"MESSWERT UNGUELTIG",IF(C1089&lt;0,"MESSWERT UNGUELTIG",IF(H1089="","TARIFPREIS FEHLT","OK"))))</f>
        <v>FEHLT</v>
      </c>
      <c r="K1089" s="7">
        <f>IF(J1089&lt;&gt;"OK","",C1089*I1089/100)</f>
        <v/>
      </c>
    </row>
    <row r="1090" spans="1:11">
      <c r="A1090" s="14">
        <v>46154</v>
      </c>
      <c r="B1090" s="15">
        <v>0.2916666666666667</v>
      </c>
      <c r="C1090" s="5">
        <f>IF('96 Werte'!AD17="","",'96 Werte'!AD17)</f>
        <v/>
      </c>
      <c r="D1090" t="str">
        <f>IF(IF(Eingaben!$B$21&lt;Eingaben!$B$22,AND(B1090&gt;=Eingaben!$B$21,B1090&lt;Eingaben!$B$22),OR(B1090&gt;=Eingaben!$B$21,B1090&lt;Eingaben!$B$22)),"GO",IF(AND(ISNUMBER(Eingaben!$B$23),ISNUMBER(Eingaben!$B$24),IF(Eingaben!$B$23&lt;Eingaben!$B$24,AND(B1090&gt;=Eingaben!$B$23,B1090&lt;Eingaben!$B$24),OR(B1090&gt;=Eingaben!$B$23,B1090&lt;Eingaben!$B$24))),"HEAT","STANDARD"))</f>
        <v>STANDARD</v>
      </c>
      <c r="E1090" s="9"/>
      <c r="F1090" t="str">
        <f>IF(E1090="",D1090,E1090)</f>
        <v>STANDARD</v>
      </c>
      <c r="G1090" t="str">
        <f>INDEX(Netzzeiten!$B$6:$B$29,HOUR(B1090)+1)</f>
        <v>ST</v>
      </c>
      <c r="H1090" s="6">
        <f>IF(F1090="GO",Eingaben!$B$11,IF(F1090="STANDARD",Eingaben!$B$12,IF(AND(F1090="HEAT",ISNUMBER(Eingaben!$B$13)),Eingaben!$B$13,"")))</f>
        <v>28.2744</v>
      </c>
      <c r="I1090" s="6">
        <f>INDEX(Netzzeiten!$C$6:$C$29,HOUR(B1090)+1)</f>
        <v>5.48</v>
      </c>
      <c r="J1090" t="str">
        <f>IF(C1090="","FEHLT",IF(NOT(ISNUMBER(C1090)),"MESSWERT UNGUELTIG",IF(C1090&lt;0,"MESSWERT UNGUELTIG",IF(H1090="","TARIFPREIS FEHLT","OK"))))</f>
        <v>FEHLT</v>
      </c>
      <c r="K1090" s="7">
        <f>IF(J1090&lt;&gt;"OK","",C1090*I1090/100)</f>
        <v/>
      </c>
    </row>
    <row r="1091" spans="1:11">
      <c r="A1091" s="14">
        <v>46154</v>
      </c>
      <c r="B1091" s="15">
        <v>0.3020833333333333</v>
      </c>
      <c r="C1091" s="5">
        <f>IF('96 Werte'!AE17="","",'96 Werte'!AE17)</f>
        <v/>
      </c>
      <c r="D1091" t="str">
        <f>IF(IF(Eingaben!$B$21&lt;Eingaben!$B$22,AND(B1091&gt;=Eingaben!$B$21,B1091&lt;Eingaben!$B$22),OR(B1091&gt;=Eingaben!$B$21,B1091&lt;Eingaben!$B$22)),"GO",IF(AND(ISNUMBER(Eingaben!$B$23),ISNUMBER(Eingaben!$B$24),IF(Eingaben!$B$23&lt;Eingaben!$B$24,AND(B1091&gt;=Eingaben!$B$23,B1091&lt;Eingaben!$B$24),OR(B1091&gt;=Eingaben!$B$23,B1091&lt;Eingaben!$B$24))),"HEAT","STANDARD"))</f>
        <v>STANDARD</v>
      </c>
      <c r="E1091" s="9"/>
      <c r="F1091" t="str">
        <f>IF(E1091="",D1091,E1091)</f>
        <v>STANDARD</v>
      </c>
      <c r="G1091" t="str">
        <f>INDEX(Netzzeiten!$B$6:$B$29,HOUR(B1091)+1)</f>
        <v>ST</v>
      </c>
      <c r="H1091" s="6">
        <f>IF(F1091="GO",Eingaben!$B$11,IF(F1091="STANDARD",Eingaben!$B$12,IF(AND(F1091="HEAT",ISNUMBER(Eingaben!$B$13)),Eingaben!$B$13,"")))</f>
        <v>28.2744</v>
      </c>
      <c r="I1091" s="6">
        <f>INDEX(Netzzeiten!$C$6:$C$29,HOUR(B1091)+1)</f>
        <v>5.48</v>
      </c>
      <c r="J1091" t="str">
        <f>IF(C1091="","FEHLT",IF(NOT(ISNUMBER(C1091)),"MESSWERT UNGUELTIG",IF(C1091&lt;0,"MESSWERT UNGUELTIG",IF(H1091="","TARIFPREIS FEHLT","OK"))))</f>
        <v>FEHLT</v>
      </c>
      <c r="K1091" s="7">
        <f>IF(J1091&lt;&gt;"OK","",C1091*I1091/100)</f>
        <v/>
      </c>
    </row>
    <row r="1092" spans="1:11">
      <c r="A1092" s="14">
        <v>46154</v>
      </c>
      <c r="B1092" s="15">
        <v>0.3125</v>
      </c>
      <c r="C1092" s="5">
        <f>IF('96 Werte'!AF17="","",'96 Werte'!AF17)</f>
        <v/>
      </c>
      <c r="D1092" t="str">
        <f>IF(IF(Eingaben!$B$21&lt;Eingaben!$B$22,AND(B1092&gt;=Eingaben!$B$21,B1092&lt;Eingaben!$B$22),OR(B1092&gt;=Eingaben!$B$21,B1092&lt;Eingaben!$B$22)),"GO",IF(AND(ISNUMBER(Eingaben!$B$23),ISNUMBER(Eingaben!$B$24),IF(Eingaben!$B$23&lt;Eingaben!$B$24,AND(B1092&gt;=Eingaben!$B$23,B1092&lt;Eingaben!$B$24),OR(B1092&gt;=Eingaben!$B$23,B1092&lt;Eingaben!$B$24))),"HEAT","STANDARD"))</f>
        <v>STANDARD</v>
      </c>
      <c r="E1092" s="9"/>
      <c r="F1092" t="str">
        <f>IF(E1092="",D1092,E1092)</f>
        <v>STANDARD</v>
      </c>
      <c r="G1092" t="str">
        <f>INDEX(Netzzeiten!$B$6:$B$29,HOUR(B1092)+1)</f>
        <v>ST</v>
      </c>
      <c r="H1092" s="6">
        <f>IF(F1092="GO",Eingaben!$B$11,IF(F1092="STANDARD",Eingaben!$B$12,IF(AND(F1092="HEAT",ISNUMBER(Eingaben!$B$13)),Eingaben!$B$13,"")))</f>
        <v>28.2744</v>
      </c>
      <c r="I1092" s="6">
        <f>INDEX(Netzzeiten!$C$6:$C$29,HOUR(B1092)+1)</f>
        <v>5.48</v>
      </c>
      <c r="J1092" t="str">
        <f>IF(C1092="","FEHLT",IF(NOT(ISNUMBER(C1092)),"MESSWERT UNGUELTIG",IF(C1092&lt;0,"MESSWERT UNGUELTIG",IF(H1092="","TARIFPREIS FEHLT","OK"))))</f>
        <v>FEHLT</v>
      </c>
      <c r="K1092" s="7">
        <f>IF(J1092&lt;&gt;"OK","",C1092*I1092/100)</f>
        <v/>
      </c>
    </row>
    <row r="1093" spans="1:11">
      <c r="A1093" s="14">
        <v>46154</v>
      </c>
      <c r="B1093" s="15">
        <v>0.3229166666666667</v>
      </c>
      <c r="C1093" s="5">
        <f>IF('96 Werte'!AG17="","",'96 Werte'!AG17)</f>
        <v/>
      </c>
      <c r="D1093" t="str">
        <f>IF(IF(Eingaben!$B$21&lt;Eingaben!$B$22,AND(B1093&gt;=Eingaben!$B$21,B1093&lt;Eingaben!$B$22),OR(B1093&gt;=Eingaben!$B$21,B1093&lt;Eingaben!$B$22)),"GO",IF(AND(ISNUMBER(Eingaben!$B$23),ISNUMBER(Eingaben!$B$24),IF(Eingaben!$B$23&lt;Eingaben!$B$24,AND(B1093&gt;=Eingaben!$B$23,B1093&lt;Eingaben!$B$24),OR(B1093&gt;=Eingaben!$B$23,B1093&lt;Eingaben!$B$24))),"HEAT","STANDARD"))</f>
        <v>STANDARD</v>
      </c>
      <c r="E1093" s="9"/>
      <c r="F1093" t="str">
        <f>IF(E1093="",D1093,E1093)</f>
        <v>STANDARD</v>
      </c>
      <c r="G1093" t="str">
        <f>INDEX(Netzzeiten!$B$6:$B$29,HOUR(B1093)+1)</f>
        <v>ST</v>
      </c>
      <c r="H1093" s="6">
        <f>IF(F1093="GO",Eingaben!$B$11,IF(F1093="STANDARD",Eingaben!$B$12,IF(AND(F1093="HEAT",ISNUMBER(Eingaben!$B$13)),Eingaben!$B$13,"")))</f>
        <v>28.2744</v>
      </c>
      <c r="I1093" s="6">
        <f>INDEX(Netzzeiten!$C$6:$C$29,HOUR(B1093)+1)</f>
        <v>5.48</v>
      </c>
      <c r="J1093" t="str">
        <f>IF(C1093="","FEHLT",IF(NOT(ISNUMBER(C1093)),"MESSWERT UNGUELTIG",IF(C1093&lt;0,"MESSWERT UNGUELTIG",IF(H1093="","TARIFPREIS FEHLT","OK"))))</f>
        <v>FEHLT</v>
      </c>
      <c r="K1093" s="7">
        <f>IF(J1093&lt;&gt;"OK","",C1093*I1093/100)</f>
        <v/>
      </c>
    </row>
    <row r="1094" spans="1:11">
      <c r="A1094" s="14">
        <v>46154</v>
      </c>
      <c r="B1094" s="15">
        <v>0.3333333333333333</v>
      </c>
      <c r="C1094" s="5">
        <f>IF('96 Werte'!AH17="","",'96 Werte'!AH17)</f>
        <v/>
      </c>
      <c r="D1094" t="str">
        <f>IF(IF(Eingaben!$B$21&lt;Eingaben!$B$22,AND(B1094&gt;=Eingaben!$B$21,B1094&lt;Eingaben!$B$22),OR(B1094&gt;=Eingaben!$B$21,B1094&lt;Eingaben!$B$22)),"GO",IF(AND(ISNUMBER(Eingaben!$B$23),ISNUMBER(Eingaben!$B$24),IF(Eingaben!$B$23&lt;Eingaben!$B$24,AND(B1094&gt;=Eingaben!$B$23,B1094&lt;Eingaben!$B$24),OR(B1094&gt;=Eingaben!$B$23,B1094&lt;Eingaben!$B$24))),"HEAT","STANDARD"))</f>
        <v>STANDARD</v>
      </c>
      <c r="E1094" s="9"/>
      <c r="F1094" t="str">
        <f>IF(E1094="",D1094,E1094)</f>
        <v>STANDARD</v>
      </c>
      <c r="G1094" t="str">
        <f>INDEX(Netzzeiten!$B$6:$B$29,HOUR(B1094)+1)</f>
        <v>ST</v>
      </c>
      <c r="H1094" s="6">
        <f>IF(F1094="GO",Eingaben!$B$11,IF(F1094="STANDARD",Eingaben!$B$12,IF(AND(F1094="HEAT",ISNUMBER(Eingaben!$B$13)),Eingaben!$B$13,"")))</f>
        <v>28.2744</v>
      </c>
      <c r="I1094" s="6">
        <f>INDEX(Netzzeiten!$C$6:$C$29,HOUR(B1094)+1)</f>
        <v>5.48</v>
      </c>
      <c r="J1094" t="str">
        <f>IF(C1094="","FEHLT",IF(NOT(ISNUMBER(C1094)),"MESSWERT UNGUELTIG",IF(C1094&lt;0,"MESSWERT UNGUELTIG",IF(H1094="","TARIFPREIS FEHLT","OK"))))</f>
        <v>FEHLT</v>
      </c>
      <c r="K1094" s="7">
        <f>IF(J1094&lt;&gt;"OK","",C1094*I1094/100)</f>
        <v/>
      </c>
    </row>
    <row r="1095" spans="1:11">
      <c r="A1095" s="14">
        <v>46154</v>
      </c>
      <c r="B1095" s="15">
        <v>0.34375</v>
      </c>
      <c r="C1095" s="5">
        <f>IF('96 Werte'!AI17="","",'96 Werte'!AI17)</f>
        <v/>
      </c>
      <c r="D1095" t="str">
        <f>IF(IF(Eingaben!$B$21&lt;Eingaben!$B$22,AND(B1095&gt;=Eingaben!$B$21,B1095&lt;Eingaben!$B$22),OR(B1095&gt;=Eingaben!$B$21,B1095&lt;Eingaben!$B$22)),"GO",IF(AND(ISNUMBER(Eingaben!$B$23),ISNUMBER(Eingaben!$B$24),IF(Eingaben!$B$23&lt;Eingaben!$B$24,AND(B1095&gt;=Eingaben!$B$23,B1095&lt;Eingaben!$B$24),OR(B1095&gt;=Eingaben!$B$23,B1095&lt;Eingaben!$B$24))),"HEAT","STANDARD"))</f>
        <v>STANDARD</v>
      </c>
      <c r="E1095" s="9"/>
      <c r="F1095" t="str">
        <f>IF(E1095="",D1095,E1095)</f>
        <v>STANDARD</v>
      </c>
      <c r="G1095" t="str">
        <f>INDEX(Netzzeiten!$B$6:$B$29,HOUR(B1095)+1)</f>
        <v>ST</v>
      </c>
      <c r="H1095" s="6">
        <f>IF(F1095="GO",Eingaben!$B$11,IF(F1095="STANDARD",Eingaben!$B$12,IF(AND(F1095="HEAT",ISNUMBER(Eingaben!$B$13)),Eingaben!$B$13,"")))</f>
        <v>28.2744</v>
      </c>
      <c r="I1095" s="6">
        <f>INDEX(Netzzeiten!$C$6:$C$29,HOUR(B1095)+1)</f>
        <v>5.48</v>
      </c>
      <c r="J1095" t="str">
        <f>IF(C1095="","FEHLT",IF(NOT(ISNUMBER(C1095)),"MESSWERT UNGUELTIG",IF(C1095&lt;0,"MESSWERT UNGUELTIG",IF(H1095="","TARIFPREIS FEHLT","OK"))))</f>
        <v>FEHLT</v>
      </c>
      <c r="K1095" s="7">
        <f>IF(J1095&lt;&gt;"OK","",C1095*I1095/100)</f>
        <v/>
      </c>
    </row>
    <row r="1096" spans="1:11">
      <c r="A1096" s="14">
        <v>46154</v>
      </c>
      <c r="B1096" s="15">
        <v>0.3541666666666667</v>
      </c>
      <c r="C1096" s="5">
        <f>IF('96 Werte'!AJ17="","",'96 Werte'!AJ17)</f>
        <v/>
      </c>
      <c r="D1096" t="str">
        <f>IF(IF(Eingaben!$B$21&lt;Eingaben!$B$22,AND(B1096&gt;=Eingaben!$B$21,B1096&lt;Eingaben!$B$22),OR(B1096&gt;=Eingaben!$B$21,B1096&lt;Eingaben!$B$22)),"GO",IF(AND(ISNUMBER(Eingaben!$B$23),ISNUMBER(Eingaben!$B$24),IF(Eingaben!$B$23&lt;Eingaben!$B$24,AND(B1096&gt;=Eingaben!$B$23,B1096&lt;Eingaben!$B$24),OR(B1096&gt;=Eingaben!$B$23,B1096&lt;Eingaben!$B$24))),"HEAT","STANDARD"))</f>
        <v>STANDARD</v>
      </c>
      <c r="E1096" s="9"/>
      <c r="F1096" t="str">
        <f>IF(E1096="",D1096,E1096)</f>
        <v>STANDARD</v>
      </c>
      <c r="G1096" t="str">
        <f>INDEX(Netzzeiten!$B$6:$B$29,HOUR(B1096)+1)</f>
        <v>ST</v>
      </c>
      <c r="H1096" s="6">
        <f>IF(F1096="GO",Eingaben!$B$11,IF(F1096="STANDARD",Eingaben!$B$12,IF(AND(F1096="HEAT",ISNUMBER(Eingaben!$B$13)),Eingaben!$B$13,"")))</f>
        <v>28.2744</v>
      </c>
      <c r="I1096" s="6">
        <f>INDEX(Netzzeiten!$C$6:$C$29,HOUR(B1096)+1)</f>
        <v>5.48</v>
      </c>
      <c r="J1096" t="str">
        <f>IF(C1096="","FEHLT",IF(NOT(ISNUMBER(C1096)),"MESSWERT UNGUELTIG",IF(C1096&lt;0,"MESSWERT UNGUELTIG",IF(H1096="","TARIFPREIS FEHLT","OK"))))</f>
        <v>FEHLT</v>
      </c>
      <c r="K1096" s="7">
        <f>IF(J1096&lt;&gt;"OK","",C1096*I1096/100)</f>
        <v/>
      </c>
    </row>
    <row r="1097" spans="1:11">
      <c r="A1097" s="14">
        <v>46154</v>
      </c>
      <c r="B1097" s="15">
        <v>0.3645833333333333</v>
      </c>
      <c r="C1097" s="5">
        <f>IF('96 Werte'!AK17="","",'96 Werte'!AK17)</f>
        <v/>
      </c>
      <c r="D1097" t="str">
        <f>IF(IF(Eingaben!$B$21&lt;Eingaben!$B$22,AND(B1097&gt;=Eingaben!$B$21,B1097&lt;Eingaben!$B$22),OR(B1097&gt;=Eingaben!$B$21,B1097&lt;Eingaben!$B$22)),"GO",IF(AND(ISNUMBER(Eingaben!$B$23),ISNUMBER(Eingaben!$B$24),IF(Eingaben!$B$23&lt;Eingaben!$B$24,AND(B1097&gt;=Eingaben!$B$23,B1097&lt;Eingaben!$B$24),OR(B1097&gt;=Eingaben!$B$23,B1097&lt;Eingaben!$B$24))),"HEAT","STANDARD"))</f>
        <v>STANDARD</v>
      </c>
      <c r="E1097" s="9"/>
      <c r="F1097" t="str">
        <f>IF(E1097="",D1097,E1097)</f>
        <v>STANDARD</v>
      </c>
      <c r="G1097" t="str">
        <f>INDEX(Netzzeiten!$B$6:$B$29,HOUR(B1097)+1)</f>
        <v>ST</v>
      </c>
      <c r="H1097" s="6">
        <f>IF(F1097="GO",Eingaben!$B$11,IF(F1097="STANDARD",Eingaben!$B$12,IF(AND(F1097="HEAT",ISNUMBER(Eingaben!$B$13)),Eingaben!$B$13,"")))</f>
        <v>28.2744</v>
      </c>
      <c r="I1097" s="6">
        <f>INDEX(Netzzeiten!$C$6:$C$29,HOUR(B1097)+1)</f>
        <v>5.48</v>
      </c>
      <c r="J1097" t="str">
        <f>IF(C1097="","FEHLT",IF(NOT(ISNUMBER(C1097)),"MESSWERT UNGUELTIG",IF(C1097&lt;0,"MESSWERT UNGUELTIG",IF(H1097="","TARIFPREIS FEHLT","OK"))))</f>
        <v>FEHLT</v>
      </c>
      <c r="K1097" s="7">
        <f>IF(J1097&lt;&gt;"OK","",C1097*I1097/100)</f>
        <v/>
      </c>
    </row>
    <row r="1098" spans="1:11">
      <c r="A1098" s="14">
        <v>46154</v>
      </c>
      <c r="B1098" s="15">
        <v>0.375</v>
      </c>
      <c r="C1098" s="5">
        <f>IF('96 Werte'!AL17="","",'96 Werte'!AL17)</f>
        <v/>
      </c>
      <c r="D1098" t="str">
        <f>IF(IF(Eingaben!$B$21&lt;Eingaben!$B$22,AND(B1098&gt;=Eingaben!$B$21,B1098&lt;Eingaben!$B$22),OR(B1098&gt;=Eingaben!$B$21,B1098&lt;Eingaben!$B$22)),"GO",IF(AND(ISNUMBER(Eingaben!$B$23),ISNUMBER(Eingaben!$B$24),IF(Eingaben!$B$23&lt;Eingaben!$B$24,AND(B1098&gt;=Eingaben!$B$23,B1098&lt;Eingaben!$B$24),OR(B1098&gt;=Eingaben!$B$23,B1098&lt;Eingaben!$B$24))),"HEAT","STANDARD"))</f>
        <v>STANDARD</v>
      </c>
      <c r="E1098" s="9"/>
      <c r="F1098" t="str">
        <f>IF(E1098="",D1098,E1098)</f>
        <v>STANDARD</v>
      </c>
      <c r="G1098" t="str">
        <f>INDEX(Netzzeiten!$B$6:$B$29,HOUR(B1098)+1)</f>
        <v>ST</v>
      </c>
      <c r="H1098" s="6">
        <f>IF(F1098="GO",Eingaben!$B$11,IF(F1098="STANDARD",Eingaben!$B$12,IF(AND(F1098="HEAT",ISNUMBER(Eingaben!$B$13)),Eingaben!$B$13,"")))</f>
        <v>28.2744</v>
      </c>
      <c r="I1098" s="6">
        <f>INDEX(Netzzeiten!$C$6:$C$29,HOUR(B1098)+1)</f>
        <v>5.48</v>
      </c>
      <c r="J1098" t="str">
        <f>IF(C1098="","FEHLT",IF(NOT(ISNUMBER(C1098)),"MESSWERT UNGUELTIG",IF(C1098&lt;0,"MESSWERT UNGUELTIG",IF(H1098="","TARIFPREIS FEHLT","OK"))))</f>
        <v>FEHLT</v>
      </c>
      <c r="K1098" s="7">
        <f>IF(J1098&lt;&gt;"OK","",C1098*I1098/100)</f>
        <v/>
      </c>
    </row>
    <row r="1099" spans="1:11">
      <c r="A1099" s="14">
        <v>46154</v>
      </c>
      <c r="B1099" s="15">
        <v>0.3854166666666667</v>
      </c>
      <c r="C1099" s="5">
        <f>IF('96 Werte'!AM17="","",'96 Werte'!AM17)</f>
        <v/>
      </c>
      <c r="D1099" t="str">
        <f>IF(IF(Eingaben!$B$21&lt;Eingaben!$B$22,AND(B1099&gt;=Eingaben!$B$21,B1099&lt;Eingaben!$B$22),OR(B1099&gt;=Eingaben!$B$21,B1099&lt;Eingaben!$B$22)),"GO",IF(AND(ISNUMBER(Eingaben!$B$23),ISNUMBER(Eingaben!$B$24),IF(Eingaben!$B$23&lt;Eingaben!$B$24,AND(B1099&gt;=Eingaben!$B$23,B1099&lt;Eingaben!$B$24),OR(B1099&gt;=Eingaben!$B$23,B1099&lt;Eingaben!$B$24))),"HEAT","STANDARD"))</f>
        <v>STANDARD</v>
      </c>
      <c r="E1099" s="9"/>
      <c r="F1099" t="str">
        <f>IF(E1099="",D1099,E1099)</f>
        <v>STANDARD</v>
      </c>
      <c r="G1099" t="str">
        <f>INDEX(Netzzeiten!$B$6:$B$29,HOUR(B1099)+1)</f>
        <v>ST</v>
      </c>
      <c r="H1099" s="6">
        <f>IF(F1099="GO",Eingaben!$B$11,IF(F1099="STANDARD",Eingaben!$B$12,IF(AND(F1099="HEAT",ISNUMBER(Eingaben!$B$13)),Eingaben!$B$13,"")))</f>
        <v>28.2744</v>
      </c>
      <c r="I1099" s="6">
        <f>INDEX(Netzzeiten!$C$6:$C$29,HOUR(B1099)+1)</f>
        <v>5.48</v>
      </c>
      <c r="J1099" t="str">
        <f>IF(C1099="","FEHLT",IF(NOT(ISNUMBER(C1099)),"MESSWERT UNGUELTIG",IF(C1099&lt;0,"MESSWERT UNGUELTIG",IF(H1099="","TARIFPREIS FEHLT","OK"))))</f>
        <v>FEHLT</v>
      </c>
      <c r="K1099" s="7">
        <f>IF(J1099&lt;&gt;"OK","",C1099*I1099/100)</f>
        <v/>
      </c>
    </row>
    <row r="1100" spans="1:11">
      <c r="A1100" s="14">
        <v>46154</v>
      </c>
      <c r="B1100" s="15">
        <v>0.3958333333333333</v>
      </c>
      <c r="C1100" s="5">
        <f>IF('96 Werte'!AN17="","",'96 Werte'!AN17)</f>
        <v/>
      </c>
      <c r="D1100" t="str">
        <f>IF(IF(Eingaben!$B$21&lt;Eingaben!$B$22,AND(B1100&gt;=Eingaben!$B$21,B1100&lt;Eingaben!$B$22),OR(B1100&gt;=Eingaben!$B$21,B1100&lt;Eingaben!$B$22)),"GO",IF(AND(ISNUMBER(Eingaben!$B$23),ISNUMBER(Eingaben!$B$24),IF(Eingaben!$B$23&lt;Eingaben!$B$24,AND(B1100&gt;=Eingaben!$B$23,B1100&lt;Eingaben!$B$24),OR(B1100&gt;=Eingaben!$B$23,B1100&lt;Eingaben!$B$24))),"HEAT","STANDARD"))</f>
        <v>STANDARD</v>
      </c>
      <c r="E1100" s="9"/>
      <c r="F1100" t="str">
        <f>IF(E1100="",D1100,E1100)</f>
        <v>STANDARD</v>
      </c>
      <c r="G1100" t="str">
        <f>INDEX(Netzzeiten!$B$6:$B$29,HOUR(B1100)+1)</f>
        <v>ST</v>
      </c>
      <c r="H1100" s="6">
        <f>IF(F1100="GO",Eingaben!$B$11,IF(F1100="STANDARD",Eingaben!$B$12,IF(AND(F1100="HEAT",ISNUMBER(Eingaben!$B$13)),Eingaben!$B$13,"")))</f>
        <v>28.2744</v>
      </c>
      <c r="I1100" s="6">
        <f>INDEX(Netzzeiten!$C$6:$C$29,HOUR(B1100)+1)</f>
        <v>5.48</v>
      </c>
      <c r="J1100" t="str">
        <f>IF(C1100="","FEHLT",IF(NOT(ISNUMBER(C1100)),"MESSWERT UNGUELTIG",IF(C1100&lt;0,"MESSWERT UNGUELTIG",IF(H1100="","TARIFPREIS FEHLT","OK"))))</f>
        <v>FEHLT</v>
      </c>
      <c r="K1100" s="7">
        <f>IF(J1100&lt;&gt;"OK","",C1100*I1100/100)</f>
        <v/>
      </c>
    </row>
    <row r="1101" spans="1:11">
      <c r="A1101" s="14">
        <v>46154</v>
      </c>
      <c r="B1101" s="15">
        <v>0.40625</v>
      </c>
      <c r="C1101" s="5">
        <f>IF('96 Werte'!AO17="","",'96 Werte'!AO17)</f>
        <v/>
      </c>
      <c r="D1101" t="str">
        <f>IF(IF(Eingaben!$B$21&lt;Eingaben!$B$22,AND(B1101&gt;=Eingaben!$B$21,B1101&lt;Eingaben!$B$22),OR(B1101&gt;=Eingaben!$B$21,B1101&lt;Eingaben!$B$22)),"GO",IF(AND(ISNUMBER(Eingaben!$B$23),ISNUMBER(Eingaben!$B$24),IF(Eingaben!$B$23&lt;Eingaben!$B$24,AND(B1101&gt;=Eingaben!$B$23,B1101&lt;Eingaben!$B$24),OR(B1101&gt;=Eingaben!$B$23,B1101&lt;Eingaben!$B$24))),"HEAT","STANDARD"))</f>
        <v>STANDARD</v>
      </c>
      <c r="E1101" s="9"/>
      <c r="F1101" t="str">
        <f>IF(E1101="",D1101,E1101)</f>
        <v>STANDARD</v>
      </c>
      <c r="G1101" t="str">
        <f>INDEX(Netzzeiten!$B$6:$B$29,HOUR(B1101)+1)</f>
        <v>ST</v>
      </c>
      <c r="H1101" s="6">
        <f>IF(F1101="GO",Eingaben!$B$11,IF(F1101="STANDARD",Eingaben!$B$12,IF(AND(F1101="HEAT",ISNUMBER(Eingaben!$B$13)),Eingaben!$B$13,"")))</f>
        <v>28.2744</v>
      </c>
      <c r="I1101" s="6">
        <f>INDEX(Netzzeiten!$C$6:$C$29,HOUR(B1101)+1)</f>
        <v>5.48</v>
      </c>
      <c r="J1101" t="str">
        <f>IF(C1101="","FEHLT",IF(NOT(ISNUMBER(C1101)),"MESSWERT UNGUELTIG",IF(C1101&lt;0,"MESSWERT UNGUELTIG",IF(H1101="","TARIFPREIS FEHLT","OK"))))</f>
        <v>FEHLT</v>
      </c>
      <c r="K1101" s="7">
        <f>IF(J1101&lt;&gt;"OK","",C1101*I1101/100)</f>
        <v/>
      </c>
    </row>
    <row r="1102" spans="1:11">
      <c r="A1102" s="14">
        <v>46154</v>
      </c>
      <c r="B1102" s="15">
        <v>0.4166666666666667</v>
      </c>
      <c r="C1102" s="5">
        <f>IF('96 Werte'!AP17="","",'96 Werte'!AP17)</f>
        <v/>
      </c>
      <c r="D1102" t="str">
        <f>IF(IF(Eingaben!$B$21&lt;Eingaben!$B$22,AND(B1102&gt;=Eingaben!$B$21,B1102&lt;Eingaben!$B$22),OR(B1102&gt;=Eingaben!$B$21,B1102&lt;Eingaben!$B$22)),"GO",IF(AND(ISNUMBER(Eingaben!$B$23),ISNUMBER(Eingaben!$B$24),IF(Eingaben!$B$23&lt;Eingaben!$B$24,AND(B1102&gt;=Eingaben!$B$23,B1102&lt;Eingaben!$B$24),OR(B1102&gt;=Eingaben!$B$23,B1102&lt;Eingaben!$B$24))),"HEAT","STANDARD"))</f>
        <v>STANDARD</v>
      </c>
      <c r="E1102" s="9"/>
      <c r="F1102" t="str">
        <f>IF(E1102="",D1102,E1102)</f>
        <v>STANDARD</v>
      </c>
      <c r="G1102" t="str">
        <f>INDEX(Netzzeiten!$B$6:$B$29,HOUR(B1102)+1)</f>
        <v>ST</v>
      </c>
      <c r="H1102" s="6">
        <f>IF(F1102="GO",Eingaben!$B$11,IF(F1102="STANDARD",Eingaben!$B$12,IF(AND(F1102="HEAT",ISNUMBER(Eingaben!$B$13)),Eingaben!$B$13,"")))</f>
        <v>28.2744</v>
      </c>
      <c r="I1102" s="6">
        <f>INDEX(Netzzeiten!$C$6:$C$29,HOUR(B1102)+1)</f>
        <v>5.48</v>
      </c>
      <c r="J1102" t="str">
        <f>IF(C1102="","FEHLT",IF(NOT(ISNUMBER(C1102)),"MESSWERT UNGUELTIG",IF(C1102&lt;0,"MESSWERT UNGUELTIG",IF(H1102="","TARIFPREIS FEHLT","OK"))))</f>
        <v>FEHLT</v>
      </c>
      <c r="K1102" s="7">
        <f>IF(J1102&lt;&gt;"OK","",C1102*I1102/100)</f>
        <v/>
      </c>
    </row>
    <row r="1103" spans="1:11">
      <c r="A1103" s="14">
        <v>46154</v>
      </c>
      <c r="B1103" s="15">
        <v>0.4270833333333333</v>
      </c>
      <c r="C1103" s="5">
        <f>IF('96 Werte'!AQ17="","",'96 Werte'!AQ17)</f>
        <v/>
      </c>
      <c r="D1103" t="str">
        <f>IF(IF(Eingaben!$B$21&lt;Eingaben!$B$22,AND(B1103&gt;=Eingaben!$B$21,B1103&lt;Eingaben!$B$22),OR(B1103&gt;=Eingaben!$B$21,B1103&lt;Eingaben!$B$22)),"GO",IF(AND(ISNUMBER(Eingaben!$B$23),ISNUMBER(Eingaben!$B$24),IF(Eingaben!$B$23&lt;Eingaben!$B$24,AND(B1103&gt;=Eingaben!$B$23,B1103&lt;Eingaben!$B$24),OR(B1103&gt;=Eingaben!$B$23,B1103&lt;Eingaben!$B$24))),"HEAT","STANDARD"))</f>
        <v>STANDARD</v>
      </c>
      <c r="E1103" s="9"/>
      <c r="F1103" t="str">
        <f>IF(E1103="",D1103,E1103)</f>
        <v>STANDARD</v>
      </c>
      <c r="G1103" t="str">
        <f>INDEX(Netzzeiten!$B$6:$B$29,HOUR(B1103)+1)</f>
        <v>ST</v>
      </c>
      <c r="H1103" s="6">
        <f>IF(F1103="GO",Eingaben!$B$11,IF(F1103="STANDARD",Eingaben!$B$12,IF(AND(F1103="HEAT",ISNUMBER(Eingaben!$B$13)),Eingaben!$B$13,"")))</f>
        <v>28.2744</v>
      </c>
      <c r="I1103" s="6">
        <f>INDEX(Netzzeiten!$C$6:$C$29,HOUR(B1103)+1)</f>
        <v>5.48</v>
      </c>
      <c r="J1103" t="str">
        <f>IF(C1103="","FEHLT",IF(NOT(ISNUMBER(C1103)),"MESSWERT UNGUELTIG",IF(C1103&lt;0,"MESSWERT UNGUELTIG",IF(H1103="","TARIFPREIS FEHLT","OK"))))</f>
        <v>FEHLT</v>
      </c>
      <c r="K1103" s="7">
        <f>IF(J1103&lt;&gt;"OK","",C1103*I1103/100)</f>
        <v/>
      </c>
    </row>
    <row r="1104" spans="1:11">
      <c r="A1104" s="14">
        <v>46154</v>
      </c>
      <c r="B1104" s="15">
        <v>0.4375</v>
      </c>
      <c r="C1104" s="5">
        <f>IF('96 Werte'!AR17="","",'96 Werte'!AR17)</f>
        <v/>
      </c>
      <c r="D1104" t="str">
        <f>IF(IF(Eingaben!$B$21&lt;Eingaben!$B$22,AND(B1104&gt;=Eingaben!$B$21,B1104&lt;Eingaben!$B$22),OR(B1104&gt;=Eingaben!$B$21,B1104&lt;Eingaben!$B$22)),"GO",IF(AND(ISNUMBER(Eingaben!$B$23),ISNUMBER(Eingaben!$B$24),IF(Eingaben!$B$23&lt;Eingaben!$B$24,AND(B1104&gt;=Eingaben!$B$23,B1104&lt;Eingaben!$B$24),OR(B1104&gt;=Eingaben!$B$23,B1104&lt;Eingaben!$B$24))),"HEAT","STANDARD"))</f>
        <v>STANDARD</v>
      </c>
      <c r="E1104" s="9"/>
      <c r="F1104" t="str">
        <f>IF(E1104="",D1104,E1104)</f>
        <v>STANDARD</v>
      </c>
      <c r="G1104" t="str">
        <f>INDEX(Netzzeiten!$B$6:$B$29,HOUR(B1104)+1)</f>
        <v>ST</v>
      </c>
      <c r="H1104" s="6">
        <f>IF(F1104="GO",Eingaben!$B$11,IF(F1104="STANDARD",Eingaben!$B$12,IF(AND(F1104="HEAT",ISNUMBER(Eingaben!$B$13)),Eingaben!$B$13,"")))</f>
        <v>28.2744</v>
      </c>
      <c r="I1104" s="6">
        <f>INDEX(Netzzeiten!$C$6:$C$29,HOUR(B1104)+1)</f>
        <v>5.48</v>
      </c>
      <c r="J1104" t="str">
        <f>IF(C1104="","FEHLT",IF(NOT(ISNUMBER(C1104)),"MESSWERT UNGUELTIG",IF(C1104&lt;0,"MESSWERT UNGUELTIG",IF(H1104="","TARIFPREIS FEHLT","OK"))))</f>
        <v>FEHLT</v>
      </c>
      <c r="K1104" s="7">
        <f>IF(J1104&lt;&gt;"OK","",C1104*I1104/100)</f>
        <v/>
      </c>
    </row>
    <row r="1105" spans="1:11">
      <c r="A1105" s="14">
        <v>46154</v>
      </c>
      <c r="B1105" s="15">
        <v>0.4479166666666667</v>
      </c>
      <c r="C1105" s="5">
        <f>IF('96 Werte'!AS17="","",'96 Werte'!AS17)</f>
        <v/>
      </c>
      <c r="D1105" t="str">
        <f>IF(IF(Eingaben!$B$21&lt;Eingaben!$B$22,AND(B1105&gt;=Eingaben!$B$21,B1105&lt;Eingaben!$B$22),OR(B1105&gt;=Eingaben!$B$21,B1105&lt;Eingaben!$B$22)),"GO",IF(AND(ISNUMBER(Eingaben!$B$23),ISNUMBER(Eingaben!$B$24),IF(Eingaben!$B$23&lt;Eingaben!$B$24,AND(B1105&gt;=Eingaben!$B$23,B1105&lt;Eingaben!$B$24),OR(B1105&gt;=Eingaben!$B$23,B1105&lt;Eingaben!$B$24))),"HEAT","STANDARD"))</f>
        <v>STANDARD</v>
      </c>
      <c r="E1105" s="9"/>
      <c r="F1105" t="str">
        <f>IF(E1105="",D1105,E1105)</f>
        <v>STANDARD</v>
      </c>
      <c r="G1105" t="str">
        <f>INDEX(Netzzeiten!$B$6:$B$29,HOUR(B1105)+1)</f>
        <v>ST</v>
      </c>
      <c r="H1105" s="6">
        <f>IF(F1105="GO",Eingaben!$B$11,IF(F1105="STANDARD",Eingaben!$B$12,IF(AND(F1105="HEAT",ISNUMBER(Eingaben!$B$13)),Eingaben!$B$13,"")))</f>
        <v>28.2744</v>
      </c>
      <c r="I1105" s="6">
        <f>INDEX(Netzzeiten!$C$6:$C$29,HOUR(B1105)+1)</f>
        <v>5.48</v>
      </c>
      <c r="J1105" t="str">
        <f>IF(C1105="","FEHLT",IF(NOT(ISNUMBER(C1105)),"MESSWERT UNGUELTIG",IF(C1105&lt;0,"MESSWERT UNGUELTIG",IF(H1105="","TARIFPREIS FEHLT","OK"))))</f>
        <v>FEHLT</v>
      </c>
      <c r="K1105" s="7">
        <f>IF(J1105&lt;&gt;"OK","",C1105*I1105/100)</f>
        <v/>
      </c>
    </row>
    <row r="1106" spans="1:11">
      <c r="A1106" s="14">
        <v>46154</v>
      </c>
      <c r="B1106" s="15">
        <v>0.4583333333333333</v>
      </c>
      <c r="C1106" s="5">
        <f>IF('96 Werte'!AT17="","",'96 Werte'!AT17)</f>
        <v/>
      </c>
      <c r="D1106" t="str">
        <f>IF(IF(Eingaben!$B$21&lt;Eingaben!$B$22,AND(B1106&gt;=Eingaben!$B$21,B1106&lt;Eingaben!$B$22),OR(B1106&gt;=Eingaben!$B$21,B1106&lt;Eingaben!$B$22)),"GO",IF(AND(ISNUMBER(Eingaben!$B$23),ISNUMBER(Eingaben!$B$24),IF(Eingaben!$B$23&lt;Eingaben!$B$24,AND(B1106&gt;=Eingaben!$B$23,B1106&lt;Eingaben!$B$24),OR(B1106&gt;=Eingaben!$B$23,B1106&lt;Eingaben!$B$24))),"HEAT","STANDARD"))</f>
        <v>STANDARD</v>
      </c>
      <c r="E1106" s="9"/>
      <c r="F1106" t="str">
        <f>IF(E1106="",D1106,E1106)</f>
        <v>STANDARD</v>
      </c>
      <c r="G1106" t="str">
        <f>INDEX(Netzzeiten!$B$6:$B$29,HOUR(B1106)+1)</f>
        <v>NT</v>
      </c>
      <c r="H1106" s="6">
        <f>IF(F1106="GO",Eingaben!$B$11,IF(F1106="STANDARD",Eingaben!$B$12,IF(AND(F1106="HEAT",ISNUMBER(Eingaben!$B$13)),Eingaben!$B$13,"")))</f>
        <v>28.2744</v>
      </c>
      <c r="I1106" s="6">
        <f>INDEX(Netzzeiten!$C$6:$C$29,HOUR(B1106)+1)</f>
        <v>1.64</v>
      </c>
      <c r="J1106" t="str">
        <f>IF(C1106="","FEHLT",IF(NOT(ISNUMBER(C1106)),"MESSWERT UNGUELTIG",IF(C1106&lt;0,"MESSWERT UNGUELTIG",IF(H1106="","TARIFPREIS FEHLT","OK"))))</f>
        <v>FEHLT</v>
      </c>
      <c r="K1106" s="7">
        <f>IF(J1106&lt;&gt;"OK","",C1106*I1106/100)</f>
        <v/>
      </c>
    </row>
    <row r="1107" spans="1:11">
      <c r="A1107" s="14">
        <v>46154</v>
      </c>
      <c r="B1107" s="15">
        <v>0.46875</v>
      </c>
      <c r="C1107" s="5">
        <f>IF('96 Werte'!AU17="","",'96 Werte'!AU17)</f>
        <v/>
      </c>
      <c r="D1107" t="str">
        <f>IF(IF(Eingaben!$B$21&lt;Eingaben!$B$22,AND(B1107&gt;=Eingaben!$B$21,B1107&lt;Eingaben!$B$22),OR(B1107&gt;=Eingaben!$B$21,B1107&lt;Eingaben!$B$22)),"GO",IF(AND(ISNUMBER(Eingaben!$B$23),ISNUMBER(Eingaben!$B$24),IF(Eingaben!$B$23&lt;Eingaben!$B$24,AND(B1107&gt;=Eingaben!$B$23,B1107&lt;Eingaben!$B$24),OR(B1107&gt;=Eingaben!$B$23,B1107&lt;Eingaben!$B$24))),"HEAT","STANDARD"))</f>
        <v>STANDARD</v>
      </c>
      <c r="E1107" s="9"/>
      <c r="F1107" t="str">
        <f>IF(E1107="",D1107,E1107)</f>
        <v>STANDARD</v>
      </c>
      <c r="G1107" t="str">
        <f>INDEX(Netzzeiten!$B$6:$B$29,HOUR(B1107)+1)</f>
        <v>NT</v>
      </c>
      <c r="H1107" s="6">
        <f>IF(F1107="GO",Eingaben!$B$11,IF(F1107="STANDARD",Eingaben!$B$12,IF(AND(F1107="HEAT",ISNUMBER(Eingaben!$B$13)),Eingaben!$B$13,"")))</f>
        <v>28.2744</v>
      </c>
      <c r="I1107" s="6">
        <f>INDEX(Netzzeiten!$C$6:$C$29,HOUR(B1107)+1)</f>
        <v>1.64</v>
      </c>
      <c r="J1107" t="str">
        <f>IF(C1107="","FEHLT",IF(NOT(ISNUMBER(C1107)),"MESSWERT UNGUELTIG",IF(C1107&lt;0,"MESSWERT UNGUELTIG",IF(H1107="","TARIFPREIS FEHLT","OK"))))</f>
        <v>FEHLT</v>
      </c>
      <c r="K1107" s="7">
        <f>IF(J1107&lt;&gt;"OK","",C1107*I1107/100)</f>
        <v/>
      </c>
    </row>
    <row r="1108" spans="1:11">
      <c r="A1108" s="14">
        <v>46154</v>
      </c>
      <c r="B1108" s="15">
        <v>0.4791666666666667</v>
      </c>
      <c r="C1108" s="5">
        <f>IF('96 Werte'!AV17="","",'96 Werte'!AV17)</f>
        <v/>
      </c>
      <c r="D1108" t="str">
        <f>IF(IF(Eingaben!$B$21&lt;Eingaben!$B$22,AND(B1108&gt;=Eingaben!$B$21,B1108&lt;Eingaben!$B$22),OR(B1108&gt;=Eingaben!$B$21,B1108&lt;Eingaben!$B$22)),"GO",IF(AND(ISNUMBER(Eingaben!$B$23),ISNUMBER(Eingaben!$B$24),IF(Eingaben!$B$23&lt;Eingaben!$B$24,AND(B1108&gt;=Eingaben!$B$23,B1108&lt;Eingaben!$B$24),OR(B1108&gt;=Eingaben!$B$23,B1108&lt;Eingaben!$B$24))),"HEAT","STANDARD"))</f>
        <v>STANDARD</v>
      </c>
      <c r="E1108" s="9"/>
      <c r="F1108" t="str">
        <f>IF(E1108="",D1108,E1108)</f>
        <v>STANDARD</v>
      </c>
      <c r="G1108" t="str">
        <f>INDEX(Netzzeiten!$B$6:$B$29,HOUR(B1108)+1)</f>
        <v>NT</v>
      </c>
      <c r="H1108" s="6">
        <f>IF(F1108="GO",Eingaben!$B$11,IF(F1108="STANDARD",Eingaben!$B$12,IF(AND(F1108="HEAT",ISNUMBER(Eingaben!$B$13)),Eingaben!$B$13,"")))</f>
        <v>28.2744</v>
      </c>
      <c r="I1108" s="6">
        <f>INDEX(Netzzeiten!$C$6:$C$29,HOUR(B1108)+1)</f>
        <v>1.64</v>
      </c>
      <c r="J1108" t="str">
        <f>IF(C1108="","FEHLT",IF(NOT(ISNUMBER(C1108)),"MESSWERT UNGUELTIG",IF(C1108&lt;0,"MESSWERT UNGUELTIG",IF(H1108="","TARIFPREIS FEHLT","OK"))))</f>
        <v>FEHLT</v>
      </c>
      <c r="K1108" s="7">
        <f>IF(J1108&lt;&gt;"OK","",C1108*I1108/100)</f>
        <v/>
      </c>
    </row>
    <row r="1109" spans="1:11">
      <c r="A1109" s="14">
        <v>46154</v>
      </c>
      <c r="B1109" s="15">
        <v>0.4895833333333333</v>
      </c>
      <c r="C1109" s="5">
        <f>IF('96 Werte'!AW17="","",'96 Werte'!AW17)</f>
        <v/>
      </c>
      <c r="D1109" t="str">
        <f>IF(IF(Eingaben!$B$21&lt;Eingaben!$B$22,AND(B1109&gt;=Eingaben!$B$21,B1109&lt;Eingaben!$B$22),OR(B1109&gt;=Eingaben!$B$21,B1109&lt;Eingaben!$B$22)),"GO",IF(AND(ISNUMBER(Eingaben!$B$23),ISNUMBER(Eingaben!$B$24),IF(Eingaben!$B$23&lt;Eingaben!$B$24,AND(B1109&gt;=Eingaben!$B$23,B1109&lt;Eingaben!$B$24),OR(B1109&gt;=Eingaben!$B$23,B1109&lt;Eingaben!$B$24))),"HEAT","STANDARD"))</f>
        <v>STANDARD</v>
      </c>
      <c r="E1109" s="9"/>
      <c r="F1109" t="str">
        <f>IF(E1109="",D1109,E1109)</f>
        <v>STANDARD</v>
      </c>
      <c r="G1109" t="str">
        <f>INDEX(Netzzeiten!$B$6:$B$29,HOUR(B1109)+1)</f>
        <v>NT</v>
      </c>
      <c r="H1109" s="6">
        <f>IF(F1109="GO",Eingaben!$B$11,IF(F1109="STANDARD",Eingaben!$B$12,IF(AND(F1109="HEAT",ISNUMBER(Eingaben!$B$13)),Eingaben!$B$13,"")))</f>
        <v>28.2744</v>
      </c>
      <c r="I1109" s="6">
        <f>INDEX(Netzzeiten!$C$6:$C$29,HOUR(B1109)+1)</f>
        <v>1.64</v>
      </c>
      <c r="J1109" t="str">
        <f>IF(C1109="","FEHLT",IF(NOT(ISNUMBER(C1109)),"MESSWERT UNGUELTIG",IF(C1109&lt;0,"MESSWERT UNGUELTIG",IF(H1109="","TARIFPREIS FEHLT","OK"))))</f>
        <v>FEHLT</v>
      </c>
      <c r="K1109" s="7">
        <f>IF(J1109&lt;&gt;"OK","",C1109*I1109/100)</f>
        <v/>
      </c>
    </row>
    <row r="1110" spans="1:11">
      <c r="A1110" s="14">
        <v>46154</v>
      </c>
      <c r="B1110" s="15">
        <v>0.5</v>
      </c>
      <c r="C1110" s="5">
        <f>IF('96 Werte'!AX17="","",'96 Werte'!AX17)</f>
        <v/>
      </c>
      <c r="D1110" t="str">
        <f>IF(IF(Eingaben!$B$21&lt;Eingaben!$B$22,AND(B1110&gt;=Eingaben!$B$21,B1110&lt;Eingaben!$B$22),OR(B1110&gt;=Eingaben!$B$21,B1110&lt;Eingaben!$B$22)),"GO",IF(AND(ISNUMBER(Eingaben!$B$23),ISNUMBER(Eingaben!$B$24),IF(Eingaben!$B$23&lt;Eingaben!$B$24,AND(B1110&gt;=Eingaben!$B$23,B1110&lt;Eingaben!$B$24),OR(B1110&gt;=Eingaben!$B$23,B1110&lt;Eingaben!$B$24))),"HEAT","STANDARD"))</f>
        <v>STANDARD</v>
      </c>
      <c r="E1110" s="9"/>
      <c r="F1110" t="str">
        <f>IF(E1110="",D1110,E1110)</f>
        <v>STANDARD</v>
      </c>
      <c r="G1110" t="str">
        <f>INDEX(Netzzeiten!$B$6:$B$29,HOUR(B1110)+1)</f>
        <v>NT</v>
      </c>
      <c r="H1110" s="6">
        <f>IF(F1110="GO",Eingaben!$B$11,IF(F1110="STANDARD",Eingaben!$B$12,IF(AND(F1110="HEAT",ISNUMBER(Eingaben!$B$13)),Eingaben!$B$13,"")))</f>
        <v>28.2744</v>
      </c>
      <c r="I1110" s="6">
        <f>INDEX(Netzzeiten!$C$6:$C$29,HOUR(B1110)+1)</f>
        <v>1.64</v>
      </c>
      <c r="J1110" t="str">
        <f>IF(C1110="","FEHLT",IF(NOT(ISNUMBER(C1110)),"MESSWERT UNGUELTIG",IF(C1110&lt;0,"MESSWERT UNGUELTIG",IF(H1110="","TARIFPREIS FEHLT","OK"))))</f>
        <v>FEHLT</v>
      </c>
      <c r="K1110" s="7">
        <f>IF(J1110&lt;&gt;"OK","",C1110*I1110/100)</f>
        <v/>
      </c>
    </row>
    <row r="1111" spans="1:11">
      <c r="A1111" s="14">
        <v>46154</v>
      </c>
      <c r="B1111" s="15">
        <v>0.5104166666666666</v>
      </c>
      <c r="C1111" s="5">
        <f>IF('96 Werte'!AY17="","",'96 Werte'!AY17)</f>
        <v/>
      </c>
      <c r="D1111" t="str">
        <f>IF(IF(Eingaben!$B$21&lt;Eingaben!$B$22,AND(B1111&gt;=Eingaben!$B$21,B1111&lt;Eingaben!$B$22),OR(B1111&gt;=Eingaben!$B$21,B1111&lt;Eingaben!$B$22)),"GO",IF(AND(ISNUMBER(Eingaben!$B$23),ISNUMBER(Eingaben!$B$24),IF(Eingaben!$B$23&lt;Eingaben!$B$24,AND(B1111&gt;=Eingaben!$B$23,B1111&lt;Eingaben!$B$24),OR(B1111&gt;=Eingaben!$B$23,B1111&lt;Eingaben!$B$24))),"HEAT","STANDARD"))</f>
        <v>STANDARD</v>
      </c>
      <c r="E1111" s="9"/>
      <c r="F1111" t="str">
        <f>IF(E1111="",D1111,E1111)</f>
        <v>STANDARD</v>
      </c>
      <c r="G1111" t="str">
        <f>INDEX(Netzzeiten!$B$6:$B$29,HOUR(B1111)+1)</f>
        <v>NT</v>
      </c>
      <c r="H1111" s="6">
        <f>IF(F1111="GO",Eingaben!$B$11,IF(F1111="STANDARD",Eingaben!$B$12,IF(AND(F1111="HEAT",ISNUMBER(Eingaben!$B$13)),Eingaben!$B$13,"")))</f>
        <v>28.2744</v>
      </c>
      <c r="I1111" s="6">
        <f>INDEX(Netzzeiten!$C$6:$C$29,HOUR(B1111)+1)</f>
        <v>1.64</v>
      </c>
      <c r="J1111" t="str">
        <f>IF(C1111="","FEHLT",IF(NOT(ISNUMBER(C1111)),"MESSWERT UNGUELTIG",IF(C1111&lt;0,"MESSWERT UNGUELTIG",IF(H1111="","TARIFPREIS FEHLT","OK"))))</f>
        <v>FEHLT</v>
      </c>
      <c r="K1111" s="7">
        <f>IF(J1111&lt;&gt;"OK","",C1111*I1111/100)</f>
        <v/>
      </c>
    </row>
    <row r="1112" spans="1:11">
      <c r="A1112" s="14">
        <v>46154</v>
      </c>
      <c r="B1112" s="15">
        <v>0.5208333333333334</v>
      </c>
      <c r="C1112" s="5">
        <f>IF('96 Werte'!AZ17="","",'96 Werte'!AZ17)</f>
        <v/>
      </c>
      <c r="D1112" t="str">
        <f>IF(IF(Eingaben!$B$21&lt;Eingaben!$B$22,AND(B1112&gt;=Eingaben!$B$21,B1112&lt;Eingaben!$B$22),OR(B1112&gt;=Eingaben!$B$21,B1112&lt;Eingaben!$B$22)),"GO",IF(AND(ISNUMBER(Eingaben!$B$23),ISNUMBER(Eingaben!$B$24),IF(Eingaben!$B$23&lt;Eingaben!$B$24,AND(B1112&gt;=Eingaben!$B$23,B1112&lt;Eingaben!$B$24),OR(B1112&gt;=Eingaben!$B$23,B1112&lt;Eingaben!$B$24))),"HEAT","STANDARD"))</f>
        <v>STANDARD</v>
      </c>
      <c r="E1112" s="9"/>
      <c r="F1112" t="str">
        <f>IF(E1112="",D1112,E1112)</f>
        <v>STANDARD</v>
      </c>
      <c r="G1112" t="str">
        <f>INDEX(Netzzeiten!$B$6:$B$29,HOUR(B1112)+1)</f>
        <v>NT</v>
      </c>
      <c r="H1112" s="6">
        <f>IF(F1112="GO",Eingaben!$B$11,IF(F1112="STANDARD",Eingaben!$B$12,IF(AND(F1112="HEAT",ISNUMBER(Eingaben!$B$13)),Eingaben!$B$13,"")))</f>
        <v>28.2744</v>
      </c>
      <c r="I1112" s="6">
        <f>INDEX(Netzzeiten!$C$6:$C$29,HOUR(B1112)+1)</f>
        <v>1.64</v>
      </c>
      <c r="J1112" t="str">
        <f>IF(C1112="","FEHLT",IF(NOT(ISNUMBER(C1112)),"MESSWERT UNGUELTIG",IF(C1112&lt;0,"MESSWERT UNGUELTIG",IF(H1112="","TARIFPREIS FEHLT","OK"))))</f>
        <v>FEHLT</v>
      </c>
      <c r="K1112" s="7">
        <f>IF(J1112&lt;&gt;"OK","",C1112*I1112/100)</f>
        <v/>
      </c>
    </row>
    <row r="1113" spans="1:11">
      <c r="A1113" s="14">
        <v>46154</v>
      </c>
      <c r="B1113" s="15">
        <v>0.53125</v>
      </c>
      <c r="C1113" s="5">
        <f>IF('96 Werte'!BA17="","",'96 Werte'!BA17)</f>
        <v/>
      </c>
      <c r="D1113" t="str">
        <f>IF(IF(Eingaben!$B$21&lt;Eingaben!$B$22,AND(B1113&gt;=Eingaben!$B$21,B1113&lt;Eingaben!$B$22),OR(B1113&gt;=Eingaben!$B$21,B1113&lt;Eingaben!$B$22)),"GO",IF(AND(ISNUMBER(Eingaben!$B$23),ISNUMBER(Eingaben!$B$24),IF(Eingaben!$B$23&lt;Eingaben!$B$24,AND(B1113&gt;=Eingaben!$B$23,B1113&lt;Eingaben!$B$24),OR(B1113&gt;=Eingaben!$B$23,B1113&lt;Eingaben!$B$24))),"HEAT","STANDARD"))</f>
        <v>STANDARD</v>
      </c>
      <c r="E1113" s="9"/>
      <c r="F1113" t="str">
        <f>IF(E1113="",D1113,E1113)</f>
        <v>STANDARD</v>
      </c>
      <c r="G1113" t="str">
        <f>INDEX(Netzzeiten!$B$6:$B$29,HOUR(B1113)+1)</f>
        <v>NT</v>
      </c>
      <c r="H1113" s="6">
        <f>IF(F1113="GO",Eingaben!$B$11,IF(F1113="STANDARD",Eingaben!$B$12,IF(AND(F1113="HEAT",ISNUMBER(Eingaben!$B$13)),Eingaben!$B$13,"")))</f>
        <v>28.2744</v>
      </c>
      <c r="I1113" s="6">
        <f>INDEX(Netzzeiten!$C$6:$C$29,HOUR(B1113)+1)</f>
        <v>1.64</v>
      </c>
      <c r="J1113" t="str">
        <f>IF(C1113="","FEHLT",IF(NOT(ISNUMBER(C1113)),"MESSWERT UNGUELTIG",IF(C1113&lt;0,"MESSWERT UNGUELTIG",IF(H1113="","TARIFPREIS FEHLT","OK"))))</f>
        <v>FEHLT</v>
      </c>
      <c r="K1113" s="7">
        <f>IF(J1113&lt;&gt;"OK","",C1113*I1113/100)</f>
        <v/>
      </c>
    </row>
    <row r="1114" spans="1:11">
      <c r="A1114" s="14">
        <v>46154</v>
      </c>
      <c r="B1114" s="15">
        <v>0.5416666666666666</v>
      </c>
      <c r="C1114" s="5">
        <f>IF('96 Werte'!BB17="","",'96 Werte'!BB17)</f>
        <v/>
      </c>
      <c r="D1114" t="str">
        <f>IF(IF(Eingaben!$B$21&lt;Eingaben!$B$22,AND(B1114&gt;=Eingaben!$B$21,B1114&lt;Eingaben!$B$22),OR(B1114&gt;=Eingaben!$B$21,B1114&lt;Eingaben!$B$22)),"GO",IF(AND(ISNUMBER(Eingaben!$B$23),ISNUMBER(Eingaben!$B$24),IF(Eingaben!$B$23&lt;Eingaben!$B$24,AND(B1114&gt;=Eingaben!$B$23,B1114&lt;Eingaben!$B$24),OR(B1114&gt;=Eingaben!$B$23,B1114&lt;Eingaben!$B$24))),"HEAT","STANDARD"))</f>
        <v>STANDARD</v>
      </c>
      <c r="E1114" s="9"/>
      <c r="F1114" t="str">
        <f>IF(E1114="",D1114,E1114)</f>
        <v>STANDARD</v>
      </c>
      <c r="G1114" t="str">
        <f>INDEX(Netzzeiten!$B$6:$B$29,HOUR(B1114)+1)</f>
        <v>NT</v>
      </c>
      <c r="H1114" s="6">
        <f>IF(F1114="GO",Eingaben!$B$11,IF(F1114="STANDARD",Eingaben!$B$12,IF(AND(F1114="HEAT",ISNUMBER(Eingaben!$B$13)),Eingaben!$B$13,"")))</f>
        <v>28.2744</v>
      </c>
      <c r="I1114" s="6">
        <f>INDEX(Netzzeiten!$C$6:$C$29,HOUR(B1114)+1)</f>
        <v>1.64</v>
      </c>
      <c r="J1114" t="str">
        <f>IF(C1114="","FEHLT",IF(NOT(ISNUMBER(C1114)),"MESSWERT UNGUELTIG",IF(C1114&lt;0,"MESSWERT UNGUELTIG",IF(H1114="","TARIFPREIS FEHLT","OK"))))</f>
        <v>FEHLT</v>
      </c>
      <c r="K1114" s="7">
        <f>IF(J1114&lt;&gt;"OK","",C1114*I1114/100)</f>
        <v/>
      </c>
    </row>
    <row r="1115" spans="1:11">
      <c r="A1115" s="14">
        <v>46154</v>
      </c>
      <c r="B1115" s="15">
        <v>0.5520833333333334</v>
      </c>
      <c r="C1115" s="5">
        <f>IF('96 Werte'!BC17="","",'96 Werte'!BC17)</f>
        <v/>
      </c>
      <c r="D1115" t="str">
        <f>IF(IF(Eingaben!$B$21&lt;Eingaben!$B$22,AND(B1115&gt;=Eingaben!$B$21,B1115&lt;Eingaben!$B$22),OR(B1115&gt;=Eingaben!$B$21,B1115&lt;Eingaben!$B$22)),"GO",IF(AND(ISNUMBER(Eingaben!$B$23),ISNUMBER(Eingaben!$B$24),IF(Eingaben!$B$23&lt;Eingaben!$B$24,AND(B1115&gt;=Eingaben!$B$23,B1115&lt;Eingaben!$B$24),OR(B1115&gt;=Eingaben!$B$23,B1115&lt;Eingaben!$B$24))),"HEAT","STANDARD"))</f>
        <v>STANDARD</v>
      </c>
      <c r="E1115" s="9"/>
      <c r="F1115" t="str">
        <f>IF(E1115="",D1115,E1115)</f>
        <v>STANDARD</v>
      </c>
      <c r="G1115" t="str">
        <f>INDEX(Netzzeiten!$B$6:$B$29,HOUR(B1115)+1)</f>
        <v>NT</v>
      </c>
      <c r="H1115" s="6">
        <f>IF(F1115="GO",Eingaben!$B$11,IF(F1115="STANDARD",Eingaben!$B$12,IF(AND(F1115="HEAT",ISNUMBER(Eingaben!$B$13)),Eingaben!$B$13,"")))</f>
        <v>28.2744</v>
      </c>
      <c r="I1115" s="6">
        <f>INDEX(Netzzeiten!$C$6:$C$29,HOUR(B1115)+1)</f>
        <v>1.64</v>
      </c>
      <c r="J1115" t="str">
        <f>IF(C1115="","FEHLT",IF(NOT(ISNUMBER(C1115)),"MESSWERT UNGUELTIG",IF(C1115&lt;0,"MESSWERT UNGUELTIG",IF(H1115="","TARIFPREIS FEHLT","OK"))))</f>
        <v>FEHLT</v>
      </c>
      <c r="K1115" s="7">
        <f>IF(J1115&lt;&gt;"OK","",C1115*I1115/100)</f>
        <v/>
      </c>
    </row>
    <row r="1116" spans="1:11">
      <c r="A1116" s="14">
        <v>46154</v>
      </c>
      <c r="B1116" s="15">
        <v>0.5625</v>
      </c>
      <c r="C1116" s="5">
        <f>IF('96 Werte'!BD17="","",'96 Werte'!BD17)</f>
        <v/>
      </c>
      <c r="D1116" t="str">
        <f>IF(IF(Eingaben!$B$21&lt;Eingaben!$B$22,AND(B1116&gt;=Eingaben!$B$21,B1116&lt;Eingaben!$B$22),OR(B1116&gt;=Eingaben!$B$21,B1116&lt;Eingaben!$B$22)),"GO",IF(AND(ISNUMBER(Eingaben!$B$23),ISNUMBER(Eingaben!$B$24),IF(Eingaben!$B$23&lt;Eingaben!$B$24,AND(B1116&gt;=Eingaben!$B$23,B1116&lt;Eingaben!$B$24),OR(B1116&gt;=Eingaben!$B$23,B1116&lt;Eingaben!$B$24))),"HEAT","STANDARD"))</f>
        <v>STANDARD</v>
      </c>
      <c r="E1116" s="9"/>
      <c r="F1116" t="str">
        <f>IF(E1116="",D1116,E1116)</f>
        <v>STANDARD</v>
      </c>
      <c r="G1116" t="str">
        <f>INDEX(Netzzeiten!$B$6:$B$29,HOUR(B1116)+1)</f>
        <v>NT</v>
      </c>
      <c r="H1116" s="6">
        <f>IF(F1116="GO",Eingaben!$B$11,IF(F1116="STANDARD",Eingaben!$B$12,IF(AND(F1116="HEAT",ISNUMBER(Eingaben!$B$13)),Eingaben!$B$13,"")))</f>
        <v>28.2744</v>
      </c>
      <c r="I1116" s="6">
        <f>INDEX(Netzzeiten!$C$6:$C$29,HOUR(B1116)+1)</f>
        <v>1.64</v>
      </c>
      <c r="J1116" t="str">
        <f>IF(C1116="","FEHLT",IF(NOT(ISNUMBER(C1116)),"MESSWERT UNGUELTIG",IF(C1116&lt;0,"MESSWERT UNGUELTIG",IF(H1116="","TARIFPREIS FEHLT","OK"))))</f>
        <v>FEHLT</v>
      </c>
      <c r="K1116" s="7">
        <f>IF(J1116&lt;&gt;"OK","",C1116*I1116/100)</f>
        <v/>
      </c>
    </row>
    <row r="1117" spans="1:11">
      <c r="A1117" s="14">
        <v>46154</v>
      </c>
      <c r="B1117" s="15">
        <v>0.5729166666666666</v>
      </c>
      <c r="C1117" s="5">
        <f>IF('96 Werte'!BE17="","",'96 Werte'!BE17)</f>
        <v/>
      </c>
      <c r="D1117" t="str">
        <f>IF(IF(Eingaben!$B$21&lt;Eingaben!$B$22,AND(B1117&gt;=Eingaben!$B$21,B1117&lt;Eingaben!$B$22),OR(B1117&gt;=Eingaben!$B$21,B1117&lt;Eingaben!$B$22)),"GO",IF(AND(ISNUMBER(Eingaben!$B$23),ISNUMBER(Eingaben!$B$24),IF(Eingaben!$B$23&lt;Eingaben!$B$24,AND(B1117&gt;=Eingaben!$B$23,B1117&lt;Eingaben!$B$24),OR(B1117&gt;=Eingaben!$B$23,B1117&lt;Eingaben!$B$24))),"HEAT","STANDARD"))</f>
        <v>STANDARD</v>
      </c>
      <c r="E1117" s="9"/>
      <c r="F1117" t="str">
        <f>IF(E1117="",D1117,E1117)</f>
        <v>STANDARD</v>
      </c>
      <c r="G1117" t="str">
        <f>INDEX(Netzzeiten!$B$6:$B$29,HOUR(B1117)+1)</f>
        <v>NT</v>
      </c>
      <c r="H1117" s="6">
        <f>IF(F1117="GO",Eingaben!$B$11,IF(F1117="STANDARD",Eingaben!$B$12,IF(AND(F1117="HEAT",ISNUMBER(Eingaben!$B$13)),Eingaben!$B$13,"")))</f>
        <v>28.2744</v>
      </c>
      <c r="I1117" s="6">
        <f>INDEX(Netzzeiten!$C$6:$C$29,HOUR(B1117)+1)</f>
        <v>1.64</v>
      </c>
      <c r="J1117" t="str">
        <f>IF(C1117="","FEHLT",IF(NOT(ISNUMBER(C1117)),"MESSWERT UNGUELTIG",IF(C1117&lt;0,"MESSWERT UNGUELTIG",IF(H1117="","TARIFPREIS FEHLT","OK"))))</f>
        <v>FEHLT</v>
      </c>
      <c r="K1117" s="7">
        <f>IF(J1117&lt;&gt;"OK","",C1117*I1117/100)</f>
        <v/>
      </c>
    </row>
    <row r="1118" spans="1:11">
      <c r="A1118" s="14">
        <v>46154</v>
      </c>
      <c r="B1118" s="15">
        <v>0.5833333333333334</v>
      </c>
      <c r="C1118" s="5">
        <f>IF('96 Werte'!BF17="","",'96 Werte'!BF17)</f>
        <v/>
      </c>
      <c r="D1118" t="str">
        <f>IF(IF(Eingaben!$B$21&lt;Eingaben!$B$22,AND(B1118&gt;=Eingaben!$B$21,B1118&lt;Eingaben!$B$22),OR(B1118&gt;=Eingaben!$B$21,B1118&lt;Eingaben!$B$22)),"GO",IF(AND(ISNUMBER(Eingaben!$B$23),ISNUMBER(Eingaben!$B$24),IF(Eingaben!$B$23&lt;Eingaben!$B$24,AND(B1118&gt;=Eingaben!$B$23,B1118&lt;Eingaben!$B$24),OR(B1118&gt;=Eingaben!$B$23,B1118&lt;Eingaben!$B$24))),"HEAT","STANDARD"))</f>
        <v>STANDARD</v>
      </c>
      <c r="E1118" s="9"/>
      <c r="F1118" t="str">
        <f>IF(E1118="",D1118,E1118)</f>
        <v>STANDARD</v>
      </c>
      <c r="G1118" t="str">
        <f>INDEX(Netzzeiten!$B$6:$B$29,HOUR(B1118)+1)</f>
        <v>NT</v>
      </c>
      <c r="H1118" s="6">
        <f>IF(F1118="GO",Eingaben!$B$11,IF(F1118="STANDARD",Eingaben!$B$12,IF(AND(F1118="HEAT",ISNUMBER(Eingaben!$B$13)),Eingaben!$B$13,"")))</f>
        <v>28.2744</v>
      </c>
      <c r="I1118" s="6">
        <f>INDEX(Netzzeiten!$C$6:$C$29,HOUR(B1118)+1)</f>
        <v>1.64</v>
      </c>
      <c r="J1118" t="str">
        <f>IF(C1118="","FEHLT",IF(NOT(ISNUMBER(C1118)),"MESSWERT UNGUELTIG",IF(C1118&lt;0,"MESSWERT UNGUELTIG",IF(H1118="","TARIFPREIS FEHLT","OK"))))</f>
        <v>FEHLT</v>
      </c>
      <c r="K1118" s="7">
        <f>IF(J1118&lt;&gt;"OK","",C1118*I1118/100)</f>
        <v/>
      </c>
    </row>
    <row r="1119" spans="1:11">
      <c r="A1119" s="14">
        <v>46154</v>
      </c>
      <c r="B1119" s="15">
        <v>0.59375</v>
      </c>
      <c r="C1119" s="5">
        <f>IF('96 Werte'!BG17="","",'96 Werte'!BG17)</f>
        <v/>
      </c>
      <c r="D1119" t="str">
        <f>IF(IF(Eingaben!$B$21&lt;Eingaben!$B$22,AND(B1119&gt;=Eingaben!$B$21,B1119&lt;Eingaben!$B$22),OR(B1119&gt;=Eingaben!$B$21,B1119&lt;Eingaben!$B$22)),"GO",IF(AND(ISNUMBER(Eingaben!$B$23),ISNUMBER(Eingaben!$B$24),IF(Eingaben!$B$23&lt;Eingaben!$B$24,AND(B1119&gt;=Eingaben!$B$23,B1119&lt;Eingaben!$B$24),OR(B1119&gt;=Eingaben!$B$23,B1119&lt;Eingaben!$B$24))),"HEAT","STANDARD"))</f>
        <v>STANDARD</v>
      </c>
      <c r="E1119" s="9"/>
      <c r="F1119" t="str">
        <f>IF(E1119="",D1119,E1119)</f>
        <v>STANDARD</v>
      </c>
      <c r="G1119" t="str">
        <f>INDEX(Netzzeiten!$B$6:$B$29,HOUR(B1119)+1)</f>
        <v>NT</v>
      </c>
      <c r="H1119" s="6">
        <f>IF(F1119="GO",Eingaben!$B$11,IF(F1119="STANDARD",Eingaben!$B$12,IF(AND(F1119="HEAT",ISNUMBER(Eingaben!$B$13)),Eingaben!$B$13,"")))</f>
        <v>28.2744</v>
      </c>
      <c r="I1119" s="6">
        <f>INDEX(Netzzeiten!$C$6:$C$29,HOUR(B1119)+1)</f>
        <v>1.64</v>
      </c>
      <c r="J1119" t="str">
        <f>IF(C1119="","FEHLT",IF(NOT(ISNUMBER(C1119)),"MESSWERT UNGUELTIG",IF(C1119&lt;0,"MESSWERT UNGUELTIG",IF(H1119="","TARIFPREIS FEHLT","OK"))))</f>
        <v>FEHLT</v>
      </c>
      <c r="K1119" s="7">
        <f>IF(J1119&lt;&gt;"OK","",C1119*I1119/100)</f>
        <v/>
      </c>
    </row>
    <row r="1120" spans="1:11">
      <c r="A1120" s="14">
        <v>46154</v>
      </c>
      <c r="B1120" s="15">
        <v>0.6041666666666666</v>
      </c>
      <c r="C1120" s="5">
        <f>IF('96 Werte'!BH17="","",'96 Werte'!BH17)</f>
        <v/>
      </c>
      <c r="D1120" t="str">
        <f>IF(IF(Eingaben!$B$21&lt;Eingaben!$B$22,AND(B1120&gt;=Eingaben!$B$21,B1120&lt;Eingaben!$B$22),OR(B1120&gt;=Eingaben!$B$21,B1120&lt;Eingaben!$B$22)),"GO",IF(AND(ISNUMBER(Eingaben!$B$23),ISNUMBER(Eingaben!$B$24),IF(Eingaben!$B$23&lt;Eingaben!$B$24,AND(B1120&gt;=Eingaben!$B$23,B1120&lt;Eingaben!$B$24),OR(B1120&gt;=Eingaben!$B$23,B1120&lt;Eingaben!$B$24))),"HEAT","STANDARD"))</f>
        <v>STANDARD</v>
      </c>
      <c r="E1120" s="9"/>
      <c r="F1120" t="str">
        <f>IF(E1120="",D1120,E1120)</f>
        <v>STANDARD</v>
      </c>
      <c r="G1120" t="str">
        <f>INDEX(Netzzeiten!$B$6:$B$29,HOUR(B1120)+1)</f>
        <v>NT</v>
      </c>
      <c r="H1120" s="6">
        <f>IF(F1120="GO",Eingaben!$B$11,IF(F1120="STANDARD",Eingaben!$B$12,IF(AND(F1120="HEAT",ISNUMBER(Eingaben!$B$13)),Eingaben!$B$13,"")))</f>
        <v>28.2744</v>
      </c>
      <c r="I1120" s="6">
        <f>INDEX(Netzzeiten!$C$6:$C$29,HOUR(B1120)+1)</f>
        <v>1.64</v>
      </c>
      <c r="J1120" t="str">
        <f>IF(C1120="","FEHLT",IF(NOT(ISNUMBER(C1120)),"MESSWERT UNGUELTIG",IF(C1120&lt;0,"MESSWERT UNGUELTIG",IF(H1120="","TARIFPREIS FEHLT","OK"))))</f>
        <v>FEHLT</v>
      </c>
      <c r="K1120" s="7">
        <f>IF(J1120&lt;&gt;"OK","",C1120*I1120/100)</f>
        <v/>
      </c>
    </row>
    <row r="1121" spans="1:11">
      <c r="A1121" s="14">
        <v>46154</v>
      </c>
      <c r="B1121" s="15">
        <v>0.6145833333333334</v>
      </c>
      <c r="C1121" s="5">
        <f>IF('96 Werte'!BI17="","",'96 Werte'!BI17)</f>
        <v/>
      </c>
      <c r="D1121" t="str">
        <f>IF(IF(Eingaben!$B$21&lt;Eingaben!$B$22,AND(B1121&gt;=Eingaben!$B$21,B1121&lt;Eingaben!$B$22),OR(B1121&gt;=Eingaben!$B$21,B1121&lt;Eingaben!$B$22)),"GO",IF(AND(ISNUMBER(Eingaben!$B$23),ISNUMBER(Eingaben!$B$24),IF(Eingaben!$B$23&lt;Eingaben!$B$24,AND(B1121&gt;=Eingaben!$B$23,B1121&lt;Eingaben!$B$24),OR(B1121&gt;=Eingaben!$B$23,B1121&lt;Eingaben!$B$24))),"HEAT","STANDARD"))</f>
        <v>STANDARD</v>
      </c>
      <c r="E1121" s="9"/>
      <c r="F1121" t="str">
        <f>IF(E1121="",D1121,E1121)</f>
        <v>STANDARD</v>
      </c>
      <c r="G1121" t="str">
        <f>INDEX(Netzzeiten!$B$6:$B$29,HOUR(B1121)+1)</f>
        <v>NT</v>
      </c>
      <c r="H1121" s="6">
        <f>IF(F1121="GO",Eingaben!$B$11,IF(F1121="STANDARD",Eingaben!$B$12,IF(AND(F1121="HEAT",ISNUMBER(Eingaben!$B$13)),Eingaben!$B$13,"")))</f>
        <v>28.2744</v>
      </c>
      <c r="I1121" s="6">
        <f>INDEX(Netzzeiten!$C$6:$C$29,HOUR(B1121)+1)</f>
        <v>1.64</v>
      </c>
      <c r="J1121" t="str">
        <f>IF(C1121="","FEHLT",IF(NOT(ISNUMBER(C1121)),"MESSWERT UNGUELTIG",IF(C1121&lt;0,"MESSWERT UNGUELTIG",IF(H1121="","TARIFPREIS FEHLT","OK"))))</f>
        <v>FEHLT</v>
      </c>
      <c r="K1121" s="7">
        <f>IF(J1121&lt;&gt;"OK","",C1121*I1121/100)</f>
        <v/>
      </c>
    </row>
    <row r="1122" spans="1:11">
      <c r="A1122" s="14">
        <v>46154</v>
      </c>
      <c r="B1122" s="15">
        <v>0.625</v>
      </c>
      <c r="C1122" s="5">
        <f>IF('96 Werte'!BJ17="","",'96 Werte'!BJ17)</f>
        <v/>
      </c>
      <c r="D1122" t="str">
        <f>IF(IF(Eingaben!$B$21&lt;Eingaben!$B$22,AND(B1122&gt;=Eingaben!$B$21,B1122&lt;Eingaben!$B$22),OR(B1122&gt;=Eingaben!$B$21,B1122&lt;Eingaben!$B$22)),"GO",IF(AND(ISNUMBER(Eingaben!$B$23),ISNUMBER(Eingaben!$B$24),IF(Eingaben!$B$23&lt;Eingaben!$B$24,AND(B1122&gt;=Eingaben!$B$23,B1122&lt;Eingaben!$B$24),OR(B1122&gt;=Eingaben!$B$23,B1122&lt;Eingaben!$B$24))),"HEAT","STANDARD"))</f>
        <v>STANDARD</v>
      </c>
      <c r="E1122" s="9"/>
      <c r="F1122" t="str">
        <f>IF(E1122="",D1122,E1122)</f>
        <v>STANDARD</v>
      </c>
      <c r="G1122" t="str">
        <f>INDEX(Netzzeiten!$B$6:$B$29,HOUR(B1122)+1)</f>
        <v>ST</v>
      </c>
      <c r="H1122" s="6">
        <f>IF(F1122="GO",Eingaben!$B$11,IF(F1122="STANDARD",Eingaben!$B$12,IF(AND(F1122="HEAT",ISNUMBER(Eingaben!$B$13)),Eingaben!$B$13,"")))</f>
        <v>28.2744</v>
      </c>
      <c r="I1122" s="6">
        <f>INDEX(Netzzeiten!$C$6:$C$29,HOUR(B1122)+1)</f>
        <v>5.48</v>
      </c>
      <c r="J1122" t="str">
        <f>IF(C1122="","FEHLT",IF(NOT(ISNUMBER(C1122)),"MESSWERT UNGUELTIG",IF(C1122&lt;0,"MESSWERT UNGUELTIG",IF(H1122="","TARIFPREIS FEHLT","OK"))))</f>
        <v>FEHLT</v>
      </c>
      <c r="K1122" s="7">
        <f>IF(J1122&lt;&gt;"OK","",C1122*I1122/100)</f>
        <v/>
      </c>
    </row>
    <row r="1123" spans="1:11">
      <c r="A1123" s="14">
        <v>46154</v>
      </c>
      <c r="B1123" s="15">
        <v>0.6354166666666666</v>
      </c>
      <c r="C1123" s="5">
        <f>IF('96 Werte'!BK17="","",'96 Werte'!BK17)</f>
        <v/>
      </c>
      <c r="D1123" t="str">
        <f>IF(IF(Eingaben!$B$21&lt;Eingaben!$B$22,AND(B1123&gt;=Eingaben!$B$21,B1123&lt;Eingaben!$B$22),OR(B1123&gt;=Eingaben!$B$21,B1123&lt;Eingaben!$B$22)),"GO",IF(AND(ISNUMBER(Eingaben!$B$23),ISNUMBER(Eingaben!$B$24),IF(Eingaben!$B$23&lt;Eingaben!$B$24,AND(B1123&gt;=Eingaben!$B$23,B1123&lt;Eingaben!$B$24),OR(B1123&gt;=Eingaben!$B$23,B1123&lt;Eingaben!$B$24))),"HEAT","STANDARD"))</f>
        <v>STANDARD</v>
      </c>
      <c r="E1123" s="9"/>
      <c r="F1123" t="str">
        <f>IF(E1123="",D1123,E1123)</f>
        <v>STANDARD</v>
      </c>
      <c r="G1123" t="str">
        <f>INDEX(Netzzeiten!$B$6:$B$29,HOUR(B1123)+1)</f>
        <v>ST</v>
      </c>
      <c r="H1123" s="6">
        <f>IF(F1123="GO",Eingaben!$B$11,IF(F1123="STANDARD",Eingaben!$B$12,IF(AND(F1123="HEAT",ISNUMBER(Eingaben!$B$13)),Eingaben!$B$13,"")))</f>
        <v>28.2744</v>
      </c>
      <c r="I1123" s="6">
        <f>INDEX(Netzzeiten!$C$6:$C$29,HOUR(B1123)+1)</f>
        <v>5.48</v>
      </c>
      <c r="J1123" t="str">
        <f>IF(C1123="","FEHLT",IF(NOT(ISNUMBER(C1123)),"MESSWERT UNGUELTIG",IF(C1123&lt;0,"MESSWERT UNGUELTIG",IF(H1123="","TARIFPREIS FEHLT","OK"))))</f>
        <v>FEHLT</v>
      </c>
      <c r="K1123" s="7">
        <f>IF(J1123&lt;&gt;"OK","",C1123*I1123/100)</f>
        <v/>
      </c>
    </row>
    <row r="1124" spans="1:11">
      <c r="A1124" s="14">
        <v>46154</v>
      </c>
      <c r="B1124" s="15">
        <v>0.6458333333333334</v>
      </c>
      <c r="C1124" s="5">
        <f>IF('96 Werte'!BL17="","",'96 Werte'!BL17)</f>
        <v/>
      </c>
      <c r="D1124" t="str">
        <f>IF(IF(Eingaben!$B$21&lt;Eingaben!$B$22,AND(B1124&gt;=Eingaben!$B$21,B1124&lt;Eingaben!$B$22),OR(B1124&gt;=Eingaben!$B$21,B1124&lt;Eingaben!$B$22)),"GO",IF(AND(ISNUMBER(Eingaben!$B$23),ISNUMBER(Eingaben!$B$24),IF(Eingaben!$B$23&lt;Eingaben!$B$24,AND(B1124&gt;=Eingaben!$B$23,B1124&lt;Eingaben!$B$24),OR(B1124&gt;=Eingaben!$B$23,B1124&lt;Eingaben!$B$24))),"HEAT","STANDARD"))</f>
        <v>STANDARD</v>
      </c>
      <c r="E1124" s="9"/>
      <c r="F1124" t="str">
        <f>IF(E1124="",D1124,E1124)</f>
        <v>STANDARD</v>
      </c>
      <c r="G1124" t="str">
        <f>INDEX(Netzzeiten!$B$6:$B$29,HOUR(B1124)+1)</f>
        <v>ST</v>
      </c>
      <c r="H1124" s="6">
        <f>IF(F1124="GO",Eingaben!$B$11,IF(F1124="STANDARD",Eingaben!$B$12,IF(AND(F1124="HEAT",ISNUMBER(Eingaben!$B$13)),Eingaben!$B$13,"")))</f>
        <v>28.2744</v>
      </c>
      <c r="I1124" s="6">
        <f>INDEX(Netzzeiten!$C$6:$C$29,HOUR(B1124)+1)</f>
        <v>5.48</v>
      </c>
      <c r="J1124" t="str">
        <f>IF(C1124="","FEHLT",IF(NOT(ISNUMBER(C1124)),"MESSWERT UNGUELTIG",IF(C1124&lt;0,"MESSWERT UNGUELTIG",IF(H1124="","TARIFPREIS FEHLT","OK"))))</f>
        <v>FEHLT</v>
      </c>
      <c r="K1124" s="7">
        <f>IF(J1124&lt;&gt;"OK","",C1124*I1124/100)</f>
        <v/>
      </c>
    </row>
    <row r="1125" spans="1:11">
      <c r="A1125" s="14">
        <v>46154</v>
      </c>
      <c r="B1125" s="15">
        <v>0.65625</v>
      </c>
      <c r="C1125" s="5">
        <f>IF('96 Werte'!BM17="","",'96 Werte'!BM17)</f>
        <v/>
      </c>
      <c r="D1125" t="str">
        <f>IF(IF(Eingaben!$B$21&lt;Eingaben!$B$22,AND(B1125&gt;=Eingaben!$B$21,B1125&lt;Eingaben!$B$22),OR(B1125&gt;=Eingaben!$B$21,B1125&lt;Eingaben!$B$22)),"GO",IF(AND(ISNUMBER(Eingaben!$B$23),ISNUMBER(Eingaben!$B$24),IF(Eingaben!$B$23&lt;Eingaben!$B$24,AND(B1125&gt;=Eingaben!$B$23,B1125&lt;Eingaben!$B$24),OR(B1125&gt;=Eingaben!$B$23,B1125&lt;Eingaben!$B$24))),"HEAT","STANDARD"))</f>
        <v>STANDARD</v>
      </c>
      <c r="E1125" s="9"/>
      <c r="F1125" t="str">
        <f>IF(E1125="",D1125,E1125)</f>
        <v>STANDARD</v>
      </c>
      <c r="G1125" t="str">
        <f>INDEX(Netzzeiten!$B$6:$B$29,HOUR(B1125)+1)</f>
        <v>ST</v>
      </c>
      <c r="H1125" s="6">
        <f>IF(F1125="GO",Eingaben!$B$11,IF(F1125="STANDARD",Eingaben!$B$12,IF(AND(F1125="HEAT",ISNUMBER(Eingaben!$B$13)),Eingaben!$B$13,"")))</f>
        <v>28.2744</v>
      </c>
      <c r="I1125" s="6">
        <f>INDEX(Netzzeiten!$C$6:$C$29,HOUR(B1125)+1)</f>
        <v>5.48</v>
      </c>
      <c r="J1125" t="str">
        <f>IF(C1125="","FEHLT",IF(NOT(ISNUMBER(C1125)),"MESSWERT UNGUELTIG",IF(C1125&lt;0,"MESSWERT UNGUELTIG",IF(H1125="","TARIFPREIS FEHLT","OK"))))</f>
        <v>FEHLT</v>
      </c>
      <c r="K1125" s="7">
        <f>IF(J1125&lt;&gt;"OK","",C1125*I1125/100)</f>
        <v/>
      </c>
    </row>
    <row r="1126" spans="1:11">
      <c r="A1126" s="14">
        <v>46154</v>
      </c>
      <c r="B1126" s="15">
        <v>0.6666666666666666</v>
      </c>
      <c r="C1126" s="5">
        <f>IF('96 Werte'!BN17="","",'96 Werte'!BN17)</f>
        <v/>
      </c>
      <c r="D1126" t="str">
        <f>IF(IF(Eingaben!$B$21&lt;Eingaben!$B$22,AND(B1126&gt;=Eingaben!$B$21,B1126&lt;Eingaben!$B$22),OR(B1126&gt;=Eingaben!$B$21,B1126&lt;Eingaben!$B$22)),"GO",IF(AND(ISNUMBER(Eingaben!$B$23),ISNUMBER(Eingaben!$B$24),IF(Eingaben!$B$23&lt;Eingaben!$B$24,AND(B1126&gt;=Eingaben!$B$23,B1126&lt;Eingaben!$B$24),OR(B1126&gt;=Eingaben!$B$23,B1126&lt;Eingaben!$B$24))),"HEAT","STANDARD"))</f>
        <v>STANDARD</v>
      </c>
      <c r="E1126" s="9"/>
      <c r="F1126" t="str">
        <f>IF(E1126="",D1126,E1126)</f>
        <v>STANDARD</v>
      </c>
      <c r="G1126" t="str">
        <f>INDEX(Netzzeiten!$B$6:$B$29,HOUR(B1126)+1)</f>
        <v>ST</v>
      </c>
      <c r="H1126" s="6">
        <f>IF(F1126="GO",Eingaben!$B$11,IF(F1126="STANDARD",Eingaben!$B$12,IF(AND(F1126="HEAT",ISNUMBER(Eingaben!$B$13)),Eingaben!$B$13,"")))</f>
        <v>28.2744</v>
      </c>
      <c r="I1126" s="6">
        <f>INDEX(Netzzeiten!$C$6:$C$29,HOUR(B1126)+1)</f>
        <v>5.48</v>
      </c>
      <c r="J1126" t="str">
        <f>IF(C1126="","FEHLT",IF(NOT(ISNUMBER(C1126)),"MESSWERT UNGUELTIG",IF(C1126&lt;0,"MESSWERT UNGUELTIG",IF(H1126="","TARIFPREIS FEHLT","OK"))))</f>
        <v>FEHLT</v>
      </c>
      <c r="K1126" s="7">
        <f>IF(J1126&lt;&gt;"OK","",C1126*I1126/100)</f>
        <v/>
      </c>
    </row>
    <row r="1127" spans="1:11">
      <c r="A1127" s="14">
        <v>46154</v>
      </c>
      <c r="B1127" s="15">
        <v>0.6770833333333334</v>
      </c>
      <c r="C1127" s="5">
        <f>IF('96 Werte'!BO17="","",'96 Werte'!BO17)</f>
        <v/>
      </c>
      <c r="D1127" t="str">
        <f>IF(IF(Eingaben!$B$21&lt;Eingaben!$B$22,AND(B1127&gt;=Eingaben!$B$21,B1127&lt;Eingaben!$B$22),OR(B1127&gt;=Eingaben!$B$21,B1127&lt;Eingaben!$B$22)),"GO",IF(AND(ISNUMBER(Eingaben!$B$23),ISNUMBER(Eingaben!$B$24),IF(Eingaben!$B$23&lt;Eingaben!$B$24,AND(B1127&gt;=Eingaben!$B$23,B1127&lt;Eingaben!$B$24),OR(B1127&gt;=Eingaben!$B$23,B1127&lt;Eingaben!$B$24))),"HEAT","STANDARD"))</f>
        <v>STANDARD</v>
      </c>
      <c r="E1127" s="9"/>
      <c r="F1127" t="str">
        <f>IF(E1127="",D1127,E1127)</f>
        <v>STANDARD</v>
      </c>
      <c r="G1127" t="str">
        <f>INDEX(Netzzeiten!$B$6:$B$29,HOUR(B1127)+1)</f>
        <v>ST</v>
      </c>
      <c r="H1127" s="6">
        <f>IF(F1127="GO",Eingaben!$B$11,IF(F1127="STANDARD",Eingaben!$B$12,IF(AND(F1127="HEAT",ISNUMBER(Eingaben!$B$13)),Eingaben!$B$13,"")))</f>
        <v>28.2744</v>
      </c>
      <c r="I1127" s="6">
        <f>INDEX(Netzzeiten!$C$6:$C$29,HOUR(B1127)+1)</f>
        <v>5.48</v>
      </c>
      <c r="J1127" t="str">
        <f>IF(C1127="","FEHLT",IF(NOT(ISNUMBER(C1127)),"MESSWERT UNGUELTIG",IF(C1127&lt;0,"MESSWERT UNGUELTIG",IF(H1127="","TARIFPREIS FEHLT","OK"))))</f>
        <v>FEHLT</v>
      </c>
      <c r="K1127" s="7">
        <f>IF(J1127&lt;&gt;"OK","",C1127*I1127/100)</f>
        <v/>
      </c>
    </row>
    <row r="1128" spans="1:11">
      <c r="A1128" s="14">
        <v>46154</v>
      </c>
      <c r="B1128" s="15">
        <v>0.6875</v>
      </c>
      <c r="C1128" s="5">
        <f>IF('96 Werte'!BP17="","",'96 Werte'!BP17)</f>
        <v/>
      </c>
      <c r="D1128" t="str">
        <f>IF(IF(Eingaben!$B$21&lt;Eingaben!$B$22,AND(B1128&gt;=Eingaben!$B$21,B1128&lt;Eingaben!$B$22),OR(B1128&gt;=Eingaben!$B$21,B1128&lt;Eingaben!$B$22)),"GO",IF(AND(ISNUMBER(Eingaben!$B$23),ISNUMBER(Eingaben!$B$24),IF(Eingaben!$B$23&lt;Eingaben!$B$24,AND(B1128&gt;=Eingaben!$B$23,B1128&lt;Eingaben!$B$24),OR(B1128&gt;=Eingaben!$B$23,B1128&lt;Eingaben!$B$24))),"HEAT","STANDARD"))</f>
        <v>STANDARD</v>
      </c>
      <c r="E1128" s="9"/>
      <c r="F1128" t="str">
        <f>IF(E1128="",D1128,E1128)</f>
        <v>STANDARD</v>
      </c>
      <c r="G1128" t="str">
        <f>INDEX(Netzzeiten!$B$6:$B$29,HOUR(B1128)+1)</f>
        <v>ST</v>
      </c>
      <c r="H1128" s="6">
        <f>IF(F1128="GO",Eingaben!$B$11,IF(F1128="STANDARD",Eingaben!$B$12,IF(AND(F1128="HEAT",ISNUMBER(Eingaben!$B$13)),Eingaben!$B$13,"")))</f>
        <v>28.2744</v>
      </c>
      <c r="I1128" s="6">
        <f>INDEX(Netzzeiten!$C$6:$C$29,HOUR(B1128)+1)</f>
        <v>5.48</v>
      </c>
      <c r="J1128" t="str">
        <f>IF(C1128="","FEHLT",IF(NOT(ISNUMBER(C1128)),"MESSWERT UNGUELTIG",IF(C1128&lt;0,"MESSWERT UNGUELTIG",IF(H1128="","TARIFPREIS FEHLT","OK"))))</f>
        <v>FEHLT</v>
      </c>
      <c r="K1128" s="7">
        <f>IF(J1128&lt;&gt;"OK","",C1128*I1128/100)</f>
        <v/>
      </c>
    </row>
    <row r="1129" spans="1:11">
      <c r="A1129" s="14">
        <v>46154</v>
      </c>
      <c r="B1129" s="15">
        <v>0.6979166666666666</v>
      </c>
      <c r="C1129" s="5">
        <f>IF('96 Werte'!BQ17="","",'96 Werte'!BQ17)</f>
        <v/>
      </c>
      <c r="D1129" t="str">
        <f>IF(IF(Eingaben!$B$21&lt;Eingaben!$B$22,AND(B1129&gt;=Eingaben!$B$21,B1129&lt;Eingaben!$B$22),OR(B1129&gt;=Eingaben!$B$21,B1129&lt;Eingaben!$B$22)),"GO",IF(AND(ISNUMBER(Eingaben!$B$23),ISNUMBER(Eingaben!$B$24),IF(Eingaben!$B$23&lt;Eingaben!$B$24,AND(B1129&gt;=Eingaben!$B$23,B1129&lt;Eingaben!$B$24),OR(B1129&gt;=Eingaben!$B$23,B1129&lt;Eingaben!$B$24))),"HEAT","STANDARD"))</f>
        <v>STANDARD</v>
      </c>
      <c r="E1129" s="9"/>
      <c r="F1129" t="str">
        <f>IF(E1129="",D1129,E1129)</f>
        <v>STANDARD</v>
      </c>
      <c r="G1129" t="str">
        <f>INDEX(Netzzeiten!$B$6:$B$29,HOUR(B1129)+1)</f>
        <v>ST</v>
      </c>
      <c r="H1129" s="6">
        <f>IF(F1129="GO",Eingaben!$B$11,IF(F1129="STANDARD",Eingaben!$B$12,IF(AND(F1129="HEAT",ISNUMBER(Eingaben!$B$13)),Eingaben!$B$13,"")))</f>
        <v>28.2744</v>
      </c>
      <c r="I1129" s="6">
        <f>INDEX(Netzzeiten!$C$6:$C$29,HOUR(B1129)+1)</f>
        <v>5.48</v>
      </c>
      <c r="J1129" t="str">
        <f>IF(C1129="","FEHLT",IF(NOT(ISNUMBER(C1129)),"MESSWERT UNGUELTIG",IF(C1129&lt;0,"MESSWERT UNGUELTIG",IF(H1129="","TARIFPREIS FEHLT","OK"))))</f>
        <v>FEHLT</v>
      </c>
      <c r="K1129" s="7">
        <f>IF(J1129&lt;&gt;"OK","",C1129*I1129/100)</f>
        <v/>
      </c>
    </row>
    <row r="1130" spans="1:11">
      <c r="A1130" s="14">
        <v>46154</v>
      </c>
      <c r="B1130" s="15">
        <v>0.7083333333333334</v>
      </c>
      <c r="C1130" s="5">
        <f>IF('96 Werte'!BR17="","",'96 Werte'!BR17)</f>
        <v/>
      </c>
      <c r="D1130" t="str">
        <f>IF(IF(Eingaben!$B$21&lt;Eingaben!$B$22,AND(B1130&gt;=Eingaben!$B$21,B1130&lt;Eingaben!$B$22),OR(B1130&gt;=Eingaben!$B$21,B1130&lt;Eingaben!$B$22)),"GO",IF(AND(ISNUMBER(Eingaben!$B$23),ISNUMBER(Eingaben!$B$24),IF(Eingaben!$B$23&lt;Eingaben!$B$24,AND(B1130&gt;=Eingaben!$B$23,B1130&lt;Eingaben!$B$24),OR(B1130&gt;=Eingaben!$B$23,B1130&lt;Eingaben!$B$24))),"HEAT","STANDARD"))</f>
        <v>STANDARD</v>
      </c>
      <c r="E1130" s="9"/>
      <c r="F1130" t="str">
        <f>IF(E1130="",D1130,E1130)</f>
        <v>STANDARD</v>
      </c>
      <c r="G1130" t="str">
        <f>INDEX(Netzzeiten!$B$6:$B$29,HOUR(B1130)+1)</f>
        <v>HT</v>
      </c>
      <c r="H1130" s="6">
        <f>IF(F1130="GO",Eingaben!$B$11,IF(F1130="STANDARD",Eingaben!$B$12,IF(AND(F1130="HEAT",ISNUMBER(Eingaben!$B$13)),Eingaben!$B$13,"")))</f>
        <v>28.2744</v>
      </c>
      <c r="I1130" s="6">
        <f>INDEX(Netzzeiten!$C$6:$C$29,HOUR(B1130)+1)</f>
        <v>10.52</v>
      </c>
      <c r="J1130" t="str">
        <f>IF(C1130="","FEHLT",IF(NOT(ISNUMBER(C1130)),"MESSWERT UNGUELTIG",IF(C1130&lt;0,"MESSWERT UNGUELTIG",IF(H1130="","TARIFPREIS FEHLT","OK"))))</f>
        <v>FEHLT</v>
      </c>
      <c r="K1130" s="7">
        <f>IF(J1130&lt;&gt;"OK","",C1130*I1130/100)</f>
        <v/>
      </c>
    </row>
    <row r="1131" spans="1:11">
      <c r="A1131" s="14">
        <v>46154</v>
      </c>
      <c r="B1131" s="15">
        <v>0.71875</v>
      </c>
      <c r="C1131" s="5">
        <f>IF('96 Werte'!BS17="","",'96 Werte'!BS17)</f>
        <v/>
      </c>
      <c r="D1131" t="str">
        <f>IF(IF(Eingaben!$B$21&lt;Eingaben!$B$22,AND(B1131&gt;=Eingaben!$B$21,B1131&lt;Eingaben!$B$22),OR(B1131&gt;=Eingaben!$B$21,B1131&lt;Eingaben!$B$22)),"GO",IF(AND(ISNUMBER(Eingaben!$B$23),ISNUMBER(Eingaben!$B$24),IF(Eingaben!$B$23&lt;Eingaben!$B$24,AND(B1131&gt;=Eingaben!$B$23,B1131&lt;Eingaben!$B$24),OR(B1131&gt;=Eingaben!$B$23,B1131&lt;Eingaben!$B$24))),"HEAT","STANDARD"))</f>
        <v>STANDARD</v>
      </c>
      <c r="E1131" s="9"/>
      <c r="F1131" t="str">
        <f>IF(E1131="",D1131,E1131)</f>
        <v>STANDARD</v>
      </c>
      <c r="G1131" t="str">
        <f>INDEX(Netzzeiten!$B$6:$B$29,HOUR(B1131)+1)</f>
        <v>HT</v>
      </c>
      <c r="H1131" s="6">
        <f>IF(F1131="GO",Eingaben!$B$11,IF(F1131="STANDARD",Eingaben!$B$12,IF(AND(F1131="HEAT",ISNUMBER(Eingaben!$B$13)),Eingaben!$B$13,"")))</f>
        <v>28.2744</v>
      </c>
      <c r="I1131" s="6">
        <f>INDEX(Netzzeiten!$C$6:$C$29,HOUR(B1131)+1)</f>
        <v>10.52</v>
      </c>
      <c r="J1131" t="str">
        <f>IF(C1131="","FEHLT",IF(NOT(ISNUMBER(C1131)),"MESSWERT UNGUELTIG",IF(C1131&lt;0,"MESSWERT UNGUELTIG",IF(H1131="","TARIFPREIS FEHLT","OK"))))</f>
        <v>FEHLT</v>
      </c>
      <c r="K1131" s="7">
        <f>IF(J1131&lt;&gt;"OK","",C1131*I1131/100)</f>
        <v/>
      </c>
    </row>
    <row r="1132" spans="1:11">
      <c r="A1132" s="14">
        <v>46154</v>
      </c>
      <c r="B1132" s="15">
        <v>0.7291666666666666</v>
      </c>
      <c r="C1132" s="5">
        <f>IF('96 Werte'!BT17="","",'96 Werte'!BT17)</f>
        <v/>
      </c>
      <c r="D1132" t="str">
        <f>IF(IF(Eingaben!$B$21&lt;Eingaben!$B$22,AND(B1132&gt;=Eingaben!$B$21,B1132&lt;Eingaben!$B$22),OR(B1132&gt;=Eingaben!$B$21,B1132&lt;Eingaben!$B$22)),"GO",IF(AND(ISNUMBER(Eingaben!$B$23),ISNUMBER(Eingaben!$B$24),IF(Eingaben!$B$23&lt;Eingaben!$B$24,AND(B1132&gt;=Eingaben!$B$23,B1132&lt;Eingaben!$B$24),OR(B1132&gt;=Eingaben!$B$23,B1132&lt;Eingaben!$B$24))),"HEAT","STANDARD"))</f>
        <v>STANDARD</v>
      </c>
      <c r="E1132" s="9"/>
      <c r="F1132" t="str">
        <f>IF(E1132="",D1132,E1132)</f>
        <v>STANDARD</v>
      </c>
      <c r="G1132" t="str">
        <f>INDEX(Netzzeiten!$B$6:$B$29,HOUR(B1132)+1)</f>
        <v>HT</v>
      </c>
      <c r="H1132" s="6">
        <f>IF(F1132="GO",Eingaben!$B$11,IF(F1132="STANDARD",Eingaben!$B$12,IF(AND(F1132="HEAT",ISNUMBER(Eingaben!$B$13)),Eingaben!$B$13,"")))</f>
        <v>28.2744</v>
      </c>
      <c r="I1132" s="6">
        <f>INDEX(Netzzeiten!$C$6:$C$29,HOUR(B1132)+1)</f>
        <v>10.52</v>
      </c>
      <c r="J1132" t="str">
        <f>IF(C1132="","FEHLT",IF(NOT(ISNUMBER(C1132)),"MESSWERT UNGUELTIG",IF(C1132&lt;0,"MESSWERT UNGUELTIG",IF(H1132="","TARIFPREIS FEHLT","OK"))))</f>
        <v>FEHLT</v>
      </c>
      <c r="K1132" s="7">
        <f>IF(J1132&lt;&gt;"OK","",C1132*I1132/100)</f>
        <v/>
      </c>
    </row>
    <row r="1133" spans="1:11">
      <c r="A1133" s="14">
        <v>46154</v>
      </c>
      <c r="B1133" s="15">
        <v>0.7395833333333334</v>
      </c>
      <c r="C1133" s="5">
        <f>IF('96 Werte'!BU17="","",'96 Werte'!BU17)</f>
        <v/>
      </c>
      <c r="D1133" t="str">
        <f>IF(IF(Eingaben!$B$21&lt;Eingaben!$B$22,AND(B1133&gt;=Eingaben!$B$21,B1133&lt;Eingaben!$B$22),OR(B1133&gt;=Eingaben!$B$21,B1133&lt;Eingaben!$B$22)),"GO",IF(AND(ISNUMBER(Eingaben!$B$23),ISNUMBER(Eingaben!$B$24),IF(Eingaben!$B$23&lt;Eingaben!$B$24,AND(B1133&gt;=Eingaben!$B$23,B1133&lt;Eingaben!$B$24),OR(B1133&gt;=Eingaben!$B$23,B1133&lt;Eingaben!$B$24))),"HEAT","STANDARD"))</f>
        <v>STANDARD</v>
      </c>
      <c r="E1133" s="9"/>
      <c r="F1133" t="str">
        <f>IF(E1133="",D1133,E1133)</f>
        <v>STANDARD</v>
      </c>
      <c r="G1133" t="str">
        <f>INDEX(Netzzeiten!$B$6:$B$29,HOUR(B1133)+1)</f>
        <v>HT</v>
      </c>
      <c r="H1133" s="6">
        <f>IF(F1133="GO",Eingaben!$B$11,IF(F1133="STANDARD",Eingaben!$B$12,IF(AND(F1133="HEAT",ISNUMBER(Eingaben!$B$13)),Eingaben!$B$13,"")))</f>
        <v>28.2744</v>
      </c>
      <c r="I1133" s="6">
        <f>INDEX(Netzzeiten!$C$6:$C$29,HOUR(B1133)+1)</f>
        <v>10.52</v>
      </c>
      <c r="J1133" t="str">
        <f>IF(C1133="","FEHLT",IF(NOT(ISNUMBER(C1133)),"MESSWERT UNGUELTIG",IF(C1133&lt;0,"MESSWERT UNGUELTIG",IF(H1133="","TARIFPREIS FEHLT","OK"))))</f>
        <v>FEHLT</v>
      </c>
      <c r="K1133" s="7">
        <f>IF(J1133&lt;&gt;"OK","",C1133*I1133/100)</f>
        <v/>
      </c>
    </row>
    <row r="1134" spans="1:11">
      <c r="A1134" s="14">
        <v>46154</v>
      </c>
      <c r="B1134" s="15">
        <v>0.75</v>
      </c>
      <c r="C1134" s="5">
        <f>IF('96 Werte'!BV17="","",'96 Werte'!BV17)</f>
        <v/>
      </c>
      <c r="D1134" t="str">
        <f>IF(IF(Eingaben!$B$21&lt;Eingaben!$B$22,AND(B1134&gt;=Eingaben!$B$21,B1134&lt;Eingaben!$B$22),OR(B1134&gt;=Eingaben!$B$21,B1134&lt;Eingaben!$B$22)),"GO",IF(AND(ISNUMBER(Eingaben!$B$23),ISNUMBER(Eingaben!$B$24),IF(Eingaben!$B$23&lt;Eingaben!$B$24,AND(B1134&gt;=Eingaben!$B$23,B1134&lt;Eingaben!$B$24),OR(B1134&gt;=Eingaben!$B$23,B1134&lt;Eingaben!$B$24))),"HEAT","STANDARD"))</f>
        <v>STANDARD</v>
      </c>
      <c r="E1134" s="9"/>
      <c r="F1134" t="str">
        <f>IF(E1134="",D1134,E1134)</f>
        <v>STANDARD</v>
      </c>
      <c r="G1134" t="str">
        <f>INDEX(Netzzeiten!$B$6:$B$29,HOUR(B1134)+1)</f>
        <v>HT</v>
      </c>
      <c r="H1134" s="6">
        <f>IF(F1134="GO",Eingaben!$B$11,IF(F1134="STANDARD",Eingaben!$B$12,IF(AND(F1134="HEAT",ISNUMBER(Eingaben!$B$13)),Eingaben!$B$13,"")))</f>
        <v>28.2744</v>
      </c>
      <c r="I1134" s="6">
        <f>INDEX(Netzzeiten!$C$6:$C$29,HOUR(B1134)+1)</f>
        <v>10.52</v>
      </c>
      <c r="J1134" t="str">
        <f>IF(C1134="","FEHLT",IF(NOT(ISNUMBER(C1134)),"MESSWERT UNGUELTIG",IF(C1134&lt;0,"MESSWERT UNGUELTIG",IF(H1134="","TARIFPREIS FEHLT","OK"))))</f>
        <v>FEHLT</v>
      </c>
      <c r="K1134" s="7">
        <f>IF(J1134&lt;&gt;"OK","",C1134*I1134/100)</f>
        <v/>
      </c>
    </row>
    <row r="1135" spans="1:11">
      <c r="A1135" s="14">
        <v>46154</v>
      </c>
      <c r="B1135" s="15">
        <v>0.7604166666666666</v>
      </c>
      <c r="C1135" s="5">
        <f>IF('96 Werte'!BW17="","",'96 Werte'!BW17)</f>
        <v/>
      </c>
      <c r="D1135" t="str">
        <f>IF(IF(Eingaben!$B$21&lt;Eingaben!$B$22,AND(B1135&gt;=Eingaben!$B$21,B1135&lt;Eingaben!$B$22),OR(B1135&gt;=Eingaben!$B$21,B1135&lt;Eingaben!$B$22)),"GO",IF(AND(ISNUMBER(Eingaben!$B$23),ISNUMBER(Eingaben!$B$24),IF(Eingaben!$B$23&lt;Eingaben!$B$24,AND(B1135&gt;=Eingaben!$B$23,B1135&lt;Eingaben!$B$24),OR(B1135&gt;=Eingaben!$B$23,B1135&lt;Eingaben!$B$24))),"HEAT","STANDARD"))</f>
        <v>STANDARD</v>
      </c>
      <c r="E1135" s="9"/>
      <c r="F1135" t="str">
        <f>IF(E1135="",D1135,E1135)</f>
        <v>STANDARD</v>
      </c>
      <c r="G1135" t="str">
        <f>INDEX(Netzzeiten!$B$6:$B$29,HOUR(B1135)+1)</f>
        <v>HT</v>
      </c>
      <c r="H1135" s="6">
        <f>IF(F1135="GO",Eingaben!$B$11,IF(F1135="STANDARD",Eingaben!$B$12,IF(AND(F1135="HEAT",ISNUMBER(Eingaben!$B$13)),Eingaben!$B$13,"")))</f>
        <v>28.2744</v>
      </c>
      <c r="I1135" s="6">
        <f>INDEX(Netzzeiten!$C$6:$C$29,HOUR(B1135)+1)</f>
        <v>10.52</v>
      </c>
      <c r="J1135" t="str">
        <f>IF(C1135="","FEHLT",IF(NOT(ISNUMBER(C1135)),"MESSWERT UNGUELTIG",IF(C1135&lt;0,"MESSWERT UNGUELTIG",IF(H1135="","TARIFPREIS FEHLT","OK"))))</f>
        <v>FEHLT</v>
      </c>
      <c r="K1135" s="7">
        <f>IF(J1135&lt;&gt;"OK","",C1135*I1135/100)</f>
        <v/>
      </c>
    </row>
    <row r="1136" spans="1:11">
      <c r="A1136" s="14">
        <v>46154</v>
      </c>
      <c r="B1136" s="15">
        <v>0.7708333333333334</v>
      </c>
      <c r="C1136" s="5">
        <f>IF('96 Werte'!BX17="","",'96 Werte'!BX17)</f>
        <v/>
      </c>
      <c r="D1136" t="str">
        <f>IF(IF(Eingaben!$B$21&lt;Eingaben!$B$22,AND(B1136&gt;=Eingaben!$B$21,B1136&lt;Eingaben!$B$22),OR(B1136&gt;=Eingaben!$B$21,B1136&lt;Eingaben!$B$22)),"GO",IF(AND(ISNUMBER(Eingaben!$B$23),ISNUMBER(Eingaben!$B$24),IF(Eingaben!$B$23&lt;Eingaben!$B$24,AND(B1136&gt;=Eingaben!$B$23,B1136&lt;Eingaben!$B$24),OR(B1136&gt;=Eingaben!$B$23,B1136&lt;Eingaben!$B$24))),"HEAT","STANDARD"))</f>
        <v>STANDARD</v>
      </c>
      <c r="E1136" s="9"/>
      <c r="F1136" t="str">
        <f>IF(E1136="",D1136,E1136)</f>
        <v>STANDARD</v>
      </c>
      <c r="G1136" t="str">
        <f>INDEX(Netzzeiten!$B$6:$B$29,HOUR(B1136)+1)</f>
        <v>HT</v>
      </c>
      <c r="H1136" s="6">
        <f>IF(F1136="GO",Eingaben!$B$11,IF(F1136="STANDARD",Eingaben!$B$12,IF(AND(F1136="HEAT",ISNUMBER(Eingaben!$B$13)),Eingaben!$B$13,"")))</f>
        <v>28.2744</v>
      </c>
      <c r="I1136" s="6">
        <f>INDEX(Netzzeiten!$C$6:$C$29,HOUR(B1136)+1)</f>
        <v>10.52</v>
      </c>
      <c r="J1136" t="str">
        <f>IF(C1136="","FEHLT",IF(NOT(ISNUMBER(C1136)),"MESSWERT UNGUELTIG",IF(C1136&lt;0,"MESSWERT UNGUELTIG",IF(H1136="","TARIFPREIS FEHLT","OK"))))</f>
        <v>FEHLT</v>
      </c>
      <c r="K1136" s="7">
        <f>IF(J1136&lt;&gt;"OK","",C1136*I1136/100)</f>
        <v/>
      </c>
    </row>
    <row r="1137" spans="1:11">
      <c r="A1137" s="14">
        <v>46154</v>
      </c>
      <c r="B1137" s="15">
        <v>0.78125</v>
      </c>
      <c r="C1137" s="5">
        <f>IF('96 Werte'!BY17="","",'96 Werte'!BY17)</f>
        <v/>
      </c>
      <c r="D1137" t="str">
        <f>IF(IF(Eingaben!$B$21&lt;Eingaben!$B$22,AND(B1137&gt;=Eingaben!$B$21,B1137&lt;Eingaben!$B$22),OR(B1137&gt;=Eingaben!$B$21,B1137&lt;Eingaben!$B$22)),"GO",IF(AND(ISNUMBER(Eingaben!$B$23),ISNUMBER(Eingaben!$B$24),IF(Eingaben!$B$23&lt;Eingaben!$B$24,AND(B1137&gt;=Eingaben!$B$23,B1137&lt;Eingaben!$B$24),OR(B1137&gt;=Eingaben!$B$23,B1137&lt;Eingaben!$B$24))),"HEAT","STANDARD"))</f>
        <v>STANDARD</v>
      </c>
      <c r="E1137" s="9"/>
      <c r="F1137" t="str">
        <f>IF(E1137="",D1137,E1137)</f>
        <v>STANDARD</v>
      </c>
      <c r="G1137" t="str">
        <f>INDEX(Netzzeiten!$B$6:$B$29,HOUR(B1137)+1)</f>
        <v>HT</v>
      </c>
      <c r="H1137" s="6">
        <f>IF(F1137="GO",Eingaben!$B$11,IF(F1137="STANDARD",Eingaben!$B$12,IF(AND(F1137="HEAT",ISNUMBER(Eingaben!$B$13)),Eingaben!$B$13,"")))</f>
        <v>28.2744</v>
      </c>
      <c r="I1137" s="6">
        <f>INDEX(Netzzeiten!$C$6:$C$29,HOUR(B1137)+1)</f>
        <v>10.52</v>
      </c>
      <c r="J1137" t="str">
        <f>IF(C1137="","FEHLT",IF(NOT(ISNUMBER(C1137)),"MESSWERT UNGUELTIG",IF(C1137&lt;0,"MESSWERT UNGUELTIG",IF(H1137="","TARIFPREIS FEHLT","OK"))))</f>
        <v>FEHLT</v>
      </c>
      <c r="K1137" s="7">
        <f>IF(J1137&lt;&gt;"OK","",C1137*I1137/100)</f>
        <v/>
      </c>
    </row>
    <row r="1138" spans="1:11">
      <c r="A1138" s="14">
        <v>46154</v>
      </c>
      <c r="B1138" s="15">
        <v>0.7916666666666666</v>
      </c>
      <c r="C1138" s="5">
        <f>IF('96 Werte'!BZ17="","",'96 Werte'!BZ17)</f>
        <v/>
      </c>
      <c r="D1138" t="str">
        <f>IF(IF(Eingaben!$B$21&lt;Eingaben!$B$22,AND(B1138&gt;=Eingaben!$B$21,B1138&lt;Eingaben!$B$22),OR(B1138&gt;=Eingaben!$B$21,B1138&lt;Eingaben!$B$22)),"GO",IF(AND(ISNUMBER(Eingaben!$B$23),ISNUMBER(Eingaben!$B$24),IF(Eingaben!$B$23&lt;Eingaben!$B$24,AND(B1138&gt;=Eingaben!$B$23,B1138&lt;Eingaben!$B$24),OR(B1138&gt;=Eingaben!$B$23,B1138&lt;Eingaben!$B$24))),"HEAT","STANDARD"))</f>
        <v>STANDARD</v>
      </c>
      <c r="E1138" s="9"/>
      <c r="F1138" t="str">
        <f>IF(E1138="",D1138,E1138)</f>
        <v>STANDARD</v>
      </c>
      <c r="G1138" t="str">
        <f>INDEX(Netzzeiten!$B$6:$B$29,HOUR(B1138)+1)</f>
        <v>HT</v>
      </c>
      <c r="H1138" s="6">
        <f>IF(F1138="GO",Eingaben!$B$11,IF(F1138="STANDARD",Eingaben!$B$12,IF(AND(F1138="HEAT",ISNUMBER(Eingaben!$B$13)),Eingaben!$B$13,"")))</f>
        <v>28.2744</v>
      </c>
      <c r="I1138" s="6">
        <f>INDEX(Netzzeiten!$C$6:$C$29,HOUR(B1138)+1)</f>
        <v>10.52</v>
      </c>
      <c r="J1138" t="str">
        <f>IF(C1138="","FEHLT",IF(NOT(ISNUMBER(C1138)),"MESSWERT UNGUELTIG",IF(C1138&lt;0,"MESSWERT UNGUELTIG",IF(H1138="","TARIFPREIS FEHLT","OK"))))</f>
        <v>FEHLT</v>
      </c>
      <c r="K1138" s="7">
        <f>IF(J1138&lt;&gt;"OK","",C1138*I1138/100)</f>
        <v/>
      </c>
    </row>
    <row r="1139" spans="1:11">
      <c r="A1139" s="14">
        <v>46154</v>
      </c>
      <c r="B1139" s="15">
        <v>0.8020833333333334</v>
      </c>
      <c r="C1139" s="5">
        <f>IF('96 Werte'!CA17="","",'96 Werte'!CA17)</f>
        <v/>
      </c>
      <c r="D1139" t="str">
        <f>IF(IF(Eingaben!$B$21&lt;Eingaben!$B$22,AND(B1139&gt;=Eingaben!$B$21,B1139&lt;Eingaben!$B$22),OR(B1139&gt;=Eingaben!$B$21,B1139&lt;Eingaben!$B$22)),"GO",IF(AND(ISNUMBER(Eingaben!$B$23),ISNUMBER(Eingaben!$B$24),IF(Eingaben!$B$23&lt;Eingaben!$B$24,AND(B1139&gt;=Eingaben!$B$23,B1139&lt;Eingaben!$B$24),OR(B1139&gt;=Eingaben!$B$23,B1139&lt;Eingaben!$B$24))),"HEAT","STANDARD"))</f>
        <v>STANDARD</v>
      </c>
      <c r="E1139" s="9"/>
      <c r="F1139" t="str">
        <f>IF(E1139="",D1139,E1139)</f>
        <v>STANDARD</v>
      </c>
      <c r="G1139" t="str">
        <f>INDEX(Netzzeiten!$B$6:$B$29,HOUR(B1139)+1)</f>
        <v>HT</v>
      </c>
      <c r="H1139" s="6">
        <f>IF(F1139="GO",Eingaben!$B$11,IF(F1139="STANDARD",Eingaben!$B$12,IF(AND(F1139="HEAT",ISNUMBER(Eingaben!$B$13)),Eingaben!$B$13,"")))</f>
        <v>28.2744</v>
      </c>
      <c r="I1139" s="6">
        <f>INDEX(Netzzeiten!$C$6:$C$29,HOUR(B1139)+1)</f>
        <v>10.52</v>
      </c>
      <c r="J1139" t="str">
        <f>IF(C1139="","FEHLT",IF(NOT(ISNUMBER(C1139)),"MESSWERT UNGUELTIG",IF(C1139&lt;0,"MESSWERT UNGUELTIG",IF(H1139="","TARIFPREIS FEHLT","OK"))))</f>
        <v>FEHLT</v>
      </c>
      <c r="K1139" s="7">
        <f>IF(J1139&lt;&gt;"OK","",C1139*I1139/100)</f>
        <v/>
      </c>
    </row>
    <row r="1140" spans="1:11">
      <c r="A1140" s="14">
        <v>46154</v>
      </c>
      <c r="B1140" s="15">
        <v>0.8125</v>
      </c>
      <c r="C1140" s="5">
        <f>IF('96 Werte'!CB17="","",'96 Werte'!CB17)</f>
        <v/>
      </c>
      <c r="D1140" t="str">
        <f>IF(IF(Eingaben!$B$21&lt;Eingaben!$B$22,AND(B1140&gt;=Eingaben!$B$21,B1140&lt;Eingaben!$B$22),OR(B1140&gt;=Eingaben!$B$21,B1140&lt;Eingaben!$B$22)),"GO",IF(AND(ISNUMBER(Eingaben!$B$23),ISNUMBER(Eingaben!$B$24),IF(Eingaben!$B$23&lt;Eingaben!$B$24,AND(B1140&gt;=Eingaben!$B$23,B1140&lt;Eingaben!$B$24),OR(B1140&gt;=Eingaben!$B$23,B1140&lt;Eingaben!$B$24))),"HEAT","STANDARD"))</f>
        <v>STANDARD</v>
      </c>
      <c r="E1140" s="9"/>
      <c r="F1140" t="str">
        <f>IF(E1140="",D1140,E1140)</f>
        <v>STANDARD</v>
      </c>
      <c r="G1140" t="str">
        <f>INDEX(Netzzeiten!$B$6:$B$29,HOUR(B1140)+1)</f>
        <v>HT</v>
      </c>
      <c r="H1140" s="6">
        <f>IF(F1140="GO",Eingaben!$B$11,IF(F1140="STANDARD",Eingaben!$B$12,IF(AND(F1140="HEAT",ISNUMBER(Eingaben!$B$13)),Eingaben!$B$13,"")))</f>
        <v>28.2744</v>
      </c>
      <c r="I1140" s="6">
        <f>INDEX(Netzzeiten!$C$6:$C$29,HOUR(B1140)+1)</f>
        <v>10.52</v>
      </c>
      <c r="J1140" t="str">
        <f>IF(C1140="","FEHLT",IF(NOT(ISNUMBER(C1140)),"MESSWERT UNGUELTIG",IF(C1140&lt;0,"MESSWERT UNGUELTIG",IF(H1140="","TARIFPREIS FEHLT","OK"))))</f>
        <v>FEHLT</v>
      </c>
      <c r="K1140" s="7">
        <f>IF(J1140&lt;&gt;"OK","",C1140*I1140/100)</f>
        <v/>
      </c>
    </row>
    <row r="1141" spans="1:11">
      <c r="A1141" s="14">
        <v>46154</v>
      </c>
      <c r="B1141" s="15">
        <v>0.8229166666666666</v>
      </c>
      <c r="C1141" s="5">
        <f>IF('96 Werte'!CC17="","",'96 Werte'!CC17)</f>
        <v/>
      </c>
      <c r="D1141" t="str">
        <f>IF(IF(Eingaben!$B$21&lt;Eingaben!$B$22,AND(B1141&gt;=Eingaben!$B$21,B1141&lt;Eingaben!$B$22),OR(B1141&gt;=Eingaben!$B$21,B1141&lt;Eingaben!$B$22)),"GO",IF(AND(ISNUMBER(Eingaben!$B$23),ISNUMBER(Eingaben!$B$24),IF(Eingaben!$B$23&lt;Eingaben!$B$24,AND(B1141&gt;=Eingaben!$B$23,B1141&lt;Eingaben!$B$24),OR(B1141&gt;=Eingaben!$B$23,B1141&lt;Eingaben!$B$24))),"HEAT","STANDARD"))</f>
        <v>STANDARD</v>
      </c>
      <c r="E1141" s="9"/>
      <c r="F1141" t="str">
        <f>IF(E1141="",D1141,E1141)</f>
        <v>STANDARD</v>
      </c>
      <c r="G1141" t="str">
        <f>INDEX(Netzzeiten!$B$6:$B$29,HOUR(B1141)+1)</f>
        <v>HT</v>
      </c>
      <c r="H1141" s="6">
        <f>IF(F1141="GO",Eingaben!$B$11,IF(F1141="STANDARD",Eingaben!$B$12,IF(AND(F1141="HEAT",ISNUMBER(Eingaben!$B$13)),Eingaben!$B$13,"")))</f>
        <v>28.2744</v>
      </c>
      <c r="I1141" s="6">
        <f>INDEX(Netzzeiten!$C$6:$C$29,HOUR(B1141)+1)</f>
        <v>10.52</v>
      </c>
      <c r="J1141" t="str">
        <f>IF(C1141="","FEHLT",IF(NOT(ISNUMBER(C1141)),"MESSWERT UNGUELTIG",IF(C1141&lt;0,"MESSWERT UNGUELTIG",IF(H1141="","TARIFPREIS FEHLT","OK"))))</f>
        <v>FEHLT</v>
      </c>
      <c r="K1141" s="7">
        <f>IF(J1141&lt;&gt;"OK","",C1141*I1141/100)</f>
        <v/>
      </c>
    </row>
    <row r="1142" spans="1:11">
      <c r="A1142" s="14">
        <v>46154</v>
      </c>
      <c r="B1142" s="15">
        <v>0.8333333333333334</v>
      </c>
      <c r="C1142" s="5">
        <f>IF('96 Werte'!CD17="","",'96 Werte'!CD17)</f>
        <v/>
      </c>
      <c r="D1142" t="str">
        <f>IF(IF(Eingaben!$B$21&lt;Eingaben!$B$22,AND(B1142&gt;=Eingaben!$B$21,B1142&lt;Eingaben!$B$22),OR(B1142&gt;=Eingaben!$B$21,B1142&lt;Eingaben!$B$22)),"GO",IF(AND(ISNUMBER(Eingaben!$B$23),ISNUMBER(Eingaben!$B$24),IF(Eingaben!$B$23&lt;Eingaben!$B$24,AND(B1142&gt;=Eingaben!$B$23,B1142&lt;Eingaben!$B$24),OR(B1142&gt;=Eingaben!$B$23,B1142&lt;Eingaben!$B$24))),"HEAT","STANDARD"))</f>
        <v>STANDARD</v>
      </c>
      <c r="E1142" s="9"/>
      <c r="F1142" t="str">
        <f>IF(E1142="",D1142,E1142)</f>
        <v>STANDARD</v>
      </c>
      <c r="G1142" t="str">
        <f>INDEX(Netzzeiten!$B$6:$B$29,HOUR(B1142)+1)</f>
        <v>HT</v>
      </c>
      <c r="H1142" s="6">
        <f>IF(F1142="GO",Eingaben!$B$11,IF(F1142="STANDARD",Eingaben!$B$12,IF(AND(F1142="HEAT",ISNUMBER(Eingaben!$B$13)),Eingaben!$B$13,"")))</f>
        <v>28.2744</v>
      </c>
      <c r="I1142" s="6">
        <f>INDEX(Netzzeiten!$C$6:$C$29,HOUR(B1142)+1)</f>
        <v>10.52</v>
      </c>
      <c r="J1142" t="str">
        <f>IF(C1142="","FEHLT",IF(NOT(ISNUMBER(C1142)),"MESSWERT UNGUELTIG",IF(C1142&lt;0,"MESSWERT UNGUELTIG",IF(H1142="","TARIFPREIS FEHLT","OK"))))</f>
        <v>FEHLT</v>
      </c>
      <c r="K1142" s="7">
        <f>IF(J1142&lt;&gt;"OK","",C1142*I1142/100)</f>
        <v/>
      </c>
    </row>
    <row r="1143" spans="1:11">
      <c r="A1143" s="14">
        <v>46154</v>
      </c>
      <c r="B1143" s="15">
        <v>0.84375</v>
      </c>
      <c r="C1143" s="5">
        <f>IF('96 Werte'!CE17="","",'96 Werte'!CE17)</f>
        <v/>
      </c>
      <c r="D1143" t="str">
        <f>IF(IF(Eingaben!$B$21&lt;Eingaben!$B$22,AND(B1143&gt;=Eingaben!$B$21,B1143&lt;Eingaben!$B$22),OR(B1143&gt;=Eingaben!$B$21,B1143&lt;Eingaben!$B$22)),"GO",IF(AND(ISNUMBER(Eingaben!$B$23),ISNUMBER(Eingaben!$B$24),IF(Eingaben!$B$23&lt;Eingaben!$B$24,AND(B1143&gt;=Eingaben!$B$23,B1143&lt;Eingaben!$B$24),OR(B1143&gt;=Eingaben!$B$23,B1143&lt;Eingaben!$B$24))),"HEAT","STANDARD"))</f>
        <v>STANDARD</v>
      </c>
      <c r="E1143" s="9"/>
      <c r="F1143" t="str">
        <f>IF(E1143="",D1143,E1143)</f>
        <v>STANDARD</v>
      </c>
      <c r="G1143" t="str">
        <f>INDEX(Netzzeiten!$B$6:$B$29,HOUR(B1143)+1)</f>
        <v>HT</v>
      </c>
      <c r="H1143" s="6">
        <f>IF(F1143="GO",Eingaben!$B$11,IF(F1143="STANDARD",Eingaben!$B$12,IF(AND(F1143="HEAT",ISNUMBER(Eingaben!$B$13)),Eingaben!$B$13,"")))</f>
        <v>28.2744</v>
      </c>
      <c r="I1143" s="6">
        <f>INDEX(Netzzeiten!$C$6:$C$29,HOUR(B1143)+1)</f>
        <v>10.52</v>
      </c>
      <c r="J1143" t="str">
        <f>IF(C1143="","FEHLT",IF(NOT(ISNUMBER(C1143)),"MESSWERT UNGUELTIG",IF(C1143&lt;0,"MESSWERT UNGUELTIG",IF(H1143="","TARIFPREIS FEHLT","OK"))))</f>
        <v>FEHLT</v>
      </c>
      <c r="K1143" s="7">
        <f>IF(J1143&lt;&gt;"OK","",C1143*I1143/100)</f>
        <v/>
      </c>
    </row>
    <row r="1144" spans="1:11">
      <c r="A1144" s="14">
        <v>46154</v>
      </c>
      <c r="B1144" s="15">
        <v>0.8541666666666666</v>
      </c>
      <c r="C1144" s="5">
        <f>IF('96 Werte'!CF17="","",'96 Werte'!CF17)</f>
        <v/>
      </c>
      <c r="D1144" t="str">
        <f>IF(IF(Eingaben!$B$21&lt;Eingaben!$B$22,AND(B1144&gt;=Eingaben!$B$21,B1144&lt;Eingaben!$B$22),OR(B1144&gt;=Eingaben!$B$21,B1144&lt;Eingaben!$B$22)),"GO",IF(AND(ISNUMBER(Eingaben!$B$23),ISNUMBER(Eingaben!$B$24),IF(Eingaben!$B$23&lt;Eingaben!$B$24,AND(B1144&gt;=Eingaben!$B$23,B1144&lt;Eingaben!$B$24),OR(B1144&gt;=Eingaben!$B$23,B1144&lt;Eingaben!$B$24))),"HEAT","STANDARD"))</f>
        <v>STANDARD</v>
      </c>
      <c r="E1144" s="9"/>
      <c r="F1144" t="str">
        <f>IF(E1144="",D1144,E1144)</f>
        <v>STANDARD</v>
      </c>
      <c r="G1144" t="str">
        <f>INDEX(Netzzeiten!$B$6:$B$29,HOUR(B1144)+1)</f>
        <v>HT</v>
      </c>
      <c r="H1144" s="6">
        <f>IF(F1144="GO",Eingaben!$B$11,IF(F1144="STANDARD",Eingaben!$B$12,IF(AND(F1144="HEAT",ISNUMBER(Eingaben!$B$13)),Eingaben!$B$13,"")))</f>
        <v>28.2744</v>
      </c>
      <c r="I1144" s="6">
        <f>INDEX(Netzzeiten!$C$6:$C$29,HOUR(B1144)+1)</f>
        <v>10.52</v>
      </c>
      <c r="J1144" t="str">
        <f>IF(C1144="","FEHLT",IF(NOT(ISNUMBER(C1144)),"MESSWERT UNGUELTIG",IF(C1144&lt;0,"MESSWERT UNGUELTIG",IF(H1144="","TARIFPREIS FEHLT","OK"))))</f>
        <v>FEHLT</v>
      </c>
      <c r="K1144" s="7">
        <f>IF(J1144&lt;&gt;"OK","",C1144*I1144/100)</f>
        <v/>
      </c>
    </row>
    <row r="1145" spans="1:11">
      <c r="A1145" s="14">
        <v>46154</v>
      </c>
      <c r="B1145" s="15">
        <v>0.8645833333333334</v>
      </c>
      <c r="C1145" s="5">
        <f>IF('96 Werte'!CG17="","",'96 Werte'!CG17)</f>
        <v/>
      </c>
      <c r="D1145" t="str">
        <f>IF(IF(Eingaben!$B$21&lt;Eingaben!$B$22,AND(B1145&gt;=Eingaben!$B$21,B1145&lt;Eingaben!$B$22),OR(B1145&gt;=Eingaben!$B$21,B1145&lt;Eingaben!$B$22)),"GO",IF(AND(ISNUMBER(Eingaben!$B$23),ISNUMBER(Eingaben!$B$24),IF(Eingaben!$B$23&lt;Eingaben!$B$24,AND(B1145&gt;=Eingaben!$B$23,B1145&lt;Eingaben!$B$24),OR(B1145&gt;=Eingaben!$B$23,B1145&lt;Eingaben!$B$24))),"HEAT","STANDARD"))</f>
        <v>STANDARD</v>
      </c>
      <c r="E1145" s="9"/>
      <c r="F1145" t="str">
        <f>IF(E1145="",D1145,E1145)</f>
        <v>STANDARD</v>
      </c>
      <c r="G1145" t="str">
        <f>INDEX(Netzzeiten!$B$6:$B$29,HOUR(B1145)+1)</f>
        <v>HT</v>
      </c>
      <c r="H1145" s="6">
        <f>IF(F1145="GO",Eingaben!$B$11,IF(F1145="STANDARD",Eingaben!$B$12,IF(AND(F1145="HEAT",ISNUMBER(Eingaben!$B$13)),Eingaben!$B$13,"")))</f>
        <v>28.2744</v>
      </c>
      <c r="I1145" s="6">
        <f>INDEX(Netzzeiten!$C$6:$C$29,HOUR(B1145)+1)</f>
        <v>10.52</v>
      </c>
      <c r="J1145" t="str">
        <f>IF(C1145="","FEHLT",IF(NOT(ISNUMBER(C1145)),"MESSWERT UNGUELTIG",IF(C1145&lt;0,"MESSWERT UNGUELTIG",IF(H1145="","TARIFPREIS FEHLT","OK"))))</f>
        <v>FEHLT</v>
      </c>
      <c r="K1145" s="7">
        <f>IF(J1145&lt;&gt;"OK","",C1145*I1145/100)</f>
        <v/>
      </c>
    </row>
    <row r="1146" spans="1:11">
      <c r="A1146" s="14">
        <v>46154</v>
      </c>
      <c r="B1146" s="15">
        <v>0.875</v>
      </c>
      <c r="C1146" s="5">
        <f>IF('96 Werte'!CH17="","",'96 Werte'!CH17)</f>
        <v/>
      </c>
      <c r="D1146" t="str">
        <f>IF(IF(Eingaben!$B$21&lt;Eingaben!$B$22,AND(B1146&gt;=Eingaben!$B$21,B1146&lt;Eingaben!$B$22),OR(B1146&gt;=Eingaben!$B$21,B1146&lt;Eingaben!$B$22)),"GO",IF(AND(ISNUMBER(Eingaben!$B$23),ISNUMBER(Eingaben!$B$24),IF(Eingaben!$B$23&lt;Eingaben!$B$24,AND(B1146&gt;=Eingaben!$B$23,B1146&lt;Eingaben!$B$24),OR(B1146&gt;=Eingaben!$B$23,B1146&lt;Eingaben!$B$24))),"HEAT","STANDARD"))</f>
        <v>STANDARD</v>
      </c>
      <c r="E1146" s="9"/>
      <c r="F1146" t="str">
        <f>IF(E1146="",D1146,E1146)</f>
        <v>STANDARD</v>
      </c>
      <c r="G1146" t="str">
        <f>INDEX(Netzzeiten!$B$6:$B$29,HOUR(B1146)+1)</f>
        <v>HT</v>
      </c>
      <c r="H1146" s="6">
        <f>IF(F1146="GO",Eingaben!$B$11,IF(F1146="STANDARD",Eingaben!$B$12,IF(AND(F1146="HEAT",ISNUMBER(Eingaben!$B$13)),Eingaben!$B$13,"")))</f>
        <v>28.2744</v>
      </c>
      <c r="I1146" s="6">
        <f>INDEX(Netzzeiten!$C$6:$C$29,HOUR(B1146)+1)</f>
        <v>10.52</v>
      </c>
      <c r="J1146" t="str">
        <f>IF(C1146="","FEHLT",IF(NOT(ISNUMBER(C1146)),"MESSWERT UNGUELTIG",IF(C1146&lt;0,"MESSWERT UNGUELTIG",IF(H1146="","TARIFPREIS FEHLT","OK"))))</f>
        <v>FEHLT</v>
      </c>
      <c r="K1146" s="7">
        <f>IF(J1146&lt;&gt;"OK","",C1146*I1146/100)</f>
        <v/>
      </c>
    </row>
    <row r="1147" spans="1:11">
      <c r="A1147" s="14">
        <v>46154</v>
      </c>
      <c r="B1147" s="15">
        <v>0.8854166666666666</v>
      </c>
      <c r="C1147" s="5">
        <f>IF('96 Werte'!CI17="","",'96 Werte'!CI17)</f>
        <v/>
      </c>
      <c r="D1147" t="str">
        <f>IF(IF(Eingaben!$B$21&lt;Eingaben!$B$22,AND(B1147&gt;=Eingaben!$B$21,B1147&lt;Eingaben!$B$22),OR(B1147&gt;=Eingaben!$B$21,B1147&lt;Eingaben!$B$22)),"GO",IF(AND(ISNUMBER(Eingaben!$B$23),ISNUMBER(Eingaben!$B$24),IF(Eingaben!$B$23&lt;Eingaben!$B$24,AND(B1147&gt;=Eingaben!$B$23,B1147&lt;Eingaben!$B$24),OR(B1147&gt;=Eingaben!$B$23,B1147&lt;Eingaben!$B$24))),"HEAT","STANDARD"))</f>
        <v>STANDARD</v>
      </c>
      <c r="E1147" s="9"/>
      <c r="F1147" t="str">
        <f>IF(E1147="",D1147,E1147)</f>
        <v>STANDARD</v>
      </c>
      <c r="G1147" t="str">
        <f>INDEX(Netzzeiten!$B$6:$B$29,HOUR(B1147)+1)</f>
        <v>HT</v>
      </c>
      <c r="H1147" s="6">
        <f>IF(F1147="GO",Eingaben!$B$11,IF(F1147="STANDARD",Eingaben!$B$12,IF(AND(F1147="HEAT",ISNUMBER(Eingaben!$B$13)),Eingaben!$B$13,"")))</f>
        <v>28.2744</v>
      </c>
      <c r="I1147" s="6">
        <f>INDEX(Netzzeiten!$C$6:$C$29,HOUR(B1147)+1)</f>
        <v>10.52</v>
      </c>
      <c r="J1147" t="str">
        <f>IF(C1147="","FEHLT",IF(NOT(ISNUMBER(C1147)),"MESSWERT UNGUELTIG",IF(C1147&lt;0,"MESSWERT UNGUELTIG",IF(H1147="","TARIFPREIS FEHLT","OK"))))</f>
        <v>FEHLT</v>
      </c>
      <c r="K1147" s="7">
        <f>IF(J1147&lt;&gt;"OK","",C1147*I1147/100)</f>
        <v/>
      </c>
    </row>
    <row r="1148" spans="1:11">
      <c r="A1148" s="14">
        <v>46154</v>
      </c>
      <c r="B1148" s="15">
        <v>0.8958333333333334</v>
      </c>
      <c r="C1148" s="5">
        <f>IF('96 Werte'!CJ17="","",'96 Werte'!CJ17)</f>
        <v/>
      </c>
      <c r="D1148" t="str">
        <f>IF(IF(Eingaben!$B$21&lt;Eingaben!$B$22,AND(B1148&gt;=Eingaben!$B$21,B1148&lt;Eingaben!$B$22),OR(B1148&gt;=Eingaben!$B$21,B1148&lt;Eingaben!$B$22)),"GO",IF(AND(ISNUMBER(Eingaben!$B$23),ISNUMBER(Eingaben!$B$24),IF(Eingaben!$B$23&lt;Eingaben!$B$24,AND(B1148&gt;=Eingaben!$B$23,B1148&lt;Eingaben!$B$24),OR(B1148&gt;=Eingaben!$B$23,B1148&lt;Eingaben!$B$24))),"HEAT","STANDARD"))</f>
        <v>STANDARD</v>
      </c>
      <c r="E1148" s="9"/>
      <c r="F1148" t="str">
        <f>IF(E1148="",D1148,E1148)</f>
        <v>STANDARD</v>
      </c>
      <c r="G1148" t="str">
        <f>INDEX(Netzzeiten!$B$6:$B$29,HOUR(B1148)+1)</f>
        <v>HT</v>
      </c>
      <c r="H1148" s="6">
        <f>IF(F1148="GO",Eingaben!$B$11,IF(F1148="STANDARD",Eingaben!$B$12,IF(AND(F1148="HEAT",ISNUMBER(Eingaben!$B$13)),Eingaben!$B$13,"")))</f>
        <v>28.2744</v>
      </c>
      <c r="I1148" s="6">
        <f>INDEX(Netzzeiten!$C$6:$C$29,HOUR(B1148)+1)</f>
        <v>10.52</v>
      </c>
      <c r="J1148" t="str">
        <f>IF(C1148="","FEHLT",IF(NOT(ISNUMBER(C1148)),"MESSWERT UNGUELTIG",IF(C1148&lt;0,"MESSWERT UNGUELTIG",IF(H1148="","TARIFPREIS FEHLT","OK"))))</f>
        <v>FEHLT</v>
      </c>
      <c r="K1148" s="7">
        <f>IF(J1148&lt;&gt;"OK","",C1148*I1148/100)</f>
        <v/>
      </c>
    </row>
    <row r="1149" spans="1:11">
      <c r="A1149" s="14">
        <v>46154</v>
      </c>
      <c r="B1149" s="15">
        <v>0.90625</v>
      </c>
      <c r="C1149" s="5">
        <f>IF('96 Werte'!CK17="","",'96 Werte'!CK17)</f>
        <v/>
      </c>
      <c r="D1149" t="str">
        <f>IF(IF(Eingaben!$B$21&lt;Eingaben!$B$22,AND(B1149&gt;=Eingaben!$B$21,B1149&lt;Eingaben!$B$22),OR(B1149&gt;=Eingaben!$B$21,B1149&lt;Eingaben!$B$22)),"GO",IF(AND(ISNUMBER(Eingaben!$B$23),ISNUMBER(Eingaben!$B$24),IF(Eingaben!$B$23&lt;Eingaben!$B$24,AND(B1149&gt;=Eingaben!$B$23,B1149&lt;Eingaben!$B$24),OR(B1149&gt;=Eingaben!$B$23,B1149&lt;Eingaben!$B$24))),"HEAT","STANDARD"))</f>
        <v>STANDARD</v>
      </c>
      <c r="E1149" s="9"/>
      <c r="F1149" t="str">
        <f>IF(E1149="",D1149,E1149)</f>
        <v>STANDARD</v>
      </c>
      <c r="G1149" t="str">
        <f>INDEX(Netzzeiten!$B$6:$B$29,HOUR(B1149)+1)</f>
        <v>HT</v>
      </c>
      <c r="H1149" s="6">
        <f>IF(F1149="GO",Eingaben!$B$11,IF(F1149="STANDARD",Eingaben!$B$12,IF(AND(F1149="HEAT",ISNUMBER(Eingaben!$B$13)),Eingaben!$B$13,"")))</f>
        <v>28.2744</v>
      </c>
      <c r="I1149" s="6">
        <f>INDEX(Netzzeiten!$C$6:$C$29,HOUR(B1149)+1)</f>
        <v>10.52</v>
      </c>
      <c r="J1149" t="str">
        <f>IF(C1149="","FEHLT",IF(NOT(ISNUMBER(C1149)),"MESSWERT UNGUELTIG",IF(C1149&lt;0,"MESSWERT UNGUELTIG",IF(H1149="","TARIFPREIS FEHLT","OK"))))</f>
        <v>FEHLT</v>
      </c>
      <c r="K1149" s="7">
        <f>IF(J1149&lt;&gt;"OK","",C1149*I1149/100)</f>
        <v/>
      </c>
    </row>
    <row r="1150" spans="1:11">
      <c r="A1150" s="14">
        <v>46154</v>
      </c>
      <c r="B1150" s="15">
        <v>0.9166666666666666</v>
      </c>
      <c r="C1150" s="5">
        <f>IF('96 Werte'!CL17="","",'96 Werte'!CL17)</f>
        <v/>
      </c>
      <c r="D1150" t="str">
        <f>IF(IF(Eingaben!$B$21&lt;Eingaben!$B$22,AND(B1150&gt;=Eingaben!$B$21,B1150&lt;Eingaben!$B$22),OR(B1150&gt;=Eingaben!$B$21,B1150&lt;Eingaben!$B$22)),"GO",IF(AND(ISNUMBER(Eingaben!$B$23),ISNUMBER(Eingaben!$B$24),IF(Eingaben!$B$23&lt;Eingaben!$B$24,AND(B1150&gt;=Eingaben!$B$23,B1150&lt;Eingaben!$B$24),OR(B1150&gt;=Eingaben!$B$23,B1150&lt;Eingaben!$B$24))),"HEAT","STANDARD"))</f>
        <v>STANDARD</v>
      </c>
      <c r="E1150" s="9"/>
      <c r="F1150" t="str">
        <f>IF(E1150="",D1150,E1150)</f>
        <v>STANDARD</v>
      </c>
      <c r="G1150" t="str">
        <f>INDEX(Netzzeiten!$B$6:$B$29,HOUR(B1150)+1)</f>
        <v>ST</v>
      </c>
      <c r="H1150" s="6">
        <f>IF(F1150="GO",Eingaben!$B$11,IF(F1150="STANDARD",Eingaben!$B$12,IF(AND(F1150="HEAT",ISNUMBER(Eingaben!$B$13)),Eingaben!$B$13,"")))</f>
        <v>28.2744</v>
      </c>
      <c r="I1150" s="6">
        <f>INDEX(Netzzeiten!$C$6:$C$29,HOUR(B1150)+1)</f>
        <v>5.48</v>
      </c>
      <c r="J1150" t="str">
        <f>IF(C1150="","FEHLT",IF(NOT(ISNUMBER(C1150)),"MESSWERT UNGUELTIG",IF(C1150&lt;0,"MESSWERT UNGUELTIG",IF(H1150="","TARIFPREIS FEHLT","OK"))))</f>
        <v>FEHLT</v>
      </c>
      <c r="K1150" s="7">
        <f>IF(J1150&lt;&gt;"OK","",C1150*I1150/100)</f>
        <v/>
      </c>
    </row>
    <row r="1151" spans="1:11">
      <c r="A1151" s="14">
        <v>46154</v>
      </c>
      <c r="B1151" s="15">
        <v>0.9270833333333334</v>
      </c>
      <c r="C1151" s="5">
        <f>IF('96 Werte'!CM17="","",'96 Werte'!CM17)</f>
        <v/>
      </c>
      <c r="D1151" t="str">
        <f>IF(IF(Eingaben!$B$21&lt;Eingaben!$B$22,AND(B1151&gt;=Eingaben!$B$21,B1151&lt;Eingaben!$B$22),OR(B1151&gt;=Eingaben!$B$21,B1151&lt;Eingaben!$B$22)),"GO",IF(AND(ISNUMBER(Eingaben!$B$23),ISNUMBER(Eingaben!$B$24),IF(Eingaben!$B$23&lt;Eingaben!$B$24,AND(B1151&gt;=Eingaben!$B$23,B1151&lt;Eingaben!$B$24),OR(B1151&gt;=Eingaben!$B$23,B1151&lt;Eingaben!$B$24))),"HEAT","STANDARD"))</f>
        <v>STANDARD</v>
      </c>
      <c r="E1151" s="9"/>
      <c r="F1151" t="str">
        <f>IF(E1151="",D1151,E1151)</f>
        <v>STANDARD</v>
      </c>
      <c r="G1151" t="str">
        <f>INDEX(Netzzeiten!$B$6:$B$29,HOUR(B1151)+1)</f>
        <v>ST</v>
      </c>
      <c r="H1151" s="6">
        <f>IF(F1151="GO",Eingaben!$B$11,IF(F1151="STANDARD",Eingaben!$B$12,IF(AND(F1151="HEAT",ISNUMBER(Eingaben!$B$13)),Eingaben!$B$13,"")))</f>
        <v>28.2744</v>
      </c>
      <c r="I1151" s="6">
        <f>INDEX(Netzzeiten!$C$6:$C$29,HOUR(B1151)+1)</f>
        <v>5.48</v>
      </c>
      <c r="J1151" t="str">
        <f>IF(C1151="","FEHLT",IF(NOT(ISNUMBER(C1151)),"MESSWERT UNGUELTIG",IF(C1151&lt;0,"MESSWERT UNGUELTIG",IF(H1151="","TARIFPREIS FEHLT","OK"))))</f>
        <v>FEHLT</v>
      </c>
      <c r="K1151" s="7">
        <f>IF(J1151&lt;&gt;"OK","",C1151*I1151/100)</f>
        <v/>
      </c>
    </row>
    <row r="1152" spans="1:11">
      <c r="A1152" s="14">
        <v>46154</v>
      </c>
      <c r="B1152" s="15">
        <v>0.9375</v>
      </c>
      <c r="C1152" s="5">
        <f>IF('96 Werte'!CN17="","",'96 Werte'!CN17)</f>
        <v/>
      </c>
      <c r="D1152" t="str">
        <f>IF(IF(Eingaben!$B$21&lt;Eingaben!$B$22,AND(B1152&gt;=Eingaben!$B$21,B1152&lt;Eingaben!$B$22),OR(B1152&gt;=Eingaben!$B$21,B1152&lt;Eingaben!$B$22)),"GO",IF(AND(ISNUMBER(Eingaben!$B$23),ISNUMBER(Eingaben!$B$24),IF(Eingaben!$B$23&lt;Eingaben!$B$24,AND(B1152&gt;=Eingaben!$B$23,B1152&lt;Eingaben!$B$24),OR(B1152&gt;=Eingaben!$B$23,B1152&lt;Eingaben!$B$24))),"HEAT","STANDARD"))</f>
        <v>STANDARD</v>
      </c>
      <c r="E1152" s="9"/>
      <c r="F1152" t="str">
        <f>IF(E1152="",D1152,E1152)</f>
        <v>STANDARD</v>
      </c>
      <c r="G1152" t="str">
        <f>INDEX(Netzzeiten!$B$6:$B$29,HOUR(B1152)+1)</f>
        <v>ST</v>
      </c>
      <c r="H1152" s="6">
        <f>IF(F1152="GO",Eingaben!$B$11,IF(F1152="STANDARD",Eingaben!$B$12,IF(AND(F1152="HEAT",ISNUMBER(Eingaben!$B$13)),Eingaben!$B$13,"")))</f>
        <v>28.2744</v>
      </c>
      <c r="I1152" s="6">
        <f>INDEX(Netzzeiten!$C$6:$C$29,HOUR(B1152)+1)</f>
        <v>5.48</v>
      </c>
      <c r="J1152" t="str">
        <f>IF(C1152="","FEHLT",IF(NOT(ISNUMBER(C1152)),"MESSWERT UNGUELTIG",IF(C1152&lt;0,"MESSWERT UNGUELTIG",IF(H1152="","TARIFPREIS FEHLT","OK"))))</f>
        <v>FEHLT</v>
      </c>
      <c r="K1152" s="7">
        <f>IF(J1152&lt;&gt;"OK","",C1152*I1152/100)</f>
        <v/>
      </c>
    </row>
    <row r="1153" spans="1:11">
      <c r="A1153" s="14">
        <v>46154</v>
      </c>
      <c r="B1153" s="15">
        <v>0.9479166666666666</v>
      </c>
      <c r="C1153" s="5">
        <f>IF('96 Werte'!CO17="","",'96 Werte'!CO17)</f>
        <v/>
      </c>
      <c r="D1153" t="str">
        <f>IF(IF(Eingaben!$B$21&lt;Eingaben!$B$22,AND(B1153&gt;=Eingaben!$B$21,B1153&lt;Eingaben!$B$22),OR(B1153&gt;=Eingaben!$B$21,B1153&lt;Eingaben!$B$22)),"GO",IF(AND(ISNUMBER(Eingaben!$B$23),ISNUMBER(Eingaben!$B$24),IF(Eingaben!$B$23&lt;Eingaben!$B$24,AND(B1153&gt;=Eingaben!$B$23,B1153&lt;Eingaben!$B$24),OR(B1153&gt;=Eingaben!$B$23,B1153&lt;Eingaben!$B$24))),"HEAT","STANDARD"))</f>
        <v>STANDARD</v>
      </c>
      <c r="E1153" s="9"/>
      <c r="F1153" t="str">
        <f>IF(E1153="",D1153,E1153)</f>
        <v>STANDARD</v>
      </c>
      <c r="G1153" t="str">
        <f>INDEX(Netzzeiten!$B$6:$B$29,HOUR(B1153)+1)</f>
        <v>ST</v>
      </c>
      <c r="H1153" s="6">
        <f>IF(F1153="GO",Eingaben!$B$11,IF(F1153="STANDARD",Eingaben!$B$12,IF(AND(F1153="HEAT",ISNUMBER(Eingaben!$B$13)),Eingaben!$B$13,"")))</f>
        <v>28.2744</v>
      </c>
      <c r="I1153" s="6">
        <f>INDEX(Netzzeiten!$C$6:$C$29,HOUR(B1153)+1)</f>
        <v>5.48</v>
      </c>
      <c r="J1153" t="str">
        <f>IF(C1153="","FEHLT",IF(NOT(ISNUMBER(C1153)),"MESSWERT UNGUELTIG",IF(C1153&lt;0,"MESSWERT UNGUELTIG",IF(H1153="","TARIFPREIS FEHLT","OK"))))</f>
        <v>FEHLT</v>
      </c>
      <c r="K1153" s="7">
        <f>IF(J1153&lt;&gt;"OK","",C1153*I1153/100)</f>
        <v/>
      </c>
    </row>
    <row r="1154" spans="1:11">
      <c r="A1154" s="14">
        <v>46154</v>
      </c>
      <c r="B1154" s="15">
        <v>0.9583333333333334</v>
      </c>
      <c r="C1154" s="5">
        <f>IF('96 Werte'!CP17="","",'96 Werte'!CP17)</f>
        <v/>
      </c>
      <c r="D1154" t="str">
        <f>IF(IF(Eingaben!$B$21&lt;Eingaben!$B$22,AND(B1154&gt;=Eingaben!$B$21,B1154&lt;Eingaben!$B$22),OR(B1154&gt;=Eingaben!$B$21,B1154&lt;Eingaben!$B$22)),"GO",IF(AND(ISNUMBER(Eingaben!$B$23),ISNUMBER(Eingaben!$B$24),IF(Eingaben!$B$23&lt;Eingaben!$B$24,AND(B1154&gt;=Eingaben!$B$23,B1154&lt;Eingaben!$B$24),OR(B1154&gt;=Eingaben!$B$23,B1154&lt;Eingaben!$B$24))),"HEAT","STANDARD"))</f>
        <v>STANDARD</v>
      </c>
      <c r="E1154" s="9"/>
      <c r="F1154" t="str">
        <f>IF(E1154="",D1154,E1154)</f>
        <v>STANDARD</v>
      </c>
      <c r="G1154" t="str">
        <f>INDEX(Netzzeiten!$B$6:$B$29,HOUR(B1154)+1)</f>
        <v>NT</v>
      </c>
      <c r="H1154" s="6">
        <f>IF(F1154="GO",Eingaben!$B$11,IF(F1154="STANDARD",Eingaben!$B$12,IF(AND(F1154="HEAT",ISNUMBER(Eingaben!$B$13)),Eingaben!$B$13,"")))</f>
        <v>28.2744</v>
      </c>
      <c r="I1154" s="6">
        <f>INDEX(Netzzeiten!$C$6:$C$29,HOUR(B1154)+1)</f>
        <v>1.64</v>
      </c>
      <c r="J1154" t="str">
        <f>IF(C1154="","FEHLT",IF(NOT(ISNUMBER(C1154)),"MESSWERT UNGUELTIG",IF(C1154&lt;0,"MESSWERT UNGUELTIG",IF(H1154="","TARIFPREIS FEHLT","OK"))))</f>
        <v>FEHLT</v>
      </c>
      <c r="K1154" s="7">
        <f>IF(J1154&lt;&gt;"OK","",C1154*I1154/100)</f>
        <v/>
      </c>
    </row>
    <row r="1155" spans="1:11">
      <c r="A1155" s="14">
        <v>46154</v>
      </c>
      <c r="B1155" s="15">
        <v>0.96875</v>
      </c>
      <c r="C1155" s="5">
        <f>IF('96 Werte'!CQ17="","",'96 Werte'!CQ17)</f>
        <v/>
      </c>
      <c r="D1155" t="str">
        <f>IF(IF(Eingaben!$B$21&lt;Eingaben!$B$22,AND(B1155&gt;=Eingaben!$B$21,B1155&lt;Eingaben!$B$22),OR(B1155&gt;=Eingaben!$B$21,B1155&lt;Eingaben!$B$22)),"GO",IF(AND(ISNUMBER(Eingaben!$B$23),ISNUMBER(Eingaben!$B$24),IF(Eingaben!$B$23&lt;Eingaben!$B$24,AND(B1155&gt;=Eingaben!$B$23,B1155&lt;Eingaben!$B$24),OR(B1155&gt;=Eingaben!$B$23,B1155&lt;Eingaben!$B$24))),"HEAT","STANDARD"))</f>
        <v>STANDARD</v>
      </c>
      <c r="E1155" s="9"/>
      <c r="F1155" t="str">
        <f>IF(E1155="",D1155,E1155)</f>
        <v>STANDARD</v>
      </c>
      <c r="G1155" t="str">
        <f>INDEX(Netzzeiten!$B$6:$B$29,HOUR(B1155)+1)</f>
        <v>NT</v>
      </c>
      <c r="H1155" s="6">
        <f>IF(F1155="GO",Eingaben!$B$11,IF(F1155="STANDARD",Eingaben!$B$12,IF(AND(F1155="HEAT",ISNUMBER(Eingaben!$B$13)),Eingaben!$B$13,"")))</f>
        <v>28.2744</v>
      </c>
      <c r="I1155" s="6">
        <f>INDEX(Netzzeiten!$C$6:$C$29,HOUR(B1155)+1)</f>
        <v>1.64</v>
      </c>
      <c r="J1155" t="str">
        <f>IF(C1155="","FEHLT",IF(NOT(ISNUMBER(C1155)),"MESSWERT UNGUELTIG",IF(C1155&lt;0,"MESSWERT UNGUELTIG",IF(H1155="","TARIFPREIS FEHLT","OK"))))</f>
        <v>FEHLT</v>
      </c>
      <c r="K1155" s="7">
        <f>IF(J1155&lt;&gt;"OK","",C1155*I1155/100)</f>
        <v/>
      </c>
    </row>
    <row r="1156" spans="1:11">
      <c r="A1156" s="14">
        <v>46154</v>
      </c>
      <c r="B1156" s="15">
        <v>0.9791666666666666</v>
      </c>
      <c r="C1156" s="5">
        <f>IF('96 Werte'!CR17="","",'96 Werte'!CR17)</f>
        <v/>
      </c>
      <c r="D1156" t="str">
        <f>IF(IF(Eingaben!$B$21&lt;Eingaben!$B$22,AND(B1156&gt;=Eingaben!$B$21,B1156&lt;Eingaben!$B$22),OR(B1156&gt;=Eingaben!$B$21,B1156&lt;Eingaben!$B$22)),"GO",IF(AND(ISNUMBER(Eingaben!$B$23),ISNUMBER(Eingaben!$B$24),IF(Eingaben!$B$23&lt;Eingaben!$B$24,AND(B1156&gt;=Eingaben!$B$23,B1156&lt;Eingaben!$B$24),OR(B1156&gt;=Eingaben!$B$23,B1156&lt;Eingaben!$B$24))),"HEAT","STANDARD"))</f>
        <v>STANDARD</v>
      </c>
      <c r="E1156" s="9"/>
      <c r="F1156" t="str">
        <f>IF(E1156="",D1156,E1156)</f>
        <v>STANDARD</v>
      </c>
      <c r="G1156" t="str">
        <f>INDEX(Netzzeiten!$B$6:$B$29,HOUR(B1156)+1)</f>
        <v>NT</v>
      </c>
      <c r="H1156" s="6">
        <f>IF(F1156="GO",Eingaben!$B$11,IF(F1156="STANDARD",Eingaben!$B$12,IF(AND(F1156="HEAT",ISNUMBER(Eingaben!$B$13)),Eingaben!$B$13,"")))</f>
        <v>28.2744</v>
      </c>
      <c r="I1156" s="6">
        <f>INDEX(Netzzeiten!$C$6:$C$29,HOUR(B1156)+1)</f>
        <v>1.64</v>
      </c>
      <c r="J1156" t="str">
        <f>IF(C1156="","FEHLT",IF(NOT(ISNUMBER(C1156)),"MESSWERT UNGUELTIG",IF(C1156&lt;0,"MESSWERT UNGUELTIG",IF(H1156="","TARIFPREIS FEHLT","OK"))))</f>
        <v>FEHLT</v>
      </c>
      <c r="K1156" s="7">
        <f>IF(J1156&lt;&gt;"OK","",C1156*I1156/100)</f>
        <v/>
      </c>
    </row>
    <row r="1157" spans="1:11">
      <c r="A1157" s="14">
        <v>46154</v>
      </c>
      <c r="B1157" s="15">
        <v>0.9895833333333334</v>
      </c>
      <c r="C1157" s="5">
        <f>IF('96 Werte'!CS17="","",'96 Werte'!CS17)</f>
        <v/>
      </c>
      <c r="D1157" t="str">
        <f>IF(IF(Eingaben!$B$21&lt;Eingaben!$B$22,AND(B1157&gt;=Eingaben!$B$21,B1157&lt;Eingaben!$B$22),OR(B1157&gt;=Eingaben!$B$21,B1157&lt;Eingaben!$B$22)),"GO",IF(AND(ISNUMBER(Eingaben!$B$23),ISNUMBER(Eingaben!$B$24),IF(Eingaben!$B$23&lt;Eingaben!$B$24,AND(B1157&gt;=Eingaben!$B$23,B1157&lt;Eingaben!$B$24),OR(B1157&gt;=Eingaben!$B$23,B1157&lt;Eingaben!$B$24))),"HEAT","STANDARD"))</f>
        <v>STANDARD</v>
      </c>
      <c r="E1157" s="9"/>
      <c r="F1157" t="str">
        <f>IF(E1157="",D1157,E1157)</f>
        <v>STANDARD</v>
      </c>
      <c r="G1157" t="str">
        <f>INDEX(Netzzeiten!$B$6:$B$29,HOUR(B1157)+1)</f>
        <v>NT</v>
      </c>
      <c r="H1157" s="6">
        <f>IF(F1157="GO",Eingaben!$B$11,IF(F1157="STANDARD",Eingaben!$B$12,IF(AND(F1157="HEAT",ISNUMBER(Eingaben!$B$13)),Eingaben!$B$13,"")))</f>
        <v>28.2744</v>
      </c>
      <c r="I1157" s="6">
        <f>INDEX(Netzzeiten!$C$6:$C$29,HOUR(B1157)+1)</f>
        <v>1.64</v>
      </c>
      <c r="J1157" t="str">
        <f>IF(C1157="","FEHLT",IF(NOT(ISNUMBER(C1157)),"MESSWERT UNGUELTIG",IF(C1157&lt;0,"MESSWERT UNGUELTIG",IF(H1157="","TARIFPREIS FEHLT","OK"))))</f>
        <v>FEHLT</v>
      </c>
      <c r="K1157" s="7">
        <f>IF(J1157&lt;&gt;"OK","",C1157*I1157/100)</f>
        <v/>
      </c>
    </row>
    <row r="1158" spans="1:11">
      <c r="A1158" s="14">
        <v>46155</v>
      </c>
      <c r="B1158" s="15">
        <v>0</v>
      </c>
      <c r="C1158" s="5">
        <f>IF('96 Werte'!B18="","",'96 Werte'!B18)</f>
        <v/>
      </c>
      <c r="D1158" t="str">
        <f>IF(IF(Eingaben!$B$21&lt;Eingaben!$B$22,AND(B1158&gt;=Eingaben!$B$21,B1158&lt;Eingaben!$B$22),OR(B1158&gt;=Eingaben!$B$21,B1158&lt;Eingaben!$B$22)),"GO",IF(AND(ISNUMBER(Eingaben!$B$23),ISNUMBER(Eingaben!$B$24),IF(Eingaben!$B$23&lt;Eingaben!$B$24,AND(B1158&gt;=Eingaben!$B$23,B1158&lt;Eingaben!$B$24),OR(B1158&gt;=Eingaben!$B$23,B1158&lt;Eingaben!$B$24))),"HEAT","STANDARD"))</f>
        <v>GO</v>
      </c>
      <c r="E1158" s="9"/>
      <c r="F1158" t="str">
        <f>IF(E1158="",D1158,E1158)</f>
        <v>GO</v>
      </c>
      <c r="G1158" t="str">
        <f>INDEX(Netzzeiten!$B$6:$B$29,HOUR(B1158)+1)</f>
        <v>NT</v>
      </c>
      <c r="H1158" s="6">
        <f>IF(F1158="GO",Eingaben!$B$11,IF(F1158="STANDARD",Eingaben!$B$12,IF(AND(F1158="HEAT",ISNUMBER(Eingaben!$B$13)),Eingaben!$B$13,"")))</f>
        <v>15.0654</v>
      </c>
      <c r="I1158" s="6">
        <f>INDEX(Netzzeiten!$C$6:$C$29,HOUR(B1158)+1)</f>
        <v>1.64</v>
      </c>
      <c r="J1158" t="str">
        <f>IF(C1158="","FEHLT",IF(NOT(ISNUMBER(C1158)),"MESSWERT UNGUELTIG",IF(C1158&lt;0,"MESSWERT UNGUELTIG",IF(H1158="","TARIFPREIS FEHLT","OK"))))</f>
        <v>FEHLT</v>
      </c>
      <c r="K1158" s="7">
        <f>IF(J1158&lt;&gt;"OK","",C1158*I1158/100)</f>
        <v/>
      </c>
    </row>
    <row r="1159" spans="1:11">
      <c r="A1159" s="14">
        <v>46155</v>
      </c>
      <c r="B1159" s="15">
        <v>0.01041666666666667</v>
      </c>
      <c r="C1159" s="5">
        <f>IF('96 Werte'!C18="","",'96 Werte'!C18)</f>
        <v/>
      </c>
      <c r="D1159" t="str">
        <f>IF(IF(Eingaben!$B$21&lt;Eingaben!$B$22,AND(B1159&gt;=Eingaben!$B$21,B1159&lt;Eingaben!$B$22),OR(B1159&gt;=Eingaben!$B$21,B1159&lt;Eingaben!$B$22)),"GO",IF(AND(ISNUMBER(Eingaben!$B$23),ISNUMBER(Eingaben!$B$24),IF(Eingaben!$B$23&lt;Eingaben!$B$24,AND(B1159&gt;=Eingaben!$B$23,B1159&lt;Eingaben!$B$24),OR(B1159&gt;=Eingaben!$B$23,B1159&lt;Eingaben!$B$24))),"HEAT","STANDARD"))</f>
        <v>GO</v>
      </c>
      <c r="E1159" s="9"/>
      <c r="F1159" t="str">
        <f>IF(E1159="",D1159,E1159)</f>
        <v>GO</v>
      </c>
      <c r="G1159" t="str">
        <f>INDEX(Netzzeiten!$B$6:$B$29,HOUR(B1159)+1)</f>
        <v>NT</v>
      </c>
      <c r="H1159" s="6">
        <f>IF(F1159="GO",Eingaben!$B$11,IF(F1159="STANDARD",Eingaben!$B$12,IF(AND(F1159="HEAT",ISNUMBER(Eingaben!$B$13)),Eingaben!$B$13,"")))</f>
        <v>15.0654</v>
      </c>
      <c r="I1159" s="6">
        <f>INDEX(Netzzeiten!$C$6:$C$29,HOUR(B1159)+1)</f>
        <v>1.64</v>
      </c>
      <c r="J1159" t="str">
        <f>IF(C1159="","FEHLT",IF(NOT(ISNUMBER(C1159)),"MESSWERT UNGUELTIG",IF(C1159&lt;0,"MESSWERT UNGUELTIG",IF(H1159="","TARIFPREIS FEHLT","OK"))))</f>
        <v>FEHLT</v>
      </c>
      <c r="K1159" s="7">
        <f>IF(J1159&lt;&gt;"OK","",C1159*I1159/100)</f>
        <v/>
      </c>
    </row>
    <row r="1160" spans="1:11">
      <c r="A1160" s="14">
        <v>46155</v>
      </c>
      <c r="B1160" s="15">
        <v>0.02083333333333333</v>
      </c>
      <c r="C1160" s="5">
        <f>IF('96 Werte'!D18="","",'96 Werte'!D18)</f>
        <v/>
      </c>
      <c r="D1160" t="str">
        <f>IF(IF(Eingaben!$B$21&lt;Eingaben!$B$22,AND(B1160&gt;=Eingaben!$B$21,B1160&lt;Eingaben!$B$22),OR(B1160&gt;=Eingaben!$B$21,B1160&lt;Eingaben!$B$22)),"GO",IF(AND(ISNUMBER(Eingaben!$B$23),ISNUMBER(Eingaben!$B$24),IF(Eingaben!$B$23&lt;Eingaben!$B$24,AND(B1160&gt;=Eingaben!$B$23,B1160&lt;Eingaben!$B$24),OR(B1160&gt;=Eingaben!$B$23,B1160&lt;Eingaben!$B$24))),"HEAT","STANDARD"))</f>
        <v>GO</v>
      </c>
      <c r="E1160" s="9"/>
      <c r="F1160" t="str">
        <f>IF(E1160="",D1160,E1160)</f>
        <v>GO</v>
      </c>
      <c r="G1160" t="str">
        <f>INDEX(Netzzeiten!$B$6:$B$29,HOUR(B1160)+1)</f>
        <v>NT</v>
      </c>
      <c r="H1160" s="6">
        <f>IF(F1160="GO",Eingaben!$B$11,IF(F1160="STANDARD",Eingaben!$B$12,IF(AND(F1160="HEAT",ISNUMBER(Eingaben!$B$13)),Eingaben!$B$13,"")))</f>
        <v>15.0654</v>
      </c>
      <c r="I1160" s="6">
        <f>INDEX(Netzzeiten!$C$6:$C$29,HOUR(B1160)+1)</f>
        <v>1.64</v>
      </c>
      <c r="J1160" t="str">
        <f>IF(C1160="","FEHLT",IF(NOT(ISNUMBER(C1160)),"MESSWERT UNGUELTIG",IF(C1160&lt;0,"MESSWERT UNGUELTIG",IF(H1160="","TARIFPREIS FEHLT","OK"))))</f>
        <v>FEHLT</v>
      </c>
      <c r="K1160" s="7">
        <f>IF(J1160&lt;&gt;"OK","",C1160*I1160/100)</f>
        <v/>
      </c>
    </row>
    <row r="1161" spans="1:11">
      <c r="A1161" s="14">
        <v>46155</v>
      </c>
      <c r="B1161" s="15">
        <v>0.03125</v>
      </c>
      <c r="C1161" s="5">
        <f>IF('96 Werte'!E18="","",'96 Werte'!E18)</f>
        <v/>
      </c>
      <c r="D1161" t="str">
        <f>IF(IF(Eingaben!$B$21&lt;Eingaben!$B$22,AND(B1161&gt;=Eingaben!$B$21,B1161&lt;Eingaben!$B$22),OR(B1161&gt;=Eingaben!$B$21,B1161&lt;Eingaben!$B$22)),"GO",IF(AND(ISNUMBER(Eingaben!$B$23),ISNUMBER(Eingaben!$B$24),IF(Eingaben!$B$23&lt;Eingaben!$B$24,AND(B1161&gt;=Eingaben!$B$23,B1161&lt;Eingaben!$B$24),OR(B1161&gt;=Eingaben!$B$23,B1161&lt;Eingaben!$B$24))),"HEAT","STANDARD"))</f>
        <v>GO</v>
      </c>
      <c r="E1161" s="9"/>
      <c r="F1161" t="str">
        <f>IF(E1161="",D1161,E1161)</f>
        <v>GO</v>
      </c>
      <c r="G1161" t="str">
        <f>INDEX(Netzzeiten!$B$6:$B$29,HOUR(B1161)+1)</f>
        <v>NT</v>
      </c>
      <c r="H1161" s="6">
        <f>IF(F1161="GO",Eingaben!$B$11,IF(F1161="STANDARD",Eingaben!$B$12,IF(AND(F1161="HEAT",ISNUMBER(Eingaben!$B$13)),Eingaben!$B$13,"")))</f>
        <v>15.0654</v>
      </c>
      <c r="I1161" s="6">
        <f>INDEX(Netzzeiten!$C$6:$C$29,HOUR(B1161)+1)</f>
        <v>1.64</v>
      </c>
      <c r="J1161" t="str">
        <f>IF(C1161="","FEHLT",IF(NOT(ISNUMBER(C1161)),"MESSWERT UNGUELTIG",IF(C1161&lt;0,"MESSWERT UNGUELTIG",IF(H1161="","TARIFPREIS FEHLT","OK"))))</f>
        <v>FEHLT</v>
      </c>
      <c r="K1161" s="7">
        <f>IF(J1161&lt;&gt;"OK","",C1161*I1161/100)</f>
        <v/>
      </c>
    </row>
    <row r="1162" spans="1:11">
      <c r="A1162" s="14">
        <v>46155</v>
      </c>
      <c r="B1162" s="15">
        <v>0.04166666666666666</v>
      </c>
      <c r="C1162" s="5">
        <f>IF('96 Werte'!F18="","",'96 Werte'!F18)</f>
        <v/>
      </c>
      <c r="D1162" t="str">
        <f>IF(IF(Eingaben!$B$21&lt;Eingaben!$B$22,AND(B1162&gt;=Eingaben!$B$21,B1162&lt;Eingaben!$B$22),OR(B1162&gt;=Eingaben!$B$21,B1162&lt;Eingaben!$B$22)),"GO",IF(AND(ISNUMBER(Eingaben!$B$23),ISNUMBER(Eingaben!$B$24),IF(Eingaben!$B$23&lt;Eingaben!$B$24,AND(B1162&gt;=Eingaben!$B$23,B1162&lt;Eingaben!$B$24),OR(B1162&gt;=Eingaben!$B$23,B1162&lt;Eingaben!$B$24))),"HEAT","STANDARD"))</f>
        <v>GO</v>
      </c>
      <c r="E1162" s="9"/>
      <c r="F1162" t="str">
        <f>IF(E1162="",D1162,E1162)</f>
        <v>GO</v>
      </c>
      <c r="G1162" t="str">
        <f>INDEX(Netzzeiten!$B$6:$B$29,HOUR(B1162)+1)</f>
        <v>NT</v>
      </c>
      <c r="H1162" s="6">
        <f>IF(F1162="GO",Eingaben!$B$11,IF(F1162="STANDARD",Eingaben!$B$12,IF(AND(F1162="HEAT",ISNUMBER(Eingaben!$B$13)),Eingaben!$B$13,"")))</f>
        <v>15.0654</v>
      </c>
      <c r="I1162" s="6">
        <f>INDEX(Netzzeiten!$C$6:$C$29,HOUR(B1162)+1)</f>
        <v>1.64</v>
      </c>
      <c r="J1162" t="str">
        <f>IF(C1162="","FEHLT",IF(NOT(ISNUMBER(C1162)),"MESSWERT UNGUELTIG",IF(C1162&lt;0,"MESSWERT UNGUELTIG",IF(H1162="","TARIFPREIS FEHLT","OK"))))</f>
        <v>FEHLT</v>
      </c>
      <c r="K1162" s="7">
        <f>IF(J1162&lt;&gt;"OK","",C1162*I1162/100)</f>
        <v/>
      </c>
    </row>
    <row r="1163" spans="1:11">
      <c r="A1163" s="14">
        <v>46155</v>
      </c>
      <c r="B1163" s="15">
        <v>0.05208333333333334</v>
      </c>
      <c r="C1163" s="5">
        <f>IF('96 Werte'!G18="","",'96 Werte'!G18)</f>
        <v/>
      </c>
      <c r="D1163" t="str">
        <f>IF(IF(Eingaben!$B$21&lt;Eingaben!$B$22,AND(B1163&gt;=Eingaben!$B$21,B1163&lt;Eingaben!$B$22),OR(B1163&gt;=Eingaben!$B$21,B1163&lt;Eingaben!$B$22)),"GO",IF(AND(ISNUMBER(Eingaben!$B$23),ISNUMBER(Eingaben!$B$24),IF(Eingaben!$B$23&lt;Eingaben!$B$24,AND(B1163&gt;=Eingaben!$B$23,B1163&lt;Eingaben!$B$24),OR(B1163&gt;=Eingaben!$B$23,B1163&lt;Eingaben!$B$24))),"HEAT","STANDARD"))</f>
        <v>GO</v>
      </c>
      <c r="E1163" s="9"/>
      <c r="F1163" t="str">
        <f>IF(E1163="",D1163,E1163)</f>
        <v>GO</v>
      </c>
      <c r="G1163" t="str">
        <f>INDEX(Netzzeiten!$B$6:$B$29,HOUR(B1163)+1)</f>
        <v>NT</v>
      </c>
      <c r="H1163" s="6">
        <f>IF(F1163="GO",Eingaben!$B$11,IF(F1163="STANDARD",Eingaben!$B$12,IF(AND(F1163="HEAT",ISNUMBER(Eingaben!$B$13)),Eingaben!$B$13,"")))</f>
        <v>15.0654</v>
      </c>
      <c r="I1163" s="6">
        <f>INDEX(Netzzeiten!$C$6:$C$29,HOUR(B1163)+1)</f>
        <v>1.64</v>
      </c>
      <c r="J1163" t="str">
        <f>IF(C1163="","FEHLT",IF(NOT(ISNUMBER(C1163)),"MESSWERT UNGUELTIG",IF(C1163&lt;0,"MESSWERT UNGUELTIG",IF(H1163="","TARIFPREIS FEHLT","OK"))))</f>
        <v>FEHLT</v>
      </c>
      <c r="K1163" s="7">
        <f>IF(J1163&lt;&gt;"OK","",C1163*I1163/100)</f>
        <v/>
      </c>
    </row>
    <row r="1164" spans="1:11">
      <c r="A1164" s="14">
        <v>46155</v>
      </c>
      <c r="B1164" s="15">
        <v>0.0625</v>
      </c>
      <c r="C1164" s="5">
        <f>IF('96 Werte'!H18="","",'96 Werte'!H18)</f>
        <v/>
      </c>
      <c r="D1164" t="str">
        <f>IF(IF(Eingaben!$B$21&lt;Eingaben!$B$22,AND(B1164&gt;=Eingaben!$B$21,B1164&lt;Eingaben!$B$22),OR(B1164&gt;=Eingaben!$B$21,B1164&lt;Eingaben!$B$22)),"GO",IF(AND(ISNUMBER(Eingaben!$B$23),ISNUMBER(Eingaben!$B$24),IF(Eingaben!$B$23&lt;Eingaben!$B$24,AND(B1164&gt;=Eingaben!$B$23,B1164&lt;Eingaben!$B$24),OR(B1164&gt;=Eingaben!$B$23,B1164&lt;Eingaben!$B$24))),"HEAT","STANDARD"))</f>
        <v>GO</v>
      </c>
      <c r="E1164" s="9"/>
      <c r="F1164" t="str">
        <f>IF(E1164="",D1164,E1164)</f>
        <v>GO</v>
      </c>
      <c r="G1164" t="str">
        <f>INDEX(Netzzeiten!$B$6:$B$29,HOUR(B1164)+1)</f>
        <v>NT</v>
      </c>
      <c r="H1164" s="6">
        <f>IF(F1164="GO",Eingaben!$B$11,IF(F1164="STANDARD",Eingaben!$B$12,IF(AND(F1164="HEAT",ISNUMBER(Eingaben!$B$13)),Eingaben!$B$13,"")))</f>
        <v>15.0654</v>
      </c>
      <c r="I1164" s="6">
        <f>INDEX(Netzzeiten!$C$6:$C$29,HOUR(B1164)+1)</f>
        <v>1.64</v>
      </c>
      <c r="J1164" t="str">
        <f>IF(C1164="","FEHLT",IF(NOT(ISNUMBER(C1164)),"MESSWERT UNGUELTIG",IF(C1164&lt;0,"MESSWERT UNGUELTIG",IF(H1164="","TARIFPREIS FEHLT","OK"))))</f>
        <v>FEHLT</v>
      </c>
      <c r="K1164" s="7">
        <f>IF(J1164&lt;&gt;"OK","",C1164*I1164/100)</f>
        <v/>
      </c>
    </row>
    <row r="1165" spans="1:11">
      <c r="A1165" s="14">
        <v>46155</v>
      </c>
      <c r="B1165" s="15">
        <v>0.07291666666666667</v>
      </c>
      <c r="C1165" s="5">
        <f>IF('96 Werte'!I18="","",'96 Werte'!I18)</f>
        <v/>
      </c>
      <c r="D1165" t="str">
        <f>IF(IF(Eingaben!$B$21&lt;Eingaben!$B$22,AND(B1165&gt;=Eingaben!$B$21,B1165&lt;Eingaben!$B$22),OR(B1165&gt;=Eingaben!$B$21,B1165&lt;Eingaben!$B$22)),"GO",IF(AND(ISNUMBER(Eingaben!$B$23),ISNUMBER(Eingaben!$B$24),IF(Eingaben!$B$23&lt;Eingaben!$B$24,AND(B1165&gt;=Eingaben!$B$23,B1165&lt;Eingaben!$B$24),OR(B1165&gt;=Eingaben!$B$23,B1165&lt;Eingaben!$B$24))),"HEAT","STANDARD"))</f>
        <v>GO</v>
      </c>
      <c r="E1165" s="9"/>
      <c r="F1165" t="str">
        <f>IF(E1165="",D1165,E1165)</f>
        <v>GO</v>
      </c>
      <c r="G1165" t="str">
        <f>INDEX(Netzzeiten!$B$6:$B$29,HOUR(B1165)+1)</f>
        <v>NT</v>
      </c>
      <c r="H1165" s="6">
        <f>IF(F1165="GO",Eingaben!$B$11,IF(F1165="STANDARD",Eingaben!$B$12,IF(AND(F1165="HEAT",ISNUMBER(Eingaben!$B$13)),Eingaben!$B$13,"")))</f>
        <v>15.0654</v>
      </c>
      <c r="I1165" s="6">
        <f>INDEX(Netzzeiten!$C$6:$C$29,HOUR(B1165)+1)</f>
        <v>1.64</v>
      </c>
      <c r="J1165" t="str">
        <f>IF(C1165="","FEHLT",IF(NOT(ISNUMBER(C1165)),"MESSWERT UNGUELTIG",IF(C1165&lt;0,"MESSWERT UNGUELTIG",IF(H1165="","TARIFPREIS FEHLT","OK"))))</f>
        <v>FEHLT</v>
      </c>
      <c r="K1165" s="7">
        <f>IF(J1165&lt;&gt;"OK","",C1165*I1165/100)</f>
        <v/>
      </c>
    </row>
    <row r="1166" spans="1:11">
      <c r="A1166" s="14">
        <v>46155</v>
      </c>
      <c r="B1166" s="15">
        <v>0.08333333333333333</v>
      </c>
      <c r="C1166" s="5">
        <f>IF('96 Werte'!J18="","",'96 Werte'!J18)</f>
        <v/>
      </c>
      <c r="D1166" t="str">
        <f>IF(IF(Eingaben!$B$21&lt;Eingaben!$B$22,AND(B1166&gt;=Eingaben!$B$21,B1166&lt;Eingaben!$B$22),OR(B1166&gt;=Eingaben!$B$21,B1166&lt;Eingaben!$B$22)),"GO",IF(AND(ISNUMBER(Eingaben!$B$23),ISNUMBER(Eingaben!$B$24),IF(Eingaben!$B$23&lt;Eingaben!$B$24,AND(B1166&gt;=Eingaben!$B$23,B1166&lt;Eingaben!$B$24),OR(B1166&gt;=Eingaben!$B$23,B1166&lt;Eingaben!$B$24))),"HEAT","STANDARD"))</f>
        <v>GO</v>
      </c>
      <c r="E1166" s="9"/>
      <c r="F1166" t="str">
        <f>IF(E1166="",D1166,E1166)</f>
        <v>GO</v>
      </c>
      <c r="G1166" t="str">
        <f>INDEX(Netzzeiten!$B$6:$B$29,HOUR(B1166)+1)</f>
        <v>NT</v>
      </c>
      <c r="H1166" s="6">
        <f>IF(F1166="GO",Eingaben!$B$11,IF(F1166="STANDARD",Eingaben!$B$12,IF(AND(F1166="HEAT",ISNUMBER(Eingaben!$B$13)),Eingaben!$B$13,"")))</f>
        <v>15.0654</v>
      </c>
      <c r="I1166" s="6">
        <f>INDEX(Netzzeiten!$C$6:$C$29,HOUR(B1166)+1)</f>
        <v>1.64</v>
      </c>
      <c r="J1166" t="str">
        <f>IF(C1166="","FEHLT",IF(NOT(ISNUMBER(C1166)),"MESSWERT UNGUELTIG",IF(C1166&lt;0,"MESSWERT UNGUELTIG",IF(H1166="","TARIFPREIS FEHLT","OK"))))</f>
        <v>FEHLT</v>
      </c>
      <c r="K1166" s="7">
        <f>IF(J1166&lt;&gt;"OK","",C1166*I1166/100)</f>
        <v/>
      </c>
    </row>
    <row r="1167" spans="1:11">
      <c r="A1167" s="14">
        <v>46155</v>
      </c>
      <c r="B1167" s="15">
        <v>0.09375</v>
      </c>
      <c r="C1167" s="5">
        <f>IF('96 Werte'!K18="","",'96 Werte'!K18)</f>
        <v/>
      </c>
      <c r="D1167" t="str">
        <f>IF(IF(Eingaben!$B$21&lt;Eingaben!$B$22,AND(B1167&gt;=Eingaben!$B$21,B1167&lt;Eingaben!$B$22),OR(B1167&gt;=Eingaben!$B$21,B1167&lt;Eingaben!$B$22)),"GO",IF(AND(ISNUMBER(Eingaben!$B$23),ISNUMBER(Eingaben!$B$24),IF(Eingaben!$B$23&lt;Eingaben!$B$24,AND(B1167&gt;=Eingaben!$B$23,B1167&lt;Eingaben!$B$24),OR(B1167&gt;=Eingaben!$B$23,B1167&lt;Eingaben!$B$24))),"HEAT","STANDARD"))</f>
        <v>GO</v>
      </c>
      <c r="E1167" s="9"/>
      <c r="F1167" t="str">
        <f>IF(E1167="",D1167,E1167)</f>
        <v>GO</v>
      </c>
      <c r="G1167" t="str">
        <f>INDEX(Netzzeiten!$B$6:$B$29,HOUR(B1167)+1)</f>
        <v>NT</v>
      </c>
      <c r="H1167" s="6">
        <f>IF(F1167="GO",Eingaben!$B$11,IF(F1167="STANDARD",Eingaben!$B$12,IF(AND(F1167="HEAT",ISNUMBER(Eingaben!$B$13)),Eingaben!$B$13,"")))</f>
        <v>15.0654</v>
      </c>
      <c r="I1167" s="6">
        <f>INDEX(Netzzeiten!$C$6:$C$29,HOUR(B1167)+1)</f>
        <v>1.64</v>
      </c>
      <c r="J1167" t="str">
        <f>IF(C1167="","FEHLT",IF(NOT(ISNUMBER(C1167)),"MESSWERT UNGUELTIG",IF(C1167&lt;0,"MESSWERT UNGUELTIG",IF(H1167="","TARIFPREIS FEHLT","OK"))))</f>
        <v>FEHLT</v>
      </c>
      <c r="K1167" s="7">
        <f>IF(J1167&lt;&gt;"OK","",C1167*I1167/100)</f>
        <v/>
      </c>
    </row>
    <row r="1168" spans="1:11">
      <c r="A1168" s="14">
        <v>46155</v>
      </c>
      <c r="B1168" s="15">
        <v>0.1041666666666667</v>
      </c>
      <c r="C1168" s="5">
        <f>IF('96 Werte'!L18="","",'96 Werte'!L18)</f>
        <v/>
      </c>
      <c r="D1168" t="str">
        <f>IF(IF(Eingaben!$B$21&lt;Eingaben!$B$22,AND(B1168&gt;=Eingaben!$B$21,B1168&lt;Eingaben!$B$22),OR(B1168&gt;=Eingaben!$B$21,B1168&lt;Eingaben!$B$22)),"GO",IF(AND(ISNUMBER(Eingaben!$B$23),ISNUMBER(Eingaben!$B$24),IF(Eingaben!$B$23&lt;Eingaben!$B$24,AND(B1168&gt;=Eingaben!$B$23,B1168&lt;Eingaben!$B$24),OR(B1168&gt;=Eingaben!$B$23,B1168&lt;Eingaben!$B$24))),"HEAT","STANDARD"))</f>
        <v>GO</v>
      </c>
      <c r="E1168" s="9"/>
      <c r="F1168" t="str">
        <f>IF(E1168="",D1168,E1168)</f>
        <v>GO</v>
      </c>
      <c r="G1168" t="str">
        <f>INDEX(Netzzeiten!$B$6:$B$29,HOUR(B1168)+1)</f>
        <v>NT</v>
      </c>
      <c r="H1168" s="6">
        <f>IF(F1168="GO",Eingaben!$B$11,IF(F1168="STANDARD",Eingaben!$B$12,IF(AND(F1168="HEAT",ISNUMBER(Eingaben!$B$13)),Eingaben!$B$13,"")))</f>
        <v>15.0654</v>
      </c>
      <c r="I1168" s="6">
        <f>INDEX(Netzzeiten!$C$6:$C$29,HOUR(B1168)+1)</f>
        <v>1.64</v>
      </c>
      <c r="J1168" t="str">
        <f>IF(C1168="","FEHLT",IF(NOT(ISNUMBER(C1168)),"MESSWERT UNGUELTIG",IF(C1168&lt;0,"MESSWERT UNGUELTIG",IF(H1168="","TARIFPREIS FEHLT","OK"))))</f>
        <v>FEHLT</v>
      </c>
      <c r="K1168" s="7">
        <f>IF(J1168&lt;&gt;"OK","",C1168*I1168/100)</f>
        <v/>
      </c>
    </row>
    <row r="1169" spans="1:11">
      <c r="A1169" s="14">
        <v>46155</v>
      </c>
      <c r="B1169" s="15">
        <v>0.1145833333333333</v>
      </c>
      <c r="C1169" s="5">
        <f>IF('96 Werte'!M18="","",'96 Werte'!M18)</f>
        <v/>
      </c>
      <c r="D1169" t="str">
        <f>IF(IF(Eingaben!$B$21&lt;Eingaben!$B$22,AND(B1169&gt;=Eingaben!$B$21,B1169&lt;Eingaben!$B$22),OR(B1169&gt;=Eingaben!$B$21,B1169&lt;Eingaben!$B$22)),"GO",IF(AND(ISNUMBER(Eingaben!$B$23),ISNUMBER(Eingaben!$B$24),IF(Eingaben!$B$23&lt;Eingaben!$B$24,AND(B1169&gt;=Eingaben!$B$23,B1169&lt;Eingaben!$B$24),OR(B1169&gt;=Eingaben!$B$23,B1169&lt;Eingaben!$B$24))),"HEAT","STANDARD"))</f>
        <v>GO</v>
      </c>
      <c r="E1169" s="9"/>
      <c r="F1169" t="str">
        <f>IF(E1169="",D1169,E1169)</f>
        <v>GO</v>
      </c>
      <c r="G1169" t="str">
        <f>INDEX(Netzzeiten!$B$6:$B$29,HOUR(B1169)+1)</f>
        <v>NT</v>
      </c>
      <c r="H1169" s="6">
        <f>IF(F1169="GO",Eingaben!$B$11,IF(F1169="STANDARD",Eingaben!$B$12,IF(AND(F1169="HEAT",ISNUMBER(Eingaben!$B$13)),Eingaben!$B$13,"")))</f>
        <v>15.0654</v>
      </c>
      <c r="I1169" s="6">
        <f>INDEX(Netzzeiten!$C$6:$C$29,HOUR(B1169)+1)</f>
        <v>1.64</v>
      </c>
      <c r="J1169" t="str">
        <f>IF(C1169="","FEHLT",IF(NOT(ISNUMBER(C1169)),"MESSWERT UNGUELTIG",IF(C1169&lt;0,"MESSWERT UNGUELTIG",IF(H1169="","TARIFPREIS FEHLT","OK"))))</f>
        <v>FEHLT</v>
      </c>
      <c r="K1169" s="7">
        <f>IF(J1169&lt;&gt;"OK","",C1169*I1169/100)</f>
        <v/>
      </c>
    </row>
    <row r="1170" spans="1:11">
      <c r="A1170" s="14">
        <v>46155</v>
      </c>
      <c r="B1170" s="15">
        <v>0.125</v>
      </c>
      <c r="C1170" s="5">
        <f>IF('96 Werte'!N18="","",'96 Werte'!N18)</f>
        <v/>
      </c>
      <c r="D1170" t="str">
        <f>IF(IF(Eingaben!$B$21&lt;Eingaben!$B$22,AND(B1170&gt;=Eingaben!$B$21,B1170&lt;Eingaben!$B$22),OR(B1170&gt;=Eingaben!$B$21,B1170&lt;Eingaben!$B$22)),"GO",IF(AND(ISNUMBER(Eingaben!$B$23),ISNUMBER(Eingaben!$B$24),IF(Eingaben!$B$23&lt;Eingaben!$B$24,AND(B1170&gt;=Eingaben!$B$23,B1170&lt;Eingaben!$B$24),OR(B1170&gt;=Eingaben!$B$23,B1170&lt;Eingaben!$B$24))),"HEAT","STANDARD"))</f>
        <v>GO</v>
      </c>
      <c r="E1170" s="9"/>
      <c r="F1170" t="str">
        <f>IF(E1170="",D1170,E1170)</f>
        <v>GO</v>
      </c>
      <c r="G1170" t="str">
        <f>INDEX(Netzzeiten!$B$6:$B$29,HOUR(B1170)+1)</f>
        <v>NT</v>
      </c>
      <c r="H1170" s="6">
        <f>IF(F1170="GO",Eingaben!$B$11,IF(F1170="STANDARD",Eingaben!$B$12,IF(AND(F1170="HEAT",ISNUMBER(Eingaben!$B$13)),Eingaben!$B$13,"")))</f>
        <v>15.0654</v>
      </c>
      <c r="I1170" s="6">
        <f>INDEX(Netzzeiten!$C$6:$C$29,HOUR(B1170)+1)</f>
        <v>1.64</v>
      </c>
      <c r="J1170" t="str">
        <f>IF(C1170="","FEHLT",IF(NOT(ISNUMBER(C1170)),"MESSWERT UNGUELTIG",IF(C1170&lt;0,"MESSWERT UNGUELTIG",IF(H1170="","TARIFPREIS FEHLT","OK"))))</f>
        <v>FEHLT</v>
      </c>
      <c r="K1170" s="7">
        <f>IF(J1170&lt;&gt;"OK","",C1170*I1170/100)</f>
        <v/>
      </c>
    </row>
    <row r="1171" spans="1:11">
      <c r="A1171" s="14">
        <v>46155</v>
      </c>
      <c r="B1171" s="15">
        <v>0.1354166666666667</v>
      </c>
      <c r="C1171" s="5">
        <f>IF('96 Werte'!O18="","",'96 Werte'!O18)</f>
        <v/>
      </c>
      <c r="D1171" t="str">
        <f>IF(IF(Eingaben!$B$21&lt;Eingaben!$B$22,AND(B1171&gt;=Eingaben!$B$21,B1171&lt;Eingaben!$B$22),OR(B1171&gt;=Eingaben!$B$21,B1171&lt;Eingaben!$B$22)),"GO",IF(AND(ISNUMBER(Eingaben!$B$23),ISNUMBER(Eingaben!$B$24),IF(Eingaben!$B$23&lt;Eingaben!$B$24,AND(B1171&gt;=Eingaben!$B$23,B1171&lt;Eingaben!$B$24),OR(B1171&gt;=Eingaben!$B$23,B1171&lt;Eingaben!$B$24))),"HEAT","STANDARD"))</f>
        <v>GO</v>
      </c>
      <c r="E1171" s="9"/>
      <c r="F1171" t="str">
        <f>IF(E1171="",D1171,E1171)</f>
        <v>GO</v>
      </c>
      <c r="G1171" t="str">
        <f>INDEX(Netzzeiten!$B$6:$B$29,HOUR(B1171)+1)</f>
        <v>NT</v>
      </c>
      <c r="H1171" s="6">
        <f>IF(F1171="GO",Eingaben!$B$11,IF(F1171="STANDARD",Eingaben!$B$12,IF(AND(F1171="HEAT",ISNUMBER(Eingaben!$B$13)),Eingaben!$B$13,"")))</f>
        <v>15.0654</v>
      </c>
      <c r="I1171" s="6">
        <f>INDEX(Netzzeiten!$C$6:$C$29,HOUR(B1171)+1)</f>
        <v>1.64</v>
      </c>
      <c r="J1171" t="str">
        <f>IF(C1171="","FEHLT",IF(NOT(ISNUMBER(C1171)),"MESSWERT UNGUELTIG",IF(C1171&lt;0,"MESSWERT UNGUELTIG",IF(H1171="","TARIFPREIS FEHLT","OK"))))</f>
        <v>FEHLT</v>
      </c>
      <c r="K1171" s="7">
        <f>IF(J1171&lt;&gt;"OK","",C1171*I1171/100)</f>
        <v/>
      </c>
    </row>
    <row r="1172" spans="1:11">
      <c r="A1172" s="14">
        <v>46155</v>
      </c>
      <c r="B1172" s="15">
        <v>0.1458333333333333</v>
      </c>
      <c r="C1172" s="5">
        <f>IF('96 Werte'!P18="","",'96 Werte'!P18)</f>
        <v/>
      </c>
      <c r="D1172" t="str">
        <f>IF(IF(Eingaben!$B$21&lt;Eingaben!$B$22,AND(B1172&gt;=Eingaben!$B$21,B1172&lt;Eingaben!$B$22),OR(B1172&gt;=Eingaben!$B$21,B1172&lt;Eingaben!$B$22)),"GO",IF(AND(ISNUMBER(Eingaben!$B$23),ISNUMBER(Eingaben!$B$24),IF(Eingaben!$B$23&lt;Eingaben!$B$24,AND(B1172&gt;=Eingaben!$B$23,B1172&lt;Eingaben!$B$24),OR(B1172&gt;=Eingaben!$B$23,B1172&lt;Eingaben!$B$24))),"HEAT","STANDARD"))</f>
        <v>GO</v>
      </c>
      <c r="E1172" s="9"/>
      <c r="F1172" t="str">
        <f>IF(E1172="",D1172,E1172)</f>
        <v>GO</v>
      </c>
      <c r="G1172" t="str">
        <f>INDEX(Netzzeiten!$B$6:$B$29,HOUR(B1172)+1)</f>
        <v>NT</v>
      </c>
      <c r="H1172" s="6">
        <f>IF(F1172="GO",Eingaben!$B$11,IF(F1172="STANDARD",Eingaben!$B$12,IF(AND(F1172="HEAT",ISNUMBER(Eingaben!$B$13)),Eingaben!$B$13,"")))</f>
        <v>15.0654</v>
      </c>
      <c r="I1172" s="6">
        <f>INDEX(Netzzeiten!$C$6:$C$29,HOUR(B1172)+1)</f>
        <v>1.64</v>
      </c>
      <c r="J1172" t="str">
        <f>IF(C1172="","FEHLT",IF(NOT(ISNUMBER(C1172)),"MESSWERT UNGUELTIG",IF(C1172&lt;0,"MESSWERT UNGUELTIG",IF(H1172="","TARIFPREIS FEHLT","OK"))))</f>
        <v>FEHLT</v>
      </c>
      <c r="K1172" s="7">
        <f>IF(J1172&lt;&gt;"OK","",C1172*I1172/100)</f>
        <v/>
      </c>
    </row>
    <row r="1173" spans="1:11">
      <c r="A1173" s="14">
        <v>46155</v>
      </c>
      <c r="B1173" s="15">
        <v>0.15625</v>
      </c>
      <c r="C1173" s="5">
        <f>IF('96 Werte'!Q18="","",'96 Werte'!Q18)</f>
        <v/>
      </c>
      <c r="D1173" t="str">
        <f>IF(IF(Eingaben!$B$21&lt;Eingaben!$B$22,AND(B1173&gt;=Eingaben!$B$21,B1173&lt;Eingaben!$B$22),OR(B1173&gt;=Eingaben!$B$21,B1173&lt;Eingaben!$B$22)),"GO",IF(AND(ISNUMBER(Eingaben!$B$23),ISNUMBER(Eingaben!$B$24),IF(Eingaben!$B$23&lt;Eingaben!$B$24,AND(B1173&gt;=Eingaben!$B$23,B1173&lt;Eingaben!$B$24),OR(B1173&gt;=Eingaben!$B$23,B1173&lt;Eingaben!$B$24))),"HEAT","STANDARD"))</f>
        <v>GO</v>
      </c>
      <c r="E1173" s="9"/>
      <c r="F1173" t="str">
        <f>IF(E1173="",D1173,E1173)</f>
        <v>GO</v>
      </c>
      <c r="G1173" t="str">
        <f>INDEX(Netzzeiten!$B$6:$B$29,HOUR(B1173)+1)</f>
        <v>NT</v>
      </c>
      <c r="H1173" s="6">
        <f>IF(F1173="GO",Eingaben!$B$11,IF(F1173="STANDARD",Eingaben!$B$12,IF(AND(F1173="HEAT",ISNUMBER(Eingaben!$B$13)),Eingaben!$B$13,"")))</f>
        <v>15.0654</v>
      </c>
      <c r="I1173" s="6">
        <f>INDEX(Netzzeiten!$C$6:$C$29,HOUR(B1173)+1)</f>
        <v>1.64</v>
      </c>
      <c r="J1173" t="str">
        <f>IF(C1173="","FEHLT",IF(NOT(ISNUMBER(C1173)),"MESSWERT UNGUELTIG",IF(C1173&lt;0,"MESSWERT UNGUELTIG",IF(H1173="","TARIFPREIS FEHLT","OK"))))</f>
        <v>FEHLT</v>
      </c>
      <c r="K1173" s="7">
        <f>IF(J1173&lt;&gt;"OK","",C1173*I1173/100)</f>
        <v/>
      </c>
    </row>
    <row r="1174" spans="1:11">
      <c r="A1174" s="14">
        <v>46155</v>
      </c>
      <c r="B1174" s="15">
        <v>0.1666666666666667</v>
      </c>
      <c r="C1174" s="5">
        <f>IF('96 Werte'!R18="","",'96 Werte'!R18)</f>
        <v/>
      </c>
      <c r="D1174" t="str">
        <f>IF(IF(Eingaben!$B$21&lt;Eingaben!$B$22,AND(B1174&gt;=Eingaben!$B$21,B1174&lt;Eingaben!$B$22),OR(B1174&gt;=Eingaben!$B$21,B1174&lt;Eingaben!$B$22)),"GO",IF(AND(ISNUMBER(Eingaben!$B$23),ISNUMBER(Eingaben!$B$24),IF(Eingaben!$B$23&lt;Eingaben!$B$24,AND(B1174&gt;=Eingaben!$B$23,B1174&lt;Eingaben!$B$24),OR(B1174&gt;=Eingaben!$B$23,B1174&lt;Eingaben!$B$24))),"HEAT","STANDARD"))</f>
        <v>GO</v>
      </c>
      <c r="E1174" s="9"/>
      <c r="F1174" t="str">
        <f>IF(E1174="",D1174,E1174)</f>
        <v>GO</v>
      </c>
      <c r="G1174" t="str">
        <f>INDEX(Netzzeiten!$B$6:$B$29,HOUR(B1174)+1)</f>
        <v>NT</v>
      </c>
      <c r="H1174" s="6">
        <f>IF(F1174="GO",Eingaben!$B$11,IF(F1174="STANDARD",Eingaben!$B$12,IF(AND(F1174="HEAT",ISNUMBER(Eingaben!$B$13)),Eingaben!$B$13,"")))</f>
        <v>15.0654</v>
      </c>
      <c r="I1174" s="6">
        <f>INDEX(Netzzeiten!$C$6:$C$29,HOUR(B1174)+1)</f>
        <v>1.64</v>
      </c>
      <c r="J1174" t="str">
        <f>IF(C1174="","FEHLT",IF(NOT(ISNUMBER(C1174)),"MESSWERT UNGUELTIG",IF(C1174&lt;0,"MESSWERT UNGUELTIG",IF(H1174="","TARIFPREIS FEHLT","OK"))))</f>
        <v>FEHLT</v>
      </c>
      <c r="K1174" s="7">
        <f>IF(J1174&lt;&gt;"OK","",C1174*I1174/100)</f>
        <v/>
      </c>
    </row>
    <row r="1175" spans="1:11">
      <c r="A1175" s="14">
        <v>46155</v>
      </c>
      <c r="B1175" s="15">
        <v>0.1770833333333333</v>
      </c>
      <c r="C1175" s="5">
        <f>IF('96 Werte'!S18="","",'96 Werte'!S18)</f>
        <v/>
      </c>
      <c r="D1175" t="str">
        <f>IF(IF(Eingaben!$B$21&lt;Eingaben!$B$22,AND(B1175&gt;=Eingaben!$B$21,B1175&lt;Eingaben!$B$22),OR(B1175&gt;=Eingaben!$B$21,B1175&lt;Eingaben!$B$22)),"GO",IF(AND(ISNUMBER(Eingaben!$B$23),ISNUMBER(Eingaben!$B$24),IF(Eingaben!$B$23&lt;Eingaben!$B$24,AND(B1175&gt;=Eingaben!$B$23,B1175&lt;Eingaben!$B$24),OR(B1175&gt;=Eingaben!$B$23,B1175&lt;Eingaben!$B$24))),"HEAT","STANDARD"))</f>
        <v>GO</v>
      </c>
      <c r="E1175" s="9"/>
      <c r="F1175" t="str">
        <f>IF(E1175="",D1175,E1175)</f>
        <v>GO</v>
      </c>
      <c r="G1175" t="str">
        <f>INDEX(Netzzeiten!$B$6:$B$29,HOUR(B1175)+1)</f>
        <v>NT</v>
      </c>
      <c r="H1175" s="6">
        <f>IF(F1175="GO",Eingaben!$B$11,IF(F1175="STANDARD",Eingaben!$B$12,IF(AND(F1175="HEAT",ISNUMBER(Eingaben!$B$13)),Eingaben!$B$13,"")))</f>
        <v>15.0654</v>
      </c>
      <c r="I1175" s="6">
        <f>INDEX(Netzzeiten!$C$6:$C$29,HOUR(B1175)+1)</f>
        <v>1.64</v>
      </c>
      <c r="J1175" t="str">
        <f>IF(C1175="","FEHLT",IF(NOT(ISNUMBER(C1175)),"MESSWERT UNGUELTIG",IF(C1175&lt;0,"MESSWERT UNGUELTIG",IF(H1175="","TARIFPREIS FEHLT","OK"))))</f>
        <v>FEHLT</v>
      </c>
      <c r="K1175" s="7">
        <f>IF(J1175&lt;&gt;"OK","",C1175*I1175/100)</f>
        <v/>
      </c>
    </row>
    <row r="1176" spans="1:11">
      <c r="A1176" s="14">
        <v>46155</v>
      </c>
      <c r="B1176" s="15">
        <v>0.1875</v>
      </c>
      <c r="C1176" s="5">
        <f>IF('96 Werte'!T18="","",'96 Werte'!T18)</f>
        <v/>
      </c>
      <c r="D1176" t="str">
        <f>IF(IF(Eingaben!$B$21&lt;Eingaben!$B$22,AND(B1176&gt;=Eingaben!$B$21,B1176&lt;Eingaben!$B$22),OR(B1176&gt;=Eingaben!$B$21,B1176&lt;Eingaben!$B$22)),"GO",IF(AND(ISNUMBER(Eingaben!$B$23),ISNUMBER(Eingaben!$B$24),IF(Eingaben!$B$23&lt;Eingaben!$B$24,AND(B1176&gt;=Eingaben!$B$23,B1176&lt;Eingaben!$B$24),OR(B1176&gt;=Eingaben!$B$23,B1176&lt;Eingaben!$B$24))),"HEAT","STANDARD"))</f>
        <v>GO</v>
      </c>
      <c r="E1176" s="9"/>
      <c r="F1176" t="str">
        <f>IF(E1176="",D1176,E1176)</f>
        <v>GO</v>
      </c>
      <c r="G1176" t="str">
        <f>INDEX(Netzzeiten!$B$6:$B$29,HOUR(B1176)+1)</f>
        <v>NT</v>
      </c>
      <c r="H1176" s="6">
        <f>IF(F1176="GO",Eingaben!$B$11,IF(F1176="STANDARD",Eingaben!$B$12,IF(AND(F1176="HEAT",ISNUMBER(Eingaben!$B$13)),Eingaben!$B$13,"")))</f>
        <v>15.0654</v>
      </c>
      <c r="I1176" s="6">
        <f>INDEX(Netzzeiten!$C$6:$C$29,HOUR(B1176)+1)</f>
        <v>1.64</v>
      </c>
      <c r="J1176" t="str">
        <f>IF(C1176="","FEHLT",IF(NOT(ISNUMBER(C1176)),"MESSWERT UNGUELTIG",IF(C1176&lt;0,"MESSWERT UNGUELTIG",IF(H1176="","TARIFPREIS FEHLT","OK"))))</f>
        <v>FEHLT</v>
      </c>
      <c r="K1176" s="7">
        <f>IF(J1176&lt;&gt;"OK","",C1176*I1176/100)</f>
        <v/>
      </c>
    </row>
    <row r="1177" spans="1:11">
      <c r="A1177" s="14">
        <v>46155</v>
      </c>
      <c r="B1177" s="15">
        <v>0.1979166666666667</v>
      </c>
      <c r="C1177" s="5">
        <f>IF('96 Werte'!U18="","",'96 Werte'!U18)</f>
        <v/>
      </c>
      <c r="D1177" t="str">
        <f>IF(IF(Eingaben!$B$21&lt;Eingaben!$B$22,AND(B1177&gt;=Eingaben!$B$21,B1177&lt;Eingaben!$B$22),OR(B1177&gt;=Eingaben!$B$21,B1177&lt;Eingaben!$B$22)),"GO",IF(AND(ISNUMBER(Eingaben!$B$23),ISNUMBER(Eingaben!$B$24),IF(Eingaben!$B$23&lt;Eingaben!$B$24,AND(B1177&gt;=Eingaben!$B$23,B1177&lt;Eingaben!$B$24),OR(B1177&gt;=Eingaben!$B$23,B1177&lt;Eingaben!$B$24))),"HEAT","STANDARD"))</f>
        <v>GO</v>
      </c>
      <c r="E1177" s="9"/>
      <c r="F1177" t="str">
        <f>IF(E1177="",D1177,E1177)</f>
        <v>GO</v>
      </c>
      <c r="G1177" t="str">
        <f>INDEX(Netzzeiten!$B$6:$B$29,HOUR(B1177)+1)</f>
        <v>NT</v>
      </c>
      <c r="H1177" s="6">
        <f>IF(F1177="GO",Eingaben!$B$11,IF(F1177="STANDARD",Eingaben!$B$12,IF(AND(F1177="HEAT",ISNUMBER(Eingaben!$B$13)),Eingaben!$B$13,"")))</f>
        <v>15.0654</v>
      </c>
      <c r="I1177" s="6">
        <f>INDEX(Netzzeiten!$C$6:$C$29,HOUR(B1177)+1)</f>
        <v>1.64</v>
      </c>
      <c r="J1177" t="str">
        <f>IF(C1177="","FEHLT",IF(NOT(ISNUMBER(C1177)),"MESSWERT UNGUELTIG",IF(C1177&lt;0,"MESSWERT UNGUELTIG",IF(H1177="","TARIFPREIS FEHLT","OK"))))</f>
        <v>FEHLT</v>
      </c>
      <c r="K1177" s="7">
        <f>IF(J1177&lt;&gt;"OK","",C1177*I1177/100)</f>
        <v/>
      </c>
    </row>
    <row r="1178" spans="1:11">
      <c r="A1178" s="14">
        <v>46155</v>
      </c>
      <c r="B1178" s="15">
        <v>0.2083333333333333</v>
      </c>
      <c r="C1178" s="5">
        <f>IF('96 Werte'!V18="","",'96 Werte'!V18)</f>
        <v/>
      </c>
      <c r="D1178" t="str">
        <f>IF(IF(Eingaben!$B$21&lt;Eingaben!$B$22,AND(B1178&gt;=Eingaben!$B$21,B1178&lt;Eingaben!$B$22),OR(B1178&gt;=Eingaben!$B$21,B1178&lt;Eingaben!$B$22)),"GO",IF(AND(ISNUMBER(Eingaben!$B$23),ISNUMBER(Eingaben!$B$24),IF(Eingaben!$B$23&lt;Eingaben!$B$24,AND(B1178&gt;=Eingaben!$B$23,B1178&lt;Eingaben!$B$24),OR(B1178&gt;=Eingaben!$B$23,B1178&lt;Eingaben!$B$24))),"HEAT","STANDARD"))</f>
        <v>STANDARD</v>
      </c>
      <c r="E1178" s="9"/>
      <c r="F1178" t="str">
        <f>IF(E1178="",D1178,E1178)</f>
        <v>STANDARD</v>
      </c>
      <c r="G1178" t="str">
        <f>INDEX(Netzzeiten!$B$6:$B$29,HOUR(B1178)+1)</f>
        <v>NT</v>
      </c>
      <c r="H1178" s="6">
        <f>IF(F1178="GO",Eingaben!$B$11,IF(F1178="STANDARD",Eingaben!$B$12,IF(AND(F1178="HEAT",ISNUMBER(Eingaben!$B$13)),Eingaben!$B$13,"")))</f>
        <v>28.2744</v>
      </c>
      <c r="I1178" s="6">
        <f>INDEX(Netzzeiten!$C$6:$C$29,HOUR(B1178)+1)</f>
        <v>1.64</v>
      </c>
      <c r="J1178" t="str">
        <f>IF(C1178="","FEHLT",IF(NOT(ISNUMBER(C1178)),"MESSWERT UNGUELTIG",IF(C1178&lt;0,"MESSWERT UNGUELTIG",IF(H1178="","TARIFPREIS FEHLT","OK"))))</f>
        <v>FEHLT</v>
      </c>
      <c r="K1178" s="7">
        <f>IF(J1178&lt;&gt;"OK","",C1178*I1178/100)</f>
        <v/>
      </c>
    </row>
    <row r="1179" spans="1:11">
      <c r="A1179" s="14">
        <v>46155</v>
      </c>
      <c r="B1179" s="15">
        <v>0.21875</v>
      </c>
      <c r="C1179" s="5">
        <f>IF('96 Werte'!W18="","",'96 Werte'!W18)</f>
        <v/>
      </c>
      <c r="D1179" t="str">
        <f>IF(IF(Eingaben!$B$21&lt;Eingaben!$B$22,AND(B1179&gt;=Eingaben!$B$21,B1179&lt;Eingaben!$B$22),OR(B1179&gt;=Eingaben!$B$21,B1179&lt;Eingaben!$B$22)),"GO",IF(AND(ISNUMBER(Eingaben!$B$23),ISNUMBER(Eingaben!$B$24),IF(Eingaben!$B$23&lt;Eingaben!$B$24,AND(B1179&gt;=Eingaben!$B$23,B1179&lt;Eingaben!$B$24),OR(B1179&gt;=Eingaben!$B$23,B1179&lt;Eingaben!$B$24))),"HEAT","STANDARD"))</f>
        <v>STANDARD</v>
      </c>
      <c r="E1179" s="9"/>
      <c r="F1179" t="str">
        <f>IF(E1179="",D1179,E1179)</f>
        <v>STANDARD</v>
      </c>
      <c r="G1179" t="str">
        <f>INDEX(Netzzeiten!$B$6:$B$29,HOUR(B1179)+1)</f>
        <v>NT</v>
      </c>
      <c r="H1179" s="6">
        <f>IF(F1179="GO",Eingaben!$B$11,IF(F1179="STANDARD",Eingaben!$B$12,IF(AND(F1179="HEAT",ISNUMBER(Eingaben!$B$13)),Eingaben!$B$13,"")))</f>
        <v>28.2744</v>
      </c>
      <c r="I1179" s="6">
        <f>INDEX(Netzzeiten!$C$6:$C$29,HOUR(B1179)+1)</f>
        <v>1.64</v>
      </c>
      <c r="J1179" t="str">
        <f>IF(C1179="","FEHLT",IF(NOT(ISNUMBER(C1179)),"MESSWERT UNGUELTIG",IF(C1179&lt;0,"MESSWERT UNGUELTIG",IF(H1179="","TARIFPREIS FEHLT","OK"))))</f>
        <v>FEHLT</v>
      </c>
      <c r="K1179" s="7">
        <f>IF(J1179&lt;&gt;"OK","",C1179*I1179/100)</f>
        <v/>
      </c>
    </row>
    <row r="1180" spans="1:11">
      <c r="A1180" s="14">
        <v>46155</v>
      </c>
      <c r="B1180" s="15">
        <v>0.2291666666666667</v>
      </c>
      <c r="C1180" s="5">
        <f>IF('96 Werte'!X18="","",'96 Werte'!X18)</f>
        <v/>
      </c>
      <c r="D1180" t="str">
        <f>IF(IF(Eingaben!$B$21&lt;Eingaben!$B$22,AND(B1180&gt;=Eingaben!$B$21,B1180&lt;Eingaben!$B$22),OR(B1180&gt;=Eingaben!$B$21,B1180&lt;Eingaben!$B$22)),"GO",IF(AND(ISNUMBER(Eingaben!$B$23),ISNUMBER(Eingaben!$B$24),IF(Eingaben!$B$23&lt;Eingaben!$B$24,AND(B1180&gt;=Eingaben!$B$23,B1180&lt;Eingaben!$B$24),OR(B1180&gt;=Eingaben!$B$23,B1180&lt;Eingaben!$B$24))),"HEAT","STANDARD"))</f>
        <v>STANDARD</v>
      </c>
      <c r="E1180" s="9"/>
      <c r="F1180" t="str">
        <f>IF(E1180="",D1180,E1180)</f>
        <v>STANDARD</v>
      </c>
      <c r="G1180" t="str">
        <f>INDEX(Netzzeiten!$B$6:$B$29,HOUR(B1180)+1)</f>
        <v>NT</v>
      </c>
      <c r="H1180" s="6">
        <f>IF(F1180="GO",Eingaben!$B$11,IF(F1180="STANDARD",Eingaben!$B$12,IF(AND(F1180="HEAT",ISNUMBER(Eingaben!$B$13)),Eingaben!$B$13,"")))</f>
        <v>28.2744</v>
      </c>
      <c r="I1180" s="6">
        <f>INDEX(Netzzeiten!$C$6:$C$29,HOUR(B1180)+1)</f>
        <v>1.64</v>
      </c>
      <c r="J1180" t="str">
        <f>IF(C1180="","FEHLT",IF(NOT(ISNUMBER(C1180)),"MESSWERT UNGUELTIG",IF(C1180&lt;0,"MESSWERT UNGUELTIG",IF(H1180="","TARIFPREIS FEHLT","OK"))))</f>
        <v>FEHLT</v>
      </c>
      <c r="K1180" s="7">
        <f>IF(J1180&lt;&gt;"OK","",C1180*I1180/100)</f>
        <v/>
      </c>
    </row>
    <row r="1181" spans="1:11">
      <c r="A1181" s="14">
        <v>46155</v>
      </c>
      <c r="B1181" s="15">
        <v>0.2395833333333333</v>
      </c>
      <c r="C1181" s="5">
        <f>IF('96 Werte'!Y18="","",'96 Werte'!Y18)</f>
        <v/>
      </c>
      <c r="D1181" t="str">
        <f>IF(IF(Eingaben!$B$21&lt;Eingaben!$B$22,AND(B1181&gt;=Eingaben!$B$21,B1181&lt;Eingaben!$B$22),OR(B1181&gt;=Eingaben!$B$21,B1181&lt;Eingaben!$B$22)),"GO",IF(AND(ISNUMBER(Eingaben!$B$23),ISNUMBER(Eingaben!$B$24),IF(Eingaben!$B$23&lt;Eingaben!$B$24,AND(B1181&gt;=Eingaben!$B$23,B1181&lt;Eingaben!$B$24),OR(B1181&gt;=Eingaben!$B$23,B1181&lt;Eingaben!$B$24))),"HEAT","STANDARD"))</f>
        <v>STANDARD</v>
      </c>
      <c r="E1181" s="9"/>
      <c r="F1181" t="str">
        <f>IF(E1181="",D1181,E1181)</f>
        <v>STANDARD</v>
      </c>
      <c r="G1181" t="str">
        <f>INDEX(Netzzeiten!$B$6:$B$29,HOUR(B1181)+1)</f>
        <v>NT</v>
      </c>
      <c r="H1181" s="6">
        <f>IF(F1181="GO",Eingaben!$B$11,IF(F1181="STANDARD",Eingaben!$B$12,IF(AND(F1181="HEAT",ISNUMBER(Eingaben!$B$13)),Eingaben!$B$13,"")))</f>
        <v>28.2744</v>
      </c>
      <c r="I1181" s="6">
        <f>INDEX(Netzzeiten!$C$6:$C$29,HOUR(B1181)+1)</f>
        <v>1.64</v>
      </c>
      <c r="J1181" t="str">
        <f>IF(C1181="","FEHLT",IF(NOT(ISNUMBER(C1181)),"MESSWERT UNGUELTIG",IF(C1181&lt;0,"MESSWERT UNGUELTIG",IF(H1181="","TARIFPREIS FEHLT","OK"))))</f>
        <v>FEHLT</v>
      </c>
      <c r="K1181" s="7">
        <f>IF(J1181&lt;&gt;"OK","",C1181*I1181/100)</f>
        <v/>
      </c>
    </row>
    <row r="1182" spans="1:11">
      <c r="A1182" s="14">
        <v>46155</v>
      </c>
      <c r="B1182" s="15">
        <v>0.25</v>
      </c>
      <c r="C1182" s="5">
        <f>IF('96 Werte'!Z18="","",'96 Werte'!Z18)</f>
        <v/>
      </c>
      <c r="D1182" t="str">
        <f>IF(IF(Eingaben!$B$21&lt;Eingaben!$B$22,AND(B1182&gt;=Eingaben!$B$21,B1182&lt;Eingaben!$B$22),OR(B1182&gt;=Eingaben!$B$21,B1182&lt;Eingaben!$B$22)),"GO",IF(AND(ISNUMBER(Eingaben!$B$23),ISNUMBER(Eingaben!$B$24),IF(Eingaben!$B$23&lt;Eingaben!$B$24,AND(B1182&gt;=Eingaben!$B$23,B1182&lt;Eingaben!$B$24),OR(B1182&gt;=Eingaben!$B$23,B1182&lt;Eingaben!$B$24))),"HEAT","STANDARD"))</f>
        <v>STANDARD</v>
      </c>
      <c r="E1182" s="9"/>
      <c r="F1182" t="str">
        <f>IF(E1182="",D1182,E1182)</f>
        <v>STANDARD</v>
      </c>
      <c r="G1182" t="str">
        <f>INDEX(Netzzeiten!$B$6:$B$29,HOUR(B1182)+1)</f>
        <v>ST</v>
      </c>
      <c r="H1182" s="6">
        <f>IF(F1182="GO",Eingaben!$B$11,IF(F1182="STANDARD",Eingaben!$B$12,IF(AND(F1182="HEAT",ISNUMBER(Eingaben!$B$13)),Eingaben!$B$13,"")))</f>
        <v>28.2744</v>
      </c>
      <c r="I1182" s="6">
        <f>INDEX(Netzzeiten!$C$6:$C$29,HOUR(B1182)+1)</f>
        <v>5.48</v>
      </c>
      <c r="J1182" t="str">
        <f>IF(C1182="","FEHLT",IF(NOT(ISNUMBER(C1182)),"MESSWERT UNGUELTIG",IF(C1182&lt;0,"MESSWERT UNGUELTIG",IF(H1182="","TARIFPREIS FEHLT","OK"))))</f>
        <v>FEHLT</v>
      </c>
      <c r="K1182" s="7">
        <f>IF(J1182&lt;&gt;"OK","",C1182*I1182/100)</f>
        <v/>
      </c>
    </row>
    <row r="1183" spans="1:11">
      <c r="A1183" s="14">
        <v>46155</v>
      </c>
      <c r="B1183" s="15">
        <v>0.2604166666666667</v>
      </c>
      <c r="C1183" s="5">
        <f>IF('96 Werte'!AA18="","",'96 Werte'!AA18)</f>
        <v/>
      </c>
      <c r="D1183" t="str">
        <f>IF(IF(Eingaben!$B$21&lt;Eingaben!$B$22,AND(B1183&gt;=Eingaben!$B$21,B1183&lt;Eingaben!$B$22),OR(B1183&gt;=Eingaben!$B$21,B1183&lt;Eingaben!$B$22)),"GO",IF(AND(ISNUMBER(Eingaben!$B$23),ISNUMBER(Eingaben!$B$24),IF(Eingaben!$B$23&lt;Eingaben!$B$24,AND(B1183&gt;=Eingaben!$B$23,B1183&lt;Eingaben!$B$24),OR(B1183&gt;=Eingaben!$B$23,B1183&lt;Eingaben!$B$24))),"HEAT","STANDARD"))</f>
        <v>STANDARD</v>
      </c>
      <c r="E1183" s="9"/>
      <c r="F1183" t="str">
        <f>IF(E1183="",D1183,E1183)</f>
        <v>STANDARD</v>
      </c>
      <c r="G1183" t="str">
        <f>INDEX(Netzzeiten!$B$6:$B$29,HOUR(B1183)+1)</f>
        <v>ST</v>
      </c>
      <c r="H1183" s="6">
        <f>IF(F1183="GO",Eingaben!$B$11,IF(F1183="STANDARD",Eingaben!$B$12,IF(AND(F1183="HEAT",ISNUMBER(Eingaben!$B$13)),Eingaben!$B$13,"")))</f>
        <v>28.2744</v>
      </c>
      <c r="I1183" s="6">
        <f>INDEX(Netzzeiten!$C$6:$C$29,HOUR(B1183)+1)</f>
        <v>5.48</v>
      </c>
      <c r="J1183" t="str">
        <f>IF(C1183="","FEHLT",IF(NOT(ISNUMBER(C1183)),"MESSWERT UNGUELTIG",IF(C1183&lt;0,"MESSWERT UNGUELTIG",IF(H1183="","TARIFPREIS FEHLT","OK"))))</f>
        <v>FEHLT</v>
      </c>
      <c r="K1183" s="7">
        <f>IF(J1183&lt;&gt;"OK","",C1183*I1183/100)</f>
        <v/>
      </c>
    </row>
    <row r="1184" spans="1:11">
      <c r="A1184" s="14">
        <v>46155</v>
      </c>
      <c r="B1184" s="15">
        <v>0.2708333333333333</v>
      </c>
      <c r="C1184" s="5">
        <f>IF('96 Werte'!AB18="","",'96 Werte'!AB18)</f>
        <v/>
      </c>
      <c r="D1184" t="str">
        <f>IF(IF(Eingaben!$B$21&lt;Eingaben!$B$22,AND(B1184&gt;=Eingaben!$B$21,B1184&lt;Eingaben!$B$22),OR(B1184&gt;=Eingaben!$B$21,B1184&lt;Eingaben!$B$22)),"GO",IF(AND(ISNUMBER(Eingaben!$B$23),ISNUMBER(Eingaben!$B$24),IF(Eingaben!$B$23&lt;Eingaben!$B$24,AND(B1184&gt;=Eingaben!$B$23,B1184&lt;Eingaben!$B$24),OR(B1184&gt;=Eingaben!$B$23,B1184&lt;Eingaben!$B$24))),"HEAT","STANDARD"))</f>
        <v>STANDARD</v>
      </c>
      <c r="E1184" s="9"/>
      <c r="F1184" t="str">
        <f>IF(E1184="",D1184,E1184)</f>
        <v>STANDARD</v>
      </c>
      <c r="G1184" t="str">
        <f>INDEX(Netzzeiten!$B$6:$B$29,HOUR(B1184)+1)</f>
        <v>ST</v>
      </c>
      <c r="H1184" s="6">
        <f>IF(F1184="GO",Eingaben!$B$11,IF(F1184="STANDARD",Eingaben!$B$12,IF(AND(F1184="HEAT",ISNUMBER(Eingaben!$B$13)),Eingaben!$B$13,"")))</f>
        <v>28.2744</v>
      </c>
      <c r="I1184" s="6">
        <f>INDEX(Netzzeiten!$C$6:$C$29,HOUR(B1184)+1)</f>
        <v>5.48</v>
      </c>
      <c r="J1184" t="str">
        <f>IF(C1184="","FEHLT",IF(NOT(ISNUMBER(C1184)),"MESSWERT UNGUELTIG",IF(C1184&lt;0,"MESSWERT UNGUELTIG",IF(H1184="","TARIFPREIS FEHLT","OK"))))</f>
        <v>FEHLT</v>
      </c>
      <c r="K1184" s="7">
        <f>IF(J1184&lt;&gt;"OK","",C1184*I1184/100)</f>
        <v/>
      </c>
    </row>
    <row r="1185" spans="1:11">
      <c r="A1185" s="14">
        <v>46155</v>
      </c>
      <c r="B1185" s="15">
        <v>0.28125</v>
      </c>
      <c r="C1185" s="5">
        <f>IF('96 Werte'!AC18="","",'96 Werte'!AC18)</f>
        <v/>
      </c>
      <c r="D1185" t="str">
        <f>IF(IF(Eingaben!$B$21&lt;Eingaben!$B$22,AND(B1185&gt;=Eingaben!$B$21,B1185&lt;Eingaben!$B$22),OR(B1185&gt;=Eingaben!$B$21,B1185&lt;Eingaben!$B$22)),"GO",IF(AND(ISNUMBER(Eingaben!$B$23),ISNUMBER(Eingaben!$B$24),IF(Eingaben!$B$23&lt;Eingaben!$B$24,AND(B1185&gt;=Eingaben!$B$23,B1185&lt;Eingaben!$B$24),OR(B1185&gt;=Eingaben!$B$23,B1185&lt;Eingaben!$B$24))),"HEAT","STANDARD"))</f>
        <v>STANDARD</v>
      </c>
      <c r="E1185" s="9"/>
      <c r="F1185" t="str">
        <f>IF(E1185="",D1185,E1185)</f>
        <v>STANDARD</v>
      </c>
      <c r="G1185" t="str">
        <f>INDEX(Netzzeiten!$B$6:$B$29,HOUR(B1185)+1)</f>
        <v>ST</v>
      </c>
      <c r="H1185" s="6">
        <f>IF(F1185="GO",Eingaben!$B$11,IF(F1185="STANDARD",Eingaben!$B$12,IF(AND(F1185="HEAT",ISNUMBER(Eingaben!$B$13)),Eingaben!$B$13,"")))</f>
        <v>28.2744</v>
      </c>
      <c r="I1185" s="6">
        <f>INDEX(Netzzeiten!$C$6:$C$29,HOUR(B1185)+1)</f>
        <v>5.48</v>
      </c>
      <c r="J1185" t="str">
        <f>IF(C1185="","FEHLT",IF(NOT(ISNUMBER(C1185)),"MESSWERT UNGUELTIG",IF(C1185&lt;0,"MESSWERT UNGUELTIG",IF(H1185="","TARIFPREIS FEHLT","OK"))))</f>
        <v>FEHLT</v>
      </c>
      <c r="K1185" s="7">
        <f>IF(J1185&lt;&gt;"OK","",C1185*I1185/100)</f>
        <v/>
      </c>
    </row>
    <row r="1186" spans="1:11">
      <c r="A1186" s="14">
        <v>46155</v>
      </c>
      <c r="B1186" s="15">
        <v>0.2916666666666667</v>
      </c>
      <c r="C1186" s="5">
        <f>IF('96 Werte'!AD18="","",'96 Werte'!AD18)</f>
        <v/>
      </c>
      <c r="D1186" t="str">
        <f>IF(IF(Eingaben!$B$21&lt;Eingaben!$B$22,AND(B1186&gt;=Eingaben!$B$21,B1186&lt;Eingaben!$B$22),OR(B1186&gt;=Eingaben!$B$21,B1186&lt;Eingaben!$B$22)),"GO",IF(AND(ISNUMBER(Eingaben!$B$23),ISNUMBER(Eingaben!$B$24),IF(Eingaben!$B$23&lt;Eingaben!$B$24,AND(B1186&gt;=Eingaben!$B$23,B1186&lt;Eingaben!$B$24),OR(B1186&gt;=Eingaben!$B$23,B1186&lt;Eingaben!$B$24))),"HEAT","STANDARD"))</f>
        <v>STANDARD</v>
      </c>
      <c r="E1186" s="9"/>
      <c r="F1186" t="str">
        <f>IF(E1186="",D1186,E1186)</f>
        <v>STANDARD</v>
      </c>
      <c r="G1186" t="str">
        <f>INDEX(Netzzeiten!$B$6:$B$29,HOUR(B1186)+1)</f>
        <v>ST</v>
      </c>
      <c r="H1186" s="6">
        <f>IF(F1186="GO",Eingaben!$B$11,IF(F1186="STANDARD",Eingaben!$B$12,IF(AND(F1186="HEAT",ISNUMBER(Eingaben!$B$13)),Eingaben!$B$13,"")))</f>
        <v>28.2744</v>
      </c>
      <c r="I1186" s="6">
        <f>INDEX(Netzzeiten!$C$6:$C$29,HOUR(B1186)+1)</f>
        <v>5.48</v>
      </c>
      <c r="J1186" t="str">
        <f>IF(C1186="","FEHLT",IF(NOT(ISNUMBER(C1186)),"MESSWERT UNGUELTIG",IF(C1186&lt;0,"MESSWERT UNGUELTIG",IF(H1186="","TARIFPREIS FEHLT","OK"))))</f>
        <v>FEHLT</v>
      </c>
      <c r="K1186" s="7">
        <f>IF(J1186&lt;&gt;"OK","",C1186*I1186/100)</f>
        <v/>
      </c>
    </row>
    <row r="1187" spans="1:11">
      <c r="A1187" s="14">
        <v>46155</v>
      </c>
      <c r="B1187" s="15">
        <v>0.3020833333333333</v>
      </c>
      <c r="C1187" s="5">
        <f>IF('96 Werte'!AE18="","",'96 Werte'!AE18)</f>
        <v/>
      </c>
      <c r="D1187" t="str">
        <f>IF(IF(Eingaben!$B$21&lt;Eingaben!$B$22,AND(B1187&gt;=Eingaben!$B$21,B1187&lt;Eingaben!$B$22),OR(B1187&gt;=Eingaben!$B$21,B1187&lt;Eingaben!$B$22)),"GO",IF(AND(ISNUMBER(Eingaben!$B$23),ISNUMBER(Eingaben!$B$24),IF(Eingaben!$B$23&lt;Eingaben!$B$24,AND(B1187&gt;=Eingaben!$B$23,B1187&lt;Eingaben!$B$24),OR(B1187&gt;=Eingaben!$B$23,B1187&lt;Eingaben!$B$24))),"HEAT","STANDARD"))</f>
        <v>STANDARD</v>
      </c>
      <c r="E1187" s="9"/>
      <c r="F1187" t="str">
        <f>IF(E1187="",D1187,E1187)</f>
        <v>STANDARD</v>
      </c>
      <c r="G1187" t="str">
        <f>INDEX(Netzzeiten!$B$6:$B$29,HOUR(B1187)+1)</f>
        <v>ST</v>
      </c>
      <c r="H1187" s="6">
        <f>IF(F1187="GO",Eingaben!$B$11,IF(F1187="STANDARD",Eingaben!$B$12,IF(AND(F1187="HEAT",ISNUMBER(Eingaben!$B$13)),Eingaben!$B$13,"")))</f>
        <v>28.2744</v>
      </c>
      <c r="I1187" s="6">
        <f>INDEX(Netzzeiten!$C$6:$C$29,HOUR(B1187)+1)</f>
        <v>5.48</v>
      </c>
      <c r="J1187" t="str">
        <f>IF(C1187="","FEHLT",IF(NOT(ISNUMBER(C1187)),"MESSWERT UNGUELTIG",IF(C1187&lt;0,"MESSWERT UNGUELTIG",IF(H1187="","TARIFPREIS FEHLT","OK"))))</f>
        <v>FEHLT</v>
      </c>
      <c r="K1187" s="7">
        <f>IF(J1187&lt;&gt;"OK","",C1187*I1187/100)</f>
        <v/>
      </c>
    </row>
    <row r="1188" spans="1:11">
      <c r="A1188" s="14">
        <v>46155</v>
      </c>
      <c r="B1188" s="15">
        <v>0.3125</v>
      </c>
      <c r="C1188" s="5">
        <f>IF('96 Werte'!AF18="","",'96 Werte'!AF18)</f>
        <v/>
      </c>
      <c r="D1188" t="str">
        <f>IF(IF(Eingaben!$B$21&lt;Eingaben!$B$22,AND(B1188&gt;=Eingaben!$B$21,B1188&lt;Eingaben!$B$22),OR(B1188&gt;=Eingaben!$B$21,B1188&lt;Eingaben!$B$22)),"GO",IF(AND(ISNUMBER(Eingaben!$B$23),ISNUMBER(Eingaben!$B$24),IF(Eingaben!$B$23&lt;Eingaben!$B$24,AND(B1188&gt;=Eingaben!$B$23,B1188&lt;Eingaben!$B$24),OR(B1188&gt;=Eingaben!$B$23,B1188&lt;Eingaben!$B$24))),"HEAT","STANDARD"))</f>
        <v>STANDARD</v>
      </c>
      <c r="E1188" s="9"/>
      <c r="F1188" t="str">
        <f>IF(E1188="",D1188,E1188)</f>
        <v>STANDARD</v>
      </c>
      <c r="G1188" t="str">
        <f>INDEX(Netzzeiten!$B$6:$B$29,HOUR(B1188)+1)</f>
        <v>ST</v>
      </c>
      <c r="H1188" s="6">
        <f>IF(F1188="GO",Eingaben!$B$11,IF(F1188="STANDARD",Eingaben!$B$12,IF(AND(F1188="HEAT",ISNUMBER(Eingaben!$B$13)),Eingaben!$B$13,"")))</f>
        <v>28.2744</v>
      </c>
      <c r="I1188" s="6">
        <f>INDEX(Netzzeiten!$C$6:$C$29,HOUR(B1188)+1)</f>
        <v>5.48</v>
      </c>
      <c r="J1188" t="str">
        <f>IF(C1188="","FEHLT",IF(NOT(ISNUMBER(C1188)),"MESSWERT UNGUELTIG",IF(C1188&lt;0,"MESSWERT UNGUELTIG",IF(H1188="","TARIFPREIS FEHLT","OK"))))</f>
        <v>FEHLT</v>
      </c>
      <c r="K1188" s="7">
        <f>IF(J1188&lt;&gt;"OK","",C1188*I1188/100)</f>
        <v/>
      </c>
    </row>
    <row r="1189" spans="1:11">
      <c r="A1189" s="14">
        <v>46155</v>
      </c>
      <c r="B1189" s="15">
        <v>0.3229166666666667</v>
      </c>
      <c r="C1189" s="5">
        <f>IF('96 Werte'!AG18="","",'96 Werte'!AG18)</f>
        <v/>
      </c>
      <c r="D1189" t="str">
        <f>IF(IF(Eingaben!$B$21&lt;Eingaben!$B$22,AND(B1189&gt;=Eingaben!$B$21,B1189&lt;Eingaben!$B$22),OR(B1189&gt;=Eingaben!$B$21,B1189&lt;Eingaben!$B$22)),"GO",IF(AND(ISNUMBER(Eingaben!$B$23),ISNUMBER(Eingaben!$B$24),IF(Eingaben!$B$23&lt;Eingaben!$B$24,AND(B1189&gt;=Eingaben!$B$23,B1189&lt;Eingaben!$B$24),OR(B1189&gt;=Eingaben!$B$23,B1189&lt;Eingaben!$B$24))),"HEAT","STANDARD"))</f>
        <v>STANDARD</v>
      </c>
      <c r="E1189" s="9"/>
      <c r="F1189" t="str">
        <f>IF(E1189="",D1189,E1189)</f>
        <v>STANDARD</v>
      </c>
      <c r="G1189" t="str">
        <f>INDEX(Netzzeiten!$B$6:$B$29,HOUR(B1189)+1)</f>
        <v>ST</v>
      </c>
      <c r="H1189" s="6">
        <f>IF(F1189="GO",Eingaben!$B$11,IF(F1189="STANDARD",Eingaben!$B$12,IF(AND(F1189="HEAT",ISNUMBER(Eingaben!$B$13)),Eingaben!$B$13,"")))</f>
        <v>28.2744</v>
      </c>
      <c r="I1189" s="6">
        <f>INDEX(Netzzeiten!$C$6:$C$29,HOUR(B1189)+1)</f>
        <v>5.48</v>
      </c>
      <c r="J1189" t="str">
        <f>IF(C1189="","FEHLT",IF(NOT(ISNUMBER(C1189)),"MESSWERT UNGUELTIG",IF(C1189&lt;0,"MESSWERT UNGUELTIG",IF(H1189="","TARIFPREIS FEHLT","OK"))))</f>
        <v>FEHLT</v>
      </c>
      <c r="K1189" s="7">
        <f>IF(J1189&lt;&gt;"OK","",C1189*I1189/100)</f>
        <v/>
      </c>
    </row>
    <row r="1190" spans="1:11">
      <c r="A1190" s="14">
        <v>46155</v>
      </c>
      <c r="B1190" s="15">
        <v>0.3333333333333333</v>
      </c>
      <c r="C1190" s="5">
        <f>IF('96 Werte'!AH18="","",'96 Werte'!AH18)</f>
        <v/>
      </c>
      <c r="D1190" t="str">
        <f>IF(IF(Eingaben!$B$21&lt;Eingaben!$B$22,AND(B1190&gt;=Eingaben!$B$21,B1190&lt;Eingaben!$B$22),OR(B1190&gt;=Eingaben!$B$21,B1190&lt;Eingaben!$B$22)),"GO",IF(AND(ISNUMBER(Eingaben!$B$23),ISNUMBER(Eingaben!$B$24),IF(Eingaben!$B$23&lt;Eingaben!$B$24,AND(B1190&gt;=Eingaben!$B$23,B1190&lt;Eingaben!$B$24),OR(B1190&gt;=Eingaben!$B$23,B1190&lt;Eingaben!$B$24))),"HEAT","STANDARD"))</f>
        <v>STANDARD</v>
      </c>
      <c r="E1190" s="9"/>
      <c r="F1190" t="str">
        <f>IF(E1190="",D1190,E1190)</f>
        <v>STANDARD</v>
      </c>
      <c r="G1190" t="str">
        <f>INDEX(Netzzeiten!$B$6:$B$29,HOUR(B1190)+1)</f>
        <v>ST</v>
      </c>
      <c r="H1190" s="6">
        <f>IF(F1190="GO",Eingaben!$B$11,IF(F1190="STANDARD",Eingaben!$B$12,IF(AND(F1190="HEAT",ISNUMBER(Eingaben!$B$13)),Eingaben!$B$13,"")))</f>
        <v>28.2744</v>
      </c>
      <c r="I1190" s="6">
        <f>INDEX(Netzzeiten!$C$6:$C$29,HOUR(B1190)+1)</f>
        <v>5.48</v>
      </c>
      <c r="J1190" t="str">
        <f>IF(C1190="","FEHLT",IF(NOT(ISNUMBER(C1190)),"MESSWERT UNGUELTIG",IF(C1190&lt;0,"MESSWERT UNGUELTIG",IF(H1190="","TARIFPREIS FEHLT","OK"))))</f>
        <v>FEHLT</v>
      </c>
      <c r="K1190" s="7">
        <f>IF(J1190&lt;&gt;"OK","",C1190*I1190/100)</f>
        <v/>
      </c>
    </row>
    <row r="1191" spans="1:11">
      <c r="A1191" s="14">
        <v>46155</v>
      </c>
      <c r="B1191" s="15">
        <v>0.34375</v>
      </c>
      <c r="C1191" s="5">
        <f>IF('96 Werte'!AI18="","",'96 Werte'!AI18)</f>
        <v/>
      </c>
      <c r="D1191" t="str">
        <f>IF(IF(Eingaben!$B$21&lt;Eingaben!$B$22,AND(B1191&gt;=Eingaben!$B$21,B1191&lt;Eingaben!$B$22),OR(B1191&gt;=Eingaben!$B$21,B1191&lt;Eingaben!$B$22)),"GO",IF(AND(ISNUMBER(Eingaben!$B$23),ISNUMBER(Eingaben!$B$24),IF(Eingaben!$B$23&lt;Eingaben!$B$24,AND(B1191&gt;=Eingaben!$B$23,B1191&lt;Eingaben!$B$24),OR(B1191&gt;=Eingaben!$B$23,B1191&lt;Eingaben!$B$24))),"HEAT","STANDARD"))</f>
        <v>STANDARD</v>
      </c>
      <c r="E1191" s="9"/>
      <c r="F1191" t="str">
        <f>IF(E1191="",D1191,E1191)</f>
        <v>STANDARD</v>
      </c>
      <c r="G1191" t="str">
        <f>INDEX(Netzzeiten!$B$6:$B$29,HOUR(B1191)+1)</f>
        <v>ST</v>
      </c>
      <c r="H1191" s="6">
        <f>IF(F1191="GO",Eingaben!$B$11,IF(F1191="STANDARD",Eingaben!$B$12,IF(AND(F1191="HEAT",ISNUMBER(Eingaben!$B$13)),Eingaben!$B$13,"")))</f>
        <v>28.2744</v>
      </c>
      <c r="I1191" s="6">
        <f>INDEX(Netzzeiten!$C$6:$C$29,HOUR(B1191)+1)</f>
        <v>5.48</v>
      </c>
      <c r="J1191" t="str">
        <f>IF(C1191="","FEHLT",IF(NOT(ISNUMBER(C1191)),"MESSWERT UNGUELTIG",IF(C1191&lt;0,"MESSWERT UNGUELTIG",IF(H1191="","TARIFPREIS FEHLT","OK"))))</f>
        <v>FEHLT</v>
      </c>
      <c r="K1191" s="7">
        <f>IF(J1191&lt;&gt;"OK","",C1191*I1191/100)</f>
        <v/>
      </c>
    </row>
    <row r="1192" spans="1:11">
      <c r="A1192" s="14">
        <v>46155</v>
      </c>
      <c r="B1192" s="15">
        <v>0.3541666666666667</v>
      </c>
      <c r="C1192" s="5">
        <f>IF('96 Werte'!AJ18="","",'96 Werte'!AJ18)</f>
        <v/>
      </c>
      <c r="D1192" t="str">
        <f>IF(IF(Eingaben!$B$21&lt;Eingaben!$B$22,AND(B1192&gt;=Eingaben!$B$21,B1192&lt;Eingaben!$B$22),OR(B1192&gt;=Eingaben!$B$21,B1192&lt;Eingaben!$B$22)),"GO",IF(AND(ISNUMBER(Eingaben!$B$23),ISNUMBER(Eingaben!$B$24),IF(Eingaben!$B$23&lt;Eingaben!$B$24,AND(B1192&gt;=Eingaben!$B$23,B1192&lt;Eingaben!$B$24),OR(B1192&gt;=Eingaben!$B$23,B1192&lt;Eingaben!$B$24))),"HEAT","STANDARD"))</f>
        <v>STANDARD</v>
      </c>
      <c r="E1192" s="9"/>
      <c r="F1192" t="str">
        <f>IF(E1192="",D1192,E1192)</f>
        <v>STANDARD</v>
      </c>
      <c r="G1192" t="str">
        <f>INDEX(Netzzeiten!$B$6:$B$29,HOUR(B1192)+1)</f>
        <v>ST</v>
      </c>
      <c r="H1192" s="6">
        <f>IF(F1192="GO",Eingaben!$B$11,IF(F1192="STANDARD",Eingaben!$B$12,IF(AND(F1192="HEAT",ISNUMBER(Eingaben!$B$13)),Eingaben!$B$13,"")))</f>
        <v>28.2744</v>
      </c>
      <c r="I1192" s="6">
        <f>INDEX(Netzzeiten!$C$6:$C$29,HOUR(B1192)+1)</f>
        <v>5.48</v>
      </c>
      <c r="J1192" t="str">
        <f>IF(C1192="","FEHLT",IF(NOT(ISNUMBER(C1192)),"MESSWERT UNGUELTIG",IF(C1192&lt;0,"MESSWERT UNGUELTIG",IF(H1192="","TARIFPREIS FEHLT","OK"))))</f>
        <v>FEHLT</v>
      </c>
      <c r="K1192" s="7">
        <f>IF(J1192&lt;&gt;"OK","",C1192*I1192/100)</f>
        <v/>
      </c>
    </row>
    <row r="1193" spans="1:11">
      <c r="A1193" s="14">
        <v>46155</v>
      </c>
      <c r="B1193" s="15">
        <v>0.3645833333333333</v>
      </c>
      <c r="C1193" s="5">
        <f>IF('96 Werte'!AK18="","",'96 Werte'!AK18)</f>
        <v/>
      </c>
      <c r="D1193" t="str">
        <f>IF(IF(Eingaben!$B$21&lt;Eingaben!$B$22,AND(B1193&gt;=Eingaben!$B$21,B1193&lt;Eingaben!$B$22),OR(B1193&gt;=Eingaben!$B$21,B1193&lt;Eingaben!$B$22)),"GO",IF(AND(ISNUMBER(Eingaben!$B$23),ISNUMBER(Eingaben!$B$24),IF(Eingaben!$B$23&lt;Eingaben!$B$24,AND(B1193&gt;=Eingaben!$B$23,B1193&lt;Eingaben!$B$24),OR(B1193&gt;=Eingaben!$B$23,B1193&lt;Eingaben!$B$24))),"HEAT","STANDARD"))</f>
        <v>STANDARD</v>
      </c>
      <c r="E1193" s="9"/>
      <c r="F1193" t="str">
        <f>IF(E1193="",D1193,E1193)</f>
        <v>STANDARD</v>
      </c>
      <c r="G1193" t="str">
        <f>INDEX(Netzzeiten!$B$6:$B$29,HOUR(B1193)+1)</f>
        <v>ST</v>
      </c>
      <c r="H1193" s="6">
        <f>IF(F1193="GO",Eingaben!$B$11,IF(F1193="STANDARD",Eingaben!$B$12,IF(AND(F1193="HEAT",ISNUMBER(Eingaben!$B$13)),Eingaben!$B$13,"")))</f>
        <v>28.2744</v>
      </c>
      <c r="I1193" s="6">
        <f>INDEX(Netzzeiten!$C$6:$C$29,HOUR(B1193)+1)</f>
        <v>5.48</v>
      </c>
      <c r="J1193" t="str">
        <f>IF(C1193="","FEHLT",IF(NOT(ISNUMBER(C1193)),"MESSWERT UNGUELTIG",IF(C1193&lt;0,"MESSWERT UNGUELTIG",IF(H1193="","TARIFPREIS FEHLT","OK"))))</f>
        <v>FEHLT</v>
      </c>
      <c r="K1193" s="7">
        <f>IF(J1193&lt;&gt;"OK","",C1193*I1193/100)</f>
        <v/>
      </c>
    </row>
    <row r="1194" spans="1:11">
      <c r="A1194" s="14">
        <v>46155</v>
      </c>
      <c r="B1194" s="15">
        <v>0.375</v>
      </c>
      <c r="C1194" s="5">
        <f>IF('96 Werte'!AL18="","",'96 Werte'!AL18)</f>
        <v/>
      </c>
      <c r="D1194" t="str">
        <f>IF(IF(Eingaben!$B$21&lt;Eingaben!$B$22,AND(B1194&gt;=Eingaben!$B$21,B1194&lt;Eingaben!$B$22),OR(B1194&gt;=Eingaben!$B$21,B1194&lt;Eingaben!$B$22)),"GO",IF(AND(ISNUMBER(Eingaben!$B$23),ISNUMBER(Eingaben!$B$24),IF(Eingaben!$B$23&lt;Eingaben!$B$24,AND(B1194&gt;=Eingaben!$B$23,B1194&lt;Eingaben!$B$24),OR(B1194&gt;=Eingaben!$B$23,B1194&lt;Eingaben!$B$24))),"HEAT","STANDARD"))</f>
        <v>STANDARD</v>
      </c>
      <c r="E1194" s="9"/>
      <c r="F1194" t="str">
        <f>IF(E1194="",D1194,E1194)</f>
        <v>STANDARD</v>
      </c>
      <c r="G1194" t="str">
        <f>INDEX(Netzzeiten!$B$6:$B$29,HOUR(B1194)+1)</f>
        <v>ST</v>
      </c>
      <c r="H1194" s="6">
        <f>IF(F1194="GO",Eingaben!$B$11,IF(F1194="STANDARD",Eingaben!$B$12,IF(AND(F1194="HEAT",ISNUMBER(Eingaben!$B$13)),Eingaben!$B$13,"")))</f>
        <v>28.2744</v>
      </c>
      <c r="I1194" s="6">
        <f>INDEX(Netzzeiten!$C$6:$C$29,HOUR(B1194)+1)</f>
        <v>5.48</v>
      </c>
      <c r="J1194" t="str">
        <f>IF(C1194="","FEHLT",IF(NOT(ISNUMBER(C1194)),"MESSWERT UNGUELTIG",IF(C1194&lt;0,"MESSWERT UNGUELTIG",IF(H1194="","TARIFPREIS FEHLT","OK"))))</f>
        <v>FEHLT</v>
      </c>
      <c r="K1194" s="7">
        <f>IF(J1194&lt;&gt;"OK","",C1194*I1194/100)</f>
        <v/>
      </c>
    </row>
    <row r="1195" spans="1:11">
      <c r="A1195" s="14">
        <v>46155</v>
      </c>
      <c r="B1195" s="15">
        <v>0.3854166666666667</v>
      </c>
      <c r="C1195" s="5">
        <f>IF('96 Werte'!AM18="","",'96 Werte'!AM18)</f>
        <v/>
      </c>
      <c r="D1195" t="str">
        <f>IF(IF(Eingaben!$B$21&lt;Eingaben!$B$22,AND(B1195&gt;=Eingaben!$B$21,B1195&lt;Eingaben!$B$22),OR(B1195&gt;=Eingaben!$B$21,B1195&lt;Eingaben!$B$22)),"GO",IF(AND(ISNUMBER(Eingaben!$B$23),ISNUMBER(Eingaben!$B$24),IF(Eingaben!$B$23&lt;Eingaben!$B$24,AND(B1195&gt;=Eingaben!$B$23,B1195&lt;Eingaben!$B$24),OR(B1195&gt;=Eingaben!$B$23,B1195&lt;Eingaben!$B$24))),"HEAT","STANDARD"))</f>
        <v>STANDARD</v>
      </c>
      <c r="E1195" s="9"/>
      <c r="F1195" t="str">
        <f>IF(E1195="",D1195,E1195)</f>
        <v>STANDARD</v>
      </c>
      <c r="G1195" t="str">
        <f>INDEX(Netzzeiten!$B$6:$B$29,HOUR(B1195)+1)</f>
        <v>ST</v>
      </c>
      <c r="H1195" s="6">
        <f>IF(F1195="GO",Eingaben!$B$11,IF(F1195="STANDARD",Eingaben!$B$12,IF(AND(F1195="HEAT",ISNUMBER(Eingaben!$B$13)),Eingaben!$B$13,"")))</f>
        <v>28.2744</v>
      </c>
      <c r="I1195" s="6">
        <f>INDEX(Netzzeiten!$C$6:$C$29,HOUR(B1195)+1)</f>
        <v>5.48</v>
      </c>
      <c r="J1195" t="str">
        <f>IF(C1195="","FEHLT",IF(NOT(ISNUMBER(C1195)),"MESSWERT UNGUELTIG",IF(C1195&lt;0,"MESSWERT UNGUELTIG",IF(H1195="","TARIFPREIS FEHLT","OK"))))</f>
        <v>FEHLT</v>
      </c>
      <c r="K1195" s="7">
        <f>IF(J1195&lt;&gt;"OK","",C1195*I1195/100)</f>
        <v/>
      </c>
    </row>
    <row r="1196" spans="1:11">
      <c r="A1196" s="14">
        <v>46155</v>
      </c>
      <c r="B1196" s="15">
        <v>0.3958333333333333</v>
      </c>
      <c r="C1196" s="5">
        <f>IF('96 Werte'!AN18="","",'96 Werte'!AN18)</f>
        <v/>
      </c>
      <c r="D1196" t="str">
        <f>IF(IF(Eingaben!$B$21&lt;Eingaben!$B$22,AND(B1196&gt;=Eingaben!$B$21,B1196&lt;Eingaben!$B$22),OR(B1196&gt;=Eingaben!$B$21,B1196&lt;Eingaben!$B$22)),"GO",IF(AND(ISNUMBER(Eingaben!$B$23),ISNUMBER(Eingaben!$B$24),IF(Eingaben!$B$23&lt;Eingaben!$B$24,AND(B1196&gt;=Eingaben!$B$23,B1196&lt;Eingaben!$B$24),OR(B1196&gt;=Eingaben!$B$23,B1196&lt;Eingaben!$B$24))),"HEAT","STANDARD"))</f>
        <v>STANDARD</v>
      </c>
      <c r="E1196" s="9"/>
      <c r="F1196" t="str">
        <f>IF(E1196="",D1196,E1196)</f>
        <v>STANDARD</v>
      </c>
      <c r="G1196" t="str">
        <f>INDEX(Netzzeiten!$B$6:$B$29,HOUR(B1196)+1)</f>
        <v>ST</v>
      </c>
      <c r="H1196" s="6">
        <f>IF(F1196="GO",Eingaben!$B$11,IF(F1196="STANDARD",Eingaben!$B$12,IF(AND(F1196="HEAT",ISNUMBER(Eingaben!$B$13)),Eingaben!$B$13,"")))</f>
        <v>28.2744</v>
      </c>
      <c r="I1196" s="6">
        <f>INDEX(Netzzeiten!$C$6:$C$29,HOUR(B1196)+1)</f>
        <v>5.48</v>
      </c>
      <c r="J1196" t="str">
        <f>IF(C1196="","FEHLT",IF(NOT(ISNUMBER(C1196)),"MESSWERT UNGUELTIG",IF(C1196&lt;0,"MESSWERT UNGUELTIG",IF(H1196="","TARIFPREIS FEHLT","OK"))))</f>
        <v>FEHLT</v>
      </c>
      <c r="K1196" s="7">
        <f>IF(J1196&lt;&gt;"OK","",C1196*I1196/100)</f>
        <v/>
      </c>
    </row>
    <row r="1197" spans="1:11">
      <c r="A1197" s="14">
        <v>46155</v>
      </c>
      <c r="B1197" s="15">
        <v>0.40625</v>
      </c>
      <c r="C1197" s="5">
        <f>IF('96 Werte'!AO18="","",'96 Werte'!AO18)</f>
        <v/>
      </c>
      <c r="D1197" t="str">
        <f>IF(IF(Eingaben!$B$21&lt;Eingaben!$B$22,AND(B1197&gt;=Eingaben!$B$21,B1197&lt;Eingaben!$B$22),OR(B1197&gt;=Eingaben!$B$21,B1197&lt;Eingaben!$B$22)),"GO",IF(AND(ISNUMBER(Eingaben!$B$23),ISNUMBER(Eingaben!$B$24),IF(Eingaben!$B$23&lt;Eingaben!$B$24,AND(B1197&gt;=Eingaben!$B$23,B1197&lt;Eingaben!$B$24),OR(B1197&gt;=Eingaben!$B$23,B1197&lt;Eingaben!$B$24))),"HEAT","STANDARD"))</f>
        <v>STANDARD</v>
      </c>
      <c r="E1197" s="9"/>
      <c r="F1197" t="str">
        <f>IF(E1197="",D1197,E1197)</f>
        <v>STANDARD</v>
      </c>
      <c r="G1197" t="str">
        <f>INDEX(Netzzeiten!$B$6:$B$29,HOUR(B1197)+1)</f>
        <v>ST</v>
      </c>
      <c r="H1197" s="6">
        <f>IF(F1197="GO",Eingaben!$B$11,IF(F1197="STANDARD",Eingaben!$B$12,IF(AND(F1197="HEAT",ISNUMBER(Eingaben!$B$13)),Eingaben!$B$13,"")))</f>
        <v>28.2744</v>
      </c>
      <c r="I1197" s="6">
        <f>INDEX(Netzzeiten!$C$6:$C$29,HOUR(B1197)+1)</f>
        <v>5.48</v>
      </c>
      <c r="J1197" t="str">
        <f>IF(C1197="","FEHLT",IF(NOT(ISNUMBER(C1197)),"MESSWERT UNGUELTIG",IF(C1197&lt;0,"MESSWERT UNGUELTIG",IF(H1197="","TARIFPREIS FEHLT","OK"))))</f>
        <v>FEHLT</v>
      </c>
      <c r="K1197" s="7">
        <f>IF(J1197&lt;&gt;"OK","",C1197*I1197/100)</f>
        <v/>
      </c>
    </row>
    <row r="1198" spans="1:11">
      <c r="A1198" s="14">
        <v>46155</v>
      </c>
      <c r="B1198" s="15">
        <v>0.4166666666666667</v>
      </c>
      <c r="C1198" s="5">
        <f>IF('96 Werte'!AP18="","",'96 Werte'!AP18)</f>
        <v/>
      </c>
      <c r="D1198" t="str">
        <f>IF(IF(Eingaben!$B$21&lt;Eingaben!$B$22,AND(B1198&gt;=Eingaben!$B$21,B1198&lt;Eingaben!$B$22),OR(B1198&gt;=Eingaben!$B$21,B1198&lt;Eingaben!$B$22)),"GO",IF(AND(ISNUMBER(Eingaben!$B$23),ISNUMBER(Eingaben!$B$24),IF(Eingaben!$B$23&lt;Eingaben!$B$24,AND(B1198&gt;=Eingaben!$B$23,B1198&lt;Eingaben!$B$24),OR(B1198&gt;=Eingaben!$B$23,B1198&lt;Eingaben!$B$24))),"HEAT","STANDARD"))</f>
        <v>STANDARD</v>
      </c>
      <c r="E1198" s="9"/>
      <c r="F1198" t="str">
        <f>IF(E1198="",D1198,E1198)</f>
        <v>STANDARD</v>
      </c>
      <c r="G1198" t="str">
        <f>INDEX(Netzzeiten!$B$6:$B$29,HOUR(B1198)+1)</f>
        <v>ST</v>
      </c>
      <c r="H1198" s="6">
        <f>IF(F1198="GO",Eingaben!$B$11,IF(F1198="STANDARD",Eingaben!$B$12,IF(AND(F1198="HEAT",ISNUMBER(Eingaben!$B$13)),Eingaben!$B$13,"")))</f>
        <v>28.2744</v>
      </c>
      <c r="I1198" s="6">
        <f>INDEX(Netzzeiten!$C$6:$C$29,HOUR(B1198)+1)</f>
        <v>5.48</v>
      </c>
      <c r="J1198" t="str">
        <f>IF(C1198="","FEHLT",IF(NOT(ISNUMBER(C1198)),"MESSWERT UNGUELTIG",IF(C1198&lt;0,"MESSWERT UNGUELTIG",IF(H1198="","TARIFPREIS FEHLT","OK"))))</f>
        <v>FEHLT</v>
      </c>
      <c r="K1198" s="7">
        <f>IF(J1198&lt;&gt;"OK","",C1198*I1198/100)</f>
        <v/>
      </c>
    </row>
    <row r="1199" spans="1:11">
      <c r="A1199" s="14">
        <v>46155</v>
      </c>
      <c r="B1199" s="15">
        <v>0.4270833333333333</v>
      </c>
      <c r="C1199" s="5">
        <f>IF('96 Werte'!AQ18="","",'96 Werte'!AQ18)</f>
        <v/>
      </c>
      <c r="D1199" t="str">
        <f>IF(IF(Eingaben!$B$21&lt;Eingaben!$B$22,AND(B1199&gt;=Eingaben!$B$21,B1199&lt;Eingaben!$B$22),OR(B1199&gt;=Eingaben!$B$21,B1199&lt;Eingaben!$B$22)),"GO",IF(AND(ISNUMBER(Eingaben!$B$23),ISNUMBER(Eingaben!$B$24),IF(Eingaben!$B$23&lt;Eingaben!$B$24,AND(B1199&gt;=Eingaben!$B$23,B1199&lt;Eingaben!$B$24),OR(B1199&gt;=Eingaben!$B$23,B1199&lt;Eingaben!$B$24))),"HEAT","STANDARD"))</f>
        <v>STANDARD</v>
      </c>
      <c r="E1199" s="9"/>
      <c r="F1199" t="str">
        <f>IF(E1199="",D1199,E1199)</f>
        <v>STANDARD</v>
      </c>
      <c r="G1199" t="str">
        <f>INDEX(Netzzeiten!$B$6:$B$29,HOUR(B1199)+1)</f>
        <v>ST</v>
      </c>
      <c r="H1199" s="6">
        <f>IF(F1199="GO",Eingaben!$B$11,IF(F1199="STANDARD",Eingaben!$B$12,IF(AND(F1199="HEAT",ISNUMBER(Eingaben!$B$13)),Eingaben!$B$13,"")))</f>
        <v>28.2744</v>
      </c>
      <c r="I1199" s="6">
        <f>INDEX(Netzzeiten!$C$6:$C$29,HOUR(B1199)+1)</f>
        <v>5.48</v>
      </c>
      <c r="J1199" t="str">
        <f>IF(C1199="","FEHLT",IF(NOT(ISNUMBER(C1199)),"MESSWERT UNGUELTIG",IF(C1199&lt;0,"MESSWERT UNGUELTIG",IF(H1199="","TARIFPREIS FEHLT","OK"))))</f>
        <v>FEHLT</v>
      </c>
      <c r="K1199" s="7">
        <f>IF(J1199&lt;&gt;"OK","",C1199*I1199/100)</f>
        <v/>
      </c>
    </row>
    <row r="1200" spans="1:11">
      <c r="A1200" s="14">
        <v>46155</v>
      </c>
      <c r="B1200" s="15">
        <v>0.4375</v>
      </c>
      <c r="C1200" s="5">
        <f>IF('96 Werte'!AR18="","",'96 Werte'!AR18)</f>
        <v/>
      </c>
      <c r="D1200" t="str">
        <f>IF(IF(Eingaben!$B$21&lt;Eingaben!$B$22,AND(B1200&gt;=Eingaben!$B$21,B1200&lt;Eingaben!$B$22),OR(B1200&gt;=Eingaben!$B$21,B1200&lt;Eingaben!$B$22)),"GO",IF(AND(ISNUMBER(Eingaben!$B$23),ISNUMBER(Eingaben!$B$24),IF(Eingaben!$B$23&lt;Eingaben!$B$24,AND(B1200&gt;=Eingaben!$B$23,B1200&lt;Eingaben!$B$24),OR(B1200&gt;=Eingaben!$B$23,B1200&lt;Eingaben!$B$24))),"HEAT","STANDARD"))</f>
        <v>STANDARD</v>
      </c>
      <c r="E1200" s="9"/>
      <c r="F1200" t="str">
        <f>IF(E1200="",D1200,E1200)</f>
        <v>STANDARD</v>
      </c>
      <c r="G1200" t="str">
        <f>INDEX(Netzzeiten!$B$6:$B$29,HOUR(B1200)+1)</f>
        <v>ST</v>
      </c>
      <c r="H1200" s="6">
        <f>IF(F1200="GO",Eingaben!$B$11,IF(F1200="STANDARD",Eingaben!$B$12,IF(AND(F1200="HEAT",ISNUMBER(Eingaben!$B$13)),Eingaben!$B$13,"")))</f>
        <v>28.2744</v>
      </c>
      <c r="I1200" s="6">
        <f>INDEX(Netzzeiten!$C$6:$C$29,HOUR(B1200)+1)</f>
        <v>5.48</v>
      </c>
      <c r="J1200" t="str">
        <f>IF(C1200="","FEHLT",IF(NOT(ISNUMBER(C1200)),"MESSWERT UNGUELTIG",IF(C1200&lt;0,"MESSWERT UNGUELTIG",IF(H1200="","TARIFPREIS FEHLT","OK"))))</f>
        <v>FEHLT</v>
      </c>
      <c r="K1200" s="7">
        <f>IF(J1200&lt;&gt;"OK","",C1200*I1200/100)</f>
        <v/>
      </c>
    </row>
    <row r="1201" spans="1:11">
      <c r="A1201" s="14">
        <v>46155</v>
      </c>
      <c r="B1201" s="15">
        <v>0.4479166666666667</v>
      </c>
      <c r="C1201" s="5">
        <f>IF('96 Werte'!AS18="","",'96 Werte'!AS18)</f>
        <v/>
      </c>
      <c r="D1201" t="str">
        <f>IF(IF(Eingaben!$B$21&lt;Eingaben!$B$22,AND(B1201&gt;=Eingaben!$B$21,B1201&lt;Eingaben!$B$22),OR(B1201&gt;=Eingaben!$B$21,B1201&lt;Eingaben!$B$22)),"GO",IF(AND(ISNUMBER(Eingaben!$B$23),ISNUMBER(Eingaben!$B$24),IF(Eingaben!$B$23&lt;Eingaben!$B$24,AND(B1201&gt;=Eingaben!$B$23,B1201&lt;Eingaben!$B$24),OR(B1201&gt;=Eingaben!$B$23,B1201&lt;Eingaben!$B$24))),"HEAT","STANDARD"))</f>
        <v>STANDARD</v>
      </c>
      <c r="E1201" s="9"/>
      <c r="F1201" t="str">
        <f>IF(E1201="",D1201,E1201)</f>
        <v>STANDARD</v>
      </c>
      <c r="G1201" t="str">
        <f>INDEX(Netzzeiten!$B$6:$B$29,HOUR(B1201)+1)</f>
        <v>ST</v>
      </c>
      <c r="H1201" s="6">
        <f>IF(F1201="GO",Eingaben!$B$11,IF(F1201="STANDARD",Eingaben!$B$12,IF(AND(F1201="HEAT",ISNUMBER(Eingaben!$B$13)),Eingaben!$B$13,"")))</f>
        <v>28.2744</v>
      </c>
      <c r="I1201" s="6">
        <f>INDEX(Netzzeiten!$C$6:$C$29,HOUR(B1201)+1)</f>
        <v>5.48</v>
      </c>
      <c r="J1201" t="str">
        <f>IF(C1201="","FEHLT",IF(NOT(ISNUMBER(C1201)),"MESSWERT UNGUELTIG",IF(C1201&lt;0,"MESSWERT UNGUELTIG",IF(H1201="","TARIFPREIS FEHLT","OK"))))</f>
        <v>FEHLT</v>
      </c>
      <c r="K1201" s="7">
        <f>IF(J1201&lt;&gt;"OK","",C1201*I1201/100)</f>
        <v/>
      </c>
    </row>
    <row r="1202" spans="1:11">
      <c r="A1202" s="14">
        <v>46155</v>
      </c>
      <c r="B1202" s="15">
        <v>0.4583333333333333</v>
      </c>
      <c r="C1202" s="5">
        <f>IF('96 Werte'!AT18="","",'96 Werte'!AT18)</f>
        <v/>
      </c>
      <c r="D1202" t="str">
        <f>IF(IF(Eingaben!$B$21&lt;Eingaben!$B$22,AND(B1202&gt;=Eingaben!$B$21,B1202&lt;Eingaben!$B$22),OR(B1202&gt;=Eingaben!$B$21,B1202&lt;Eingaben!$B$22)),"GO",IF(AND(ISNUMBER(Eingaben!$B$23),ISNUMBER(Eingaben!$B$24),IF(Eingaben!$B$23&lt;Eingaben!$B$24,AND(B1202&gt;=Eingaben!$B$23,B1202&lt;Eingaben!$B$24),OR(B1202&gt;=Eingaben!$B$23,B1202&lt;Eingaben!$B$24))),"HEAT","STANDARD"))</f>
        <v>STANDARD</v>
      </c>
      <c r="E1202" s="9"/>
      <c r="F1202" t="str">
        <f>IF(E1202="",D1202,E1202)</f>
        <v>STANDARD</v>
      </c>
      <c r="G1202" t="str">
        <f>INDEX(Netzzeiten!$B$6:$B$29,HOUR(B1202)+1)</f>
        <v>NT</v>
      </c>
      <c r="H1202" s="6">
        <f>IF(F1202="GO",Eingaben!$B$11,IF(F1202="STANDARD",Eingaben!$B$12,IF(AND(F1202="HEAT",ISNUMBER(Eingaben!$B$13)),Eingaben!$B$13,"")))</f>
        <v>28.2744</v>
      </c>
      <c r="I1202" s="6">
        <f>INDEX(Netzzeiten!$C$6:$C$29,HOUR(B1202)+1)</f>
        <v>1.64</v>
      </c>
      <c r="J1202" t="str">
        <f>IF(C1202="","FEHLT",IF(NOT(ISNUMBER(C1202)),"MESSWERT UNGUELTIG",IF(C1202&lt;0,"MESSWERT UNGUELTIG",IF(H1202="","TARIFPREIS FEHLT","OK"))))</f>
        <v>FEHLT</v>
      </c>
      <c r="K1202" s="7">
        <f>IF(J1202&lt;&gt;"OK","",C1202*I1202/100)</f>
        <v/>
      </c>
    </row>
    <row r="1203" spans="1:11">
      <c r="A1203" s="14">
        <v>46155</v>
      </c>
      <c r="B1203" s="15">
        <v>0.46875</v>
      </c>
      <c r="C1203" s="5">
        <f>IF('96 Werte'!AU18="","",'96 Werte'!AU18)</f>
        <v/>
      </c>
      <c r="D1203" t="str">
        <f>IF(IF(Eingaben!$B$21&lt;Eingaben!$B$22,AND(B1203&gt;=Eingaben!$B$21,B1203&lt;Eingaben!$B$22),OR(B1203&gt;=Eingaben!$B$21,B1203&lt;Eingaben!$B$22)),"GO",IF(AND(ISNUMBER(Eingaben!$B$23),ISNUMBER(Eingaben!$B$24),IF(Eingaben!$B$23&lt;Eingaben!$B$24,AND(B1203&gt;=Eingaben!$B$23,B1203&lt;Eingaben!$B$24),OR(B1203&gt;=Eingaben!$B$23,B1203&lt;Eingaben!$B$24))),"HEAT","STANDARD"))</f>
        <v>STANDARD</v>
      </c>
      <c r="E1203" s="9"/>
      <c r="F1203" t="str">
        <f>IF(E1203="",D1203,E1203)</f>
        <v>STANDARD</v>
      </c>
      <c r="G1203" t="str">
        <f>INDEX(Netzzeiten!$B$6:$B$29,HOUR(B1203)+1)</f>
        <v>NT</v>
      </c>
      <c r="H1203" s="6">
        <f>IF(F1203="GO",Eingaben!$B$11,IF(F1203="STANDARD",Eingaben!$B$12,IF(AND(F1203="HEAT",ISNUMBER(Eingaben!$B$13)),Eingaben!$B$13,"")))</f>
        <v>28.2744</v>
      </c>
      <c r="I1203" s="6">
        <f>INDEX(Netzzeiten!$C$6:$C$29,HOUR(B1203)+1)</f>
        <v>1.64</v>
      </c>
      <c r="J1203" t="str">
        <f>IF(C1203="","FEHLT",IF(NOT(ISNUMBER(C1203)),"MESSWERT UNGUELTIG",IF(C1203&lt;0,"MESSWERT UNGUELTIG",IF(H1203="","TARIFPREIS FEHLT","OK"))))</f>
        <v>FEHLT</v>
      </c>
      <c r="K1203" s="7">
        <f>IF(J1203&lt;&gt;"OK","",C1203*I1203/100)</f>
        <v/>
      </c>
    </row>
    <row r="1204" spans="1:11">
      <c r="A1204" s="14">
        <v>46155</v>
      </c>
      <c r="B1204" s="15">
        <v>0.4791666666666667</v>
      </c>
      <c r="C1204" s="5">
        <f>IF('96 Werte'!AV18="","",'96 Werte'!AV18)</f>
        <v/>
      </c>
      <c r="D1204" t="str">
        <f>IF(IF(Eingaben!$B$21&lt;Eingaben!$B$22,AND(B1204&gt;=Eingaben!$B$21,B1204&lt;Eingaben!$B$22),OR(B1204&gt;=Eingaben!$B$21,B1204&lt;Eingaben!$B$22)),"GO",IF(AND(ISNUMBER(Eingaben!$B$23),ISNUMBER(Eingaben!$B$24),IF(Eingaben!$B$23&lt;Eingaben!$B$24,AND(B1204&gt;=Eingaben!$B$23,B1204&lt;Eingaben!$B$24),OR(B1204&gt;=Eingaben!$B$23,B1204&lt;Eingaben!$B$24))),"HEAT","STANDARD"))</f>
        <v>STANDARD</v>
      </c>
      <c r="E1204" s="9"/>
      <c r="F1204" t="str">
        <f>IF(E1204="",D1204,E1204)</f>
        <v>STANDARD</v>
      </c>
      <c r="G1204" t="str">
        <f>INDEX(Netzzeiten!$B$6:$B$29,HOUR(B1204)+1)</f>
        <v>NT</v>
      </c>
      <c r="H1204" s="6">
        <f>IF(F1204="GO",Eingaben!$B$11,IF(F1204="STANDARD",Eingaben!$B$12,IF(AND(F1204="HEAT",ISNUMBER(Eingaben!$B$13)),Eingaben!$B$13,"")))</f>
        <v>28.2744</v>
      </c>
      <c r="I1204" s="6">
        <f>INDEX(Netzzeiten!$C$6:$C$29,HOUR(B1204)+1)</f>
        <v>1.64</v>
      </c>
      <c r="J1204" t="str">
        <f>IF(C1204="","FEHLT",IF(NOT(ISNUMBER(C1204)),"MESSWERT UNGUELTIG",IF(C1204&lt;0,"MESSWERT UNGUELTIG",IF(H1204="","TARIFPREIS FEHLT","OK"))))</f>
        <v>FEHLT</v>
      </c>
      <c r="K1204" s="7">
        <f>IF(J1204&lt;&gt;"OK","",C1204*I1204/100)</f>
        <v/>
      </c>
    </row>
    <row r="1205" spans="1:11">
      <c r="A1205" s="14">
        <v>46155</v>
      </c>
      <c r="B1205" s="15">
        <v>0.4895833333333333</v>
      </c>
      <c r="C1205" s="5">
        <f>IF('96 Werte'!AW18="","",'96 Werte'!AW18)</f>
        <v/>
      </c>
      <c r="D1205" t="str">
        <f>IF(IF(Eingaben!$B$21&lt;Eingaben!$B$22,AND(B1205&gt;=Eingaben!$B$21,B1205&lt;Eingaben!$B$22),OR(B1205&gt;=Eingaben!$B$21,B1205&lt;Eingaben!$B$22)),"GO",IF(AND(ISNUMBER(Eingaben!$B$23),ISNUMBER(Eingaben!$B$24),IF(Eingaben!$B$23&lt;Eingaben!$B$24,AND(B1205&gt;=Eingaben!$B$23,B1205&lt;Eingaben!$B$24),OR(B1205&gt;=Eingaben!$B$23,B1205&lt;Eingaben!$B$24))),"HEAT","STANDARD"))</f>
        <v>STANDARD</v>
      </c>
      <c r="E1205" s="9"/>
      <c r="F1205" t="str">
        <f>IF(E1205="",D1205,E1205)</f>
        <v>STANDARD</v>
      </c>
      <c r="G1205" t="str">
        <f>INDEX(Netzzeiten!$B$6:$B$29,HOUR(B1205)+1)</f>
        <v>NT</v>
      </c>
      <c r="H1205" s="6">
        <f>IF(F1205="GO",Eingaben!$B$11,IF(F1205="STANDARD",Eingaben!$B$12,IF(AND(F1205="HEAT",ISNUMBER(Eingaben!$B$13)),Eingaben!$B$13,"")))</f>
        <v>28.2744</v>
      </c>
      <c r="I1205" s="6">
        <f>INDEX(Netzzeiten!$C$6:$C$29,HOUR(B1205)+1)</f>
        <v>1.64</v>
      </c>
      <c r="J1205" t="str">
        <f>IF(C1205="","FEHLT",IF(NOT(ISNUMBER(C1205)),"MESSWERT UNGUELTIG",IF(C1205&lt;0,"MESSWERT UNGUELTIG",IF(H1205="","TARIFPREIS FEHLT","OK"))))</f>
        <v>FEHLT</v>
      </c>
      <c r="K1205" s="7">
        <f>IF(J1205&lt;&gt;"OK","",C1205*I1205/100)</f>
        <v/>
      </c>
    </row>
    <row r="1206" spans="1:11">
      <c r="A1206" s="14">
        <v>46155</v>
      </c>
      <c r="B1206" s="15">
        <v>0.5</v>
      </c>
      <c r="C1206" s="5">
        <f>IF('96 Werte'!AX18="","",'96 Werte'!AX18)</f>
        <v/>
      </c>
      <c r="D1206" t="str">
        <f>IF(IF(Eingaben!$B$21&lt;Eingaben!$B$22,AND(B1206&gt;=Eingaben!$B$21,B1206&lt;Eingaben!$B$22),OR(B1206&gt;=Eingaben!$B$21,B1206&lt;Eingaben!$B$22)),"GO",IF(AND(ISNUMBER(Eingaben!$B$23),ISNUMBER(Eingaben!$B$24),IF(Eingaben!$B$23&lt;Eingaben!$B$24,AND(B1206&gt;=Eingaben!$B$23,B1206&lt;Eingaben!$B$24),OR(B1206&gt;=Eingaben!$B$23,B1206&lt;Eingaben!$B$24))),"HEAT","STANDARD"))</f>
        <v>STANDARD</v>
      </c>
      <c r="E1206" s="9"/>
      <c r="F1206" t="str">
        <f>IF(E1206="",D1206,E1206)</f>
        <v>STANDARD</v>
      </c>
      <c r="G1206" t="str">
        <f>INDEX(Netzzeiten!$B$6:$B$29,HOUR(B1206)+1)</f>
        <v>NT</v>
      </c>
      <c r="H1206" s="6">
        <f>IF(F1206="GO",Eingaben!$B$11,IF(F1206="STANDARD",Eingaben!$B$12,IF(AND(F1206="HEAT",ISNUMBER(Eingaben!$B$13)),Eingaben!$B$13,"")))</f>
        <v>28.2744</v>
      </c>
      <c r="I1206" s="6">
        <f>INDEX(Netzzeiten!$C$6:$C$29,HOUR(B1206)+1)</f>
        <v>1.64</v>
      </c>
      <c r="J1206" t="str">
        <f>IF(C1206="","FEHLT",IF(NOT(ISNUMBER(C1206)),"MESSWERT UNGUELTIG",IF(C1206&lt;0,"MESSWERT UNGUELTIG",IF(H1206="","TARIFPREIS FEHLT","OK"))))</f>
        <v>FEHLT</v>
      </c>
      <c r="K1206" s="7">
        <f>IF(J1206&lt;&gt;"OK","",C1206*I1206/100)</f>
        <v/>
      </c>
    </row>
    <row r="1207" spans="1:11">
      <c r="A1207" s="14">
        <v>46155</v>
      </c>
      <c r="B1207" s="15">
        <v>0.5104166666666666</v>
      </c>
      <c r="C1207" s="5">
        <f>IF('96 Werte'!AY18="","",'96 Werte'!AY18)</f>
        <v/>
      </c>
      <c r="D1207" t="str">
        <f>IF(IF(Eingaben!$B$21&lt;Eingaben!$B$22,AND(B1207&gt;=Eingaben!$B$21,B1207&lt;Eingaben!$B$22),OR(B1207&gt;=Eingaben!$B$21,B1207&lt;Eingaben!$B$22)),"GO",IF(AND(ISNUMBER(Eingaben!$B$23),ISNUMBER(Eingaben!$B$24),IF(Eingaben!$B$23&lt;Eingaben!$B$24,AND(B1207&gt;=Eingaben!$B$23,B1207&lt;Eingaben!$B$24),OR(B1207&gt;=Eingaben!$B$23,B1207&lt;Eingaben!$B$24))),"HEAT","STANDARD"))</f>
        <v>STANDARD</v>
      </c>
      <c r="E1207" s="9"/>
      <c r="F1207" t="str">
        <f>IF(E1207="",D1207,E1207)</f>
        <v>STANDARD</v>
      </c>
      <c r="G1207" t="str">
        <f>INDEX(Netzzeiten!$B$6:$B$29,HOUR(B1207)+1)</f>
        <v>NT</v>
      </c>
      <c r="H1207" s="6">
        <f>IF(F1207="GO",Eingaben!$B$11,IF(F1207="STANDARD",Eingaben!$B$12,IF(AND(F1207="HEAT",ISNUMBER(Eingaben!$B$13)),Eingaben!$B$13,"")))</f>
        <v>28.2744</v>
      </c>
      <c r="I1207" s="6">
        <f>INDEX(Netzzeiten!$C$6:$C$29,HOUR(B1207)+1)</f>
        <v>1.64</v>
      </c>
      <c r="J1207" t="str">
        <f>IF(C1207="","FEHLT",IF(NOT(ISNUMBER(C1207)),"MESSWERT UNGUELTIG",IF(C1207&lt;0,"MESSWERT UNGUELTIG",IF(H1207="","TARIFPREIS FEHLT","OK"))))</f>
        <v>FEHLT</v>
      </c>
      <c r="K1207" s="7">
        <f>IF(J1207&lt;&gt;"OK","",C1207*I1207/100)</f>
        <v/>
      </c>
    </row>
    <row r="1208" spans="1:11">
      <c r="A1208" s="14">
        <v>46155</v>
      </c>
      <c r="B1208" s="15">
        <v>0.5208333333333334</v>
      </c>
      <c r="C1208" s="5">
        <f>IF('96 Werte'!AZ18="","",'96 Werte'!AZ18)</f>
        <v/>
      </c>
      <c r="D1208" t="str">
        <f>IF(IF(Eingaben!$B$21&lt;Eingaben!$B$22,AND(B1208&gt;=Eingaben!$B$21,B1208&lt;Eingaben!$B$22),OR(B1208&gt;=Eingaben!$B$21,B1208&lt;Eingaben!$B$22)),"GO",IF(AND(ISNUMBER(Eingaben!$B$23),ISNUMBER(Eingaben!$B$24),IF(Eingaben!$B$23&lt;Eingaben!$B$24,AND(B1208&gt;=Eingaben!$B$23,B1208&lt;Eingaben!$B$24),OR(B1208&gt;=Eingaben!$B$23,B1208&lt;Eingaben!$B$24))),"HEAT","STANDARD"))</f>
        <v>STANDARD</v>
      </c>
      <c r="E1208" s="9"/>
      <c r="F1208" t="str">
        <f>IF(E1208="",D1208,E1208)</f>
        <v>STANDARD</v>
      </c>
      <c r="G1208" t="str">
        <f>INDEX(Netzzeiten!$B$6:$B$29,HOUR(B1208)+1)</f>
        <v>NT</v>
      </c>
      <c r="H1208" s="6">
        <f>IF(F1208="GO",Eingaben!$B$11,IF(F1208="STANDARD",Eingaben!$B$12,IF(AND(F1208="HEAT",ISNUMBER(Eingaben!$B$13)),Eingaben!$B$13,"")))</f>
        <v>28.2744</v>
      </c>
      <c r="I1208" s="6">
        <f>INDEX(Netzzeiten!$C$6:$C$29,HOUR(B1208)+1)</f>
        <v>1.64</v>
      </c>
      <c r="J1208" t="str">
        <f>IF(C1208="","FEHLT",IF(NOT(ISNUMBER(C1208)),"MESSWERT UNGUELTIG",IF(C1208&lt;0,"MESSWERT UNGUELTIG",IF(H1208="","TARIFPREIS FEHLT","OK"))))</f>
        <v>FEHLT</v>
      </c>
      <c r="K1208" s="7">
        <f>IF(J1208&lt;&gt;"OK","",C1208*I1208/100)</f>
        <v/>
      </c>
    </row>
    <row r="1209" spans="1:11">
      <c r="A1209" s="14">
        <v>46155</v>
      </c>
      <c r="B1209" s="15">
        <v>0.53125</v>
      </c>
      <c r="C1209" s="5">
        <f>IF('96 Werte'!BA18="","",'96 Werte'!BA18)</f>
        <v/>
      </c>
      <c r="D1209" t="str">
        <f>IF(IF(Eingaben!$B$21&lt;Eingaben!$B$22,AND(B1209&gt;=Eingaben!$B$21,B1209&lt;Eingaben!$B$22),OR(B1209&gt;=Eingaben!$B$21,B1209&lt;Eingaben!$B$22)),"GO",IF(AND(ISNUMBER(Eingaben!$B$23),ISNUMBER(Eingaben!$B$24),IF(Eingaben!$B$23&lt;Eingaben!$B$24,AND(B1209&gt;=Eingaben!$B$23,B1209&lt;Eingaben!$B$24),OR(B1209&gt;=Eingaben!$B$23,B1209&lt;Eingaben!$B$24))),"HEAT","STANDARD"))</f>
        <v>STANDARD</v>
      </c>
      <c r="E1209" s="9"/>
      <c r="F1209" t="str">
        <f>IF(E1209="",D1209,E1209)</f>
        <v>STANDARD</v>
      </c>
      <c r="G1209" t="str">
        <f>INDEX(Netzzeiten!$B$6:$B$29,HOUR(B1209)+1)</f>
        <v>NT</v>
      </c>
      <c r="H1209" s="6">
        <f>IF(F1209="GO",Eingaben!$B$11,IF(F1209="STANDARD",Eingaben!$B$12,IF(AND(F1209="HEAT",ISNUMBER(Eingaben!$B$13)),Eingaben!$B$13,"")))</f>
        <v>28.2744</v>
      </c>
      <c r="I1209" s="6">
        <f>INDEX(Netzzeiten!$C$6:$C$29,HOUR(B1209)+1)</f>
        <v>1.64</v>
      </c>
      <c r="J1209" t="str">
        <f>IF(C1209="","FEHLT",IF(NOT(ISNUMBER(C1209)),"MESSWERT UNGUELTIG",IF(C1209&lt;0,"MESSWERT UNGUELTIG",IF(H1209="","TARIFPREIS FEHLT","OK"))))</f>
        <v>FEHLT</v>
      </c>
      <c r="K1209" s="7">
        <f>IF(J1209&lt;&gt;"OK","",C1209*I1209/100)</f>
        <v/>
      </c>
    </row>
    <row r="1210" spans="1:11">
      <c r="A1210" s="14">
        <v>46155</v>
      </c>
      <c r="B1210" s="15">
        <v>0.5416666666666666</v>
      </c>
      <c r="C1210" s="5">
        <f>IF('96 Werte'!BB18="","",'96 Werte'!BB18)</f>
        <v/>
      </c>
      <c r="D1210" t="str">
        <f>IF(IF(Eingaben!$B$21&lt;Eingaben!$B$22,AND(B1210&gt;=Eingaben!$B$21,B1210&lt;Eingaben!$B$22),OR(B1210&gt;=Eingaben!$B$21,B1210&lt;Eingaben!$B$22)),"GO",IF(AND(ISNUMBER(Eingaben!$B$23),ISNUMBER(Eingaben!$B$24),IF(Eingaben!$B$23&lt;Eingaben!$B$24,AND(B1210&gt;=Eingaben!$B$23,B1210&lt;Eingaben!$B$24),OR(B1210&gt;=Eingaben!$B$23,B1210&lt;Eingaben!$B$24))),"HEAT","STANDARD"))</f>
        <v>STANDARD</v>
      </c>
      <c r="E1210" s="9"/>
      <c r="F1210" t="str">
        <f>IF(E1210="",D1210,E1210)</f>
        <v>STANDARD</v>
      </c>
      <c r="G1210" t="str">
        <f>INDEX(Netzzeiten!$B$6:$B$29,HOUR(B1210)+1)</f>
        <v>NT</v>
      </c>
      <c r="H1210" s="6">
        <f>IF(F1210="GO",Eingaben!$B$11,IF(F1210="STANDARD",Eingaben!$B$12,IF(AND(F1210="HEAT",ISNUMBER(Eingaben!$B$13)),Eingaben!$B$13,"")))</f>
        <v>28.2744</v>
      </c>
      <c r="I1210" s="6">
        <f>INDEX(Netzzeiten!$C$6:$C$29,HOUR(B1210)+1)</f>
        <v>1.64</v>
      </c>
      <c r="J1210" t="str">
        <f>IF(C1210="","FEHLT",IF(NOT(ISNUMBER(C1210)),"MESSWERT UNGUELTIG",IF(C1210&lt;0,"MESSWERT UNGUELTIG",IF(H1210="","TARIFPREIS FEHLT","OK"))))</f>
        <v>FEHLT</v>
      </c>
      <c r="K1210" s="7">
        <f>IF(J1210&lt;&gt;"OK","",C1210*I1210/100)</f>
        <v/>
      </c>
    </row>
    <row r="1211" spans="1:11">
      <c r="A1211" s="14">
        <v>46155</v>
      </c>
      <c r="B1211" s="15">
        <v>0.5520833333333334</v>
      </c>
      <c r="C1211" s="5">
        <f>IF('96 Werte'!BC18="","",'96 Werte'!BC18)</f>
        <v/>
      </c>
      <c r="D1211" t="str">
        <f>IF(IF(Eingaben!$B$21&lt;Eingaben!$B$22,AND(B1211&gt;=Eingaben!$B$21,B1211&lt;Eingaben!$B$22),OR(B1211&gt;=Eingaben!$B$21,B1211&lt;Eingaben!$B$22)),"GO",IF(AND(ISNUMBER(Eingaben!$B$23),ISNUMBER(Eingaben!$B$24),IF(Eingaben!$B$23&lt;Eingaben!$B$24,AND(B1211&gt;=Eingaben!$B$23,B1211&lt;Eingaben!$B$24),OR(B1211&gt;=Eingaben!$B$23,B1211&lt;Eingaben!$B$24))),"HEAT","STANDARD"))</f>
        <v>STANDARD</v>
      </c>
      <c r="E1211" s="9"/>
      <c r="F1211" t="str">
        <f>IF(E1211="",D1211,E1211)</f>
        <v>STANDARD</v>
      </c>
      <c r="G1211" t="str">
        <f>INDEX(Netzzeiten!$B$6:$B$29,HOUR(B1211)+1)</f>
        <v>NT</v>
      </c>
      <c r="H1211" s="6">
        <f>IF(F1211="GO",Eingaben!$B$11,IF(F1211="STANDARD",Eingaben!$B$12,IF(AND(F1211="HEAT",ISNUMBER(Eingaben!$B$13)),Eingaben!$B$13,"")))</f>
        <v>28.2744</v>
      </c>
      <c r="I1211" s="6">
        <f>INDEX(Netzzeiten!$C$6:$C$29,HOUR(B1211)+1)</f>
        <v>1.64</v>
      </c>
      <c r="J1211" t="str">
        <f>IF(C1211="","FEHLT",IF(NOT(ISNUMBER(C1211)),"MESSWERT UNGUELTIG",IF(C1211&lt;0,"MESSWERT UNGUELTIG",IF(H1211="","TARIFPREIS FEHLT","OK"))))</f>
        <v>FEHLT</v>
      </c>
      <c r="K1211" s="7">
        <f>IF(J1211&lt;&gt;"OK","",C1211*I1211/100)</f>
        <v/>
      </c>
    </row>
    <row r="1212" spans="1:11">
      <c r="A1212" s="14">
        <v>46155</v>
      </c>
      <c r="B1212" s="15">
        <v>0.5625</v>
      </c>
      <c r="C1212" s="5">
        <f>IF('96 Werte'!BD18="","",'96 Werte'!BD18)</f>
        <v/>
      </c>
      <c r="D1212" t="str">
        <f>IF(IF(Eingaben!$B$21&lt;Eingaben!$B$22,AND(B1212&gt;=Eingaben!$B$21,B1212&lt;Eingaben!$B$22),OR(B1212&gt;=Eingaben!$B$21,B1212&lt;Eingaben!$B$22)),"GO",IF(AND(ISNUMBER(Eingaben!$B$23),ISNUMBER(Eingaben!$B$24),IF(Eingaben!$B$23&lt;Eingaben!$B$24,AND(B1212&gt;=Eingaben!$B$23,B1212&lt;Eingaben!$B$24),OR(B1212&gt;=Eingaben!$B$23,B1212&lt;Eingaben!$B$24))),"HEAT","STANDARD"))</f>
        <v>STANDARD</v>
      </c>
      <c r="E1212" s="9"/>
      <c r="F1212" t="str">
        <f>IF(E1212="",D1212,E1212)</f>
        <v>STANDARD</v>
      </c>
      <c r="G1212" t="str">
        <f>INDEX(Netzzeiten!$B$6:$B$29,HOUR(B1212)+1)</f>
        <v>NT</v>
      </c>
      <c r="H1212" s="6">
        <f>IF(F1212="GO",Eingaben!$B$11,IF(F1212="STANDARD",Eingaben!$B$12,IF(AND(F1212="HEAT",ISNUMBER(Eingaben!$B$13)),Eingaben!$B$13,"")))</f>
        <v>28.2744</v>
      </c>
      <c r="I1212" s="6">
        <f>INDEX(Netzzeiten!$C$6:$C$29,HOUR(B1212)+1)</f>
        <v>1.64</v>
      </c>
      <c r="J1212" t="str">
        <f>IF(C1212="","FEHLT",IF(NOT(ISNUMBER(C1212)),"MESSWERT UNGUELTIG",IF(C1212&lt;0,"MESSWERT UNGUELTIG",IF(H1212="","TARIFPREIS FEHLT","OK"))))</f>
        <v>FEHLT</v>
      </c>
      <c r="K1212" s="7">
        <f>IF(J1212&lt;&gt;"OK","",C1212*I1212/100)</f>
        <v/>
      </c>
    </row>
    <row r="1213" spans="1:11">
      <c r="A1213" s="14">
        <v>46155</v>
      </c>
      <c r="B1213" s="15">
        <v>0.5729166666666666</v>
      </c>
      <c r="C1213" s="5">
        <f>IF('96 Werte'!BE18="","",'96 Werte'!BE18)</f>
        <v/>
      </c>
      <c r="D1213" t="str">
        <f>IF(IF(Eingaben!$B$21&lt;Eingaben!$B$22,AND(B1213&gt;=Eingaben!$B$21,B1213&lt;Eingaben!$B$22),OR(B1213&gt;=Eingaben!$B$21,B1213&lt;Eingaben!$B$22)),"GO",IF(AND(ISNUMBER(Eingaben!$B$23),ISNUMBER(Eingaben!$B$24),IF(Eingaben!$B$23&lt;Eingaben!$B$24,AND(B1213&gt;=Eingaben!$B$23,B1213&lt;Eingaben!$B$24),OR(B1213&gt;=Eingaben!$B$23,B1213&lt;Eingaben!$B$24))),"HEAT","STANDARD"))</f>
        <v>STANDARD</v>
      </c>
      <c r="E1213" s="9"/>
      <c r="F1213" t="str">
        <f>IF(E1213="",D1213,E1213)</f>
        <v>STANDARD</v>
      </c>
      <c r="G1213" t="str">
        <f>INDEX(Netzzeiten!$B$6:$B$29,HOUR(B1213)+1)</f>
        <v>NT</v>
      </c>
      <c r="H1213" s="6">
        <f>IF(F1213="GO",Eingaben!$B$11,IF(F1213="STANDARD",Eingaben!$B$12,IF(AND(F1213="HEAT",ISNUMBER(Eingaben!$B$13)),Eingaben!$B$13,"")))</f>
        <v>28.2744</v>
      </c>
      <c r="I1213" s="6">
        <f>INDEX(Netzzeiten!$C$6:$C$29,HOUR(B1213)+1)</f>
        <v>1.64</v>
      </c>
      <c r="J1213" t="str">
        <f>IF(C1213="","FEHLT",IF(NOT(ISNUMBER(C1213)),"MESSWERT UNGUELTIG",IF(C1213&lt;0,"MESSWERT UNGUELTIG",IF(H1213="","TARIFPREIS FEHLT","OK"))))</f>
        <v>FEHLT</v>
      </c>
      <c r="K1213" s="7">
        <f>IF(J1213&lt;&gt;"OK","",C1213*I1213/100)</f>
        <v/>
      </c>
    </row>
    <row r="1214" spans="1:11">
      <c r="A1214" s="14">
        <v>46155</v>
      </c>
      <c r="B1214" s="15">
        <v>0.5833333333333334</v>
      </c>
      <c r="C1214" s="5">
        <f>IF('96 Werte'!BF18="","",'96 Werte'!BF18)</f>
        <v/>
      </c>
      <c r="D1214" t="str">
        <f>IF(IF(Eingaben!$B$21&lt;Eingaben!$B$22,AND(B1214&gt;=Eingaben!$B$21,B1214&lt;Eingaben!$B$22),OR(B1214&gt;=Eingaben!$B$21,B1214&lt;Eingaben!$B$22)),"GO",IF(AND(ISNUMBER(Eingaben!$B$23),ISNUMBER(Eingaben!$B$24),IF(Eingaben!$B$23&lt;Eingaben!$B$24,AND(B1214&gt;=Eingaben!$B$23,B1214&lt;Eingaben!$B$24),OR(B1214&gt;=Eingaben!$B$23,B1214&lt;Eingaben!$B$24))),"HEAT","STANDARD"))</f>
        <v>STANDARD</v>
      </c>
      <c r="E1214" s="9"/>
      <c r="F1214" t="str">
        <f>IF(E1214="",D1214,E1214)</f>
        <v>STANDARD</v>
      </c>
      <c r="G1214" t="str">
        <f>INDEX(Netzzeiten!$B$6:$B$29,HOUR(B1214)+1)</f>
        <v>NT</v>
      </c>
      <c r="H1214" s="6">
        <f>IF(F1214="GO",Eingaben!$B$11,IF(F1214="STANDARD",Eingaben!$B$12,IF(AND(F1214="HEAT",ISNUMBER(Eingaben!$B$13)),Eingaben!$B$13,"")))</f>
        <v>28.2744</v>
      </c>
      <c r="I1214" s="6">
        <f>INDEX(Netzzeiten!$C$6:$C$29,HOUR(B1214)+1)</f>
        <v>1.64</v>
      </c>
      <c r="J1214" t="str">
        <f>IF(C1214="","FEHLT",IF(NOT(ISNUMBER(C1214)),"MESSWERT UNGUELTIG",IF(C1214&lt;0,"MESSWERT UNGUELTIG",IF(H1214="","TARIFPREIS FEHLT","OK"))))</f>
        <v>FEHLT</v>
      </c>
      <c r="K1214" s="7">
        <f>IF(J1214&lt;&gt;"OK","",C1214*I1214/100)</f>
        <v/>
      </c>
    </row>
    <row r="1215" spans="1:11">
      <c r="A1215" s="14">
        <v>46155</v>
      </c>
      <c r="B1215" s="15">
        <v>0.59375</v>
      </c>
      <c r="C1215" s="5">
        <f>IF('96 Werte'!BG18="","",'96 Werte'!BG18)</f>
        <v/>
      </c>
      <c r="D1215" t="str">
        <f>IF(IF(Eingaben!$B$21&lt;Eingaben!$B$22,AND(B1215&gt;=Eingaben!$B$21,B1215&lt;Eingaben!$B$22),OR(B1215&gt;=Eingaben!$B$21,B1215&lt;Eingaben!$B$22)),"GO",IF(AND(ISNUMBER(Eingaben!$B$23),ISNUMBER(Eingaben!$B$24),IF(Eingaben!$B$23&lt;Eingaben!$B$24,AND(B1215&gt;=Eingaben!$B$23,B1215&lt;Eingaben!$B$24),OR(B1215&gt;=Eingaben!$B$23,B1215&lt;Eingaben!$B$24))),"HEAT","STANDARD"))</f>
        <v>STANDARD</v>
      </c>
      <c r="E1215" s="9"/>
      <c r="F1215" t="str">
        <f>IF(E1215="",D1215,E1215)</f>
        <v>STANDARD</v>
      </c>
      <c r="G1215" t="str">
        <f>INDEX(Netzzeiten!$B$6:$B$29,HOUR(B1215)+1)</f>
        <v>NT</v>
      </c>
      <c r="H1215" s="6">
        <f>IF(F1215="GO",Eingaben!$B$11,IF(F1215="STANDARD",Eingaben!$B$12,IF(AND(F1215="HEAT",ISNUMBER(Eingaben!$B$13)),Eingaben!$B$13,"")))</f>
        <v>28.2744</v>
      </c>
      <c r="I1215" s="6">
        <f>INDEX(Netzzeiten!$C$6:$C$29,HOUR(B1215)+1)</f>
        <v>1.64</v>
      </c>
      <c r="J1215" t="str">
        <f>IF(C1215="","FEHLT",IF(NOT(ISNUMBER(C1215)),"MESSWERT UNGUELTIG",IF(C1215&lt;0,"MESSWERT UNGUELTIG",IF(H1215="","TARIFPREIS FEHLT","OK"))))</f>
        <v>FEHLT</v>
      </c>
      <c r="K1215" s="7">
        <f>IF(J1215&lt;&gt;"OK","",C1215*I1215/100)</f>
        <v/>
      </c>
    </row>
    <row r="1216" spans="1:11">
      <c r="A1216" s="14">
        <v>46155</v>
      </c>
      <c r="B1216" s="15">
        <v>0.6041666666666666</v>
      </c>
      <c r="C1216" s="5">
        <f>IF('96 Werte'!BH18="","",'96 Werte'!BH18)</f>
        <v/>
      </c>
      <c r="D1216" t="str">
        <f>IF(IF(Eingaben!$B$21&lt;Eingaben!$B$22,AND(B1216&gt;=Eingaben!$B$21,B1216&lt;Eingaben!$B$22),OR(B1216&gt;=Eingaben!$B$21,B1216&lt;Eingaben!$B$22)),"GO",IF(AND(ISNUMBER(Eingaben!$B$23),ISNUMBER(Eingaben!$B$24),IF(Eingaben!$B$23&lt;Eingaben!$B$24,AND(B1216&gt;=Eingaben!$B$23,B1216&lt;Eingaben!$B$24),OR(B1216&gt;=Eingaben!$B$23,B1216&lt;Eingaben!$B$24))),"HEAT","STANDARD"))</f>
        <v>STANDARD</v>
      </c>
      <c r="E1216" s="9"/>
      <c r="F1216" t="str">
        <f>IF(E1216="",D1216,E1216)</f>
        <v>STANDARD</v>
      </c>
      <c r="G1216" t="str">
        <f>INDEX(Netzzeiten!$B$6:$B$29,HOUR(B1216)+1)</f>
        <v>NT</v>
      </c>
      <c r="H1216" s="6">
        <f>IF(F1216="GO",Eingaben!$B$11,IF(F1216="STANDARD",Eingaben!$B$12,IF(AND(F1216="HEAT",ISNUMBER(Eingaben!$B$13)),Eingaben!$B$13,"")))</f>
        <v>28.2744</v>
      </c>
      <c r="I1216" s="6">
        <f>INDEX(Netzzeiten!$C$6:$C$29,HOUR(B1216)+1)</f>
        <v>1.64</v>
      </c>
      <c r="J1216" t="str">
        <f>IF(C1216="","FEHLT",IF(NOT(ISNUMBER(C1216)),"MESSWERT UNGUELTIG",IF(C1216&lt;0,"MESSWERT UNGUELTIG",IF(H1216="","TARIFPREIS FEHLT","OK"))))</f>
        <v>FEHLT</v>
      </c>
      <c r="K1216" s="7">
        <f>IF(J1216&lt;&gt;"OK","",C1216*I1216/100)</f>
        <v/>
      </c>
    </row>
    <row r="1217" spans="1:11">
      <c r="A1217" s="14">
        <v>46155</v>
      </c>
      <c r="B1217" s="15">
        <v>0.6145833333333334</v>
      </c>
      <c r="C1217" s="5">
        <f>IF('96 Werte'!BI18="","",'96 Werte'!BI18)</f>
        <v/>
      </c>
      <c r="D1217" t="str">
        <f>IF(IF(Eingaben!$B$21&lt;Eingaben!$B$22,AND(B1217&gt;=Eingaben!$B$21,B1217&lt;Eingaben!$B$22),OR(B1217&gt;=Eingaben!$B$21,B1217&lt;Eingaben!$B$22)),"GO",IF(AND(ISNUMBER(Eingaben!$B$23),ISNUMBER(Eingaben!$B$24),IF(Eingaben!$B$23&lt;Eingaben!$B$24,AND(B1217&gt;=Eingaben!$B$23,B1217&lt;Eingaben!$B$24),OR(B1217&gt;=Eingaben!$B$23,B1217&lt;Eingaben!$B$24))),"HEAT","STANDARD"))</f>
        <v>STANDARD</v>
      </c>
      <c r="E1217" s="9"/>
      <c r="F1217" t="str">
        <f>IF(E1217="",D1217,E1217)</f>
        <v>STANDARD</v>
      </c>
      <c r="G1217" t="str">
        <f>INDEX(Netzzeiten!$B$6:$B$29,HOUR(B1217)+1)</f>
        <v>NT</v>
      </c>
      <c r="H1217" s="6">
        <f>IF(F1217="GO",Eingaben!$B$11,IF(F1217="STANDARD",Eingaben!$B$12,IF(AND(F1217="HEAT",ISNUMBER(Eingaben!$B$13)),Eingaben!$B$13,"")))</f>
        <v>28.2744</v>
      </c>
      <c r="I1217" s="6">
        <f>INDEX(Netzzeiten!$C$6:$C$29,HOUR(B1217)+1)</f>
        <v>1.64</v>
      </c>
      <c r="J1217" t="str">
        <f>IF(C1217="","FEHLT",IF(NOT(ISNUMBER(C1217)),"MESSWERT UNGUELTIG",IF(C1217&lt;0,"MESSWERT UNGUELTIG",IF(H1217="","TARIFPREIS FEHLT","OK"))))</f>
        <v>FEHLT</v>
      </c>
      <c r="K1217" s="7">
        <f>IF(J1217&lt;&gt;"OK","",C1217*I1217/100)</f>
        <v/>
      </c>
    </row>
    <row r="1218" spans="1:11">
      <c r="A1218" s="14">
        <v>46155</v>
      </c>
      <c r="B1218" s="15">
        <v>0.625</v>
      </c>
      <c r="C1218" s="5">
        <f>IF('96 Werte'!BJ18="","",'96 Werte'!BJ18)</f>
        <v/>
      </c>
      <c r="D1218" t="str">
        <f>IF(IF(Eingaben!$B$21&lt;Eingaben!$B$22,AND(B1218&gt;=Eingaben!$B$21,B1218&lt;Eingaben!$B$22),OR(B1218&gt;=Eingaben!$B$21,B1218&lt;Eingaben!$B$22)),"GO",IF(AND(ISNUMBER(Eingaben!$B$23),ISNUMBER(Eingaben!$B$24),IF(Eingaben!$B$23&lt;Eingaben!$B$24,AND(B1218&gt;=Eingaben!$B$23,B1218&lt;Eingaben!$B$24),OR(B1218&gt;=Eingaben!$B$23,B1218&lt;Eingaben!$B$24))),"HEAT","STANDARD"))</f>
        <v>STANDARD</v>
      </c>
      <c r="E1218" s="9"/>
      <c r="F1218" t="str">
        <f>IF(E1218="",D1218,E1218)</f>
        <v>STANDARD</v>
      </c>
      <c r="G1218" t="str">
        <f>INDEX(Netzzeiten!$B$6:$B$29,HOUR(B1218)+1)</f>
        <v>ST</v>
      </c>
      <c r="H1218" s="6">
        <f>IF(F1218="GO",Eingaben!$B$11,IF(F1218="STANDARD",Eingaben!$B$12,IF(AND(F1218="HEAT",ISNUMBER(Eingaben!$B$13)),Eingaben!$B$13,"")))</f>
        <v>28.2744</v>
      </c>
      <c r="I1218" s="6">
        <f>INDEX(Netzzeiten!$C$6:$C$29,HOUR(B1218)+1)</f>
        <v>5.48</v>
      </c>
      <c r="J1218" t="str">
        <f>IF(C1218="","FEHLT",IF(NOT(ISNUMBER(C1218)),"MESSWERT UNGUELTIG",IF(C1218&lt;0,"MESSWERT UNGUELTIG",IF(H1218="","TARIFPREIS FEHLT","OK"))))</f>
        <v>FEHLT</v>
      </c>
      <c r="K1218" s="7">
        <f>IF(J1218&lt;&gt;"OK","",C1218*I1218/100)</f>
        <v/>
      </c>
    </row>
    <row r="1219" spans="1:11">
      <c r="A1219" s="14">
        <v>46155</v>
      </c>
      <c r="B1219" s="15">
        <v>0.6354166666666666</v>
      </c>
      <c r="C1219" s="5">
        <f>IF('96 Werte'!BK18="","",'96 Werte'!BK18)</f>
        <v/>
      </c>
      <c r="D1219" t="str">
        <f>IF(IF(Eingaben!$B$21&lt;Eingaben!$B$22,AND(B1219&gt;=Eingaben!$B$21,B1219&lt;Eingaben!$B$22),OR(B1219&gt;=Eingaben!$B$21,B1219&lt;Eingaben!$B$22)),"GO",IF(AND(ISNUMBER(Eingaben!$B$23),ISNUMBER(Eingaben!$B$24),IF(Eingaben!$B$23&lt;Eingaben!$B$24,AND(B1219&gt;=Eingaben!$B$23,B1219&lt;Eingaben!$B$24),OR(B1219&gt;=Eingaben!$B$23,B1219&lt;Eingaben!$B$24))),"HEAT","STANDARD"))</f>
        <v>STANDARD</v>
      </c>
      <c r="E1219" s="9"/>
      <c r="F1219" t="str">
        <f>IF(E1219="",D1219,E1219)</f>
        <v>STANDARD</v>
      </c>
      <c r="G1219" t="str">
        <f>INDEX(Netzzeiten!$B$6:$B$29,HOUR(B1219)+1)</f>
        <v>ST</v>
      </c>
      <c r="H1219" s="6">
        <f>IF(F1219="GO",Eingaben!$B$11,IF(F1219="STANDARD",Eingaben!$B$12,IF(AND(F1219="HEAT",ISNUMBER(Eingaben!$B$13)),Eingaben!$B$13,"")))</f>
        <v>28.2744</v>
      </c>
      <c r="I1219" s="6">
        <f>INDEX(Netzzeiten!$C$6:$C$29,HOUR(B1219)+1)</f>
        <v>5.48</v>
      </c>
      <c r="J1219" t="str">
        <f>IF(C1219="","FEHLT",IF(NOT(ISNUMBER(C1219)),"MESSWERT UNGUELTIG",IF(C1219&lt;0,"MESSWERT UNGUELTIG",IF(H1219="","TARIFPREIS FEHLT","OK"))))</f>
        <v>FEHLT</v>
      </c>
      <c r="K1219" s="7">
        <f>IF(J1219&lt;&gt;"OK","",C1219*I1219/100)</f>
        <v/>
      </c>
    </row>
    <row r="1220" spans="1:11">
      <c r="A1220" s="14">
        <v>46155</v>
      </c>
      <c r="B1220" s="15">
        <v>0.6458333333333334</v>
      </c>
      <c r="C1220" s="5">
        <f>IF('96 Werte'!BL18="","",'96 Werte'!BL18)</f>
        <v/>
      </c>
      <c r="D1220" t="str">
        <f>IF(IF(Eingaben!$B$21&lt;Eingaben!$B$22,AND(B1220&gt;=Eingaben!$B$21,B1220&lt;Eingaben!$B$22),OR(B1220&gt;=Eingaben!$B$21,B1220&lt;Eingaben!$B$22)),"GO",IF(AND(ISNUMBER(Eingaben!$B$23),ISNUMBER(Eingaben!$B$24),IF(Eingaben!$B$23&lt;Eingaben!$B$24,AND(B1220&gt;=Eingaben!$B$23,B1220&lt;Eingaben!$B$24),OR(B1220&gt;=Eingaben!$B$23,B1220&lt;Eingaben!$B$24))),"HEAT","STANDARD"))</f>
        <v>STANDARD</v>
      </c>
      <c r="E1220" s="9"/>
      <c r="F1220" t="str">
        <f>IF(E1220="",D1220,E1220)</f>
        <v>STANDARD</v>
      </c>
      <c r="G1220" t="str">
        <f>INDEX(Netzzeiten!$B$6:$B$29,HOUR(B1220)+1)</f>
        <v>ST</v>
      </c>
      <c r="H1220" s="6">
        <f>IF(F1220="GO",Eingaben!$B$11,IF(F1220="STANDARD",Eingaben!$B$12,IF(AND(F1220="HEAT",ISNUMBER(Eingaben!$B$13)),Eingaben!$B$13,"")))</f>
        <v>28.2744</v>
      </c>
      <c r="I1220" s="6">
        <f>INDEX(Netzzeiten!$C$6:$C$29,HOUR(B1220)+1)</f>
        <v>5.48</v>
      </c>
      <c r="J1220" t="str">
        <f>IF(C1220="","FEHLT",IF(NOT(ISNUMBER(C1220)),"MESSWERT UNGUELTIG",IF(C1220&lt;0,"MESSWERT UNGUELTIG",IF(H1220="","TARIFPREIS FEHLT","OK"))))</f>
        <v>FEHLT</v>
      </c>
      <c r="K1220" s="7">
        <f>IF(J1220&lt;&gt;"OK","",C1220*I1220/100)</f>
        <v/>
      </c>
    </row>
    <row r="1221" spans="1:11">
      <c r="A1221" s="14">
        <v>46155</v>
      </c>
      <c r="B1221" s="15">
        <v>0.65625</v>
      </c>
      <c r="C1221" s="5">
        <f>IF('96 Werte'!BM18="","",'96 Werte'!BM18)</f>
        <v/>
      </c>
      <c r="D1221" t="str">
        <f>IF(IF(Eingaben!$B$21&lt;Eingaben!$B$22,AND(B1221&gt;=Eingaben!$B$21,B1221&lt;Eingaben!$B$22),OR(B1221&gt;=Eingaben!$B$21,B1221&lt;Eingaben!$B$22)),"GO",IF(AND(ISNUMBER(Eingaben!$B$23),ISNUMBER(Eingaben!$B$24),IF(Eingaben!$B$23&lt;Eingaben!$B$24,AND(B1221&gt;=Eingaben!$B$23,B1221&lt;Eingaben!$B$24),OR(B1221&gt;=Eingaben!$B$23,B1221&lt;Eingaben!$B$24))),"HEAT","STANDARD"))</f>
        <v>STANDARD</v>
      </c>
      <c r="E1221" s="9"/>
      <c r="F1221" t="str">
        <f>IF(E1221="",D1221,E1221)</f>
        <v>STANDARD</v>
      </c>
      <c r="G1221" t="str">
        <f>INDEX(Netzzeiten!$B$6:$B$29,HOUR(B1221)+1)</f>
        <v>ST</v>
      </c>
      <c r="H1221" s="6">
        <f>IF(F1221="GO",Eingaben!$B$11,IF(F1221="STANDARD",Eingaben!$B$12,IF(AND(F1221="HEAT",ISNUMBER(Eingaben!$B$13)),Eingaben!$B$13,"")))</f>
        <v>28.2744</v>
      </c>
      <c r="I1221" s="6">
        <f>INDEX(Netzzeiten!$C$6:$C$29,HOUR(B1221)+1)</f>
        <v>5.48</v>
      </c>
      <c r="J1221" t="str">
        <f>IF(C1221="","FEHLT",IF(NOT(ISNUMBER(C1221)),"MESSWERT UNGUELTIG",IF(C1221&lt;0,"MESSWERT UNGUELTIG",IF(H1221="","TARIFPREIS FEHLT","OK"))))</f>
        <v>FEHLT</v>
      </c>
      <c r="K1221" s="7">
        <f>IF(J1221&lt;&gt;"OK","",C1221*I1221/100)</f>
        <v/>
      </c>
    </row>
    <row r="1222" spans="1:11">
      <c r="A1222" s="14">
        <v>46155</v>
      </c>
      <c r="B1222" s="15">
        <v>0.6666666666666666</v>
      </c>
      <c r="C1222" s="5">
        <f>IF('96 Werte'!BN18="","",'96 Werte'!BN18)</f>
        <v/>
      </c>
      <c r="D1222" t="str">
        <f>IF(IF(Eingaben!$B$21&lt;Eingaben!$B$22,AND(B1222&gt;=Eingaben!$B$21,B1222&lt;Eingaben!$B$22),OR(B1222&gt;=Eingaben!$B$21,B1222&lt;Eingaben!$B$22)),"GO",IF(AND(ISNUMBER(Eingaben!$B$23),ISNUMBER(Eingaben!$B$24),IF(Eingaben!$B$23&lt;Eingaben!$B$24,AND(B1222&gt;=Eingaben!$B$23,B1222&lt;Eingaben!$B$24),OR(B1222&gt;=Eingaben!$B$23,B1222&lt;Eingaben!$B$24))),"HEAT","STANDARD"))</f>
        <v>STANDARD</v>
      </c>
      <c r="E1222" s="9"/>
      <c r="F1222" t="str">
        <f>IF(E1222="",D1222,E1222)</f>
        <v>STANDARD</v>
      </c>
      <c r="G1222" t="str">
        <f>INDEX(Netzzeiten!$B$6:$B$29,HOUR(B1222)+1)</f>
        <v>ST</v>
      </c>
      <c r="H1222" s="6">
        <f>IF(F1222="GO",Eingaben!$B$11,IF(F1222="STANDARD",Eingaben!$B$12,IF(AND(F1222="HEAT",ISNUMBER(Eingaben!$B$13)),Eingaben!$B$13,"")))</f>
        <v>28.2744</v>
      </c>
      <c r="I1222" s="6">
        <f>INDEX(Netzzeiten!$C$6:$C$29,HOUR(B1222)+1)</f>
        <v>5.48</v>
      </c>
      <c r="J1222" t="str">
        <f>IF(C1222="","FEHLT",IF(NOT(ISNUMBER(C1222)),"MESSWERT UNGUELTIG",IF(C1222&lt;0,"MESSWERT UNGUELTIG",IF(H1222="","TARIFPREIS FEHLT","OK"))))</f>
        <v>FEHLT</v>
      </c>
      <c r="K1222" s="7">
        <f>IF(J1222&lt;&gt;"OK","",C1222*I1222/100)</f>
        <v/>
      </c>
    </row>
    <row r="1223" spans="1:11">
      <c r="A1223" s="14">
        <v>46155</v>
      </c>
      <c r="B1223" s="15">
        <v>0.6770833333333334</v>
      </c>
      <c r="C1223" s="5">
        <f>IF('96 Werte'!BO18="","",'96 Werte'!BO18)</f>
        <v/>
      </c>
      <c r="D1223" t="str">
        <f>IF(IF(Eingaben!$B$21&lt;Eingaben!$B$22,AND(B1223&gt;=Eingaben!$B$21,B1223&lt;Eingaben!$B$22),OR(B1223&gt;=Eingaben!$B$21,B1223&lt;Eingaben!$B$22)),"GO",IF(AND(ISNUMBER(Eingaben!$B$23),ISNUMBER(Eingaben!$B$24),IF(Eingaben!$B$23&lt;Eingaben!$B$24,AND(B1223&gt;=Eingaben!$B$23,B1223&lt;Eingaben!$B$24),OR(B1223&gt;=Eingaben!$B$23,B1223&lt;Eingaben!$B$24))),"HEAT","STANDARD"))</f>
        <v>STANDARD</v>
      </c>
      <c r="E1223" s="9"/>
      <c r="F1223" t="str">
        <f>IF(E1223="",D1223,E1223)</f>
        <v>STANDARD</v>
      </c>
      <c r="G1223" t="str">
        <f>INDEX(Netzzeiten!$B$6:$B$29,HOUR(B1223)+1)</f>
        <v>ST</v>
      </c>
      <c r="H1223" s="6">
        <f>IF(F1223="GO",Eingaben!$B$11,IF(F1223="STANDARD",Eingaben!$B$12,IF(AND(F1223="HEAT",ISNUMBER(Eingaben!$B$13)),Eingaben!$B$13,"")))</f>
        <v>28.2744</v>
      </c>
      <c r="I1223" s="6">
        <f>INDEX(Netzzeiten!$C$6:$C$29,HOUR(B1223)+1)</f>
        <v>5.48</v>
      </c>
      <c r="J1223" t="str">
        <f>IF(C1223="","FEHLT",IF(NOT(ISNUMBER(C1223)),"MESSWERT UNGUELTIG",IF(C1223&lt;0,"MESSWERT UNGUELTIG",IF(H1223="","TARIFPREIS FEHLT","OK"))))</f>
        <v>FEHLT</v>
      </c>
      <c r="K1223" s="7">
        <f>IF(J1223&lt;&gt;"OK","",C1223*I1223/100)</f>
        <v/>
      </c>
    </row>
    <row r="1224" spans="1:11">
      <c r="A1224" s="14">
        <v>46155</v>
      </c>
      <c r="B1224" s="15">
        <v>0.6875</v>
      </c>
      <c r="C1224" s="5">
        <f>IF('96 Werte'!BP18="","",'96 Werte'!BP18)</f>
        <v/>
      </c>
      <c r="D1224" t="str">
        <f>IF(IF(Eingaben!$B$21&lt;Eingaben!$B$22,AND(B1224&gt;=Eingaben!$B$21,B1224&lt;Eingaben!$B$22),OR(B1224&gt;=Eingaben!$B$21,B1224&lt;Eingaben!$B$22)),"GO",IF(AND(ISNUMBER(Eingaben!$B$23),ISNUMBER(Eingaben!$B$24),IF(Eingaben!$B$23&lt;Eingaben!$B$24,AND(B1224&gt;=Eingaben!$B$23,B1224&lt;Eingaben!$B$24),OR(B1224&gt;=Eingaben!$B$23,B1224&lt;Eingaben!$B$24))),"HEAT","STANDARD"))</f>
        <v>STANDARD</v>
      </c>
      <c r="E1224" s="9"/>
      <c r="F1224" t="str">
        <f>IF(E1224="",D1224,E1224)</f>
        <v>STANDARD</v>
      </c>
      <c r="G1224" t="str">
        <f>INDEX(Netzzeiten!$B$6:$B$29,HOUR(B1224)+1)</f>
        <v>ST</v>
      </c>
      <c r="H1224" s="6">
        <f>IF(F1224="GO",Eingaben!$B$11,IF(F1224="STANDARD",Eingaben!$B$12,IF(AND(F1224="HEAT",ISNUMBER(Eingaben!$B$13)),Eingaben!$B$13,"")))</f>
        <v>28.2744</v>
      </c>
      <c r="I1224" s="6">
        <f>INDEX(Netzzeiten!$C$6:$C$29,HOUR(B1224)+1)</f>
        <v>5.48</v>
      </c>
      <c r="J1224" t="str">
        <f>IF(C1224="","FEHLT",IF(NOT(ISNUMBER(C1224)),"MESSWERT UNGUELTIG",IF(C1224&lt;0,"MESSWERT UNGUELTIG",IF(H1224="","TARIFPREIS FEHLT","OK"))))</f>
        <v>FEHLT</v>
      </c>
      <c r="K1224" s="7">
        <f>IF(J1224&lt;&gt;"OK","",C1224*I1224/100)</f>
        <v/>
      </c>
    </row>
    <row r="1225" spans="1:11">
      <c r="A1225" s="14">
        <v>46155</v>
      </c>
      <c r="B1225" s="15">
        <v>0.6979166666666666</v>
      </c>
      <c r="C1225" s="5">
        <f>IF('96 Werte'!BQ18="","",'96 Werte'!BQ18)</f>
        <v/>
      </c>
      <c r="D1225" t="str">
        <f>IF(IF(Eingaben!$B$21&lt;Eingaben!$B$22,AND(B1225&gt;=Eingaben!$B$21,B1225&lt;Eingaben!$B$22),OR(B1225&gt;=Eingaben!$B$21,B1225&lt;Eingaben!$B$22)),"GO",IF(AND(ISNUMBER(Eingaben!$B$23),ISNUMBER(Eingaben!$B$24),IF(Eingaben!$B$23&lt;Eingaben!$B$24,AND(B1225&gt;=Eingaben!$B$23,B1225&lt;Eingaben!$B$24),OR(B1225&gt;=Eingaben!$B$23,B1225&lt;Eingaben!$B$24))),"HEAT","STANDARD"))</f>
        <v>STANDARD</v>
      </c>
      <c r="E1225" s="9"/>
      <c r="F1225" t="str">
        <f>IF(E1225="",D1225,E1225)</f>
        <v>STANDARD</v>
      </c>
      <c r="G1225" t="str">
        <f>INDEX(Netzzeiten!$B$6:$B$29,HOUR(B1225)+1)</f>
        <v>ST</v>
      </c>
      <c r="H1225" s="6">
        <f>IF(F1225="GO",Eingaben!$B$11,IF(F1225="STANDARD",Eingaben!$B$12,IF(AND(F1225="HEAT",ISNUMBER(Eingaben!$B$13)),Eingaben!$B$13,"")))</f>
        <v>28.2744</v>
      </c>
      <c r="I1225" s="6">
        <f>INDEX(Netzzeiten!$C$6:$C$29,HOUR(B1225)+1)</f>
        <v>5.48</v>
      </c>
      <c r="J1225" t="str">
        <f>IF(C1225="","FEHLT",IF(NOT(ISNUMBER(C1225)),"MESSWERT UNGUELTIG",IF(C1225&lt;0,"MESSWERT UNGUELTIG",IF(H1225="","TARIFPREIS FEHLT","OK"))))</f>
        <v>FEHLT</v>
      </c>
      <c r="K1225" s="7">
        <f>IF(J1225&lt;&gt;"OK","",C1225*I1225/100)</f>
        <v/>
      </c>
    </row>
    <row r="1226" spans="1:11">
      <c r="A1226" s="14">
        <v>46155</v>
      </c>
      <c r="B1226" s="15">
        <v>0.7083333333333334</v>
      </c>
      <c r="C1226" s="5">
        <f>IF('96 Werte'!BR18="","",'96 Werte'!BR18)</f>
        <v/>
      </c>
      <c r="D1226" t="str">
        <f>IF(IF(Eingaben!$B$21&lt;Eingaben!$B$22,AND(B1226&gt;=Eingaben!$B$21,B1226&lt;Eingaben!$B$22),OR(B1226&gt;=Eingaben!$B$21,B1226&lt;Eingaben!$B$22)),"GO",IF(AND(ISNUMBER(Eingaben!$B$23),ISNUMBER(Eingaben!$B$24),IF(Eingaben!$B$23&lt;Eingaben!$B$24,AND(B1226&gt;=Eingaben!$B$23,B1226&lt;Eingaben!$B$24),OR(B1226&gt;=Eingaben!$B$23,B1226&lt;Eingaben!$B$24))),"HEAT","STANDARD"))</f>
        <v>STANDARD</v>
      </c>
      <c r="E1226" s="9"/>
      <c r="F1226" t="str">
        <f>IF(E1226="",D1226,E1226)</f>
        <v>STANDARD</v>
      </c>
      <c r="G1226" t="str">
        <f>INDEX(Netzzeiten!$B$6:$B$29,HOUR(B1226)+1)</f>
        <v>HT</v>
      </c>
      <c r="H1226" s="6">
        <f>IF(F1226="GO",Eingaben!$B$11,IF(F1226="STANDARD",Eingaben!$B$12,IF(AND(F1226="HEAT",ISNUMBER(Eingaben!$B$13)),Eingaben!$B$13,"")))</f>
        <v>28.2744</v>
      </c>
      <c r="I1226" s="6">
        <f>INDEX(Netzzeiten!$C$6:$C$29,HOUR(B1226)+1)</f>
        <v>10.52</v>
      </c>
      <c r="J1226" t="str">
        <f>IF(C1226="","FEHLT",IF(NOT(ISNUMBER(C1226)),"MESSWERT UNGUELTIG",IF(C1226&lt;0,"MESSWERT UNGUELTIG",IF(H1226="","TARIFPREIS FEHLT","OK"))))</f>
        <v>FEHLT</v>
      </c>
      <c r="K1226" s="7">
        <f>IF(J1226&lt;&gt;"OK","",C1226*I1226/100)</f>
        <v/>
      </c>
    </row>
    <row r="1227" spans="1:11">
      <c r="A1227" s="14">
        <v>46155</v>
      </c>
      <c r="B1227" s="15">
        <v>0.71875</v>
      </c>
      <c r="C1227" s="5">
        <f>IF('96 Werte'!BS18="","",'96 Werte'!BS18)</f>
        <v/>
      </c>
      <c r="D1227" t="str">
        <f>IF(IF(Eingaben!$B$21&lt;Eingaben!$B$22,AND(B1227&gt;=Eingaben!$B$21,B1227&lt;Eingaben!$B$22),OR(B1227&gt;=Eingaben!$B$21,B1227&lt;Eingaben!$B$22)),"GO",IF(AND(ISNUMBER(Eingaben!$B$23),ISNUMBER(Eingaben!$B$24),IF(Eingaben!$B$23&lt;Eingaben!$B$24,AND(B1227&gt;=Eingaben!$B$23,B1227&lt;Eingaben!$B$24),OR(B1227&gt;=Eingaben!$B$23,B1227&lt;Eingaben!$B$24))),"HEAT","STANDARD"))</f>
        <v>STANDARD</v>
      </c>
      <c r="E1227" s="9"/>
      <c r="F1227" t="str">
        <f>IF(E1227="",D1227,E1227)</f>
        <v>STANDARD</v>
      </c>
      <c r="G1227" t="str">
        <f>INDEX(Netzzeiten!$B$6:$B$29,HOUR(B1227)+1)</f>
        <v>HT</v>
      </c>
      <c r="H1227" s="6">
        <f>IF(F1227="GO",Eingaben!$B$11,IF(F1227="STANDARD",Eingaben!$B$12,IF(AND(F1227="HEAT",ISNUMBER(Eingaben!$B$13)),Eingaben!$B$13,"")))</f>
        <v>28.2744</v>
      </c>
      <c r="I1227" s="6">
        <f>INDEX(Netzzeiten!$C$6:$C$29,HOUR(B1227)+1)</f>
        <v>10.52</v>
      </c>
      <c r="J1227" t="str">
        <f>IF(C1227="","FEHLT",IF(NOT(ISNUMBER(C1227)),"MESSWERT UNGUELTIG",IF(C1227&lt;0,"MESSWERT UNGUELTIG",IF(H1227="","TARIFPREIS FEHLT","OK"))))</f>
        <v>FEHLT</v>
      </c>
      <c r="K1227" s="7">
        <f>IF(J1227&lt;&gt;"OK","",C1227*I1227/100)</f>
        <v/>
      </c>
    </row>
    <row r="1228" spans="1:11">
      <c r="A1228" s="14">
        <v>46155</v>
      </c>
      <c r="B1228" s="15">
        <v>0.7291666666666666</v>
      </c>
      <c r="C1228" s="5">
        <f>IF('96 Werte'!BT18="","",'96 Werte'!BT18)</f>
        <v/>
      </c>
      <c r="D1228" t="str">
        <f>IF(IF(Eingaben!$B$21&lt;Eingaben!$B$22,AND(B1228&gt;=Eingaben!$B$21,B1228&lt;Eingaben!$B$22),OR(B1228&gt;=Eingaben!$B$21,B1228&lt;Eingaben!$B$22)),"GO",IF(AND(ISNUMBER(Eingaben!$B$23),ISNUMBER(Eingaben!$B$24),IF(Eingaben!$B$23&lt;Eingaben!$B$24,AND(B1228&gt;=Eingaben!$B$23,B1228&lt;Eingaben!$B$24),OR(B1228&gt;=Eingaben!$B$23,B1228&lt;Eingaben!$B$24))),"HEAT","STANDARD"))</f>
        <v>STANDARD</v>
      </c>
      <c r="E1228" s="9"/>
      <c r="F1228" t="str">
        <f>IF(E1228="",D1228,E1228)</f>
        <v>STANDARD</v>
      </c>
      <c r="G1228" t="str">
        <f>INDEX(Netzzeiten!$B$6:$B$29,HOUR(B1228)+1)</f>
        <v>HT</v>
      </c>
      <c r="H1228" s="6">
        <f>IF(F1228="GO",Eingaben!$B$11,IF(F1228="STANDARD",Eingaben!$B$12,IF(AND(F1228="HEAT",ISNUMBER(Eingaben!$B$13)),Eingaben!$B$13,"")))</f>
        <v>28.2744</v>
      </c>
      <c r="I1228" s="6">
        <f>INDEX(Netzzeiten!$C$6:$C$29,HOUR(B1228)+1)</f>
        <v>10.52</v>
      </c>
      <c r="J1228" t="str">
        <f>IF(C1228="","FEHLT",IF(NOT(ISNUMBER(C1228)),"MESSWERT UNGUELTIG",IF(C1228&lt;0,"MESSWERT UNGUELTIG",IF(H1228="","TARIFPREIS FEHLT","OK"))))</f>
        <v>FEHLT</v>
      </c>
      <c r="K1228" s="7">
        <f>IF(J1228&lt;&gt;"OK","",C1228*I1228/100)</f>
        <v/>
      </c>
    </row>
    <row r="1229" spans="1:11">
      <c r="A1229" s="14">
        <v>46155</v>
      </c>
      <c r="B1229" s="15">
        <v>0.7395833333333334</v>
      </c>
      <c r="C1229" s="5">
        <f>IF('96 Werte'!BU18="","",'96 Werte'!BU18)</f>
        <v/>
      </c>
      <c r="D1229" t="str">
        <f>IF(IF(Eingaben!$B$21&lt;Eingaben!$B$22,AND(B1229&gt;=Eingaben!$B$21,B1229&lt;Eingaben!$B$22),OR(B1229&gt;=Eingaben!$B$21,B1229&lt;Eingaben!$B$22)),"GO",IF(AND(ISNUMBER(Eingaben!$B$23),ISNUMBER(Eingaben!$B$24),IF(Eingaben!$B$23&lt;Eingaben!$B$24,AND(B1229&gt;=Eingaben!$B$23,B1229&lt;Eingaben!$B$24),OR(B1229&gt;=Eingaben!$B$23,B1229&lt;Eingaben!$B$24))),"HEAT","STANDARD"))</f>
        <v>STANDARD</v>
      </c>
      <c r="E1229" s="9"/>
      <c r="F1229" t="str">
        <f>IF(E1229="",D1229,E1229)</f>
        <v>STANDARD</v>
      </c>
      <c r="G1229" t="str">
        <f>INDEX(Netzzeiten!$B$6:$B$29,HOUR(B1229)+1)</f>
        <v>HT</v>
      </c>
      <c r="H1229" s="6">
        <f>IF(F1229="GO",Eingaben!$B$11,IF(F1229="STANDARD",Eingaben!$B$12,IF(AND(F1229="HEAT",ISNUMBER(Eingaben!$B$13)),Eingaben!$B$13,"")))</f>
        <v>28.2744</v>
      </c>
      <c r="I1229" s="6">
        <f>INDEX(Netzzeiten!$C$6:$C$29,HOUR(B1229)+1)</f>
        <v>10.52</v>
      </c>
      <c r="J1229" t="str">
        <f>IF(C1229="","FEHLT",IF(NOT(ISNUMBER(C1229)),"MESSWERT UNGUELTIG",IF(C1229&lt;0,"MESSWERT UNGUELTIG",IF(H1229="","TARIFPREIS FEHLT","OK"))))</f>
        <v>FEHLT</v>
      </c>
      <c r="K1229" s="7">
        <f>IF(J1229&lt;&gt;"OK","",C1229*I1229/100)</f>
        <v/>
      </c>
    </row>
    <row r="1230" spans="1:11">
      <c r="A1230" s="14">
        <v>46155</v>
      </c>
      <c r="B1230" s="15">
        <v>0.75</v>
      </c>
      <c r="C1230" s="5">
        <f>IF('96 Werte'!BV18="","",'96 Werte'!BV18)</f>
        <v/>
      </c>
      <c r="D1230" t="str">
        <f>IF(IF(Eingaben!$B$21&lt;Eingaben!$B$22,AND(B1230&gt;=Eingaben!$B$21,B1230&lt;Eingaben!$B$22),OR(B1230&gt;=Eingaben!$B$21,B1230&lt;Eingaben!$B$22)),"GO",IF(AND(ISNUMBER(Eingaben!$B$23),ISNUMBER(Eingaben!$B$24),IF(Eingaben!$B$23&lt;Eingaben!$B$24,AND(B1230&gt;=Eingaben!$B$23,B1230&lt;Eingaben!$B$24),OR(B1230&gt;=Eingaben!$B$23,B1230&lt;Eingaben!$B$24))),"HEAT","STANDARD"))</f>
        <v>STANDARD</v>
      </c>
      <c r="E1230" s="9"/>
      <c r="F1230" t="str">
        <f>IF(E1230="",D1230,E1230)</f>
        <v>STANDARD</v>
      </c>
      <c r="G1230" t="str">
        <f>INDEX(Netzzeiten!$B$6:$B$29,HOUR(B1230)+1)</f>
        <v>HT</v>
      </c>
      <c r="H1230" s="6">
        <f>IF(F1230="GO",Eingaben!$B$11,IF(F1230="STANDARD",Eingaben!$B$12,IF(AND(F1230="HEAT",ISNUMBER(Eingaben!$B$13)),Eingaben!$B$13,"")))</f>
        <v>28.2744</v>
      </c>
      <c r="I1230" s="6">
        <f>INDEX(Netzzeiten!$C$6:$C$29,HOUR(B1230)+1)</f>
        <v>10.52</v>
      </c>
      <c r="J1230" t="str">
        <f>IF(C1230="","FEHLT",IF(NOT(ISNUMBER(C1230)),"MESSWERT UNGUELTIG",IF(C1230&lt;0,"MESSWERT UNGUELTIG",IF(H1230="","TARIFPREIS FEHLT","OK"))))</f>
        <v>FEHLT</v>
      </c>
      <c r="K1230" s="7">
        <f>IF(J1230&lt;&gt;"OK","",C1230*I1230/100)</f>
        <v/>
      </c>
    </row>
    <row r="1231" spans="1:11">
      <c r="A1231" s="14">
        <v>46155</v>
      </c>
      <c r="B1231" s="15">
        <v>0.7604166666666666</v>
      </c>
      <c r="C1231" s="5">
        <f>IF('96 Werte'!BW18="","",'96 Werte'!BW18)</f>
        <v/>
      </c>
      <c r="D1231" t="str">
        <f>IF(IF(Eingaben!$B$21&lt;Eingaben!$B$22,AND(B1231&gt;=Eingaben!$B$21,B1231&lt;Eingaben!$B$22),OR(B1231&gt;=Eingaben!$B$21,B1231&lt;Eingaben!$B$22)),"GO",IF(AND(ISNUMBER(Eingaben!$B$23),ISNUMBER(Eingaben!$B$24),IF(Eingaben!$B$23&lt;Eingaben!$B$24,AND(B1231&gt;=Eingaben!$B$23,B1231&lt;Eingaben!$B$24),OR(B1231&gt;=Eingaben!$B$23,B1231&lt;Eingaben!$B$24))),"HEAT","STANDARD"))</f>
        <v>STANDARD</v>
      </c>
      <c r="E1231" s="9"/>
      <c r="F1231" t="str">
        <f>IF(E1231="",D1231,E1231)</f>
        <v>STANDARD</v>
      </c>
      <c r="G1231" t="str">
        <f>INDEX(Netzzeiten!$B$6:$B$29,HOUR(B1231)+1)</f>
        <v>HT</v>
      </c>
      <c r="H1231" s="6">
        <f>IF(F1231="GO",Eingaben!$B$11,IF(F1231="STANDARD",Eingaben!$B$12,IF(AND(F1231="HEAT",ISNUMBER(Eingaben!$B$13)),Eingaben!$B$13,"")))</f>
        <v>28.2744</v>
      </c>
      <c r="I1231" s="6">
        <f>INDEX(Netzzeiten!$C$6:$C$29,HOUR(B1231)+1)</f>
        <v>10.52</v>
      </c>
      <c r="J1231" t="str">
        <f>IF(C1231="","FEHLT",IF(NOT(ISNUMBER(C1231)),"MESSWERT UNGUELTIG",IF(C1231&lt;0,"MESSWERT UNGUELTIG",IF(H1231="","TARIFPREIS FEHLT","OK"))))</f>
        <v>FEHLT</v>
      </c>
      <c r="K1231" s="7">
        <f>IF(J1231&lt;&gt;"OK","",C1231*I1231/100)</f>
        <v/>
      </c>
    </row>
    <row r="1232" spans="1:11">
      <c r="A1232" s="14">
        <v>46155</v>
      </c>
      <c r="B1232" s="15">
        <v>0.7708333333333334</v>
      </c>
      <c r="C1232" s="5">
        <f>IF('96 Werte'!BX18="","",'96 Werte'!BX18)</f>
        <v/>
      </c>
      <c r="D1232" t="str">
        <f>IF(IF(Eingaben!$B$21&lt;Eingaben!$B$22,AND(B1232&gt;=Eingaben!$B$21,B1232&lt;Eingaben!$B$22),OR(B1232&gt;=Eingaben!$B$21,B1232&lt;Eingaben!$B$22)),"GO",IF(AND(ISNUMBER(Eingaben!$B$23),ISNUMBER(Eingaben!$B$24),IF(Eingaben!$B$23&lt;Eingaben!$B$24,AND(B1232&gt;=Eingaben!$B$23,B1232&lt;Eingaben!$B$24),OR(B1232&gt;=Eingaben!$B$23,B1232&lt;Eingaben!$B$24))),"HEAT","STANDARD"))</f>
        <v>STANDARD</v>
      </c>
      <c r="E1232" s="9"/>
      <c r="F1232" t="str">
        <f>IF(E1232="",D1232,E1232)</f>
        <v>STANDARD</v>
      </c>
      <c r="G1232" t="str">
        <f>INDEX(Netzzeiten!$B$6:$B$29,HOUR(B1232)+1)</f>
        <v>HT</v>
      </c>
      <c r="H1232" s="6">
        <f>IF(F1232="GO",Eingaben!$B$11,IF(F1232="STANDARD",Eingaben!$B$12,IF(AND(F1232="HEAT",ISNUMBER(Eingaben!$B$13)),Eingaben!$B$13,"")))</f>
        <v>28.2744</v>
      </c>
      <c r="I1232" s="6">
        <f>INDEX(Netzzeiten!$C$6:$C$29,HOUR(B1232)+1)</f>
        <v>10.52</v>
      </c>
      <c r="J1232" t="str">
        <f>IF(C1232="","FEHLT",IF(NOT(ISNUMBER(C1232)),"MESSWERT UNGUELTIG",IF(C1232&lt;0,"MESSWERT UNGUELTIG",IF(H1232="","TARIFPREIS FEHLT","OK"))))</f>
        <v>FEHLT</v>
      </c>
      <c r="K1232" s="7">
        <f>IF(J1232&lt;&gt;"OK","",C1232*I1232/100)</f>
        <v/>
      </c>
    </row>
    <row r="1233" spans="1:11">
      <c r="A1233" s="14">
        <v>46155</v>
      </c>
      <c r="B1233" s="15">
        <v>0.78125</v>
      </c>
      <c r="C1233" s="5">
        <f>IF('96 Werte'!BY18="","",'96 Werte'!BY18)</f>
        <v/>
      </c>
      <c r="D1233" t="str">
        <f>IF(IF(Eingaben!$B$21&lt;Eingaben!$B$22,AND(B1233&gt;=Eingaben!$B$21,B1233&lt;Eingaben!$B$22),OR(B1233&gt;=Eingaben!$B$21,B1233&lt;Eingaben!$B$22)),"GO",IF(AND(ISNUMBER(Eingaben!$B$23),ISNUMBER(Eingaben!$B$24),IF(Eingaben!$B$23&lt;Eingaben!$B$24,AND(B1233&gt;=Eingaben!$B$23,B1233&lt;Eingaben!$B$24),OR(B1233&gt;=Eingaben!$B$23,B1233&lt;Eingaben!$B$24))),"HEAT","STANDARD"))</f>
        <v>STANDARD</v>
      </c>
      <c r="E1233" s="9"/>
      <c r="F1233" t="str">
        <f>IF(E1233="",D1233,E1233)</f>
        <v>STANDARD</v>
      </c>
      <c r="G1233" t="str">
        <f>INDEX(Netzzeiten!$B$6:$B$29,HOUR(B1233)+1)</f>
        <v>HT</v>
      </c>
      <c r="H1233" s="6">
        <f>IF(F1233="GO",Eingaben!$B$11,IF(F1233="STANDARD",Eingaben!$B$12,IF(AND(F1233="HEAT",ISNUMBER(Eingaben!$B$13)),Eingaben!$B$13,"")))</f>
        <v>28.2744</v>
      </c>
      <c r="I1233" s="6">
        <f>INDEX(Netzzeiten!$C$6:$C$29,HOUR(B1233)+1)</f>
        <v>10.52</v>
      </c>
      <c r="J1233" t="str">
        <f>IF(C1233="","FEHLT",IF(NOT(ISNUMBER(C1233)),"MESSWERT UNGUELTIG",IF(C1233&lt;0,"MESSWERT UNGUELTIG",IF(H1233="","TARIFPREIS FEHLT","OK"))))</f>
        <v>FEHLT</v>
      </c>
      <c r="K1233" s="7">
        <f>IF(J1233&lt;&gt;"OK","",C1233*I1233/100)</f>
        <v/>
      </c>
    </row>
    <row r="1234" spans="1:11">
      <c r="A1234" s="14">
        <v>46155</v>
      </c>
      <c r="B1234" s="15">
        <v>0.7916666666666666</v>
      </c>
      <c r="C1234" s="5">
        <f>IF('96 Werte'!BZ18="","",'96 Werte'!BZ18)</f>
        <v/>
      </c>
      <c r="D1234" t="str">
        <f>IF(IF(Eingaben!$B$21&lt;Eingaben!$B$22,AND(B1234&gt;=Eingaben!$B$21,B1234&lt;Eingaben!$B$22),OR(B1234&gt;=Eingaben!$B$21,B1234&lt;Eingaben!$B$22)),"GO",IF(AND(ISNUMBER(Eingaben!$B$23),ISNUMBER(Eingaben!$B$24),IF(Eingaben!$B$23&lt;Eingaben!$B$24,AND(B1234&gt;=Eingaben!$B$23,B1234&lt;Eingaben!$B$24),OR(B1234&gt;=Eingaben!$B$23,B1234&lt;Eingaben!$B$24))),"HEAT","STANDARD"))</f>
        <v>STANDARD</v>
      </c>
      <c r="E1234" s="9"/>
      <c r="F1234" t="str">
        <f>IF(E1234="",D1234,E1234)</f>
        <v>STANDARD</v>
      </c>
      <c r="G1234" t="str">
        <f>INDEX(Netzzeiten!$B$6:$B$29,HOUR(B1234)+1)</f>
        <v>HT</v>
      </c>
      <c r="H1234" s="6">
        <f>IF(F1234="GO",Eingaben!$B$11,IF(F1234="STANDARD",Eingaben!$B$12,IF(AND(F1234="HEAT",ISNUMBER(Eingaben!$B$13)),Eingaben!$B$13,"")))</f>
        <v>28.2744</v>
      </c>
      <c r="I1234" s="6">
        <f>INDEX(Netzzeiten!$C$6:$C$29,HOUR(B1234)+1)</f>
        <v>10.52</v>
      </c>
      <c r="J1234" t="str">
        <f>IF(C1234="","FEHLT",IF(NOT(ISNUMBER(C1234)),"MESSWERT UNGUELTIG",IF(C1234&lt;0,"MESSWERT UNGUELTIG",IF(H1234="","TARIFPREIS FEHLT","OK"))))</f>
        <v>FEHLT</v>
      </c>
      <c r="K1234" s="7">
        <f>IF(J1234&lt;&gt;"OK","",C1234*I1234/100)</f>
        <v/>
      </c>
    </row>
    <row r="1235" spans="1:11">
      <c r="A1235" s="14">
        <v>46155</v>
      </c>
      <c r="B1235" s="15">
        <v>0.8020833333333334</v>
      </c>
      <c r="C1235" s="5">
        <f>IF('96 Werte'!CA18="","",'96 Werte'!CA18)</f>
        <v/>
      </c>
      <c r="D1235" t="str">
        <f>IF(IF(Eingaben!$B$21&lt;Eingaben!$B$22,AND(B1235&gt;=Eingaben!$B$21,B1235&lt;Eingaben!$B$22),OR(B1235&gt;=Eingaben!$B$21,B1235&lt;Eingaben!$B$22)),"GO",IF(AND(ISNUMBER(Eingaben!$B$23),ISNUMBER(Eingaben!$B$24),IF(Eingaben!$B$23&lt;Eingaben!$B$24,AND(B1235&gt;=Eingaben!$B$23,B1235&lt;Eingaben!$B$24),OR(B1235&gt;=Eingaben!$B$23,B1235&lt;Eingaben!$B$24))),"HEAT","STANDARD"))</f>
        <v>STANDARD</v>
      </c>
      <c r="E1235" s="9"/>
      <c r="F1235" t="str">
        <f>IF(E1235="",D1235,E1235)</f>
        <v>STANDARD</v>
      </c>
      <c r="G1235" t="str">
        <f>INDEX(Netzzeiten!$B$6:$B$29,HOUR(B1235)+1)</f>
        <v>HT</v>
      </c>
      <c r="H1235" s="6">
        <f>IF(F1235="GO",Eingaben!$B$11,IF(F1235="STANDARD",Eingaben!$B$12,IF(AND(F1235="HEAT",ISNUMBER(Eingaben!$B$13)),Eingaben!$B$13,"")))</f>
        <v>28.2744</v>
      </c>
      <c r="I1235" s="6">
        <f>INDEX(Netzzeiten!$C$6:$C$29,HOUR(B1235)+1)</f>
        <v>10.52</v>
      </c>
      <c r="J1235" t="str">
        <f>IF(C1235="","FEHLT",IF(NOT(ISNUMBER(C1235)),"MESSWERT UNGUELTIG",IF(C1235&lt;0,"MESSWERT UNGUELTIG",IF(H1235="","TARIFPREIS FEHLT","OK"))))</f>
        <v>FEHLT</v>
      </c>
      <c r="K1235" s="7">
        <f>IF(J1235&lt;&gt;"OK","",C1235*I1235/100)</f>
        <v/>
      </c>
    </row>
    <row r="1236" spans="1:11">
      <c r="A1236" s="14">
        <v>46155</v>
      </c>
      <c r="B1236" s="15">
        <v>0.8125</v>
      </c>
      <c r="C1236" s="5">
        <f>IF('96 Werte'!CB18="","",'96 Werte'!CB18)</f>
        <v/>
      </c>
      <c r="D1236" t="str">
        <f>IF(IF(Eingaben!$B$21&lt;Eingaben!$B$22,AND(B1236&gt;=Eingaben!$B$21,B1236&lt;Eingaben!$B$22),OR(B1236&gt;=Eingaben!$B$21,B1236&lt;Eingaben!$B$22)),"GO",IF(AND(ISNUMBER(Eingaben!$B$23),ISNUMBER(Eingaben!$B$24),IF(Eingaben!$B$23&lt;Eingaben!$B$24,AND(B1236&gt;=Eingaben!$B$23,B1236&lt;Eingaben!$B$24),OR(B1236&gt;=Eingaben!$B$23,B1236&lt;Eingaben!$B$24))),"HEAT","STANDARD"))</f>
        <v>STANDARD</v>
      </c>
      <c r="E1236" s="9"/>
      <c r="F1236" t="str">
        <f>IF(E1236="",D1236,E1236)</f>
        <v>STANDARD</v>
      </c>
      <c r="G1236" t="str">
        <f>INDEX(Netzzeiten!$B$6:$B$29,HOUR(B1236)+1)</f>
        <v>HT</v>
      </c>
      <c r="H1236" s="6">
        <f>IF(F1236="GO",Eingaben!$B$11,IF(F1236="STANDARD",Eingaben!$B$12,IF(AND(F1236="HEAT",ISNUMBER(Eingaben!$B$13)),Eingaben!$B$13,"")))</f>
        <v>28.2744</v>
      </c>
      <c r="I1236" s="6">
        <f>INDEX(Netzzeiten!$C$6:$C$29,HOUR(B1236)+1)</f>
        <v>10.52</v>
      </c>
      <c r="J1236" t="str">
        <f>IF(C1236="","FEHLT",IF(NOT(ISNUMBER(C1236)),"MESSWERT UNGUELTIG",IF(C1236&lt;0,"MESSWERT UNGUELTIG",IF(H1236="","TARIFPREIS FEHLT","OK"))))</f>
        <v>FEHLT</v>
      </c>
      <c r="K1236" s="7">
        <f>IF(J1236&lt;&gt;"OK","",C1236*I1236/100)</f>
        <v/>
      </c>
    </row>
    <row r="1237" spans="1:11">
      <c r="A1237" s="14">
        <v>46155</v>
      </c>
      <c r="B1237" s="15">
        <v>0.8229166666666666</v>
      </c>
      <c r="C1237" s="5">
        <f>IF('96 Werte'!CC18="","",'96 Werte'!CC18)</f>
        <v/>
      </c>
      <c r="D1237" t="str">
        <f>IF(IF(Eingaben!$B$21&lt;Eingaben!$B$22,AND(B1237&gt;=Eingaben!$B$21,B1237&lt;Eingaben!$B$22),OR(B1237&gt;=Eingaben!$B$21,B1237&lt;Eingaben!$B$22)),"GO",IF(AND(ISNUMBER(Eingaben!$B$23),ISNUMBER(Eingaben!$B$24),IF(Eingaben!$B$23&lt;Eingaben!$B$24,AND(B1237&gt;=Eingaben!$B$23,B1237&lt;Eingaben!$B$24),OR(B1237&gt;=Eingaben!$B$23,B1237&lt;Eingaben!$B$24))),"HEAT","STANDARD"))</f>
        <v>STANDARD</v>
      </c>
      <c r="E1237" s="9"/>
      <c r="F1237" t="str">
        <f>IF(E1237="",D1237,E1237)</f>
        <v>STANDARD</v>
      </c>
      <c r="G1237" t="str">
        <f>INDEX(Netzzeiten!$B$6:$B$29,HOUR(B1237)+1)</f>
        <v>HT</v>
      </c>
      <c r="H1237" s="6">
        <f>IF(F1237="GO",Eingaben!$B$11,IF(F1237="STANDARD",Eingaben!$B$12,IF(AND(F1237="HEAT",ISNUMBER(Eingaben!$B$13)),Eingaben!$B$13,"")))</f>
        <v>28.2744</v>
      </c>
      <c r="I1237" s="6">
        <f>INDEX(Netzzeiten!$C$6:$C$29,HOUR(B1237)+1)</f>
        <v>10.52</v>
      </c>
      <c r="J1237" t="str">
        <f>IF(C1237="","FEHLT",IF(NOT(ISNUMBER(C1237)),"MESSWERT UNGUELTIG",IF(C1237&lt;0,"MESSWERT UNGUELTIG",IF(H1237="","TARIFPREIS FEHLT","OK"))))</f>
        <v>FEHLT</v>
      </c>
      <c r="K1237" s="7">
        <f>IF(J1237&lt;&gt;"OK","",C1237*I1237/100)</f>
        <v/>
      </c>
    </row>
    <row r="1238" spans="1:11">
      <c r="A1238" s="14">
        <v>46155</v>
      </c>
      <c r="B1238" s="15">
        <v>0.8333333333333334</v>
      </c>
      <c r="C1238" s="5">
        <f>IF('96 Werte'!CD18="","",'96 Werte'!CD18)</f>
        <v/>
      </c>
      <c r="D1238" t="str">
        <f>IF(IF(Eingaben!$B$21&lt;Eingaben!$B$22,AND(B1238&gt;=Eingaben!$B$21,B1238&lt;Eingaben!$B$22),OR(B1238&gt;=Eingaben!$B$21,B1238&lt;Eingaben!$B$22)),"GO",IF(AND(ISNUMBER(Eingaben!$B$23),ISNUMBER(Eingaben!$B$24),IF(Eingaben!$B$23&lt;Eingaben!$B$24,AND(B1238&gt;=Eingaben!$B$23,B1238&lt;Eingaben!$B$24),OR(B1238&gt;=Eingaben!$B$23,B1238&lt;Eingaben!$B$24))),"HEAT","STANDARD"))</f>
        <v>STANDARD</v>
      </c>
      <c r="E1238" s="9"/>
      <c r="F1238" t="str">
        <f>IF(E1238="",D1238,E1238)</f>
        <v>STANDARD</v>
      </c>
      <c r="G1238" t="str">
        <f>INDEX(Netzzeiten!$B$6:$B$29,HOUR(B1238)+1)</f>
        <v>HT</v>
      </c>
      <c r="H1238" s="6">
        <f>IF(F1238="GO",Eingaben!$B$11,IF(F1238="STANDARD",Eingaben!$B$12,IF(AND(F1238="HEAT",ISNUMBER(Eingaben!$B$13)),Eingaben!$B$13,"")))</f>
        <v>28.2744</v>
      </c>
      <c r="I1238" s="6">
        <f>INDEX(Netzzeiten!$C$6:$C$29,HOUR(B1238)+1)</f>
        <v>10.52</v>
      </c>
      <c r="J1238" t="str">
        <f>IF(C1238="","FEHLT",IF(NOT(ISNUMBER(C1238)),"MESSWERT UNGUELTIG",IF(C1238&lt;0,"MESSWERT UNGUELTIG",IF(H1238="","TARIFPREIS FEHLT","OK"))))</f>
        <v>FEHLT</v>
      </c>
      <c r="K1238" s="7">
        <f>IF(J1238&lt;&gt;"OK","",C1238*I1238/100)</f>
        <v/>
      </c>
    </row>
    <row r="1239" spans="1:11">
      <c r="A1239" s="14">
        <v>46155</v>
      </c>
      <c r="B1239" s="15">
        <v>0.84375</v>
      </c>
      <c r="C1239" s="5">
        <f>IF('96 Werte'!CE18="","",'96 Werte'!CE18)</f>
        <v/>
      </c>
      <c r="D1239" t="str">
        <f>IF(IF(Eingaben!$B$21&lt;Eingaben!$B$22,AND(B1239&gt;=Eingaben!$B$21,B1239&lt;Eingaben!$B$22),OR(B1239&gt;=Eingaben!$B$21,B1239&lt;Eingaben!$B$22)),"GO",IF(AND(ISNUMBER(Eingaben!$B$23),ISNUMBER(Eingaben!$B$24),IF(Eingaben!$B$23&lt;Eingaben!$B$24,AND(B1239&gt;=Eingaben!$B$23,B1239&lt;Eingaben!$B$24),OR(B1239&gt;=Eingaben!$B$23,B1239&lt;Eingaben!$B$24))),"HEAT","STANDARD"))</f>
        <v>STANDARD</v>
      </c>
      <c r="E1239" s="9"/>
      <c r="F1239" t="str">
        <f>IF(E1239="",D1239,E1239)</f>
        <v>STANDARD</v>
      </c>
      <c r="G1239" t="str">
        <f>INDEX(Netzzeiten!$B$6:$B$29,HOUR(B1239)+1)</f>
        <v>HT</v>
      </c>
      <c r="H1239" s="6">
        <f>IF(F1239="GO",Eingaben!$B$11,IF(F1239="STANDARD",Eingaben!$B$12,IF(AND(F1239="HEAT",ISNUMBER(Eingaben!$B$13)),Eingaben!$B$13,"")))</f>
        <v>28.2744</v>
      </c>
      <c r="I1239" s="6">
        <f>INDEX(Netzzeiten!$C$6:$C$29,HOUR(B1239)+1)</f>
        <v>10.52</v>
      </c>
      <c r="J1239" t="str">
        <f>IF(C1239="","FEHLT",IF(NOT(ISNUMBER(C1239)),"MESSWERT UNGUELTIG",IF(C1239&lt;0,"MESSWERT UNGUELTIG",IF(H1239="","TARIFPREIS FEHLT","OK"))))</f>
        <v>FEHLT</v>
      </c>
      <c r="K1239" s="7">
        <f>IF(J1239&lt;&gt;"OK","",C1239*I1239/100)</f>
        <v/>
      </c>
    </row>
    <row r="1240" spans="1:11">
      <c r="A1240" s="14">
        <v>46155</v>
      </c>
      <c r="B1240" s="15">
        <v>0.8541666666666666</v>
      </c>
      <c r="C1240" s="5">
        <f>IF('96 Werte'!CF18="","",'96 Werte'!CF18)</f>
        <v/>
      </c>
      <c r="D1240" t="str">
        <f>IF(IF(Eingaben!$B$21&lt;Eingaben!$B$22,AND(B1240&gt;=Eingaben!$B$21,B1240&lt;Eingaben!$B$22),OR(B1240&gt;=Eingaben!$B$21,B1240&lt;Eingaben!$B$22)),"GO",IF(AND(ISNUMBER(Eingaben!$B$23),ISNUMBER(Eingaben!$B$24),IF(Eingaben!$B$23&lt;Eingaben!$B$24,AND(B1240&gt;=Eingaben!$B$23,B1240&lt;Eingaben!$B$24),OR(B1240&gt;=Eingaben!$B$23,B1240&lt;Eingaben!$B$24))),"HEAT","STANDARD"))</f>
        <v>STANDARD</v>
      </c>
      <c r="E1240" s="9"/>
      <c r="F1240" t="str">
        <f>IF(E1240="",D1240,E1240)</f>
        <v>STANDARD</v>
      </c>
      <c r="G1240" t="str">
        <f>INDEX(Netzzeiten!$B$6:$B$29,HOUR(B1240)+1)</f>
        <v>HT</v>
      </c>
      <c r="H1240" s="6">
        <f>IF(F1240="GO",Eingaben!$B$11,IF(F1240="STANDARD",Eingaben!$B$12,IF(AND(F1240="HEAT",ISNUMBER(Eingaben!$B$13)),Eingaben!$B$13,"")))</f>
        <v>28.2744</v>
      </c>
      <c r="I1240" s="6">
        <f>INDEX(Netzzeiten!$C$6:$C$29,HOUR(B1240)+1)</f>
        <v>10.52</v>
      </c>
      <c r="J1240" t="str">
        <f>IF(C1240="","FEHLT",IF(NOT(ISNUMBER(C1240)),"MESSWERT UNGUELTIG",IF(C1240&lt;0,"MESSWERT UNGUELTIG",IF(H1240="","TARIFPREIS FEHLT","OK"))))</f>
        <v>FEHLT</v>
      </c>
      <c r="K1240" s="7">
        <f>IF(J1240&lt;&gt;"OK","",C1240*I1240/100)</f>
        <v/>
      </c>
    </row>
    <row r="1241" spans="1:11">
      <c r="A1241" s="14">
        <v>46155</v>
      </c>
      <c r="B1241" s="15">
        <v>0.8645833333333334</v>
      </c>
      <c r="C1241" s="5">
        <f>IF('96 Werte'!CG18="","",'96 Werte'!CG18)</f>
        <v/>
      </c>
      <c r="D1241" t="str">
        <f>IF(IF(Eingaben!$B$21&lt;Eingaben!$B$22,AND(B1241&gt;=Eingaben!$B$21,B1241&lt;Eingaben!$B$22),OR(B1241&gt;=Eingaben!$B$21,B1241&lt;Eingaben!$B$22)),"GO",IF(AND(ISNUMBER(Eingaben!$B$23),ISNUMBER(Eingaben!$B$24),IF(Eingaben!$B$23&lt;Eingaben!$B$24,AND(B1241&gt;=Eingaben!$B$23,B1241&lt;Eingaben!$B$24),OR(B1241&gt;=Eingaben!$B$23,B1241&lt;Eingaben!$B$24))),"HEAT","STANDARD"))</f>
        <v>STANDARD</v>
      </c>
      <c r="E1241" s="9"/>
      <c r="F1241" t="str">
        <f>IF(E1241="",D1241,E1241)</f>
        <v>STANDARD</v>
      </c>
      <c r="G1241" t="str">
        <f>INDEX(Netzzeiten!$B$6:$B$29,HOUR(B1241)+1)</f>
        <v>HT</v>
      </c>
      <c r="H1241" s="6">
        <f>IF(F1241="GO",Eingaben!$B$11,IF(F1241="STANDARD",Eingaben!$B$12,IF(AND(F1241="HEAT",ISNUMBER(Eingaben!$B$13)),Eingaben!$B$13,"")))</f>
        <v>28.2744</v>
      </c>
      <c r="I1241" s="6">
        <f>INDEX(Netzzeiten!$C$6:$C$29,HOUR(B1241)+1)</f>
        <v>10.52</v>
      </c>
      <c r="J1241" t="str">
        <f>IF(C1241="","FEHLT",IF(NOT(ISNUMBER(C1241)),"MESSWERT UNGUELTIG",IF(C1241&lt;0,"MESSWERT UNGUELTIG",IF(H1241="","TARIFPREIS FEHLT","OK"))))</f>
        <v>FEHLT</v>
      </c>
      <c r="K1241" s="7">
        <f>IF(J1241&lt;&gt;"OK","",C1241*I1241/100)</f>
        <v/>
      </c>
    </row>
    <row r="1242" spans="1:11">
      <c r="A1242" s="14">
        <v>46155</v>
      </c>
      <c r="B1242" s="15">
        <v>0.875</v>
      </c>
      <c r="C1242" s="5">
        <f>IF('96 Werte'!CH18="","",'96 Werte'!CH18)</f>
        <v/>
      </c>
      <c r="D1242" t="str">
        <f>IF(IF(Eingaben!$B$21&lt;Eingaben!$B$22,AND(B1242&gt;=Eingaben!$B$21,B1242&lt;Eingaben!$B$22),OR(B1242&gt;=Eingaben!$B$21,B1242&lt;Eingaben!$B$22)),"GO",IF(AND(ISNUMBER(Eingaben!$B$23),ISNUMBER(Eingaben!$B$24),IF(Eingaben!$B$23&lt;Eingaben!$B$24,AND(B1242&gt;=Eingaben!$B$23,B1242&lt;Eingaben!$B$24),OR(B1242&gt;=Eingaben!$B$23,B1242&lt;Eingaben!$B$24))),"HEAT","STANDARD"))</f>
        <v>STANDARD</v>
      </c>
      <c r="E1242" s="9"/>
      <c r="F1242" t="str">
        <f>IF(E1242="",D1242,E1242)</f>
        <v>STANDARD</v>
      </c>
      <c r="G1242" t="str">
        <f>INDEX(Netzzeiten!$B$6:$B$29,HOUR(B1242)+1)</f>
        <v>HT</v>
      </c>
      <c r="H1242" s="6">
        <f>IF(F1242="GO",Eingaben!$B$11,IF(F1242="STANDARD",Eingaben!$B$12,IF(AND(F1242="HEAT",ISNUMBER(Eingaben!$B$13)),Eingaben!$B$13,"")))</f>
        <v>28.2744</v>
      </c>
      <c r="I1242" s="6">
        <f>INDEX(Netzzeiten!$C$6:$C$29,HOUR(B1242)+1)</f>
        <v>10.52</v>
      </c>
      <c r="J1242" t="str">
        <f>IF(C1242="","FEHLT",IF(NOT(ISNUMBER(C1242)),"MESSWERT UNGUELTIG",IF(C1242&lt;0,"MESSWERT UNGUELTIG",IF(H1242="","TARIFPREIS FEHLT","OK"))))</f>
        <v>FEHLT</v>
      </c>
      <c r="K1242" s="7">
        <f>IF(J1242&lt;&gt;"OK","",C1242*I1242/100)</f>
        <v/>
      </c>
    </row>
    <row r="1243" spans="1:11">
      <c r="A1243" s="14">
        <v>46155</v>
      </c>
      <c r="B1243" s="15">
        <v>0.8854166666666666</v>
      </c>
      <c r="C1243" s="5">
        <f>IF('96 Werte'!CI18="","",'96 Werte'!CI18)</f>
        <v/>
      </c>
      <c r="D1243" t="str">
        <f>IF(IF(Eingaben!$B$21&lt;Eingaben!$B$22,AND(B1243&gt;=Eingaben!$B$21,B1243&lt;Eingaben!$B$22),OR(B1243&gt;=Eingaben!$B$21,B1243&lt;Eingaben!$B$22)),"GO",IF(AND(ISNUMBER(Eingaben!$B$23),ISNUMBER(Eingaben!$B$24),IF(Eingaben!$B$23&lt;Eingaben!$B$24,AND(B1243&gt;=Eingaben!$B$23,B1243&lt;Eingaben!$B$24),OR(B1243&gt;=Eingaben!$B$23,B1243&lt;Eingaben!$B$24))),"HEAT","STANDARD"))</f>
        <v>STANDARD</v>
      </c>
      <c r="E1243" s="9"/>
      <c r="F1243" t="str">
        <f>IF(E1243="",D1243,E1243)</f>
        <v>STANDARD</v>
      </c>
      <c r="G1243" t="str">
        <f>INDEX(Netzzeiten!$B$6:$B$29,HOUR(B1243)+1)</f>
        <v>HT</v>
      </c>
      <c r="H1243" s="6">
        <f>IF(F1243="GO",Eingaben!$B$11,IF(F1243="STANDARD",Eingaben!$B$12,IF(AND(F1243="HEAT",ISNUMBER(Eingaben!$B$13)),Eingaben!$B$13,"")))</f>
        <v>28.2744</v>
      </c>
      <c r="I1243" s="6">
        <f>INDEX(Netzzeiten!$C$6:$C$29,HOUR(B1243)+1)</f>
        <v>10.52</v>
      </c>
      <c r="J1243" t="str">
        <f>IF(C1243="","FEHLT",IF(NOT(ISNUMBER(C1243)),"MESSWERT UNGUELTIG",IF(C1243&lt;0,"MESSWERT UNGUELTIG",IF(H1243="","TARIFPREIS FEHLT","OK"))))</f>
        <v>FEHLT</v>
      </c>
      <c r="K1243" s="7">
        <f>IF(J1243&lt;&gt;"OK","",C1243*I1243/100)</f>
        <v/>
      </c>
    </row>
    <row r="1244" spans="1:11">
      <c r="A1244" s="14">
        <v>46155</v>
      </c>
      <c r="B1244" s="15">
        <v>0.8958333333333334</v>
      </c>
      <c r="C1244" s="5">
        <f>IF('96 Werte'!CJ18="","",'96 Werte'!CJ18)</f>
        <v/>
      </c>
      <c r="D1244" t="str">
        <f>IF(IF(Eingaben!$B$21&lt;Eingaben!$B$22,AND(B1244&gt;=Eingaben!$B$21,B1244&lt;Eingaben!$B$22),OR(B1244&gt;=Eingaben!$B$21,B1244&lt;Eingaben!$B$22)),"GO",IF(AND(ISNUMBER(Eingaben!$B$23),ISNUMBER(Eingaben!$B$24),IF(Eingaben!$B$23&lt;Eingaben!$B$24,AND(B1244&gt;=Eingaben!$B$23,B1244&lt;Eingaben!$B$24),OR(B1244&gt;=Eingaben!$B$23,B1244&lt;Eingaben!$B$24))),"HEAT","STANDARD"))</f>
        <v>STANDARD</v>
      </c>
      <c r="E1244" s="9"/>
      <c r="F1244" t="str">
        <f>IF(E1244="",D1244,E1244)</f>
        <v>STANDARD</v>
      </c>
      <c r="G1244" t="str">
        <f>INDEX(Netzzeiten!$B$6:$B$29,HOUR(B1244)+1)</f>
        <v>HT</v>
      </c>
      <c r="H1244" s="6">
        <f>IF(F1244="GO",Eingaben!$B$11,IF(F1244="STANDARD",Eingaben!$B$12,IF(AND(F1244="HEAT",ISNUMBER(Eingaben!$B$13)),Eingaben!$B$13,"")))</f>
        <v>28.2744</v>
      </c>
      <c r="I1244" s="6">
        <f>INDEX(Netzzeiten!$C$6:$C$29,HOUR(B1244)+1)</f>
        <v>10.52</v>
      </c>
      <c r="J1244" t="str">
        <f>IF(C1244="","FEHLT",IF(NOT(ISNUMBER(C1244)),"MESSWERT UNGUELTIG",IF(C1244&lt;0,"MESSWERT UNGUELTIG",IF(H1244="","TARIFPREIS FEHLT","OK"))))</f>
        <v>FEHLT</v>
      </c>
      <c r="K1244" s="7">
        <f>IF(J1244&lt;&gt;"OK","",C1244*I1244/100)</f>
        <v/>
      </c>
    </row>
    <row r="1245" spans="1:11">
      <c r="A1245" s="14">
        <v>46155</v>
      </c>
      <c r="B1245" s="15">
        <v>0.90625</v>
      </c>
      <c r="C1245" s="5">
        <f>IF('96 Werte'!CK18="","",'96 Werte'!CK18)</f>
        <v/>
      </c>
      <c r="D1245" t="str">
        <f>IF(IF(Eingaben!$B$21&lt;Eingaben!$B$22,AND(B1245&gt;=Eingaben!$B$21,B1245&lt;Eingaben!$B$22),OR(B1245&gt;=Eingaben!$B$21,B1245&lt;Eingaben!$B$22)),"GO",IF(AND(ISNUMBER(Eingaben!$B$23),ISNUMBER(Eingaben!$B$24),IF(Eingaben!$B$23&lt;Eingaben!$B$24,AND(B1245&gt;=Eingaben!$B$23,B1245&lt;Eingaben!$B$24),OR(B1245&gt;=Eingaben!$B$23,B1245&lt;Eingaben!$B$24))),"HEAT","STANDARD"))</f>
        <v>STANDARD</v>
      </c>
      <c r="E1245" s="9"/>
      <c r="F1245" t="str">
        <f>IF(E1245="",D1245,E1245)</f>
        <v>STANDARD</v>
      </c>
      <c r="G1245" t="str">
        <f>INDEX(Netzzeiten!$B$6:$B$29,HOUR(B1245)+1)</f>
        <v>HT</v>
      </c>
      <c r="H1245" s="6">
        <f>IF(F1245="GO",Eingaben!$B$11,IF(F1245="STANDARD",Eingaben!$B$12,IF(AND(F1245="HEAT",ISNUMBER(Eingaben!$B$13)),Eingaben!$B$13,"")))</f>
        <v>28.2744</v>
      </c>
      <c r="I1245" s="6">
        <f>INDEX(Netzzeiten!$C$6:$C$29,HOUR(B1245)+1)</f>
        <v>10.52</v>
      </c>
      <c r="J1245" t="str">
        <f>IF(C1245="","FEHLT",IF(NOT(ISNUMBER(C1245)),"MESSWERT UNGUELTIG",IF(C1245&lt;0,"MESSWERT UNGUELTIG",IF(H1245="","TARIFPREIS FEHLT","OK"))))</f>
        <v>FEHLT</v>
      </c>
      <c r="K1245" s="7">
        <f>IF(J1245&lt;&gt;"OK","",C1245*I1245/100)</f>
        <v/>
      </c>
    </row>
    <row r="1246" spans="1:11">
      <c r="A1246" s="14">
        <v>46155</v>
      </c>
      <c r="B1246" s="15">
        <v>0.9166666666666666</v>
      </c>
      <c r="C1246" s="5">
        <f>IF('96 Werte'!CL18="","",'96 Werte'!CL18)</f>
        <v/>
      </c>
      <c r="D1246" t="str">
        <f>IF(IF(Eingaben!$B$21&lt;Eingaben!$B$22,AND(B1246&gt;=Eingaben!$B$21,B1246&lt;Eingaben!$B$22),OR(B1246&gt;=Eingaben!$B$21,B1246&lt;Eingaben!$B$22)),"GO",IF(AND(ISNUMBER(Eingaben!$B$23),ISNUMBER(Eingaben!$B$24),IF(Eingaben!$B$23&lt;Eingaben!$B$24,AND(B1246&gt;=Eingaben!$B$23,B1246&lt;Eingaben!$B$24),OR(B1246&gt;=Eingaben!$B$23,B1246&lt;Eingaben!$B$24))),"HEAT","STANDARD"))</f>
        <v>STANDARD</v>
      </c>
      <c r="E1246" s="9"/>
      <c r="F1246" t="str">
        <f>IF(E1246="",D1246,E1246)</f>
        <v>STANDARD</v>
      </c>
      <c r="G1246" t="str">
        <f>INDEX(Netzzeiten!$B$6:$B$29,HOUR(B1246)+1)</f>
        <v>ST</v>
      </c>
      <c r="H1246" s="6">
        <f>IF(F1246="GO",Eingaben!$B$11,IF(F1246="STANDARD",Eingaben!$B$12,IF(AND(F1246="HEAT",ISNUMBER(Eingaben!$B$13)),Eingaben!$B$13,"")))</f>
        <v>28.2744</v>
      </c>
      <c r="I1246" s="6">
        <f>INDEX(Netzzeiten!$C$6:$C$29,HOUR(B1246)+1)</f>
        <v>5.48</v>
      </c>
      <c r="J1246" t="str">
        <f>IF(C1246="","FEHLT",IF(NOT(ISNUMBER(C1246)),"MESSWERT UNGUELTIG",IF(C1246&lt;0,"MESSWERT UNGUELTIG",IF(H1246="","TARIFPREIS FEHLT","OK"))))</f>
        <v>FEHLT</v>
      </c>
      <c r="K1246" s="7">
        <f>IF(J1246&lt;&gt;"OK","",C1246*I1246/100)</f>
        <v/>
      </c>
    </row>
    <row r="1247" spans="1:11">
      <c r="A1247" s="14">
        <v>46155</v>
      </c>
      <c r="B1247" s="15">
        <v>0.9270833333333334</v>
      </c>
      <c r="C1247" s="5">
        <f>IF('96 Werte'!CM18="","",'96 Werte'!CM18)</f>
        <v/>
      </c>
      <c r="D1247" t="str">
        <f>IF(IF(Eingaben!$B$21&lt;Eingaben!$B$22,AND(B1247&gt;=Eingaben!$B$21,B1247&lt;Eingaben!$B$22),OR(B1247&gt;=Eingaben!$B$21,B1247&lt;Eingaben!$B$22)),"GO",IF(AND(ISNUMBER(Eingaben!$B$23),ISNUMBER(Eingaben!$B$24),IF(Eingaben!$B$23&lt;Eingaben!$B$24,AND(B1247&gt;=Eingaben!$B$23,B1247&lt;Eingaben!$B$24),OR(B1247&gt;=Eingaben!$B$23,B1247&lt;Eingaben!$B$24))),"HEAT","STANDARD"))</f>
        <v>STANDARD</v>
      </c>
      <c r="E1247" s="9"/>
      <c r="F1247" t="str">
        <f>IF(E1247="",D1247,E1247)</f>
        <v>STANDARD</v>
      </c>
      <c r="G1247" t="str">
        <f>INDEX(Netzzeiten!$B$6:$B$29,HOUR(B1247)+1)</f>
        <v>ST</v>
      </c>
      <c r="H1247" s="6">
        <f>IF(F1247="GO",Eingaben!$B$11,IF(F1247="STANDARD",Eingaben!$B$12,IF(AND(F1247="HEAT",ISNUMBER(Eingaben!$B$13)),Eingaben!$B$13,"")))</f>
        <v>28.2744</v>
      </c>
      <c r="I1247" s="6">
        <f>INDEX(Netzzeiten!$C$6:$C$29,HOUR(B1247)+1)</f>
        <v>5.48</v>
      </c>
      <c r="J1247" t="str">
        <f>IF(C1247="","FEHLT",IF(NOT(ISNUMBER(C1247)),"MESSWERT UNGUELTIG",IF(C1247&lt;0,"MESSWERT UNGUELTIG",IF(H1247="","TARIFPREIS FEHLT","OK"))))</f>
        <v>FEHLT</v>
      </c>
      <c r="K1247" s="7">
        <f>IF(J1247&lt;&gt;"OK","",C1247*I1247/100)</f>
        <v/>
      </c>
    </row>
    <row r="1248" spans="1:11">
      <c r="A1248" s="14">
        <v>46155</v>
      </c>
      <c r="B1248" s="15">
        <v>0.9375</v>
      </c>
      <c r="C1248" s="5">
        <f>IF('96 Werte'!CN18="","",'96 Werte'!CN18)</f>
        <v/>
      </c>
      <c r="D1248" t="str">
        <f>IF(IF(Eingaben!$B$21&lt;Eingaben!$B$22,AND(B1248&gt;=Eingaben!$B$21,B1248&lt;Eingaben!$B$22),OR(B1248&gt;=Eingaben!$B$21,B1248&lt;Eingaben!$B$22)),"GO",IF(AND(ISNUMBER(Eingaben!$B$23),ISNUMBER(Eingaben!$B$24),IF(Eingaben!$B$23&lt;Eingaben!$B$24,AND(B1248&gt;=Eingaben!$B$23,B1248&lt;Eingaben!$B$24),OR(B1248&gt;=Eingaben!$B$23,B1248&lt;Eingaben!$B$24))),"HEAT","STANDARD"))</f>
        <v>STANDARD</v>
      </c>
      <c r="E1248" s="9"/>
      <c r="F1248" t="str">
        <f>IF(E1248="",D1248,E1248)</f>
        <v>STANDARD</v>
      </c>
      <c r="G1248" t="str">
        <f>INDEX(Netzzeiten!$B$6:$B$29,HOUR(B1248)+1)</f>
        <v>ST</v>
      </c>
      <c r="H1248" s="6">
        <f>IF(F1248="GO",Eingaben!$B$11,IF(F1248="STANDARD",Eingaben!$B$12,IF(AND(F1248="HEAT",ISNUMBER(Eingaben!$B$13)),Eingaben!$B$13,"")))</f>
        <v>28.2744</v>
      </c>
      <c r="I1248" s="6">
        <f>INDEX(Netzzeiten!$C$6:$C$29,HOUR(B1248)+1)</f>
        <v>5.48</v>
      </c>
      <c r="J1248" t="str">
        <f>IF(C1248="","FEHLT",IF(NOT(ISNUMBER(C1248)),"MESSWERT UNGUELTIG",IF(C1248&lt;0,"MESSWERT UNGUELTIG",IF(H1248="","TARIFPREIS FEHLT","OK"))))</f>
        <v>FEHLT</v>
      </c>
      <c r="K1248" s="7">
        <f>IF(J1248&lt;&gt;"OK","",C1248*I1248/100)</f>
        <v/>
      </c>
    </row>
    <row r="1249" spans="1:11">
      <c r="A1249" s="14">
        <v>46155</v>
      </c>
      <c r="B1249" s="15">
        <v>0.9479166666666666</v>
      </c>
      <c r="C1249" s="5">
        <f>IF('96 Werte'!CO18="","",'96 Werte'!CO18)</f>
        <v/>
      </c>
      <c r="D1249" t="str">
        <f>IF(IF(Eingaben!$B$21&lt;Eingaben!$B$22,AND(B1249&gt;=Eingaben!$B$21,B1249&lt;Eingaben!$B$22),OR(B1249&gt;=Eingaben!$B$21,B1249&lt;Eingaben!$B$22)),"GO",IF(AND(ISNUMBER(Eingaben!$B$23),ISNUMBER(Eingaben!$B$24),IF(Eingaben!$B$23&lt;Eingaben!$B$24,AND(B1249&gt;=Eingaben!$B$23,B1249&lt;Eingaben!$B$24),OR(B1249&gt;=Eingaben!$B$23,B1249&lt;Eingaben!$B$24))),"HEAT","STANDARD"))</f>
        <v>STANDARD</v>
      </c>
      <c r="E1249" s="9"/>
      <c r="F1249" t="str">
        <f>IF(E1249="",D1249,E1249)</f>
        <v>STANDARD</v>
      </c>
      <c r="G1249" t="str">
        <f>INDEX(Netzzeiten!$B$6:$B$29,HOUR(B1249)+1)</f>
        <v>ST</v>
      </c>
      <c r="H1249" s="6">
        <f>IF(F1249="GO",Eingaben!$B$11,IF(F1249="STANDARD",Eingaben!$B$12,IF(AND(F1249="HEAT",ISNUMBER(Eingaben!$B$13)),Eingaben!$B$13,"")))</f>
        <v>28.2744</v>
      </c>
      <c r="I1249" s="6">
        <f>INDEX(Netzzeiten!$C$6:$C$29,HOUR(B1249)+1)</f>
        <v>5.48</v>
      </c>
      <c r="J1249" t="str">
        <f>IF(C1249="","FEHLT",IF(NOT(ISNUMBER(C1249)),"MESSWERT UNGUELTIG",IF(C1249&lt;0,"MESSWERT UNGUELTIG",IF(H1249="","TARIFPREIS FEHLT","OK"))))</f>
        <v>FEHLT</v>
      </c>
      <c r="K1249" s="7">
        <f>IF(J1249&lt;&gt;"OK","",C1249*I1249/100)</f>
        <v/>
      </c>
    </row>
    <row r="1250" spans="1:11">
      <c r="A1250" s="14">
        <v>46155</v>
      </c>
      <c r="B1250" s="15">
        <v>0.9583333333333334</v>
      </c>
      <c r="C1250" s="5">
        <f>IF('96 Werte'!CP18="","",'96 Werte'!CP18)</f>
        <v/>
      </c>
      <c r="D1250" t="str">
        <f>IF(IF(Eingaben!$B$21&lt;Eingaben!$B$22,AND(B1250&gt;=Eingaben!$B$21,B1250&lt;Eingaben!$B$22),OR(B1250&gt;=Eingaben!$B$21,B1250&lt;Eingaben!$B$22)),"GO",IF(AND(ISNUMBER(Eingaben!$B$23),ISNUMBER(Eingaben!$B$24),IF(Eingaben!$B$23&lt;Eingaben!$B$24,AND(B1250&gt;=Eingaben!$B$23,B1250&lt;Eingaben!$B$24),OR(B1250&gt;=Eingaben!$B$23,B1250&lt;Eingaben!$B$24))),"HEAT","STANDARD"))</f>
        <v>STANDARD</v>
      </c>
      <c r="E1250" s="9"/>
      <c r="F1250" t="str">
        <f>IF(E1250="",D1250,E1250)</f>
        <v>STANDARD</v>
      </c>
      <c r="G1250" t="str">
        <f>INDEX(Netzzeiten!$B$6:$B$29,HOUR(B1250)+1)</f>
        <v>NT</v>
      </c>
      <c r="H1250" s="6">
        <f>IF(F1250="GO",Eingaben!$B$11,IF(F1250="STANDARD",Eingaben!$B$12,IF(AND(F1250="HEAT",ISNUMBER(Eingaben!$B$13)),Eingaben!$B$13,"")))</f>
        <v>28.2744</v>
      </c>
      <c r="I1250" s="6">
        <f>INDEX(Netzzeiten!$C$6:$C$29,HOUR(B1250)+1)</f>
        <v>1.64</v>
      </c>
      <c r="J1250" t="str">
        <f>IF(C1250="","FEHLT",IF(NOT(ISNUMBER(C1250)),"MESSWERT UNGUELTIG",IF(C1250&lt;0,"MESSWERT UNGUELTIG",IF(H1250="","TARIFPREIS FEHLT","OK"))))</f>
        <v>FEHLT</v>
      </c>
      <c r="K1250" s="7">
        <f>IF(J1250&lt;&gt;"OK","",C1250*I1250/100)</f>
        <v/>
      </c>
    </row>
    <row r="1251" spans="1:11">
      <c r="A1251" s="14">
        <v>46155</v>
      </c>
      <c r="B1251" s="15">
        <v>0.96875</v>
      </c>
      <c r="C1251" s="5">
        <f>IF('96 Werte'!CQ18="","",'96 Werte'!CQ18)</f>
        <v/>
      </c>
      <c r="D1251" t="str">
        <f>IF(IF(Eingaben!$B$21&lt;Eingaben!$B$22,AND(B1251&gt;=Eingaben!$B$21,B1251&lt;Eingaben!$B$22),OR(B1251&gt;=Eingaben!$B$21,B1251&lt;Eingaben!$B$22)),"GO",IF(AND(ISNUMBER(Eingaben!$B$23),ISNUMBER(Eingaben!$B$24),IF(Eingaben!$B$23&lt;Eingaben!$B$24,AND(B1251&gt;=Eingaben!$B$23,B1251&lt;Eingaben!$B$24),OR(B1251&gt;=Eingaben!$B$23,B1251&lt;Eingaben!$B$24))),"HEAT","STANDARD"))</f>
        <v>STANDARD</v>
      </c>
      <c r="E1251" s="9"/>
      <c r="F1251" t="str">
        <f>IF(E1251="",D1251,E1251)</f>
        <v>STANDARD</v>
      </c>
      <c r="G1251" t="str">
        <f>INDEX(Netzzeiten!$B$6:$B$29,HOUR(B1251)+1)</f>
        <v>NT</v>
      </c>
      <c r="H1251" s="6">
        <f>IF(F1251="GO",Eingaben!$B$11,IF(F1251="STANDARD",Eingaben!$B$12,IF(AND(F1251="HEAT",ISNUMBER(Eingaben!$B$13)),Eingaben!$B$13,"")))</f>
        <v>28.2744</v>
      </c>
      <c r="I1251" s="6">
        <f>INDEX(Netzzeiten!$C$6:$C$29,HOUR(B1251)+1)</f>
        <v>1.64</v>
      </c>
      <c r="J1251" t="str">
        <f>IF(C1251="","FEHLT",IF(NOT(ISNUMBER(C1251)),"MESSWERT UNGUELTIG",IF(C1251&lt;0,"MESSWERT UNGUELTIG",IF(H1251="","TARIFPREIS FEHLT","OK"))))</f>
        <v>FEHLT</v>
      </c>
      <c r="K1251" s="7">
        <f>IF(J1251&lt;&gt;"OK","",C1251*I1251/100)</f>
        <v/>
      </c>
    </row>
    <row r="1252" spans="1:11">
      <c r="A1252" s="14">
        <v>46155</v>
      </c>
      <c r="B1252" s="15">
        <v>0.9791666666666666</v>
      </c>
      <c r="C1252" s="5">
        <f>IF('96 Werte'!CR18="","",'96 Werte'!CR18)</f>
        <v/>
      </c>
      <c r="D1252" t="str">
        <f>IF(IF(Eingaben!$B$21&lt;Eingaben!$B$22,AND(B1252&gt;=Eingaben!$B$21,B1252&lt;Eingaben!$B$22),OR(B1252&gt;=Eingaben!$B$21,B1252&lt;Eingaben!$B$22)),"GO",IF(AND(ISNUMBER(Eingaben!$B$23),ISNUMBER(Eingaben!$B$24),IF(Eingaben!$B$23&lt;Eingaben!$B$24,AND(B1252&gt;=Eingaben!$B$23,B1252&lt;Eingaben!$B$24),OR(B1252&gt;=Eingaben!$B$23,B1252&lt;Eingaben!$B$24))),"HEAT","STANDARD"))</f>
        <v>STANDARD</v>
      </c>
      <c r="E1252" s="9"/>
      <c r="F1252" t="str">
        <f>IF(E1252="",D1252,E1252)</f>
        <v>STANDARD</v>
      </c>
      <c r="G1252" t="str">
        <f>INDEX(Netzzeiten!$B$6:$B$29,HOUR(B1252)+1)</f>
        <v>NT</v>
      </c>
      <c r="H1252" s="6">
        <f>IF(F1252="GO",Eingaben!$B$11,IF(F1252="STANDARD",Eingaben!$B$12,IF(AND(F1252="HEAT",ISNUMBER(Eingaben!$B$13)),Eingaben!$B$13,"")))</f>
        <v>28.2744</v>
      </c>
      <c r="I1252" s="6">
        <f>INDEX(Netzzeiten!$C$6:$C$29,HOUR(B1252)+1)</f>
        <v>1.64</v>
      </c>
      <c r="J1252" t="str">
        <f>IF(C1252="","FEHLT",IF(NOT(ISNUMBER(C1252)),"MESSWERT UNGUELTIG",IF(C1252&lt;0,"MESSWERT UNGUELTIG",IF(H1252="","TARIFPREIS FEHLT","OK"))))</f>
        <v>FEHLT</v>
      </c>
      <c r="K1252" s="7">
        <f>IF(J1252&lt;&gt;"OK","",C1252*I1252/100)</f>
        <v/>
      </c>
    </row>
    <row r="1253" spans="1:11">
      <c r="A1253" s="14">
        <v>46155</v>
      </c>
      <c r="B1253" s="15">
        <v>0.9895833333333334</v>
      </c>
      <c r="C1253" s="5">
        <f>IF('96 Werte'!CS18="","",'96 Werte'!CS18)</f>
        <v/>
      </c>
      <c r="D1253" t="str">
        <f>IF(IF(Eingaben!$B$21&lt;Eingaben!$B$22,AND(B1253&gt;=Eingaben!$B$21,B1253&lt;Eingaben!$B$22),OR(B1253&gt;=Eingaben!$B$21,B1253&lt;Eingaben!$B$22)),"GO",IF(AND(ISNUMBER(Eingaben!$B$23),ISNUMBER(Eingaben!$B$24),IF(Eingaben!$B$23&lt;Eingaben!$B$24,AND(B1253&gt;=Eingaben!$B$23,B1253&lt;Eingaben!$B$24),OR(B1253&gt;=Eingaben!$B$23,B1253&lt;Eingaben!$B$24))),"HEAT","STANDARD"))</f>
        <v>STANDARD</v>
      </c>
      <c r="E1253" s="9"/>
      <c r="F1253" t="str">
        <f>IF(E1253="",D1253,E1253)</f>
        <v>STANDARD</v>
      </c>
      <c r="G1253" t="str">
        <f>INDEX(Netzzeiten!$B$6:$B$29,HOUR(B1253)+1)</f>
        <v>NT</v>
      </c>
      <c r="H1253" s="6">
        <f>IF(F1253="GO",Eingaben!$B$11,IF(F1253="STANDARD",Eingaben!$B$12,IF(AND(F1253="HEAT",ISNUMBER(Eingaben!$B$13)),Eingaben!$B$13,"")))</f>
        <v>28.2744</v>
      </c>
      <c r="I1253" s="6">
        <f>INDEX(Netzzeiten!$C$6:$C$29,HOUR(B1253)+1)</f>
        <v>1.64</v>
      </c>
      <c r="J1253" t="str">
        <f>IF(C1253="","FEHLT",IF(NOT(ISNUMBER(C1253)),"MESSWERT UNGUELTIG",IF(C1253&lt;0,"MESSWERT UNGUELTIG",IF(H1253="","TARIFPREIS FEHLT","OK"))))</f>
        <v>FEHLT</v>
      </c>
      <c r="K1253" s="7">
        <f>IF(J1253&lt;&gt;"OK","",C1253*I1253/100)</f>
        <v/>
      </c>
    </row>
    <row r="1254" spans="1:11">
      <c r="A1254" s="14">
        <v>46156</v>
      </c>
      <c r="B1254" s="15">
        <v>0</v>
      </c>
      <c r="C1254" s="5">
        <f>IF('96 Werte'!B19="","",'96 Werte'!B19)</f>
        <v/>
      </c>
      <c r="D1254" t="str">
        <f>IF(IF(Eingaben!$B$21&lt;Eingaben!$B$22,AND(B1254&gt;=Eingaben!$B$21,B1254&lt;Eingaben!$B$22),OR(B1254&gt;=Eingaben!$B$21,B1254&lt;Eingaben!$B$22)),"GO",IF(AND(ISNUMBER(Eingaben!$B$23),ISNUMBER(Eingaben!$B$24),IF(Eingaben!$B$23&lt;Eingaben!$B$24,AND(B1254&gt;=Eingaben!$B$23,B1254&lt;Eingaben!$B$24),OR(B1254&gt;=Eingaben!$B$23,B1254&lt;Eingaben!$B$24))),"HEAT","STANDARD"))</f>
        <v>GO</v>
      </c>
      <c r="E1254" s="9"/>
      <c r="F1254" t="str">
        <f>IF(E1254="",D1254,E1254)</f>
        <v>GO</v>
      </c>
      <c r="G1254" t="str">
        <f>INDEX(Netzzeiten!$B$6:$B$29,HOUR(B1254)+1)</f>
        <v>NT</v>
      </c>
      <c r="H1254" s="6">
        <f>IF(F1254="GO",Eingaben!$B$11,IF(F1254="STANDARD",Eingaben!$B$12,IF(AND(F1254="HEAT",ISNUMBER(Eingaben!$B$13)),Eingaben!$B$13,"")))</f>
        <v>15.0654</v>
      </c>
      <c r="I1254" s="6">
        <f>INDEX(Netzzeiten!$C$6:$C$29,HOUR(B1254)+1)</f>
        <v>1.64</v>
      </c>
      <c r="J1254" t="str">
        <f>IF(C1254="","FEHLT",IF(NOT(ISNUMBER(C1254)),"MESSWERT UNGUELTIG",IF(C1254&lt;0,"MESSWERT UNGUELTIG",IF(H1254="","TARIFPREIS FEHLT","OK"))))</f>
        <v>FEHLT</v>
      </c>
      <c r="K1254" s="7">
        <f>IF(J1254&lt;&gt;"OK","",C1254*I1254/100)</f>
        <v/>
      </c>
    </row>
    <row r="1255" spans="1:11">
      <c r="A1255" s="14">
        <v>46156</v>
      </c>
      <c r="B1255" s="15">
        <v>0.01041666666666667</v>
      </c>
      <c r="C1255" s="5">
        <f>IF('96 Werte'!C19="","",'96 Werte'!C19)</f>
        <v/>
      </c>
      <c r="D1255" t="str">
        <f>IF(IF(Eingaben!$B$21&lt;Eingaben!$B$22,AND(B1255&gt;=Eingaben!$B$21,B1255&lt;Eingaben!$B$22),OR(B1255&gt;=Eingaben!$B$21,B1255&lt;Eingaben!$B$22)),"GO",IF(AND(ISNUMBER(Eingaben!$B$23),ISNUMBER(Eingaben!$B$24),IF(Eingaben!$B$23&lt;Eingaben!$B$24,AND(B1255&gt;=Eingaben!$B$23,B1255&lt;Eingaben!$B$24),OR(B1255&gt;=Eingaben!$B$23,B1255&lt;Eingaben!$B$24))),"HEAT","STANDARD"))</f>
        <v>GO</v>
      </c>
      <c r="E1255" s="9"/>
      <c r="F1255" t="str">
        <f>IF(E1255="",D1255,E1255)</f>
        <v>GO</v>
      </c>
      <c r="G1255" t="str">
        <f>INDEX(Netzzeiten!$B$6:$B$29,HOUR(B1255)+1)</f>
        <v>NT</v>
      </c>
      <c r="H1255" s="6">
        <f>IF(F1255="GO",Eingaben!$B$11,IF(F1255="STANDARD",Eingaben!$B$12,IF(AND(F1255="HEAT",ISNUMBER(Eingaben!$B$13)),Eingaben!$B$13,"")))</f>
        <v>15.0654</v>
      </c>
      <c r="I1255" s="6">
        <f>INDEX(Netzzeiten!$C$6:$C$29,HOUR(B1255)+1)</f>
        <v>1.64</v>
      </c>
      <c r="J1255" t="str">
        <f>IF(C1255="","FEHLT",IF(NOT(ISNUMBER(C1255)),"MESSWERT UNGUELTIG",IF(C1255&lt;0,"MESSWERT UNGUELTIG",IF(H1255="","TARIFPREIS FEHLT","OK"))))</f>
        <v>FEHLT</v>
      </c>
      <c r="K1255" s="7">
        <f>IF(J1255&lt;&gt;"OK","",C1255*I1255/100)</f>
        <v/>
      </c>
    </row>
    <row r="1256" spans="1:11">
      <c r="A1256" s="14">
        <v>46156</v>
      </c>
      <c r="B1256" s="15">
        <v>0.02083333333333333</v>
      </c>
      <c r="C1256" s="5">
        <f>IF('96 Werte'!D19="","",'96 Werte'!D19)</f>
        <v/>
      </c>
      <c r="D1256" t="str">
        <f>IF(IF(Eingaben!$B$21&lt;Eingaben!$B$22,AND(B1256&gt;=Eingaben!$B$21,B1256&lt;Eingaben!$B$22),OR(B1256&gt;=Eingaben!$B$21,B1256&lt;Eingaben!$B$22)),"GO",IF(AND(ISNUMBER(Eingaben!$B$23),ISNUMBER(Eingaben!$B$24),IF(Eingaben!$B$23&lt;Eingaben!$B$24,AND(B1256&gt;=Eingaben!$B$23,B1256&lt;Eingaben!$B$24),OR(B1256&gt;=Eingaben!$B$23,B1256&lt;Eingaben!$B$24))),"HEAT","STANDARD"))</f>
        <v>GO</v>
      </c>
      <c r="E1256" s="9"/>
      <c r="F1256" t="str">
        <f>IF(E1256="",D1256,E1256)</f>
        <v>GO</v>
      </c>
      <c r="G1256" t="str">
        <f>INDEX(Netzzeiten!$B$6:$B$29,HOUR(B1256)+1)</f>
        <v>NT</v>
      </c>
      <c r="H1256" s="6">
        <f>IF(F1256="GO",Eingaben!$B$11,IF(F1256="STANDARD",Eingaben!$B$12,IF(AND(F1256="HEAT",ISNUMBER(Eingaben!$B$13)),Eingaben!$B$13,"")))</f>
        <v>15.0654</v>
      </c>
      <c r="I1256" s="6">
        <f>INDEX(Netzzeiten!$C$6:$C$29,HOUR(B1256)+1)</f>
        <v>1.64</v>
      </c>
      <c r="J1256" t="str">
        <f>IF(C1256="","FEHLT",IF(NOT(ISNUMBER(C1256)),"MESSWERT UNGUELTIG",IF(C1256&lt;0,"MESSWERT UNGUELTIG",IF(H1256="","TARIFPREIS FEHLT","OK"))))</f>
        <v>FEHLT</v>
      </c>
      <c r="K1256" s="7">
        <f>IF(J1256&lt;&gt;"OK","",C1256*I1256/100)</f>
        <v/>
      </c>
    </row>
    <row r="1257" spans="1:11">
      <c r="A1257" s="14">
        <v>46156</v>
      </c>
      <c r="B1257" s="15">
        <v>0.03125</v>
      </c>
      <c r="C1257" s="5">
        <f>IF('96 Werte'!E19="","",'96 Werte'!E19)</f>
        <v/>
      </c>
      <c r="D1257" t="str">
        <f>IF(IF(Eingaben!$B$21&lt;Eingaben!$B$22,AND(B1257&gt;=Eingaben!$B$21,B1257&lt;Eingaben!$B$22),OR(B1257&gt;=Eingaben!$B$21,B1257&lt;Eingaben!$B$22)),"GO",IF(AND(ISNUMBER(Eingaben!$B$23),ISNUMBER(Eingaben!$B$24),IF(Eingaben!$B$23&lt;Eingaben!$B$24,AND(B1257&gt;=Eingaben!$B$23,B1257&lt;Eingaben!$B$24),OR(B1257&gt;=Eingaben!$B$23,B1257&lt;Eingaben!$B$24))),"HEAT","STANDARD"))</f>
        <v>GO</v>
      </c>
      <c r="E1257" s="9"/>
      <c r="F1257" t="str">
        <f>IF(E1257="",D1257,E1257)</f>
        <v>GO</v>
      </c>
      <c r="G1257" t="str">
        <f>INDEX(Netzzeiten!$B$6:$B$29,HOUR(B1257)+1)</f>
        <v>NT</v>
      </c>
      <c r="H1257" s="6">
        <f>IF(F1257="GO",Eingaben!$B$11,IF(F1257="STANDARD",Eingaben!$B$12,IF(AND(F1257="HEAT",ISNUMBER(Eingaben!$B$13)),Eingaben!$B$13,"")))</f>
        <v>15.0654</v>
      </c>
      <c r="I1257" s="6">
        <f>INDEX(Netzzeiten!$C$6:$C$29,HOUR(B1257)+1)</f>
        <v>1.64</v>
      </c>
      <c r="J1257" t="str">
        <f>IF(C1257="","FEHLT",IF(NOT(ISNUMBER(C1257)),"MESSWERT UNGUELTIG",IF(C1257&lt;0,"MESSWERT UNGUELTIG",IF(H1257="","TARIFPREIS FEHLT","OK"))))</f>
        <v>FEHLT</v>
      </c>
      <c r="K1257" s="7">
        <f>IF(J1257&lt;&gt;"OK","",C1257*I1257/100)</f>
        <v/>
      </c>
    </row>
    <row r="1258" spans="1:11">
      <c r="A1258" s="14">
        <v>46156</v>
      </c>
      <c r="B1258" s="15">
        <v>0.04166666666666666</v>
      </c>
      <c r="C1258" s="5">
        <f>IF('96 Werte'!F19="","",'96 Werte'!F19)</f>
        <v/>
      </c>
      <c r="D1258" t="str">
        <f>IF(IF(Eingaben!$B$21&lt;Eingaben!$B$22,AND(B1258&gt;=Eingaben!$B$21,B1258&lt;Eingaben!$B$22),OR(B1258&gt;=Eingaben!$B$21,B1258&lt;Eingaben!$B$22)),"GO",IF(AND(ISNUMBER(Eingaben!$B$23),ISNUMBER(Eingaben!$B$24),IF(Eingaben!$B$23&lt;Eingaben!$B$24,AND(B1258&gt;=Eingaben!$B$23,B1258&lt;Eingaben!$B$24),OR(B1258&gt;=Eingaben!$B$23,B1258&lt;Eingaben!$B$24))),"HEAT","STANDARD"))</f>
        <v>GO</v>
      </c>
      <c r="E1258" s="9"/>
      <c r="F1258" t="str">
        <f>IF(E1258="",D1258,E1258)</f>
        <v>GO</v>
      </c>
      <c r="G1258" t="str">
        <f>INDEX(Netzzeiten!$B$6:$B$29,HOUR(B1258)+1)</f>
        <v>NT</v>
      </c>
      <c r="H1258" s="6">
        <f>IF(F1258="GO",Eingaben!$B$11,IF(F1258="STANDARD",Eingaben!$B$12,IF(AND(F1258="HEAT",ISNUMBER(Eingaben!$B$13)),Eingaben!$B$13,"")))</f>
        <v>15.0654</v>
      </c>
      <c r="I1258" s="6">
        <f>INDEX(Netzzeiten!$C$6:$C$29,HOUR(B1258)+1)</f>
        <v>1.64</v>
      </c>
      <c r="J1258" t="str">
        <f>IF(C1258="","FEHLT",IF(NOT(ISNUMBER(C1258)),"MESSWERT UNGUELTIG",IF(C1258&lt;0,"MESSWERT UNGUELTIG",IF(H1258="","TARIFPREIS FEHLT","OK"))))</f>
        <v>FEHLT</v>
      </c>
      <c r="K1258" s="7">
        <f>IF(J1258&lt;&gt;"OK","",C1258*I1258/100)</f>
        <v/>
      </c>
    </row>
    <row r="1259" spans="1:11">
      <c r="A1259" s="14">
        <v>46156</v>
      </c>
      <c r="B1259" s="15">
        <v>0.05208333333333334</v>
      </c>
      <c r="C1259" s="5">
        <f>IF('96 Werte'!G19="","",'96 Werte'!G19)</f>
        <v/>
      </c>
      <c r="D1259" t="str">
        <f>IF(IF(Eingaben!$B$21&lt;Eingaben!$B$22,AND(B1259&gt;=Eingaben!$B$21,B1259&lt;Eingaben!$B$22),OR(B1259&gt;=Eingaben!$B$21,B1259&lt;Eingaben!$B$22)),"GO",IF(AND(ISNUMBER(Eingaben!$B$23),ISNUMBER(Eingaben!$B$24),IF(Eingaben!$B$23&lt;Eingaben!$B$24,AND(B1259&gt;=Eingaben!$B$23,B1259&lt;Eingaben!$B$24),OR(B1259&gt;=Eingaben!$B$23,B1259&lt;Eingaben!$B$24))),"HEAT","STANDARD"))</f>
        <v>GO</v>
      </c>
      <c r="E1259" s="9"/>
      <c r="F1259" t="str">
        <f>IF(E1259="",D1259,E1259)</f>
        <v>GO</v>
      </c>
      <c r="G1259" t="str">
        <f>INDEX(Netzzeiten!$B$6:$B$29,HOUR(B1259)+1)</f>
        <v>NT</v>
      </c>
      <c r="H1259" s="6">
        <f>IF(F1259="GO",Eingaben!$B$11,IF(F1259="STANDARD",Eingaben!$B$12,IF(AND(F1259="HEAT",ISNUMBER(Eingaben!$B$13)),Eingaben!$B$13,"")))</f>
        <v>15.0654</v>
      </c>
      <c r="I1259" s="6">
        <f>INDEX(Netzzeiten!$C$6:$C$29,HOUR(B1259)+1)</f>
        <v>1.64</v>
      </c>
      <c r="J1259" t="str">
        <f>IF(C1259="","FEHLT",IF(NOT(ISNUMBER(C1259)),"MESSWERT UNGUELTIG",IF(C1259&lt;0,"MESSWERT UNGUELTIG",IF(H1259="","TARIFPREIS FEHLT","OK"))))</f>
        <v>FEHLT</v>
      </c>
      <c r="K1259" s="7">
        <f>IF(J1259&lt;&gt;"OK","",C1259*I1259/100)</f>
        <v/>
      </c>
    </row>
    <row r="1260" spans="1:11">
      <c r="A1260" s="14">
        <v>46156</v>
      </c>
      <c r="B1260" s="15">
        <v>0.0625</v>
      </c>
      <c r="C1260" s="5">
        <f>IF('96 Werte'!H19="","",'96 Werte'!H19)</f>
        <v/>
      </c>
      <c r="D1260" t="str">
        <f>IF(IF(Eingaben!$B$21&lt;Eingaben!$B$22,AND(B1260&gt;=Eingaben!$B$21,B1260&lt;Eingaben!$B$22),OR(B1260&gt;=Eingaben!$B$21,B1260&lt;Eingaben!$B$22)),"GO",IF(AND(ISNUMBER(Eingaben!$B$23),ISNUMBER(Eingaben!$B$24),IF(Eingaben!$B$23&lt;Eingaben!$B$24,AND(B1260&gt;=Eingaben!$B$23,B1260&lt;Eingaben!$B$24),OR(B1260&gt;=Eingaben!$B$23,B1260&lt;Eingaben!$B$24))),"HEAT","STANDARD"))</f>
        <v>GO</v>
      </c>
      <c r="E1260" s="9"/>
      <c r="F1260" t="str">
        <f>IF(E1260="",D1260,E1260)</f>
        <v>GO</v>
      </c>
      <c r="G1260" t="str">
        <f>INDEX(Netzzeiten!$B$6:$B$29,HOUR(B1260)+1)</f>
        <v>NT</v>
      </c>
      <c r="H1260" s="6">
        <f>IF(F1260="GO",Eingaben!$B$11,IF(F1260="STANDARD",Eingaben!$B$12,IF(AND(F1260="HEAT",ISNUMBER(Eingaben!$B$13)),Eingaben!$B$13,"")))</f>
        <v>15.0654</v>
      </c>
      <c r="I1260" s="6">
        <f>INDEX(Netzzeiten!$C$6:$C$29,HOUR(B1260)+1)</f>
        <v>1.64</v>
      </c>
      <c r="J1260" t="str">
        <f>IF(C1260="","FEHLT",IF(NOT(ISNUMBER(C1260)),"MESSWERT UNGUELTIG",IF(C1260&lt;0,"MESSWERT UNGUELTIG",IF(H1260="","TARIFPREIS FEHLT","OK"))))</f>
        <v>FEHLT</v>
      </c>
      <c r="K1260" s="7">
        <f>IF(J1260&lt;&gt;"OK","",C1260*I1260/100)</f>
        <v/>
      </c>
    </row>
    <row r="1261" spans="1:11">
      <c r="A1261" s="14">
        <v>46156</v>
      </c>
      <c r="B1261" s="15">
        <v>0.07291666666666667</v>
      </c>
      <c r="C1261" s="5">
        <f>IF('96 Werte'!I19="","",'96 Werte'!I19)</f>
        <v/>
      </c>
      <c r="D1261" t="str">
        <f>IF(IF(Eingaben!$B$21&lt;Eingaben!$B$22,AND(B1261&gt;=Eingaben!$B$21,B1261&lt;Eingaben!$B$22),OR(B1261&gt;=Eingaben!$B$21,B1261&lt;Eingaben!$B$22)),"GO",IF(AND(ISNUMBER(Eingaben!$B$23),ISNUMBER(Eingaben!$B$24),IF(Eingaben!$B$23&lt;Eingaben!$B$24,AND(B1261&gt;=Eingaben!$B$23,B1261&lt;Eingaben!$B$24),OR(B1261&gt;=Eingaben!$B$23,B1261&lt;Eingaben!$B$24))),"HEAT","STANDARD"))</f>
        <v>GO</v>
      </c>
      <c r="E1261" s="9"/>
      <c r="F1261" t="str">
        <f>IF(E1261="",D1261,E1261)</f>
        <v>GO</v>
      </c>
      <c r="G1261" t="str">
        <f>INDEX(Netzzeiten!$B$6:$B$29,HOUR(B1261)+1)</f>
        <v>NT</v>
      </c>
      <c r="H1261" s="6">
        <f>IF(F1261="GO",Eingaben!$B$11,IF(F1261="STANDARD",Eingaben!$B$12,IF(AND(F1261="HEAT",ISNUMBER(Eingaben!$B$13)),Eingaben!$B$13,"")))</f>
        <v>15.0654</v>
      </c>
      <c r="I1261" s="6">
        <f>INDEX(Netzzeiten!$C$6:$C$29,HOUR(B1261)+1)</f>
        <v>1.64</v>
      </c>
      <c r="J1261" t="str">
        <f>IF(C1261="","FEHLT",IF(NOT(ISNUMBER(C1261)),"MESSWERT UNGUELTIG",IF(C1261&lt;0,"MESSWERT UNGUELTIG",IF(H1261="","TARIFPREIS FEHLT","OK"))))</f>
        <v>FEHLT</v>
      </c>
      <c r="K1261" s="7">
        <f>IF(J1261&lt;&gt;"OK","",C1261*I1261/100)</f>
        <v/>
      </c>
    </row>
    <row r="1262" spans="1:11">
      <c r="A1262" s="14">
        <v>46156</v>
      </c>
      <c r="B1262" s="15">
        <v>0.08333333333333333</v>
      </c>
      <c r="C1262" s="5">
        <f>IF('96 Werte'!J19="","",'96 Werte'!J19)</f>
        <v/>
      </c>
      <c r="D1262" t="str">
        <f>IF(IF(Eingaben!$B$21&lt;Eingaben!$B$22,AND(B1262&gt;=Eingaben!$B$21,B1262&lt;Eingaben!$B$22),OR(B1262&gt;=Eingaben!$B$21,B1262&lt;Eingaben!$B$22)),"GO",IF(AND(ISNUMBER(Eingaben!$B$23),ISNUMBER(Eingaben!$B$24),IF(Eingaben!$B$23&lt;Eingaben!$B$24,AND(B1262&gt;=Eingaben!$B$23,B1262&lt;Eingaben!$B$24),OR(B1262&gt;=Eingaben!$B$23,B1262&lt;Eingaben!$B$24))),"HEAT","STANDARD"))</f>
        <v>GO</v>
      </c>
      <c r="E1262" s="9"/>
      <c r="F1262" t="str">
        <f>IF(E1262="",D1262,E1262)</f>
        <v>GO</v>
      </c>
      <c r="G1262" t="str">
        <f>INDEX(Netzzeiten!$B$6:$B$29,HOUR(B1262)+1)</f>
        <v>NT</v>
      </c>
      <c r="H1262" s="6">
        <f>IF(F1262="GO",Eingaben!$B$11,IF(F1262="STANDARD",Eingaben!$B$12,IF(AND(F1262="HEAT",ISNUMBER(Eingaben!$B$13)),Eingaben!$B$13,"")))</f>
        <v>15.0654</v>
      </c>
      <c r="I1262" s="6">
        <f>INDEX(Netzzeiten!$C$6:$C$29,HOUR(B1262)+1)</f>
        <v>1.64</v>
      </c>
      <c r="J1262" t="str">
        <f>IF(C1262="","FEHLT",IF(NOT(ISNUMBER(C1262)),"MESSWERT UNGUELTIG",IF(C1262&lt;0,"MESSWERT UNGUELTIG",IF(H1262="","TARIFPREIS FEHLT","OK"))))</f>
        <v>FEHLT</v>
      </c>
      <c r="K1262" s="7">
        <f>IF(J1262&lt;&gt;"OK","",C1262*I1262/100)</f>
        <v/>
      </c>
    </row>
    <row r="1263" spans="1:11">
      <c r="A1263" s="14">
        <v>46156</v>
      </c>
      <c r="B1263" s="15">
        <v>0.09375</v>
      </c>
      <c r="C1263" s="5">
        <f>IF('96 Werte'!K19="","",'96 Werte'!K19)</f>
        <v/>
      </c>
      <c r="D1263" t="str">
        <f>IF(IF(Eingaben!$B$21&lt;Eingaben!$B$22,AND(B1263&gt;=Eingaben!$B$21,B1263&lt;Eingaben!$B$22),OR(B1263&gt;=Eingaben!$B$21,B1263&lt;Eingaben!$B$22)),"GO",IF(AND(ISNUMBER(Eingaben!$B$23),ISNUMBER(Eingaben!$B$24),IF(Eingaben!$B$23&lt;Eingaben!$B$24,AND(B1263&gt;=Eingaben!$B$23,B1263&lt;Eingaben!$B$24),OR(B1263&gt;=Eingaben!$B$23,B1263&lt;Eingaben!$B$24))),"HEAT","STANDARD"))</f>
        <v>GO</v>
      </c>
      <c r="E1263" s="9"/>
      <c r="F1263" t="str">
        <f>IF(E1263="",D1263,E1263)</f>
        <v>GO</v>
      </c>
      <c r="G1263" t="str">
        <f>INDEX(Netzzeiten!$B$6:$B$29,HOUR(B1263)+1)</f>
        <v>NT</v>
      </c>
      <c r="H1263" s="6">
        <f>IF(F1263="GO",Eingaben!$B$11,IF(F1263="STANDARD",Eingaben!$B$12,IF(AND(F1263="HEAT",ISNUMBER(Eingaben!$B$13)),Eingaben!$B$13,"")))</f>
        <v>15.0654</v>
      </c>
      <c r="I1263" s="6">
        <f>INDEX(Netzzeiten!$C$6:$C$29,HOUR(B1263)+1)</f>
        <v>1.64</v>
      </c>
      <c r="J1263" t="str">
        <f>IF(C1263="","FEHLT",IF(NOT(ISNUMBER(C1263)),"MESSWERT UNGUELTIG",IF(C1263&lt;0,"MESSWERT UNGUELTIG",IF(H1263="","TARIFPREIS FEHLT","OK"))))</f>
        <v>FEHLT</v>
      </c>
      <c r="K1263" s="7">
        <f>IF(J1263&lt;&gt;"OK","",C1263*I1263/100)</f>
        <v/>
      </c>
    </row>
    <row r="1264" spans="1:11">
      <c r="A1264" s="14">
        <v>46156</v>
      </c>
      <c r="B1264" s="15">
        <v>0.1041666666666667</v>
      </c>
      <c r="C1264" s="5">
        <f>IF('96 Werte'!L19="","",'96 Werte'!L19)</f>
        <v/>
      </c>
      <c r="D1264" t="str">
        <f>IF(IF(Eingaben!$B$21&lt;Eingaben!$B$22,AND(B1264&gt;=Eingaben!$B$21,B1264&lt;Eingaben!$B$22),OR(B1264&gt;=Eingaben!$B$21,B1264&lt;Eingaben!$B$22)),"GO",IF(AND(ISNUMBER(Eingaben!$B$23),ISNUMBER(Eingaben!$B$24),IF(Eingaben!$B$23&lt;Eingaben!$B$24,AND(B1264&gt;=Eingaben!$B$23,B1264&lt;Eingaben!$B$24),OR(B1264&gt;=Eingaben!$B$23,B1264&lt;Eingaben!$B$24))),"HEAT","STANDARD"))</f>
        <v>GO</v>
      </c>
      <c r="E1264" s="9"/>
      <c r="F1264" t="str">
        <f>IF(E1264="",D1264,E1264)</f>
        <v>GO</v>
      </c>
      <c r="G1264" t="str">
        <f>INDEX(Netzzeiten!$B$6:$B$29,HOUR(B1264)+1)</f>
        <v>NT</v>
      </c>
      <c r="H1264" s="6">
        <f>IF(F1264="GO",Eingaben!$B$11,IF(F1264="STANDARD",Eingaben!$B$12,IF(AND(F1264="HEAT",ISNUMBER(Eingaben!$B$13)),Eingaben!$B$13,"")))</f>
        <v>15.0654</v>
      </c>
      <c r="I1264" s="6">
        <f>INDEX(Netzzeiten!$C$6:$C$29,HOUR(B1264)+1)</f>
        <v>1.64</v>
      </c>
      <c r="J1264" t="str">
        <f>IF(C1264="","FEHLT",IF(NOT(ISNUMBER(C1264)),"MESSWERT UNGUELTIG",IF(C1264&lt;0,"MESSWERT UNGUELTIG",IF(H1264="","TARIFPREIS FEHLT","OK"))))</f>
        <v>FEHLT</v>
      </c>
      <c r="K1264" s="7">
        <f>IF(J1264&lt;&gt;"OK","",C1264*I1264/100)</f>
        <v/>
      </c>
    </row>
    <row r="1265" spans="1:11">
      <c r="A1265" s="14">
        <v>46156</v>
      </c>
      <c r="B1265" s="15">
        <v>0.1145833333333333</v>
      </c>
      <c r="C1265" s="5">
        <f>IF('96 Werte'!M19="","",'96 Werte'!M19)</f>
        <v/>
      </c>
      <c r="D1265" t="str">
        <f>IF(IF(Eingaben!$B$21&lt;Eingaben!$B$22,AND(B1265&gt;=Eingaben!$B$21,B1265&lt;Eingaben!$B$22),OR(B1265&gt;=Eingaben!$B$21,B1265&lt;Eingaben!$B$22)),"GO",IF(AND(ISNUMBER(Eingaben!$B$23),ISNUMBER(Eingaben!$B$24),IF(Eingaben!$B$23&lt;Eingaben!$B$24,AND(B1265&gt;=Eingaben!$B$23,B1265&lt;Eingaben!$B$24),OR(B1265&gt;=Eingaben!$B$23,B1265&lt;Eingaben!$B$24))),"HEAT","STANDARD"))</f>
        <v>GO</v>
      </c>
      <c r="E1265" s="9"/>
      <c r="F1265" t="str">
        <f>IF(E1265="",D1265,E1265)</f>
        <v>GO</v>
      </c>
      <c r="G1265" t="str">
        <f>INDEX(Netzzeiten!$B$6:$B$29,HOUR(B1265)+1)</f>
        <v>NT</v>
      </c>
      <c r="H1265" s="6">
        <f>IF(F1265="GO",Eingaben!$B$11,IF(F1265="STANDARD",Eingaben!$B$12,IF(AND(F1265="HEAT",ISNUMBER(Eingaben!$B$13)),Eingaben!$B$13,"")))</f>
        <v>15.0654</v>
      </c>
      <c r="I1265" s="6">
        <f>INDEX(Netzzeiten!$C$6:$C$29,HOUR(B1265)+1)</f>
        <v>1.64</v>
      </c>
      <c r="J1265" t="str">
        <f>IF(C1265="","FEHLT",IF(NOT(ISNUMBER(C1265)),"MESSWERT UNGUELTIG",IF(C1265&lt;0,"MESSWERT UNGUELTIG",IF(H1265="","TARIFPREIS FEHLT","OK"))))</f>
        <v>FEHLT</v>
      </c>
      <c r="K1265" s="7">
        <f>IF(J1265&lt;&gt;"OK","",C1265*I1265/100)</f>
        <v/>
      </c>
    </row>
    <row r="1266" spans="1:11">
      <c r="A1266" s="14">
        <v>46156</v>
      </c>
      <c r="B1266" s="15">
        <v>0.125</v>
      </c>
      <c r="C1266" s="5">
        <f>IF('96 Werte'!N19="","",'96 Werte'!N19)</f>
        <v/>
      </c>
      <c r="D1266" t="str">
        <f>IF(IF(Eingaben!$B$21&lt;Eingaben!$B$22,AND(B1266&gt;=Eingaben!$B$21,B1266&lt;Eingaben!$B$22),OR(B1266&gt;=Eingaben!$B$21,B1266&lt;Eingaben!$B$22)),"GO",IF(AND(ISNUMBER(Eingaben!$B$23),ISNUMBER(Eingaben!$B$24),IF(Eingaben!$B$23&lt;Eingaben!$B$24,AND(B1266&gt;=Eingaben!$B$23,B1266&lt;Eingaben!$B$24),OR(B1266&gt;=Eingaben!$B$23,B1266&lt;Eingaben!$B$24))),"HEAT","STANDARD"))</f>
        <v>GO</v>
      </c>
      <c r="E1266" s="9"/>
      <c r="F1266" t="str">
        <f>IF(E1266="",D1266,E1266)</f>
        <v>GO</v>
      </c>
      <c r="G1266" t="str">
        <f>INDEX(Netzzeiten!$B$6:$B$29,HOUR(B1266)+1)</f>
        <v>NT</v>
      </c>
      <c r="H1266" s="6">
        <f>IF(F1266="GO",Eingaben!$B$11,IF(F1266="STANDARD",Eingaben!$B$12,IF(AND(F1266="HEAT",ISNUMBER(Eingaben!$B$13)),Eingaben!$B$13,"")))</f>
        <v>15.0654</v>
      </c>
      <c r="I1266" s="6">
        <f>INDEX(Netzzeiten!$C$6:$C$29,HOUR(B1266)+1)</f>
        <v>1.64</v>
      </c>
      <c r="J1266" t="str">
        <f>IF(C1266="","FEHLT",IF(NOT(ISNUMBER(C1266)),"MESSWERT UNGUELTIG",IF(C1266&lt;0,"MESSWERT UNGUELTIG",IF(H1266="","TARIFPREIS FEHLT","OK"))))</f>
        <v>FEHLT</v>
      </c>
      <c r="K1266" s="7">
        <f>IF(J1266&lt;&gt;"OK","",C1266*I1266/100)</f>
        <v/>
      </c>
    </row>
    <row r="1267" spans="1:11">
      <c r="A1267" s="14">
        <v>46156</v>
      </c>
      <c r="B1267" s="15">
        <v>0.1354166666666667</v>
      </c>
      <c r="C1267" s="5">
        <f>IF('96 Werte'!O19="","",'96 Werte'!O19)</f>
        <v/>
      </c>
      <c r="D1267" t="str">
        <f>IF(IF(Eingaben!$B$21&lt;Eingaben!$B$22,AND(B1267&gt;=Eingaben!$B$21,B1267&lt;Eingaben!$B$22),OR(B1267&gt;=Eingaben!$B$21,B1267&lt;Eingaben!$B$22)),"GO",IF(AND(ISNUMBER(Eingaben!$B$23),ISNUMBER(Eingaben!$B$24),IF(Eingaben!$B$23&lt;Eingaben!$B$24,AND(B1267&gt;=Eingaben!$B$23,B1267&lt;Eingaben!$B$24),OR(B1267&gt;=Eingaben!$B$23,B1267&lt;Eingaben!$B$24))),"HEAT","STANDARD"))</f>
        <v>GO</v>
      </c>
      <c r="E1267" s="9"/>
      <c r="F1267" t="str">
        <f>IF(E1267="",D1267,E1267)</f>
        <v>GO</v>
      </c>
      <c r="G1267" t="str">
        <f>INDEX(Netzzeiten!$B$6:$B$29,HOUR(B1267)+1)</f>
        <v>NT</v>
      </c>
      <c r="H1267" s="6">
        <f>IF(F1267="GO",Eingaben!$B$11,IF(F1267="STANDARD",Eingaben!$B$12,IF(AND(F1267="HEAT",ISNUMBER(Eingaben!$B$13)),Eingaben!$B$13,"")))</f>
        <v>15.0654</v>
      </c>
      <c r="I1267" s="6">
        <f>INDEX(Netzzeiten!$C$6:$C$29,HOUR(B1267)+1)</f>
        <v>1.64</v>
      </c>
      <c r="J1267" t="str">
        <f>IF(C1267="","FEHLT",IF(NOT(ISNUMBER(C1267)),"MESSWERT UNGUELTIG",IF(C1267&lt;0,"MESSWERT UNGUELTIG",IF(H1267="","TARIFPREIS FEHLT","OK"))))</f>
        <v>FEHLT</v>
      </c>
      <c r="K1267" s="7">
        <f>IF(J1267&lt;&gt;"OK","",C1267*I1267/100)</f>
        <v/>
      </c>
    </row>
    <row r="1268" spans="1:11">
      <c r="A1268" s="14">
        <v>46156</v>
      </c>
      <c r="B1268" s="15">
        <v>0.1458333333333333</v>
      </c>
      <c r="C1268" s="5">
        <f>IF('96 Werte'!P19="","",'96 Werte'!P19)</f>
        <v/>
      </c>
      <c r="D1268" t="str">
        <f>IF(IF(Eingaben!$B$21&lt;Eingaben!$B$22,AND(B1268&gt;=Eingaben!$B$21,B1268&lt;Eingaben!$B$22),OR(B1268&gt;=Eingaben!$B$21,B1268&lt;Eingaben!$B$22)),"GO",IF(AND(ISNUMBER(Eingaben!$B$23),ISNUMBER(Eingaben!$B$24),IF(Eingaben!$B$23&lt;Eingaben!$B$24,AND(B1268&gt;=Eingaben!$B$23,B1268&lt;Eingaben!$B$24),OR(B1268&gt;=Eingaben!$B$23,B1268&lt;Eingaben!$B$24))),"HEAT","STANDARD"))</f>
        <v>GO</v>
      </c>
      <c r="E1268" s="9"/>
      <c r="F1268" t="str">
        <f>IF(E1268="",D1268,E1268)</f>
        <v>GO</v>
      </c>
      <c r="G1268" t="str">
        <f>INDEX(Netzzeiten!$B$6:$B$29,HOUR(B1268)+1)</f>
        <v>NT</v>
      </c>
      <c r="H1268" s="6">
        <f>IF(F1268="GO",Eingaben!$B$11,IF(F1268="STANDARD",Eingaben!$B$12,IF(AND(F1268="HEAT",ISNUMBER(Eingaben!$B$13)),Eingaben!$B$13,"")))</f>
        <v>15.0654</v>
      </c>
      <c r="I1268" s="6">
        <f>INDEX(Netzzeiten!$C$6:$C$29,HOUR(B1268)+1)</f>
        <v>1.64</v>
      </c>
      <c r="J1268" t="str">
        <f>IF(C1268="","FEHLT",IF(NOT(ISNUMBER(C1268)),"MESSWERT UNGUELTIG",IF(C1268&lt;0,"MESSWERT UNGUELTIG",IF(H1268="","TARIFPREIS FEHLT","OK"))))</f>
        <v>FEHLT</v>
      </c>
      <c r="K1268" s="7">
        <f>IF(J1268&lt;&gt;"OK","",C1268*I1268/100)</f>
        <v/>
      </c>
    </row>
    <row r="1269" spans="1:11">
      <c r="A1269" s="14">
        <v>46156</v>
      </c>
      <c r="B1269" s="15">
        <v>0.15625</v>
      </c>
      <c r="C1269" s="5">
        <f>IF('96 Werte'!Q19="","",'96 Werte'!Q19)</f>
        <v/>
      </c>
      <c r="D1269" t="str">
        <f>IF(IF(Eingaben!$B$21&lt;Eingaben!$B$22,AND(B1269&gt;=Eingaben!$B$21,B1269&lt;Eingaben!$B$22),OR(B1269&gt;=Eingaben!$B$21,B1269&lt;Eingaben!$B$22)),"GO",IF(AND(ISNUMBER(Eingaben!$B$23),ISNUMBER(Eingaben!$B$24),IF(Eingaben!$B$23&lt;Eingaben!$B$24,AND(B1269&gt;=Eingaben!$B$23,B1269&lt;Eingaben!$B$24),OR(B1269&gt;=Eingaben!$B$23,B1269&lt;Eingaben!$B$24))),"HEAT","STANDARD"))</f>
        <v>GO</v>
      </c>
      <c r="E1269" s="9"/>
      <c r="F1269" t="str">
        <f>IF(E1269="",D1269,E1269)</f>
        <v>GO</v>
      </c>
      <c r="G1269" t="str">
        <f>INDEX(Netzzeiten!$B$6:$B$29,HOUR(B1269)+1)</f>
        <v>NT</v>
      </c>
      <c r="H1269" s="6">
        <f>IF(F1269="GO",Eingaben!$B$11,IF(F1269="STANDARD",Eingaben!$B$12,IF(AND(F1269="HEAT",ISNUMBER(Eingaben!$B$13)),Eingaben!$B$13,"")))</f>
        <v>15.0654</v>
      </c>
      <c r="I1269" s="6">
        <f>INDEX(Netzzeiten!$C$6:$C$29,HOUR(B1269)+1)</f>
        <v>1.64</v>
      </c>
      <c r="J1269" t="str">
        <f>IF(C1269="","FEHLT",IF(NOT(ISNUMBER(C1269)),"MESSWERT UNGUELTIG",IF(C1269&lt;0,"MESSWERT UNGUELTIG",IF(H1269="","TARIFPREIS FEHLT","OK"))))</f>
        <v>FEHLT</v>
      </c>
      <c r="K1269" s="7">
        <f>IF(J1269&lt;&gt;"OK","",C1269*I1269/100)</f>
        <v/>
      </c>
    </row>
    <row r="1270" spans="1:11">
      <c r="A1270" s="14">
        <v>46156</v>
      </c>
      <c r="B1270" s="15">
        <v>0.1666666666666667</v>
      </c>
      <c r="C1270" s="5">
        <f>IF('96 Werte'!R19="","",'96 Werte'!R19)</f>
        <v/>
      </c>
      <c r="D1270" t="str">
        <f>IF(IF(Eingaben!$B$21&lt;Eingaben!$B$22,AND(B1270&gt;=Eingaben!$B$21,B1270&lt;Eingaben!$B$22),OR(B1270&gt;=Eingaben!$B$21,B1270&lt;Eingaben!$B$22)),"GO",IF(AND(ISNUMBER(Eingaben!$B$23),ISNUMBER(Eingaben!$B$24),IF(Eingaben!$B$23&lt;Eingaben!$B$24,AND(B1270&gt;=Eingaben!$B$23,B1270&lt;Eingaben!$B$24),OR(B1270&gt;=Eingaben!$B$23,B1270&lt;Eingaben!$B$24))),"HEAT","STANDARD"))</f>
        <v>GO</v>
      </c>
      <c r="E1270" s="9"/>
      <c r="F1270" t="str">
        <f>IF(E1270="",D1270,E1270)</f>
        <v>GO</v>
      </c>
      <c r="G1270" t="str">
        <f>INDEX(Netzzeiten!$B$6:$B$29,HOUR(B1270)+1)</f>
        <v>NT</v>
      </c>
      <c r="H1270" s="6">
        <f>IF(F1270="GO",Eingaben!$B$11,IF(F1270="STANDARD",Eingaben!$B$12,IF(AND(F1270="HEAT",ISNUMBER(Eingaben!$B$13)),Eingaben!$B$13,"")))</f>
        <v>15.0654</v>
      </c>
      <c r="I1270" s="6">
        <f>INDEX(Netzzeiten!$C$6:$C$29,HOUR(B1270)+1)</f>
        <v>1.64</v>
      </c>
      <c r="J1270" t="str">
        <f>IF(C1270="","FEHLT",IF(NOT(ISNUMBER(C1270)),"MESSWERT UNGUELTIG",IF(C1270&lt;0,"MESSWERT UNGUELTIG",IF(H1270="","TARIFPREIS FEHLT","OK"))))</f>
        <v>FEHLT</v>
      </c>
      <c r="K1270" s="7">
        <f>IF(J1270&lt;&gt;"OK","",C1270*I1270/100)</f>
        <v/>
      </c>
    </row>
    <row r="1271" spans="1:11">
      <c r="A1271" s="14">
        <v>46156</v>
      </c>
      <c r="B1271" s="15">
        <v>0.1770833333333333</v>
      </c>
      <c r="C1271" s="5">
        <f>IF('96 Werte'!S19="","",'96 Werte'!S19)</f>
        <v/>
      </c>
      <c r="D1271" t="str">
        <f>IF(IF(Eingaben!$B$21&lt;Eingaben!$B$22,AND(B1271&gt;=Eingaben!$B$21,B1271&lt;Eingaben!$B$22),OR(B1271&gt;=Eingaben!$B$21,B1271&lt;Eingaben!$B$22)),"GO",IF(AND(ISNUMBER(Eingaben!$B$23),ISNUMBER(Eingaben!$B$24),IF(Eingaben!$B$23&lt;Eingaben!$B$24,AND(B1271&gt;=Eingaben!$B$23,B1271&lt;Eingaben!$B$24),OR(B1271&gt;=Eingaben!$B$23,B1271&lt;Eingaben!$B$24))),"HEAT","STANDARD"))</f>
        <v>GO</v>
      </c>
      <c r="E1271" s="9"/>
      <c r="F1271" t="str">
        <f>IF(E1271="",D1271,E1271)</f>
        <v>GO</v>
      </c>
      <c r="G1271" t="str">
        <f>INDEX(Netzzeiten!$B$6:$B$29,HOUR(B1271)+1)</f>
        <v>NT</v>
      </c>
      <c r="H1271" s="6">
        <f>IF(F1271="GO",Eingaben!$B$11,IF(F1271="STANDARD",Eingaben!$B$12,IF(AND(F1271="HEAT",ISNUMBER(Eingaben!$B$13)),Eingaben!$B$13,"")))</f>
        <v>15.0654</v>
      </c>
      <c r="I1271" s="6">
        <f>INDEX(Netzzeiten!$C$6:$C$29,HOUR(B1271)+1)</f>
        <v>1.64</v>
      </c>
      <c r="J1271" t="str">
        <f>IF(C1271="","FEHLT",IF(NOT(ISNUMBER(C1271)),"MESSWERT UNGUELTIG",IF(C1271&lt;0,"MESSWERT UNGUELTIG",IF(H1271="","TARIFPREIS FEHLT","OK"))))</f>
        <v>FEHLT</v>
      </c>
      <c r="K1271" s="7">
        <f>IF(J1271&lt;&gt;"OK","",C1271*I1271/100)</f>
        <v/>
      </c>
    </row>
    <row r="1272" spans="1:11">
      <c r="A1272" s="14">
        <v>46156</v>
      </c>
      <c r="B1272" s="15">
        <v>0.1875</v>
      </c>
      <c r="C1272" s="5">
        <f>IF('96 Werte'!T19="","",'96 Werte'!T19)</f>
        <v/>
      </c>
      <c r="D1272" t="str">
        <f>IF(IF(Eingaben!$B$21&lt;Eingaben!$B$22,AND(B1272&gt;=Eingaben!$B$21,B1272&lt;Eingaben!$B$22),OR(B1272&gt;=Eingaben!$B$21,B1272&lt;Eingaben!$B$22)),"GO",IF(AND(ISNUMBER(Eingaben!$B$23),ISNUMBER(Eingaben!$B$24),IF(Eingaben!$B$23&lt;Eingaben!$B$24,AND(B1272&gt;=Eingaben!$B$23,B1272&lt;Eingaben!$B$24),OR(B1272&gt;=Eingaben!$B$23,B1272&lt;Eingaben!$B$24))),"HEAT","STANDARD"))</f>
        <v>GO</v>
      </c>
      <c r="E1272" s="9"/>
      <c r="F1272" t="str">
        <f>IF(E1272="",D1272,E1272)</f>
        <v>GO</v>
      </c>
      <c r="G1272" t="str">
        <f>INDEX(Netzzeiten!$B$6:$B$29,HOUR(B1272)+1)</f>
        <v>NT</v>
      </c>
      <c r="H1272" s="6">
        <f>IF(F1272="GO",Eingaben!$B$11,IF(F1272="STANDARD",Eingaben!$B$12,IF(AND(F1272="HEAT",ISNUMBER(Eingaben!$B$13)),Eingaben!$B$13,"")))</f>
        <v>15.0654</v>
      </c>
      <c r="I1272" s="6">
        <f>INDEX(Netzzeiten!$C$6:$C$29,HOUR(B1272)+1)</f>
        <v>1.64</v>
      </c>
      <c r="J1272" t="str">
        <f>IF(C1272="","FEHLT",IF(NOT(ISNUMBER(C1272)),"MESSWERT UNGUELTIG",IF(C1272&lt;0,"MESSWERT UNGUELTIG",IF(H1272="","TARIFPREIS FEHLT","OK"))))</f>
        <v>FEHLT</v>
      </c>
      <c r="K1272" s="7">
        <f>IF(J1272&lt;&gt;"OK","",C1272*I1272/100)</f>
        <v/>
      </c>
    </row>
    <row r="1273" spans="1:11">
      <c r="A1273" s="14">
        <v>46156</v>
      </c>
      <c r="B1273" s="15">
        <v>0.1979166666666667</v>
      </c>
      <c r="C1273" s="5">
        <f>IF('96 Werte'!U19="","",'96 Werte'!U19)</f>
        <v/>
      </c>
      <c r="D1273" t="str">
        <f>IF(IF(Eingaben!$B$21&lt;Eingaben!$B$22,AND(B1273&gt;=Eingaben!$B$21,B1273&lt;Eingaben!$B$22),OR(B1273&gt;=Eingaben!$B$21,B1273&lt;Eingaben!$B$22)),"GO",IF(AND(ISNUMBER(Eingaben!$B$23),ISNUMBER(Eingaben!$B$24),IF(Eingaben!$B$23&lt;Eingaben!$B$24,AND(B1273&gt;=Eingaben!$B$23,B1273&lt;Eingaben!$B$24),OR(B1273&gt;=Eingaben!$B$23,B1273&lt;Eingaben!$B$24))),"HEAT","STANDARD"))</f>
        <v>GO</v>
      </c>
      <c r="E1273" s="9"/>
      <c r="F1273" t="str">
        <f>IF(E1273="",D1273,E1273)</f>
        <v>GO</v>
      </c>
      <c r="G1273" t="str">
        <f>INDEX(Netzzeiten!$B$6:$B$29,HOUR(B1273)+1)</f>
        <v>NT</v>
      </c>
      <c r="H1273" s="6">
        <f>IF(F1273="GO",Eingaben!$B$11,IF(F1273="STANDARD",Eingaben!$B$12,IF(AND(F1273="HEAT",ISNUMBER(Eingaben!$B$13)),Eingaben!$B$13,"")))</f>
        <v>15.0654</v>
      </c>
      <c r="I1273" s="6">
        <f>INDEX(Netzzeiten!$C$6:$C$29,HOUR(B1273)+1)</f>
        <v>1.64</v>
      </c>
      <c r="J1273" t="str">
        <f>IF(C1273="","FEHLT",IF(NOT(ISNUMBER(C1273)),"MESSWERT UNGUELTIG",IF(C1273&lt;0,"MESSWERT UNGUELTIG",IF(H1273="","TARIFPREIS FEHLT","OK"))))</f>
        <v>FEHLT</v>
      </c>
      <c r="K1273" s="7">
        <f>IF(J1273&lt;&gt;"OK","",C1273*I1273/100)</f>
        <v/>
      </c>
    </row>
    <row r="1274" spans="1:11">
      <c r="A1274" s="14">
        <v>46156</v>
      </c>
      <c r="B1274" s="15">
        <v>0.2083333333333333</v>
      </c>
      <c r="C1274" s="5">
        <f>IF('96 Werte'!V19="","",'96 Werte'!V19)</f>
        <v/>
      </c>
      <c r="D1274" t="str">
        <f>IF(IF(Eingaben!$B$21&lt;Eingaben!$B$22,AND(B1274&gt;=Eingaben!$B$21,B1274&lt;Eingaben!$B$22),OR(B1274&gt;=Eingaben!$B$21,B1274&lt;Eingaben!$B$22)),"GO",IF(AND(ISNUMBER(Eingaben!$B$23),ISNUMBER(Eingaben!$B$24),IF(Eingaben!$B$23&lt;Eingaben!$B$24,AND(B1274&gt;=Eingaben!$B$23,B1274&lt;Eingaben!$B$24),OR(B1274&gt;=Eingaben!$B$23,B1274&lt;Eingaben!$B$24))),"HEAT","STANDARD"))</f>
        <v>STANDARD</v>
      </c>
      <c r="E1274" s="9"/>
      <c r="F1274" t="str">
        <f>IF(E1274="",D1274,E1274)</f>
        <v>STANDARD</v>
      </c>
      <c r="G1274" t="str">
        <f>INDEX(Netzzeiten!$B$6:$B$29,HOUR(B1274)+1)</f>
        <v>NT</v>
      </c>
      <c r="H1274" s="6">
        <f>IF(F1274="GO",Eingaben!$B$11,IF(F1274="STANDARD",Eingaben!$B$12,IF(AND(F1274="HEAT",ISNUMBER(Eingaben!$B$13)),Eingaben!$B$13,"")))</f>
        <v>28.2744</v>
      </c>
      <c r="I1274" s="6">
        <f>INDEX(Netzzeiten!$C$6:$C$29,HOUR(B1274)+1)</f>
        <v>1.64</v>
      </c>
      <c r="J1274" t="str">
        <f>IF(C1274="","FEHLT",IF(NOT(ISNUMBER(C1274)),"MESSWERT UNGUELTIG",IF(C1274&lt;0,"MESSWERT UNGUELTIG",IF(H1274="","TARIFPREIS FEHLT","OK"))))</f>
        <v>FEHLT</v>
      </c>
      <c r="K1274" s="7">
        <f>IF(J1274&lt;&gt;"OK","",C1274*I1274/100)</f>
        <v/>
      </c>
    </row>
    <row r="1275" spans="1:11">
      <c r="A1275" s="14">
        <v>46156</v>
      </c>
      <c r="B1275" s="15">
        <v>0.21875</v>
      </c>
      <c r="C1275" s="5">
        <f>IF('96 Werte'!W19="","",'96 Werte'!W19)</f>
        <v/>
      </c>
      <c r="D1275" t="str">
        <f>IF(IF(Eingaben!$B$21&lt;Eingaben!$B$22,AND(B1275&gt;=Eingaben!$B$21,B1275&lt;Eingaben!$B$22),OR(B1275&gt;=Eingaben!$B$21,B1275&lt;Eingaben!$B$22)),"GO",IF(AND(ISNUMBER(Eingaben!$B$23),ISNUMBER(Eingaben!$B$24),IF(Eingaben!$B$23&lt;Eingaben!$B$24,AND(B1275&gt;=Eingaben!$B$23,B1275&lt;Eingaben!$B$24),OR(B1275&gt;=Eingaben!$B$23,B1275&lt;Eingaben!$B$24))),"HEAT","STANDARD"))</f>
        <v>STANDARD</v>
      </c>
      <c r="E1275" s="9"/>
      <c r="F1275" t="str">
        <f>IF(E1275="",D1275,E1275)</f>
        <v>STANDARD</v>
      </c>
      <c r="G1275" t="str">
        <f>INDEX(Netzzeiten!$B$6:$B$29,HOUR(B1275)+1)</f>
        <v>NT</v>
      </c>
      <c r="H1275" s="6">
        <f>IF(F1275="GO",Eingaben!$B$11,IF(F1275="STANDARD",Eingaben!$B$12,IF(AND(F1275="HEAT",ISNUMBER(Eingaben!$B$13)),Eingaben!$B$13,"")))</f>
        <v>28.2744</v>
      </c>
      <c r="I1275" s="6">
        <f>INDEX(Netzzeiten!$C$6:$C$29,HOUR(B1275)+1)</f>
        <v>1.64</v>
      </c>
      <c r="J1275" t="str">
        <f>IF(C1275="","FEHLT",IF(NOT(ISNUMBER(C1275)),"MESSWERT UNGUELTIG",IF(C1275&lt;0,"MESSWERT UNGUELTIG",IF(H1275="","TARIFPREIS FEHLT","OK"))))</f>
        <v>FEHLT</v>
      </c>
      <c r="K1275" s="7">
        <f>IF(J1275&lt;&gt;"OK","",C1275*I1275/100)</f>
        <v/>
      </c>
    </row>
    <row r="1276" spans="1:11">
      <c r="A1276" s="14">
        <v>46156</v>
      </c>
      <c r="B1276" s="15">
        <v>0.2291666666666667</v>
      </c>
      <c r="C1276" s="5">
        <f>IF('96 Werte'!X19="","",'96 Werte'!X19)</f>
        <v/>
      </c>
      <c r="D1276" t="str">
        <f>IF(IF(Eingaben!$B$21&lt;Eingaben!$B$22,AND(B1276&gt;=Eingaben!$B$21,B1276&lt;Eingaben!$B$22),OR(B1276&gt;=Eingaben!$B$21,B1276&lt;Eingaben!$B$22)),"GO",IF(AND(ISNUMBER(Eingaben!$B$23),ISNUMBER(Eingaben!$B$24),IF(Eingaben!$B$23&lt;Eingaben!$B$24,AND(B1276&gt;=Eingaben!$B$23,B1276&lt;Eingaben!$B$24),OR(B1276&gt;=Eingaben!$B$23,B1276&lt;Eingaben!$B$24))),"HEAT","STANDARD"))</f>
        <v>STANDARD</v>
      </c>
      <c r="E1276" s="9"/>
      <c r="F1276" t="str">
        <f>IF(E1276="",D1276,E1276)</f>
        <v>STANDARD</v>
      </c>
      <c r="G1276" t="str">
        <f>INDEX(Netzzeiten!$B$6:$B$29,HOUR(B1276)+1)</f>
        <v>NT</v>
      </c>
      <c r="H1276" s="6">
        <f>IF(F1276="GO",Eingaben!$B$11,IF(F1276="STANDARD",Eingaben!$B$12,IF(AND(F1276="HEAT",ISNUMBER(Eingaben!$B$13)),Eingaben!$B$13,"")))</f>
        <v>28.2744</v>
      </c>
      <c r="I1276" s="6">
        <f>INDEX(Netzzeiten!$C$6:$C$29,HOUR(B1276)+1)</f>
        <v>1.64</v>
      </c>
      <c r="J1276" t="str">
        <f>IF(C1276="","FEHLT",IF(NOT(ISNUMBER(C1276)),"MESSWERT UNGUELTIG",IF(C1276&lt;0,"MESSWERT UNGUELTIG",IF(H1276="","TARIFPREIS FEHLT","OK"))))</f>
        <v>FEHLT</v>
      </c>
      <c r="K1276" s="7">
        <f>IF(J1276&lt;&gt;"OK","",C1276*I1276/100)</f>
        <v/>
      </c>
    </row>
    <row r="1277" spans="1:11">
      <c r="A1277" s="14">
        <v>46156</v>
      </c>
      <c r="B1277" s="15">
        <v>0.2395833333333333</v>
      </c>
      <c r="C1277" s="5">
        <f>IF('96 Werte'!Y19="","",'96 Werte'!Y19)</f>
        <v/>
      </c>
      <c r="D1277" t="str">
        <f>IF(IF(Eingaben!$B$21&lt;Eingaben!$B$22,AND(B1277&gt;=Eingaben!$B$21,B1277&lt;Eingaben!$B$22),OR(B1277&gt;=Eingaben!$B$21,B1277&lt;Eingaben!$B$22)),"GO",IF(AND(ISNUMBER(Eingaben!$B$23),ISNUMBER(Eingaben!$B$24),IF(Eingaben!$B$23&lt;Eingaben!$B$24,AND(B1277&gt;=Eingaben!$B$23,B1277&lt;Eingaben!$B$24),OR(B1277&gt;=Eingaben!$B$23,B1277&lt;Eingaben!$B$24))),"HEAT","STANDARD"))</f>
        <v>STANDARD</v>
      </c>
      <c r="E1277" s="9"/>
      <c r="F1277" t="str">
        <f>IF(E1277="",D1277,E1277)</f>
        <v>STANDARD</v>
      </c>
      <c r="G1277" t="str">
        <f>INDEX(Netzzeiten!$B$6:$B$29,HOUR(B1277)+1)</f>
        <v>NT</v>
      </c>
      <c r="H1277" s="6">
        <f>IF(F1277="GO",Eingaben!$B$11,IF(F1277="STANDARD",Eingaben!$B$12,IF(AND(F1277="HEAT",ISNUMBER(Eingaben!$B$13)),Eingaben!$B$13,"")))</f>
        <v>28.2744</v>
      </c>
      <c r="I1277" s="6">
        <f>INDEX(Netzzeiten!$C$6:$C$29,HOUR(B1277)+1)</f>
        <v>1.64</v>
      </c>
      <c r="J1277" t="str">
        <f>IF(C1277="","FEHLT",IF(NOT(ISNUMBER(C1277)),"MESSWERT UNGUELTIG",IF(C1277&lt;0,"MESSWERT UNGUELTIG",IF(H1277="","TARIFPREIS FEHLT","OK"))))</f>
        <v>FEHLT</v>
      </c>
      <c r="K1277" s="7">
        <f>IF(J1277&lt;&gt;"OK","",C1277*I1277/100)</f>
        <v/>
      </c>
    </row>
    <row r="1278" spans="1:11">
      <c r="A1278" s="14">
        <v>46156</v>
      </c>
      <c r="B1278" s="15">
        <v>0.25</v>
      </c>
      <c r="C1278" s="5">
        <f>IF('96 Werte'!Z19="","",'96 Werte'!Z19)</f>
        <v/>
      </c>
      <c r="D1278" t="str">
        <f>IF(IF(Eingaben!$B$21&lt;Eingaben!$B$22,AND(B1278&gt;=Eingaben!$B$21,B1278&lt;Eingaben!$B$22),OR(B1278&gt;=Eingaben!$B$21,B1278&lt;Eingaben!$B$22)),"GO",IF(AND(ISNUMBER(Eingaben!$B$23),ISNUMBER(Eingaben!$B$24),IF(Eingaben!$B$23&lt;Eingaben!$B$24,AND(B1278&gt;=Eingaben!$B$23,B1278&lt;Eingaben!$B$24),OR(B1278&gt;=Eingaben!$B$23,B1278&lt;Eingaben!$B$24))),"HEAT","STANDARD"))</f>
        <v>STANDARD</v>
      </c>
      <c r="E1278" s="9"/>
      <c r="F1278" t="str">
        <f>IF(E1278="",D1278,E1278)</f>
        <v>STANDARD</v>
      </c>
      <c r="G1278" t="str">
        <f>INDEX(Netzzeiten!$B$6:$B$29,HOUR(B1278)+1)</f>
        <v>ST</v>
      </c>
      <c r="H1278" s="6">
        <f>IF(F1278="GO",Eingaben!$B$11,IF(F1278="STANDARD",Eingaben!$B$12,IF(AND(F1278="HEAT",ISNUMBER(Eingaben!$B$13)),Eingaben!$B$13,"")))</f>
        <v>28.2744</v>
      </c>
      <c r="I1278" s="6">
        <f>INDEX(Netzzeiten!$C$6:$C$29,HOUR(B1278)+1)</f>
        <v>5.48</v>
      </c>
      <c r="J1278" t="str">
        <f>IF(C1278="","FEHLT",IF(NOT(ISNUMBER(C1278)),"MESSWERT UNGUELTIG",IF(C1278&lt;0,"MESSWERT UNGUELTIG",IF(H1278="","TARIFPREIS FEHLT","OK"))))</f>
        <v>FEHLT</v>
      </c>
      <c r="K1278" s="7">
        <f>IF(J1278&lt;&gt;"OK","",C1278*I1278/100)</f>
        <v/>
      </c>
    </row>
    <row r="1279" spans="1:11">
      <c r="A1279" s="14">
        <v>46156</v>
      </c>
      <c r="B1279" s="15">
        <v>0.2604166666666667</v>
      </c>
      <c r="C1279" s="5">
        <f>IF('96 Werte'!AA19="","",'96 Werte'!AA19)</f>
        <v/>
      </c>
      <c r="D1279" t="str">
        <f>IF(IF(Eingaben!$B$21&lt;Eingaben!$B$22,AND(B1279&gt;=Eingaben!$B$21,B1279&lt;Eingaben!$B$22),OR(B1279&gt;=Eingaben!$B$21,B1279&lt;Eingaben!$B$22)),"GO",IF(AND(ISNUMBER(Eingaben!$B$23),ISNUMBER(Eingaben!$B$24),IF(Eingaben!$B$23&lt;Eingaben!$B$24,AND(B1279&gt;=Eingaben!$B$23,B1279&lt;Eingaben!$B$24),OR(B1279&gt;=Eingaben!$B$23,B1279&lt;Eingaben!$B$24))),"HEAT","STANDARD"))</f>
        <v>STANDARD</v>
      </c>
      <c r="E1279" s="9"/>
      <c r="F1279" t="str">
        <f>IF(E1279="",D1279,E1279)</f>
        <v>STANDARD</v>
      </c>
      <c r="G1279" t="str">
        <f>INDEX(Netzzeiten!$B$6:$B$29,HOUR(B1279)+1)</f>
        <v>ST</v>
      </c>
      <c r="H1279" s="6">
        <f>IF(F1279="GO",Eingaben!$B$11,IF(F1279="STANDARD",Eingaben!$B$12,IF(AND(F1279="HEAT",ISNUMBER(Eingaben!$B$13)),Eingaben!$B$13,"")))</f>
        <v>28.2744</v>
      </c>
      <c r="I1279" s="6">
        <f>INDEX(Netzzeiten!$C$6:$C$29,HOUR(B1279)+1)</f>
        <v>5.48</v>
      </c>
      <c r="J1279" t="str">
        <f>IF(C1279="","FEHLT",IF(NOT(ISNUMBER(C1279)),"MESSWERT UNGUELTIG",IF(C1279&lt;0,"MESSWERT UNGUELTIG",IF(H1279="","TARIFPREIS FEHLT","OK"))))</f>
        <v>FEHLT</v>
      </c>
      <c r="K1279" s="7">
        <f>IF(J1279&lt;&gt;"OK","",C1279*I1279/100)</f>
        <v/>
      </c>
    </row>
    <row r="1280" spans="1:11">
      <c r="A1280" s="14">
        <v>46156</v>
      </c>
      <c r="B1280" s="15">
        <v>0.2708333333333333</v>
      </c>
      <c r="C1280" s="5">
        <f>IF('96 Werte'!AB19="","",'96 Werte'!AB19)</f>
        <v/>
      </c>
      <c r="D1280" t="str">
        <f>IF(IF(Eingaben!$B$21&lt;Eingaben!$B$22,AND(B1280&gt;=Eingaben!$B$21,B1280&lt;Eingaben!$B$22),OR(B1280&gt;=Eingaben!$B$21,B1280&lt;Eingaben!$B$22)),"GO",IF(AND(ISNUMBER(Eingaben!$B$23),ISNUMBER(Eingaben!$B$24),IF(Eingaben!$B$23&lt;Eingaben!$B$24,AND(B1280&gt;=Eingaben!$B$23,B1280&lt;Eingaben!$B$24),OR(B1280&gt;=Eingaben!$B$23,B1280&lt;Eingaben!$B$24))),"HEAT","STANDARD"))</f>
        <v>STANDARD</v>
      </c>
      <c r="E1280" s="9"/>
      <c r="F1280" t="str">
        <f>IF(E1280="",D1280,E1280)</f>
        <v>STANDARD</v>
      </c>
      <c r="G1280" t="str">
        <f>INDEX(Netzzeiten!$B$6:$B$29,HOUR(B1280)+1)</f>
        <v>ST</v>
      </c>
      <c r="H1280" s="6">
        <f>IF(F1280="GO",Eingaben!$B$11,IF(F1280="STANDARD",Eingaben!$B$12,IF(AND(F1280="HEAT",ISNUMBER(Eingaben!$B$13)),Eingaben!$B$13,"")))</f>
        <v>28.2744</v>
      </c>
      <c r="I1280" s="6">
        <f>INDEX(Netzzeiten!$C$6:$C$29,HOUR(B1280)+1)</f>
        <v>5.48</v>
      </c>
      <c r="J1280" t="str">
        <f>IF(C1280="","FEHLT",IF(NOT(ISNUMBER(C1280)),"MESSWERT UNGUELTIG",IF(C1280&lt;0,"MESSWERT UNGUELTIG",IF(H1280="","TARIFPREIS FEHLT","OK"))))</f>
        <v>FEHLT</v>
      </c>
      <c r="K1280" s="7">
        <f>IF(J1280&lt;&gt;"OK","",C1280*I1280/100)</f>
        <v/>
      </c>
    </row>
    <row r="1281" spans="1:11">
      <c r="A1281" s="14">
        <v>46156</v>
      </c>
      <c r="B1281" s="15">
        <v>0.28125</v>
      </c>
      <c r="C1281" s="5">
        <f>IF('96 Werte'!AC19="","",'96 Werte'!AC19)</f>
        <v/>
      </c>
      <c r="D1281" t="str">
        <f>IF(IF(Eingaben!$B$21&lt;Eingaben!$B$22,AND(B1281&gt;=Eingaben!$B$21,B1281&lt;Eingaben!$B$22),OR(B1281&gt;=Eingaben!$B$21,B1281&lt;Eingaben!$B$22)),"GO",IF(AND(ISNUMBER(Eingaben!$B$23),ISNUMBER(Eingaben!$B$24),IF(Eingaben!$B$23&lt;Eingaben!$B$24,AND(B1281&gt;=Eingaben!$B$23,B1281&lt;Eingaben!$B$24),OR(B1281&gt;=Eingaben!$B$23,B1281&lt;Eingaben!$B$24))),"HEAT","STANDARD"))</f>
        <v>STANDARD</v>
      </c>
      <c r="E1281" s="9"/>
      <c r="F1281" t="str">
        <f>IF(E1281="",D1281,E1281)</f>
        <v>STANDARD</v>
      </c>
      <c r="G1281" t="str">
        <f>INDEX(Netzzeiten!$B$6:$B$29,HOUR(B1281)+1)</f>
        <v>ST</v>
      </c>
      <c r="H1281" s="6">
        <f>IF(F1281="GO",Eingaben!$B$11,IF(F1281="STANDARD",Eingaben!$B$12,IF(AND(F1281="HEAT",ISNUMBER(Eingaben!$B$13)),Eingaben!$B$13,"")))</f>
        <v>28.2744</v>
      </c>
      <c r="I1281" s="6">
        <f>INDEX(Netzzeiten!$C$6:$C$29,HOUR(B1281)+1)</f>
        <v>5.48</v>
      </c>
      <c r="J1281" t="str">
        <f>IF(C1281="","FEHLT",IF(NOT(ISNUMBER(C1281)),"MESSWERT UNGUELTIG",IF(C1281&lt;0,"MESSWERT UNGUELTIG",IF(H1281="","TARIFPREIS FEHLT","OK"))))</f>
        <v>FEHLT</v>
      </c>
      <c r="K1281" s="7">
        <f>IF(J1281&lt;&gt;"OK","",C1281*I1281/100)</f>
        <v/>
      </c>
    </row>
    <row r="1282" spans="1:11">
      <c r="A1282" s="14">
        <v>46156</v>
      </c>
      <c r="B1282" s="15">
        <v>0.2916666666666667</v>
      </c>
      <c r="C1282" s="5">
        <f>IF('96 Werte'!AD19="","",'96 Werte'!AD19)</f>
        <v/>
      </c>
      <c r="D1282" t="str">
        <f>IF(IF(Eingaben!$B$21&lt;Eingaben!$B$22,AND(B1282&gt;=Eingaben!$B$21,B1282&lt;Eingaben!$B$22),OR(B1282&gt;=Eingaben!$B$21,B1282&lt;Eingaben!$B$22)),"GO",IF(AND(ISNUMBER(Eingaben!$B$23),ISNUMBER(Eingaben!$B$24),IF(Eingaben!$B$23&lt;Eingaben!$B$24,AND(B1282&gt;=Eingaben!$B$23,B1282&lt;Eingaben!$B$24),OR(B1282&gt;=Eingaben!$B$23,B1282&lt;Eingaben!$B$24))),"HEAT","STANDARD"))</f>
        <v>STANDARD</v>
      </c>
      <c r="E1282" s="9"/>
      <c r="F1282" t="str">
        <f>IF(E1282="",D1282,E1282)</f>
        <v>STANDARD</v>
      </c>
      <c r="G1282" t="str">
        <f>INDEX(Netzzeiten!$B$6:$B$29,HOUR(B1282)+1)</f>
        <v>ST</v>
      </c>
      <c r="H1282" s="6">
        <f>IF(F1282="GO",Eingaben!$B$11,IF(F1282="STANDARD",Eingaben!$B$12,IF(AND(F1282="HEAT",ISNUMBER(Eingaben!$B$13)),Eingaben!$B$13,"")))</f>
        <v>28.2744</v>
      </c>
      <c r="I1282" s="6">
        <f>INDEX(Netzzeiten!$C$6:$C$29,HOUR(B1282)+1)</f>
        <v>5.48</v>
      </c>
      <c r="J1282" t="str">
        <f>IF(C1282="","FEHLT",IF(NOT(ISNUMBER(C1282)),"MESSWERT UNGUELTIG",IF(C1282&lt;0,"MESSWERT UNGUELTIG",IF(H1282="","TARIFPREIS FEHLT","OK"))))</f>
        <v>FEHLT</v>
      </c>
      <c r="K1282" s="7">
        <f>IF(J1282&lt;&gt;"OK","",C1282*I1282/100)</f>
        <v/>
      </c>
    </row>
    <row r="1283" spans="1:11">
      <c r="A1283" s="14">
        <v>46156</v>
      </c>
      <c r="B1283" s="15">
        <v>0.3020833333333333</v>
      </c>
      <c r="C1283" s="5">
        <f>IF('96 Werte'!AE19="","",'96 Werte'!AE19)</f>
        <v/>
      </c>
      <c r="D1283" t="str">
        <f>IF(IF(Eingaben!$B$21&lt;Eingaben!$B$22,AND(B1283&gt;=Eingaben!$B$21,B1283&lt;Eingaben!$B$22),OR(B1283&gt;=Eingaben!$B$21,B1283&lt;Eingaben!$B$22)),"GO",IF(AND(ISNUMBER(Eingaben!$B$23),ISNUMBER(Eingaben!$B$24),IF(Eingaben!$B$23&lt;Eingaben!$B$24,AND(B1283&gt;=Eingaben!$B$23,B1283&lt;Eingaben!$B$24),OR(B1283&gt;=Eingaben!$B$23,B1283&lt;Eingaben!$B$24))),"HEAT","STANDARD"))</f>
        <v>STANDARD</v>
      </c>
      <c r="E1283" s="9"/>
      <c r="F1283" t="str">
        <f>IF(E1283="",D1283,E1283)</f>
        <v>STANDARD</v>
      </c>
      <c r="G1283" t="str">
        <f>INDEX(Netzzeiten!$B$6:$B$29,HOUR(B1283)+1)</f>
        <v>ST</v>
      </c>
      <c r="H1283" s="6">
        <f>IF(F1283="GO",Eingaben!$B$11,IF(F1283="STANDARD",Eingaben!$B$12,IF(AND(F1283="HEAT",ISNUMBER(Eingaben!$B$13)),Eingaben!$B$13,"")))</f>
        <v>28.2744</v>
      </c>
      <c r="I1283" s="6">
        <f>INDEX(Netzzeiten!$C$6:$C$29,HOUR(B1283)+1)</f>
        <v>5.48</v>
      </c>
      <c r="J1283" t="str">
        <f>IF(C1283="","FEHLT",IF(NOT(ISNUMBER(C1283)),"MESSWERT UNGUELTIG",IF(C1283&lt;0,"MESSWERT UNGUELTIG",IF(H1283="","TARIFPREIS FEHLT","OK"))))</f>
        <v>FEHLT</v>
      </c>
      <c r="K1283" s="7">
        <f>IF(J1283&lt;&gt;"OK","",C1283*I1283/100)</f>
        <v/>
      </c>
    </row>
    <row r="1284" spans="1:11">
      <c r="A1284" s="14">
        <v>46156</v>
      </c>
      <c r="B1284" s="15">
        <v>0.3125</v>
      </c>
      <c r="C1284" s="5">
        <f>IF('96 Werte'!AF19="","",'96 Werte'!AF19)</f>
        <v/>
      </c>
      <c r="D1284" t="str">
        <f>IF(IF(Eingaben!$B$21&lt;Eingaben!$B$22,AND(B1284&gt;=Eingaben!$B$21,B1284&lt;Eingaben!$B$22),OR(B1284&gt;=Eingaben!$B$21,B1284&lt;Eingaben!$B$22)),"GO",IF(AND(ISNUMBER(Eingaben!$B$23),ISNUMBER(Eingaben!$B$24),IF(Eingaben!$B$23&lt;Eingaben!$B$24,AND(B1284&gt;=Eingaben!$B$23,B1284&lt;Eingaben!$B$24),OR(B1284&gt;=Eingaben!$B$23,B1284&lt;Eingaben!$B$24))),"HEAT","STANDARD"))</f>
        <v>STANDARD</v>
      </c>
      <c r="E1284" s="9"/>
      <c r="F1284" t="str">
        <f>IF(E1284="",D1284,E1284)</f>
        <v>STANDARD</v>
      </c>
      <c r="G1284" t="str">
        <f>INDEX(Netzzeiten!$B$6:$B$29,HOUR(B1284)+1)</f>
        <v>ST</v>
      </c>
      <c r="H1284" s="6">
        <f>IF(F1284="GO",Eingaben!$B$11,IF(F1284="STANDARD",Eingaben!$B$12,IF(AND(F1284="HEAT",ISNUMBER(Eingaben!$B$13)),Eingaben!$B$13,"")))</f>
        <v>28.2744</v>
      </c>
      <c r="I1284" s="6">
        <f>INDEX(Netzzeiten!$C$6:$C$29,HOUR(B1284)+1)</f>
        <v>5.48</v>
      </c>
      <c r="J1284" t="str">
        <f>IF(C1284="","FEHLT",IF(NOT(ISNUMBER(C1284)),"MESSWERT UNGUELTIG",IF(C1284&lt;0,"MESSWERT UNGUELTIG",IF(H1284="","TARIFPREIS FEHLT","OK"))))</f>
        <v>FEHLT</v>
      </c>
      <c r="K1284" s="7">
        <f>IF(J1284&lt;&gt;"OK","",C1284*I1284/100)</f>
        <v/>
      </c>
    </row>
    <row r="1285" spans="1:11">
      <c r="A1285" s="14">
        <v>46156</v>
      </c>
      <c r="B1285" s="15">
        <v>0.3229166666666667</v>
      </c>
      <c r="C1285" s="5">
        <f>IF('96 Werte'!AG19="","",'96 Werte'!AG19)</f>
        <v/>
      </c>
      <c r="D1285" t="str">
        <f>IF(IF(Eingaben!$B$21&lt;Eingaben!$B$22,AND(B1285&gt;=Eingaben!$B$21,B1285&lt;Eingaben!$B$22),OR(B1285&gt;=Eingaben!$B$21,B1285&lt;Eingaben!$B$22)),"GO",IF(AND(ISNUMBER(Eingaben!$B$23),ISNUMBER(Eingaben!$B$24),IF(Eingaben!$B$23&lt;Eingaben!$B$24,AND(B1285&gt;=Eingaben!$B$23,B1285&lt;Eingaben!$B$24),OR(B1285&gt;=Eingaben!$B$23,B1285&lt;Eingaben!$B$24))),"HEAT","STANDARD"))</f>
        <v>STANDARD</v>
      </c>
      <c r="E1285" s="9"/>
      <c r="F1285" t="str">
        <f>IF(E1285="",D1285,E1285)</f>
        <v>STANDARD</v>
      </c>
      <c r="G1285" t="str">
        <f>INDEX(Netzzeiten!$B$6:$B$29,HOUR(B1285)+1)</f>
        <v>ST</v>
      </c>
      <c r="H1285" s="6">
        <f>IF(F1285="GO",Eingaben!$B$11,IF(F1285="STANDARD",Eingaben!$B$12,IF(AND(F1285="HEAT",ISNUMBER(Eingaben!$B$13)),Eingaben!$B$13,"")))</f>
        <v>28.2744</v>
      </c>
      <c r="I1285" s="6">
        <f>INDEX(Netzzeiten!$C$6:$C$29,HOUR(B1285)+1)</f>
        <v>5.48</v>
      </c>
      <c r="J1285" t="str">
        <f>IF(C1285="","FEHLT",IF(NOT(ISNUMBER(C1285)),"MESSWERT UNGUELTIG",IF(C1285&lt;0,"MESSWERT UNGUELTIG",IF(H1285="","TARIFPREIS FEHLT","OK"))))</f>
        <v>FEHLT</v>
      </c>
      <c r="K1285" s="7">
        <f>IF(J1285&lt;&gt;"OK","",C1285*I1285/100)</f>
        <v/>
      </c>
    </row>
    <row r="1286" spans="1:11">
      <c r="A1286" s="14">
        <v>46156</v>
      </c>
      <c r="B1286" s="15">
        <v>0.3333333333333333</v>
      </c>
      <c r="C1286" s="5">
        <f>IF('96 Werte'!AH19="","",'96 Werte'!AH19)</f>
        <v/>
      </c>
      <c r="D1286" t="str">
        <f>IF(IF(Eingaben!$B$21&lt;Eingaben!$B$22,AND(B1286&gt;=Eingaben!$B$21,B1286&lt;Eingaben!$B$22),OR(B1286&gt;=Eingaben!$B$21,B1286&lt;Eingaben!$B$22)),"GO",IF(AND(ISNUMBER(Eingaben!$B$23),ISNUMBER(Eingaben!$B$24),IF(Eingaben!$B$23&lt;Eingaben!$B$24,AND(B1286&gt;=Eingaben!$B$23,B1286&lt;Eingaben!$B$24),OR(B1286&gt;=Eingaben!$B$23,B1286&lt;Eingaben!$B$24))),"HEAT","STANDARD"))</f>
        <v>STANDARD</v>
      </c>
      <c r="E1286" s="9"/>
      <c r="F1286" t="str">
        <f>IF(E1286="",D1286,E1286)</f>
        <v>STANDARD</v>
      </c>
      <c r="G1286" t="str">
        <f>INDEX(Netzzeiten!$B$6:$B$29,HOUR(B1286)+1)</f>
        <v>ST</v>
      </c>
      <c r="H1286" s="6">
        <f>IF(F1286="GO",Eingaben!$B$11,IF(F1286="STANDARD",Eingaben!$B$12,IF(AND(F1286="HEAT",ISNUMBER(Eingaben!$B$13)),Eingaben!$B$13,"")))</f>
        <v>28.2744</v>
      </c>
      <c r="I1286" s="6">
        <f>INDEX(Netzzeiten!$C$6:$C$29,HOUR(B1286)+1)</f>
        <v>5.48</v>
      </c>
      <c r="J1286" t="str">
        <f>IF(C1286="","FEHLT",IF(NOT(ISNUMBER(C1286)),"MESSWERT UNGUELTIG",IF(C1286&lt;0,"MESSWERT UNGUELTIG",IF(H1286="","TARIFPREIS FEHLT","OK"))))</f>
        <v>FEHLT</v>
      </c>
      <c r="K1286" s="7">
        <f>IF(J1286&lt;&gt;"OK","",C1286*I1286/100)</f>
        <v/>
      </c>
    </row>
    <row r="1287" spans="1:11">
      <c r="A1287" s="14">
        <v>46156</v>
      </c>
      <c r="B1287" s="15">
        <v>0.34375</v>
      </c>
      <c r="C1287" s="5">
        <f>IF('96 Werte'!AI19="","",'96 Werte'!AI19)</f>
        <v/>
      </c>
      <c r="D1287" t="str">
        <f>IF(IF(Eingaben!$B$21&lt;Eingaben!$B$22,AND(B1287&gt;=Eingaben!$B$21,B1287&lt;Eingaben!$B$22),OR(B1287&gt;=Eingaben!$B$21,B1287&lt;Eingaben!$B$22)),"GO",IF(AND(ISNUMBER(Eingaben!$B$23),ISNUMBER(Eingaben!$B$24),IF(Eingaben!$B$23&lt;Eingaben!$B$24,AND(B1287&gt;=Eingaben!$B$23,B1287&lt;Eingaben!$B$24),OR(B1287&gt;=Eingaben!$B$23,B1287&lt;Eingaben!$B$24))),"HEAT","STANDARD"))</f>
        <v>STANDARD</v>
      </c>
      <c r="E1287" s="9"/>
      <c r="F1287" t="str">
        <f>IF(E1287="",D1287,E1287)</f>
        <v>STANDARD</v>
      </c>
      <c r="G1287" t="str">
        <f>INDEX(Netzzeiten!$B$6:$B$29,HOUR(B1287)+1)</f>
        <v>ST</v>
      </c>
      <c r="H1287" s="6">
        <f>IF(F1287="GO",Eingaben!$B$11,IF(F1287="STANDARD",Eingaben!$B$12,IF(AND(F1287="HEAT",ISNUMBER(Eingaben!$B$13)),Eingaben!$B$13,"")))</f>
        <v>28.2744</v>
      </c>
      <c r="I1287" s="6">
        <f>INDEX(Netzzeiten!$C$6:$C$29,HOUR(B1287)+1)</f>
        <v>5.48</v>
      </c>
      <c r="J1287" t="str">
        <f>IF(C1287="","FEHLT",IF(NOT(ISNUMBER(C1287)),"MESSWERT UNGUELTIG",IF(C1287&lt;0,"MESSWERT UNGUELTIG",IF(H1287="","TARIFPREIS FEHLT","OK"))))</f>
        <v>FEHLT</v>
      </c>
      <c r="K1287" s="7">
        <f>IF(J1287&lt;&gt;"OK","",C1287*I1287/100)</f>
        <v/>
      </c>
    </row>
    <row r="1288" spans="1:11">
      <c r="A1288" s="14">
        <v>46156</v>
      </c>
      <c r="B1288" s="15">
        <v>0.3541666666666667</v>
      </c>
      <c r="C1288" s="5">
        <f>IF('96 Werte'!AJ19="","",'96 Werte'!AJ19)</f>
        <v/>
      </c>
      <c r="D1288" t="str">
        <f>IF(IF(Eingaben!$B$21&lt;Eingaben!$B$22,AND(B1288&gt;=Eingaben!$B$21,B1288&lt;Eingaben!$B$22),OR(B1288&gt;=Eingaben!$B$21,B1288&lt;Eingaben!$B$22)),"GO",IF(AND(ISNUMBER(Eingaben!$B$23),ISNUMBER(Eingaben!$B$24),IF(Eingaben!$B$23&lt;Eingaben!$B$24,AND(B1288&gt;=Eingaben!$B$23,B1288&lt;Eingaben!$B$24),OR(B1288&gt;=Eingaben!$B$23,B1288&lt;Eingaben!$B$24))),"HEAT","STANDARD"))</f>
        <v>STANDARD</v>
      </c>
      <c r="E1288" s="9"/>
      <c r="F1288" t="str">
        <f>IF(E1288="",D1288,E1288)</f>
        <v>STANDARD</v>
      </c>
      <c r="G1288" t="str">
        <f>INDEX(Netzzeiten!$B$6:$B$29,HOUR(B1288)+1)</f>
        <v>ST</v>
      </c>
      <c r="H1288" s="6">
        <f>IF(F1288="GO",Eingaben!$B$11,IF(F1288="STANDARD",Eingaben!$B$12,IF(AND(F1288="HEAT",ISNUMBER(Eingaben!$B$13)),Eingaben!$B$13,"")))</f>
        <v>28.2744</v>
      </c>
      <c r="I1288" s="6">
        <f>INDEX(Netzzeiten!$C$6:$C$29,HOUR(B1288)+1)</f>
        <v>5.48</v>
      </c>
      <c r="J1288" t="str">
        <f>IF(C1288="","FEHLT",IF(NOT(ISNUMBER(C1288)),"MESSWERT UNGUELTIG",IF(C1288&lt;0,"MESSWERT UNGUELTIG",IF(H1288="","TARIFPREIS FEHLT","OK"))))</f>
        <v>FEHLT</v>
      </c>
      <c r="K1288" s="7">
        <f>IF(J1288&lt;&gt;"OK","",C1288*I1288/100)</f>
        <v/>
      </c>
    </row>
    <row r="1289" spans="1:11">
      <c r="A1289" s="14">
        <v>46156</v>
      </c>
      <c r="B1289" s="15">
        <v>0.3645833333333333</v>
      </c>
      <c r="C1289" s="5">
        <f>IF('96 Werte'!AK19="","",'96 Werte'!AK19)</f>
        <v/>
      </c>
      <c r="D1289" t="str">
        <f>IF(IF(Eingaben!$B$21&lt;Eingaben!$B$22,AND(B1289&gt;=Eingaben!$B$21,B1289&lt;Eingaben!$B$22),OR(B1289&gt;=Eingaben!$B$21,B1289&lt;Eingaben!$B$22)),"GO",IF(AND(ISNUMBER(Eingaben!$B$23),ISNUMBER(Eingaben!$B$24),IF(Eingaben!$B$23&lt;Eingaben!$B$24,AND(B1289&gt;=Eingaben!$B$23,B1289&lt;Eingaben!$B$24),OR(B1289&gt;=Eingaben!$B$23,B1289&lt;Eingaben!$B$24))),"HEAT","STANDARD"))</f>
        <v>STANDARD</v>
      </c>
      <c r="E1289" s="9"/>
      <c r="F1289" t="str">
        <f>IF(E1289="",D1289,E1289)</f>
        <v>STANDARD</v>
      </c>
      <c r="G1289" t="str">
        <f>INDEX(Netzzeiten!$B$6:$B$29,HOUR(B1289)+1)</f>
        <v>ST</v>
      </c>
      <c r="H1289" s="6">
        <f>IF(F1289="GO",Eingaben!$B$11,IF(F1289="STANDARD",Eingaben!$B$12,IF(AND(F1289="HEAT",ISNUMBER(Eingaben!$B$13)),Eingaben!$B$13,"")))</f>
        <v>28.2744</v>
      </c>
      <c r="I1289" s="6">
        <f>INDEX(Netzzeiten!$C$6:$C$29,HOUR(B1289)+1)</f>
        <v>5.48</v>
      </c>
      <c r="J1289" t="str">
        <f>IF(C1289="","FEHLT",IF(NOT(ISNUMBER(C1289)),"MESSWERT UNGUELTIG",IF(C1289&lt;0,"MESSWERT UNGUELTIG",IF(H1289="","TARIFPREIS FEHLT","OK"))))</f>
        <v>FEHLT</v>
      </c>
      <c r="K1289" s="7">
        <f>IF(J1289&lt;&gt;"OK","",C1289*I1289/100)</f>
        <v/>
      </c>
    </row>
    <row r="1290" spans="1:11">
      <c r="A1290" s="14">
        <v>46156</v>
      </c>
      <c r="B1290" s="15">
        <v>0.375</v>
      </c>
      <c r="C1290" s="5">
        <f>IF('96 Werte'!AL19="","",'96 Werte'!AL19)</f>
        <v/>
      </c>
      <c r="D1290" t="str">
        <f>IF(IF(Eingaben!$B$21&lt;Eingaben!$B$22,AND(B1290&gt;=Eingaben!$B$21,B1290&lt;Eingaben!$B$22),OR(B1290&gt;=Eingaben!$B$21,B1290&lt;Eingaben!$B$22)),"GO",IF(AND(ISNUMBER(Eingaben!$B$23),ISNUMBER(Eingaben!$B$24),IF(Eingaben!$B$23&lt;Eingaben!$B$24,AND(B1290&gt;=Eingaben!$B$23,B1290&lt;Eingaben!$B$24),OR(B1290&gt;=Eingaben!$B$23,B1290&lt;Eingaben!$B$24))),"HEAT","STANDARD"))</f>
        <v>STANDARD</v>
      </c>
      <c r="E1290" s="9"/>
      <c r="F1290" t="str">
        <f>IF(E1290="",D1290,E1290)</f>
        <v>STANDARD</v>
      </c>
      <c r="G1290" t="str">
        <f>INDEX(Netzzeiten!$B$6:$B$29,HOUR(B1290)+1)</f>
        <v>ST</v>
      </c>
      <c r="H1290" s="6">
        <f>IF(F1290="GO",Eingaben!$B$11,IF(F1290="STANDARD",Eingaben!$B$12,IF(AND(F1290="HEAT",ISNUMBER(Eingaben!$B$13)),Eingaben!$B$13,"")))</f>
        <v>28.2744</v>
      </c>
      <c r="I1290" s="6">
        <f>INDEX(Netzzeiten!$C$6:$C$29,HOUR(B1290)+1)</f>
        <v>5.48</v>
      </c>
      <c r="J1290" t="str">
        <f>IF(C1290="","FEHLT",IF(NOT(ISNUMBER(C1290)),"MESSWERT UNGUELTIG",IF(C1290&lt;0,"MESSWERT UNGUELTIG",IF(H1290="","TARIFPREIS FEHLT","OK"))))</f>
        <v>FEHLT</v>
      </c>
      <c r="K1290" s="7">
        <f>IF(J1290&lt;&gt;"OK","",C1290*I1290/100)</f>
        <v/>
      </c>
    </row>
    <row r="1291" spans="1:11">
      <c r="A1291" s="14">
        <v>46156</v>
      </c>
      <c r="B1291" s="15">
        <v>0.3854166666666667</v>
      </c>
      <c r="C1291" s="5">
        <f>IF('96 Werte'!AM19="","",'96 Werte'!AM19)</f>
        <v/>
      </c>
      <c r="D1291" t="str">
        <f>IF(IF(Eingaben!$B$21&lt;Eingaben!$B$22,AND(B1291&gt;=Eingaben!$B$21,B1291&lt;Eingaben!$B$22),OR(B1291&gt;=Eingaben!$B$21,B1291&lt;Eingaben!$B$22)),"GO",IF(AND(ISNUMBER(Eingaben!$B$23),ISNUMBER(Eingaben!$B$24),IF(Eingaben!$B$23&lt;Eingaben!$B$24,AND(B1291&gt;=Eingaben!$B$23,B1291&lt;Eingaben!$B$24),OR(B1291&gt;=Eingaben!$B$23,B1291&lt;Eingaben!$B$24))),"HEAT","STANDARD"))</f>
        <v>STANDARD</v>
      </c>
      <c r="E1291" s="9"/>
      <c r="F1291" t="str">
        <f>IF(E1291="",D1291,E1291)</f>
        <v>STANDARD</v>
      </c>
      <c r="G1291" t="str">
        <f>INDEX(Netzzeiten!$B$6:$B$29,HOUR(B1291)+1)</f>
        <v>ST</v>
      </c>
      <c r="H1291" s="6">
        <f>IF(F1291="GO",Eingaben!$B$11,IF(F1291="STANDARD",Eingaben!$B$12,IF(AND(F1291="HEAT",ISNUMBER(Eingaben!$B$13)),Eingaben!$B$13,"")))</f>
        <v>28.2744</v>
      </c>
      <c r="I1291" s="6">
        <f>INDEX(Netzzeiten!$C$6:$C$29,HOUR(B1291)+1)</f>
        <v>5.48</v>
      </c>
      <c r="J1291" t="str">
        <f>IF(C1291="","FEHLT",IF(NOT(ISNUMBER(C1291)),"MESSWERT UNGUELTIG",IF(C1291&lt;0,"MESSWERT UNGUELTIG",IF(H1291="","TARIFPREIS FEHLT","OK"))))</f>
        <v>FEHLT</v>
      </c>
      <c r="K1291" s="7">
        <f>IF(J1291&lt;&gt;"OK","",C1291*I1291/100)</f>
        <v/>
      </c>
    </row>
    <row r="1292" spans="1:11">
      <c r="A1292" s="14">
        <v>46156</v>
      </c>
      <c r="B1292" s="15">
        <v>0.3958333333333333</v>
      </c>
      <c r="C1292" s="5">
        <f>IF('96 Werte'!AN19="","",'96 Werte'!AN19)</f>
        <v/>
      </c>
      <c r="D1292" t="str">
        <f>IF(IF(Eingaben!$B$21&lt;Eingaben!$B$22,AND(B1292&gt;=Eingaben!$B$21,B1292&lt;Eingaben!$B$22),OR(B1292&gt;=Eingaben!$B$21,B1292&lt;Eingaben!$B$22)),"GO",IF(AND(ISNUMBER(Eingaben!$B$23),ISNUMBER(Eingaben!$B$24),IF(Eingaben!$B$23&lt;Eingaben!$B$24,AND(B1292&gt;=Eingaben!$B$23,B1292&lt;Eingaben!$B$24),OR(B1292&gt;=Eingaben!$B$23,B1292&lt;Eingaben!$B$24))),"HEAT","STANDARD"))</f>
        <v>STANDARD</v>
      </c>
      <c r="E1292" s="9"/>
      <c r="F1292" t="str">
        <f>IF(E1292="",D1292,E1292)</f>
        <v>STANDARD</v>
      </c>
      <c r="G1292" t="str">
        <f>INDEX(Netzzeiten!$B$6:$B$29,HOUR(B1292)+1)</f>
        <v>ST</v>
      </c>
      <c r="H1292" s="6">
        <f>IF(F1292="GO",Eingaben!$B$11,IF(F1292="STANDARD",Eingaben!$B$12,IF(AND(F1292="HEAT",ISNUMBER(Eingaben!$B$13)),Eingaben!$B$13,"")))</f>
        <v>28.2744</v>
      </c>
      <c r="I1292" s="6">
        <f>INDEX(Netzzeiten!$C$6:$C$29,HOUR(B1292)+1)</f>
        <v>5.48</v>
      </c>
      <c r="J1292" t="str">
        <f>IF(C1292="","FEHLT",IF(NOT(ISNUMBER(C1292)),"MESSWERT UNGUELTIG",IF(C1292&lt;0,"MESSWERT UNGUELTIG",IF(H1292="","TARIFPREIS FEHLT","OK"))))</f>
        <v>FEHLT</v>
      </c>
      <c r="K1292" s="7">
        <f>IF(J1292&lt;&gt;"OK","",C1292*I1292/100)</f>
        <v/>
      </c>
    </row>
    <row r="1293" spans="1:11">
      <c r="A1293" s="14">
        <v>46156</v>
      </c>
      <c r="B1293" s="15">
        <v>0.40625</v>
      </c>
      <c r="C1293" s="5">
        <f>IF('96 Werte'!AO19="","",'96 Werte'!AO19)</f>
        <v/>
      </c>
      <c r="D1293" t="str">
        <f>IF(IF(Eingaben!$B$21&lt;Eingaben!$B$22,AND(B1293&gt;=Eingaben!$B$21,B1293&lt;Eingaben!$B$22),OR(B1293&gt;=Eingaben!$B$21,B1293&lt;Eingaben!$B$22)),"GO",IF(AND(ISNUMBER(Eingaben!$B$23),ISNUMBER(Eingaben!$B$24),IF(Eingaben!$B$23&lt;Eingaben!$B$24,AND(B1293&gt;=Eingaben!$B$23,B1293&lt;Eingaben!$B$24),OR(B1293&gt;=Eingaben!$B$23,B1293&lt;Eingaben!$B$24))),"HEAT","STANDARD"))</f>
        <v>STANDARD</v>
      </c>
      <c r="E1293" s="9"/>
      <c r="F1293" t="str">
        <f>IF(E1293="",D1293,E1293)</f>
        <v>STANDARD</v>
      </c>
      <c r="G1293" t="str">
        <f>INDEX(Netzzeiten!$B$6:$B$29,HOUR(B1293)+1)</f>
        <v>ST</v>
      </c>
      <c r="H1293" s="6">
        <f>IF(F1293="GO",Eingaben!$B$11,IF(F1293="STANDARD",Eingaben!$B$12,IF(AND(F1293="HEAT",ISNUMBER(Eingaben!$B$13)),Eingaben!$B$13,"")))</f>
        <v>28.2744</v>
      </c>
      <c r="I1293" s="6">
        <f>INDEX(Netzzeiten!$C$6:$C$29,HOUR(B1293)+1)</f>
        <v>5.48</v>
      </c>
      <c r="J1293" t="str">
        <f>IF(C1293="","FEHLT",IF(NOT(ISNUMBER(C1293)),"MESSWERT UNGUELTIG",IF(C1293&lt;0,"MESSWERT UNGUELTIG",IF(H1293="","TARIFPREIS FEHLT","OK"))))</f>
        <v>FEHLT</v>
      </c>
      <c r="K1293" s="7">
        <f>IF(J1293&lt;&gt;"OK","",C1293*I1293/100)</f>
        <v/>
      </c>
    </row>
    <row r="1294" spans="1:11">
      <c r="A1294" s="14">
        <v>46156</v>
      </c>
      <c r="B1294" s="15">
        <v>0.4166666666666667</v>
      </c>
      <c r="C1294" s="5">
        <f>IF('96 Werte'!AP19="","",'96 Werte'!AP19)</f>
        <v/>
      </c>
      <c r="D1294" t="str">
        <f>IF(IF(Eingaben!$B$21&lt;Eingaben!$B$22,AND(B1294&gt;=Eingaben!$B$21,B1294&lt;Eingaben!$B$22),OR(B1294&gt;=Eingaben!$B$21,B1294&lt;Eingaben!$B$22)),"GO",IF(AND(ISNUMBER(Eingaben!$B$23),ISNUMBER(Eingaben!$B$24),IF(Eingaben!$B$23&lt;Eingaben!$B$24,AND(B1294&gt;=Eingaben!$B$23,B1294&lt;Eingaben!$B$24),OR(B1294&gt;=Eingaben!$B$23,B1294&lt;Eingaben!$B$24))),"HEAT","STANDARD"))</f>
        <v>STANDARD</v>
      </c>
      <c r="E1294" s="9"/>
      <c r="F1294" t="str">
        <f>IF(E1294="",D1294,E1294)</f>
        <v>STANDARD</v>
      </c>
      <c r="G1294" t="str">
        <f>INDEX(Netzzeiten!$B$6:$B$29,HOUR(B1294)+1)</f>
        <v>ST</v>
      </c>
      <c r="H1294" s="6">
        <f>IF(F1294="GO",Eingaben!$B$11,IF(F1294="STANDARD",Eingaben!$B$12,IF(AND(F1294="HEAT",ISNUMBER(Eingaben!$B$13)),Eingaben!$B$13,"")))</f>
        <v>28.2744</v>
      </c>
      <c r="I1294" s="6">
        <f>INDEX(Netzzeiten!$C$6:$C$29,HOUR(B1294)+1)</f>
        <v>5.48</v>
      </c>
      <c r="J1294" t="str">
        <f>IF(C1294="","FEHLT",IF(NOT(ISNUMBER(C1294)),"MESSWERT UNGUELTIG",IF(C1294&lt;0,"MESSWERT UNGUELTIG",IF(H1294="","TARIFPREIS FEHLT","OK"))))</f>
        <v>FEHLT</v>
      </c>
      <c r="K1294" s="7">
        <f>IF(J1294&lt;&gt;"OK","",C1294*I1294/100)</f>
        <v/>
      </c>
    </row>
    <row r="1295" spans="1:11">
      <c r="A1295" s="14">
        <v>46156</v>
      </c>
      <c r="B1295" s="15">
        <v>0.4270833333333333</v>
      </c>
      <c r="C1295" s="5">
        <f>IF('96 Werte'!AQ19="","",'96 Werte'!AQ19)</f>
        <v/>
      </c>
      <c r="D1295" t="str">
        <f>IF(IF(Eingaben!$B$21&lt;Eingaben!$B$22,AND(B1295&gt;=Eingaben!$B$21,B1295&lt;Eingaben!$B$22),OR(B1295&gt;=Eingaben!$B$21,B1295&lt;Eingaben!$B$22)),"GO",IF(AND(ISNUMBER(Eingaben!$B$23),ISNUMBER(Eingaben!$B$24),IF(Eingaben!$B$23&lt;Eingaben!$B$24,AND(B1295&gt;=Eingaben!$B$23,B1295&lt;Eingaben!$B$24),OR(B1295&gt;=Eingaben!$B$23,B1295&lt;Eingaben!$B$24))),"HEAT","STANDARD"))</f>
        <v>STANDARD</v>
      </c>
      <c r="E1295" s="9"/>
      <c r="F1295" t="str">
        <f>IF(E1295="",D1295,E1295)</f>
        <v>STANDARD</v>
      </c>
      <c r="G1295" t="str">
        <f>INDEX(Netzzeiten!$B$6:$B$29,HOUR(B1295)+1)</f>
        <v>ST</v>
      </c>
      <c r="H1295" s="6">
        <f>IF(F1295="GO",Eingaben!$B$11,IF(F1295="STANDARD",Eingaben!$B$12,IF(AND(F1295="HEAT",ISNUMBER(Eingaben!$B$13)),Eingaben!$B$13,"")))</f>
        <v>28.2744</v>
      </c>
      <c r="I1295" s="6">
        <f>INDEX(Netzzeiten!$C$6:$C$29,HOUR(B1295)+1)</f>
        <v>5.48</v>
      </c>
      <c r="J1295" t="str">
        <f>IF(C1295="","FEHLT",IF(NOT(ISNUMBER(C1295)),"MESSWERT UNGUELTIG",IF(C1295&lt;0,"MESSWERT UNGUELTIG",IF(H1295="","TARIFPREIS FEHLT","OK"))))</f>
        <v>FEHLT</v>
      </c>
      <c r="K1295" s="7">
        <f>IF(J1295&lt;&gt;"OK","",C1295*I1295/100)</f>
        <v/>
      </c>
    </row>
    <row r="1296" spans="1:11">
      <c r="A1296" s="14">
        <v>46156</v>
      </c>
      <c r="B1296" s="15">
        <v>0.4375</v>
      </c>
      <c r="C1296" s="5">
        <f>IF('96 Werte'!AR19="","",'96 Werte'!AR19)</f>
        <v/>
      </c>
      <c r="D1296" t="str">
        <f>IF(IF(Eingaben!$B$21&lt;Eingaben!$B$22,AND(B1296&gt;=Eingaben!$B$21,B1296&lt;Eingaben!$B$22),OR(B1296&gt;=Eingaben!$B$21,B1296&lt;Eingaben!$B$22)),"GO",IF(AND(ISNUMBER(Eingaben!$B$23),ISNUMBER(Eingaben!$B$24),IF(Eingaben!$B$23&lt;Eingaben!$B$24,AND(B1296&gt;=Eingaben!$B$23,B1296&lt;Eingaben!$B$24),OR(B1296&gt;=Eingaben!$B$23,B1296&lt;Eingaben!$B$24))),"HEAT","STANDARD"))</f>
        <v>STANDARD</v>
      </c>
      <c r="E1296" s="9"/>
      <c r="F1296" t="str">
        <f>IF(E1296="",D1296,E1296)</f>
        <v>STANDARD</v>
      </c>
      <c r="G1296" t="str">
        <f>INDEX(Netzzeiten!$B$6:$B$29,HOUR(B1296)+1)</f>
        <v>ST</v>
      </c>
      <c r="H1296" s="6">
        <f>IF(F1296="GO",Eingaben!$B$11,IF(F1296="STANDARD",Eingaben!$B$12,IF(AND(F1296="HEAT",ISNUMBER(Eingaben!$B$13)),Eingaben!$B$13,"")))</f>
        <v>28.2744</v>
      </c>
      <c r="I1296" s="6">
        <f>INDEX(Netzzeiten!$C$6:$C$29,HOUR(B1296)+1)</f>
        <v>5.48</v>
      </c>
      <c r="J1296" t="str">
        <f>IF(C1296="","FEHLT",IF(NOT(ISNUMBER(C1296)),"MESSWERT UNGUELTIG",IF(C1296&lt;0,"MESSWERT UNGUELTIG",IF(H1296="","TARIFPREIS FEHLT","OK"))))</f>
        <v>FEHLT</v>
      </c>
      <c r="K1296" s="7">
        <f>IF(J1296&lt;&gt;"OK","",C1296*I1296/100)</f>
        <v/>
      </c>
    </row>
    <row r="1297" spans="1:11">
      <c r="A1297" s="14">
        <v>46156</v>
      </c>
      <c r="B1297" s="15">
        <v>0.4479166666666667</v>
      </c>
      <c r="C1297" s="5">
        <f>IF('96 Werte'!AS19="","",'96 Werte'!AS19)</f>
        <v/>
      </c>
      <c r="D1297" t="str">
        <f>IF(IF(Eingaben!$B$21&lt;Eingaben!$B$22,AND(B1297&gt;=Eingaben!$B$21,B1297&lt;Eingaben!$B$22),OR(B1297&gt;=Eingaben!$B$21,B1297&lt;Eingaben!$B$22)),"GO",IF(AND(ISNUMBER(Eingaben!$B$23),ISNUMBER(Eingaben!$B$24),IF(Eingaben!$B$23&lt;Eingaben!$B$24,AND(B1297&gt;=Eingaben!$B$23,B1297&lt;Eingaben!$B$24),OR(B1297&gt;=Eingaben!$B$23,B1297&lt;Eingaben!$B$24))),"HEAT","STANDARD"))</f>
        <v>STANDARD</v>
      </c>
      <c r="E1297" s="9"/>
      <c r="F1297" t="str">
        <f>IF(E1297="",D1297,E1297)</f>
        <v>STANDARD</v>
      </c>
      <c r="G1297" t="str">
        <f>INDEX(Netzzeiten!$B$6:$B$29,HOUR(B1297)+1)</f>
        <v>ST</v>
      </c>
      <c r="H1297" s="6">
        <f>IF(F1297="GO",Eingaben!$B$11,IF(F1297="STANDARD",Eingaben!$B$12,IF(AND(F1297="HEAT",ISNUMBER(Eingaben!$B$13)),Eingaben!$B$13,"")))</f>
        <v>28.2744</v>
      </c>
      <c r="I1297" s="6">
        <f>INDEX(Netzzeiten!$C$6:$C$29,HOUR(B1297)+1)</f>
        <v>5.48</v>
      </c>
      <c r="J1297" t="str">
        <f>IF(C1297="","FEHLT",IF(NOT(ISNUMBER(C1297)),"MESSWERT UNGUELTIG",IF(C1297&lt;0,"MESSWERT UNGUELTIG",IF(H1297="","TARIFPREIS FEHLT","OK"))))</f>
        <v>FEHLT</v>
      </c>
      <c r="K1297" s="7">
        <f>IF(J1297&lt;&gt;"OK","",C1297*I1297/100)</f>
        <v/>
      </c>
    </row>
    <row r="1298" spans="1:11">
      <c r="A1298" s="14">
        <v>46156</v>
      </c>
      <c r="B1298" s="15">
        <v>0.4583333333333333</v>
      </c>
      <c r="C1298" s="5">
        <f>IF('96 Werte'!AT19="","",'96 Werte'!AT19)</f>
        <v/>
      </c>
      <c r="D1298" t="str">
        <f>IF(IF(Eingaben!$B$21&lt;Eingaben!$B$22,AND(B1298&gt;=Eingaben!$B$21,B1298&lt;Eingaben!$B$22),OR(B1298&gt;=Eingaben!$B$21,B1298&lt;Eingaben!$B$22)),"GO",IF(AND(ISNUMBER(Eingaben!$B$23),ISNUMBER(Eingaben!$B$24),IF(Eingaben!$B$23&lt;Eingaben!$B$24,AND(B1298&gt;=Eingaben!$B$23,B1298&lt;Eingaben!$B$24),OR(B1298&gt;=Eingaben!$B$23,B1298&lt;Eingaben!$B$24))),"HEAT","STANDARD"))</f>
        <v>STANDARD</v>
      </c>
      <c r="E1298" s="9"/>
      <c r="F1298" t="str">
        <f>IF(E1298="",D1298,E1298)</f>
        <v>STANDARD</v>
      </c>
      <c r="G1298" t="str">
        <f>INDEX(Netzzeiten!$B$6:$B$29,HOUR(B1298)+1)</f>
        <v>NT</v>
      </c>
      <c r="H1298" s="6">
        <f>IF(F1298="GO",Eingaben!$B$11,IF(F1298="STANDARD",Eingaben!$B$12,IF(AND(F1298="HEAT",ISNUMBER(Eingaben!$B$13)),Eingaben!$B$13,"")))</f>
        <v>28.2744</v>
      </c>
      <c r="I1298" s="6">
        <f>INDEX(Netzzeiten!$C$6:$C$29,HOUR(B1298)+1)</f>
        <v>1.64</v>
      </c>
      <c r="J1298" t="str">
        <f>IF(C1298="","FEHLT",IF(NOT(ISNUMBER(C1298)),"MESSWERT UNGUELTIG",IF(C1298&lt;0,"MESSWERT UNGUELTIG",IF(H1298="","TARIFPREIS FEHLT","OK"))))</f>
        <v>FEHLT</v>
      </c>
      <c r="K1298" s="7">
        <f>IF(J1298&lt;&gt;"OK","",C1298*I1298/100)</f>
        <v/>
      </c>
    </row>
    <row r="1299" spans="1:11">
      <c r="A1299" s="14">
        <v>46156</v>
      </c>
      <c r="B1299" s="15">
        <v>0.46875</v>
      </c>
      <c r="C1299" s="5">
        <f>IF('96 Werte'!AU19="","",'96 Werte'!AU19)</f>
        <v/>
      </c>
      <c r="D1299" t="str">
        <f>IF(IF(Eingaben!$B$21&lt;Eingaben!$B$22,AND(B1299&gt;=Eingaben!$B$21,B1299&lt;Eingaben!$B$22),OR(B1299&gt;=Eingaben!$B$21,B1299&lt;Eingaben!$B$22)),"GO",IF(AND(ISNUMBER(Eingaben!$B$23),ISNUMBER(Eingaben!$B$24),IF(Eingaben!$B$23&lt;Eingaben!$B$24,AND(B1299&gt;=Eingaben!$B$23,B1299&lt;Eingaben!$B$24),OR(B1299&gt;=Eingaben!$B$23,B1299&lt;Eingaben!$B$24))),"HEAT","STANDARD"))</f>
        <v>STANDARD</v>
      </c>
      <c r="E1299" s="9"/>
      <c r="F1299" t="str">
        <f>IF(E1299="",D1299,E1299)</f>
        <v>STANDARD</v>
      </c>
      <c r="G1299" t="str">
        <f>INDEX(Netzzeiten!$B$6:$B$29,HOUR(B1299)+1)</f>
        <v>NT</v>
      </c>
      <c r="H1299" s="6">
        <f>IF(F1299="GO",Eingaben!$B$11,IF(F1299="STANDARD",Eingaben!$B$12,IF(AND(F1299="HEAT",ISNUMBER(Eingaben!$B$13)),Eingaben!$B$13,"")))</f>
        <v>28.2744</v>
      </c>
      <c r="I1299" s="6">
        <f>INDEX(Netzzeiten!$C$6:$C$29,HOUR(B1299)+1)</f>
        <v>1.64</v>
      </c>
      <c r="J1299" t="str">
        <f>IF(C1299="","FEHLT",IF(NOT(ISNUMBER(C1299)),"MESSWERT UNGUELTIG",IF(C1299&lt;0,"MESSWERT UNGUELTIG",IF(H1299="","TARIFPREIS FEHLT","OK"))))</f>
        <v>FEHLT</v>
      </c>
      <c r="K1299" s="7">
        <f>IF(J1299&lt;&gt;"OK","",C1299*I1299/100)</f>
        <v/>
      </c>
    </row>
    <row r="1300" spans="1:11">
      <c r="A1300" s="14">
        <v>46156</v>
      </c>
      <c r="B1300" s="15">
        <v>0.4791666666666667</v>
      </c>
      <c r="C1300" s="5">
        <f>IF('96 Werte'!AV19="","",'96 Werte'!AV19)</f>
        <v/>
      </c>
      <c r="D1300" t="str">
        <f>IF(IF(Eingaben!$B$21&lt;Eingaben!$B$22,AND(B1300&gt;=Eingaben!$B$21,B1300&lt;Eingaben!$B$22),OR(B1300&gt;=Eingaben!$B$21,B1300&lt;Eingaben!$B$22)),"GO",IF(AND(ISNUMBER(Eingaben!$B$23),ISNUMBER(Eingaben!$B$24),IF(Eingaben!$B$23&lt;Eingaben!$B$24,AND(B1300&gt;=Eingaben!$B$23,B1300&lt;Eingaben!$B$24),OR(B1300&gt;=Eingaben!$B$23,B1300&lt;Eingaben!$B$24))),"HEAT","STANDARD"))</f>
        <v>STANDARD</v>
      </c>
      <c r="E1300" s="9"/>
      <c r="F1300" t="str">
        <f>IF(E1300="",D1300,E1300)</f>
        <v>STANDARD</v>
      </c>
      <c r="G1300" t="str">
        <f>INDEX(Netzzeiten!$B$6:$B$29,HOUR(B1300)+1)</f>
        <v>NT</v>
      </c>
      <c r="H1300" s="6">
        <f>IF(F1300="GO",Eingaben!$B$11,IF(F1300="STANDARD",Eingaben!$B$12,IF(AND(F1300="HEAT",ISNUMBER(Eingaben!$B$13)),Eingaben!$B$13,"")))</f>
        <v>28.2744</v>
      </c>
      <c r="I1300" s="6">
        <f>INDEX(Netzzeiten!$C$6:$C$29,HOUR(B1300)+1)</f>
        <v>1.64</v>
      </c>
      <c r="J1300" t="str">
        <f>IF(C1300="","FEHLT",IF(NOT(ISNUMBER(C1300)),"MESSWERT UNGUELTIG",IF(C1300&lt;0,"MESSWERT UNGUELTIG",IF(H1300="","TARIFPREIS FEHLT","OK"))))</f>
        <v>FEHLT</v>
      </c>
      <c r="K1300" s="7">
        <f>IF(J1300&lt;&gt;"OK","",C1300*I1300/100)</f>
        <v/>
      </c>
    </row>
    <row r="1301" spans="1:11">
      <c r="A1301" s="14">
        <v>46156</v>
      </c>
      <c r="B1301" s="15">
        <v>0.4895833333333333</v>
      </c>
      <c r="C1301" s="5">
        <f>IF('96 Werte'!AW19="","",'96 Werte'!AW19)</f>
        <v/>
      </c>
      <c r="D1301" t="str">
        <f>IF(IF(Eingaben!$B$21&lt;Eingaben!$B$22,AND(B1301&gt;=Eingaben!$B$21,B1301&lt;Eingaben!$B$22),OR(B1301&gt;=Eingaben!$B$21,B1301&lt;Eingaben!$B$22)),"GO",IF(AND(ISNUMBER(Eingaben!$B$23),ISNUMBER(Eingaben!$B$24),IF(Eingaben!$B$23&lt;Eingaben!$B$24,AND(B1301&gt;=Eingaben!$B$23,B1301&lt;Eingaben!$B$24),OR(B1301&gt;=Eingaben!$B$23,B1301&lt;Eingaben!$B$24))),"HEAT","STANDARD"))</f>
        <v>STANDARD</v>
      </c>
      <c r="E1301" s="9"/>
      <c r="F1301" t="str">
        <f>IF(E1301="",D1301,E1301)</f>
        <v>STANDARD</v>
      </c>
      <c r="G1301" t="str">
        <f>INDEX(Netzzeiten!$B$6:$B$29,HOUR(B1301)+1)</f>
        <v>NT</v>
      </c>
      <c r="H1301" s="6">
        <f>IF(F1301="GO",Eingaben!$B$11,IF(F1301="STANDARD",Eingaben!$B$12,IF(AND(F1301="HEAT",ISNUMBER(Eingaben!$B$13)),Eingaben!$B$13,"")))</f>
        <v>28.2744</v>
      </c>
      <c r="I1301" s="6">
        <f>INDEX(Netzzeiten!$C$6:$C$29,HOUR(B1301)+1)</f>
        <v>1.64</v>
      </c>
      <c r="J1301" t="str">
        <f>IF(C1301="","FEHLT",IF(NOT(ISNUMBER(C1301)),"MESSWERT UNGUELTIG",IF(C1301&lt;0,"MESSWERT UNGUELTIG",IF(H1301="","TARIFPREIS FEHLT","OK"))))</f>
        <v>FEHLT</v>
      </c>
      <c r="K1301" s="7">
        <f>IF(J1301&lt;&gt;"OK","",C1301*I1301/100)</f>
        <v/>
      </c>
    </row>
    <row r="1302" spans="1:11">
      <c r="A1302" s="14">
        <v>46156</v>
      </c>
      <c r="B1302" s="15">
        <v>0.5</v>
      </c>
      <c r="C1302" s="5">
        <f>IF('96 Werte'!AX19="","",'96 Werte'!AX19)</f>
        <v/>
      </c>
      <c r="D1302" t="str">
        <f>IF(IF(Eingaben!$B$21&lt;Eingaben!$B$22,AND(B1302&gt;=Eingaben!$B$21,B1302&lt;Eingaben!$B$22),OR(B1302&gt;=Eingaben!$B$21,B1302&lt;Eingaben!$B$22)),"GO",IF(AND(ISNUMBER(Eingaben!$B$23),ISNUMBER(Eingaben!$B$24),IF(Eingaben!$B$23&lt;Eingaben!$B$24,AND(B1302&gt;=Eingaben!$B$23,B1302&lt;Eingaben!$B$24),OR(B1302&gt;=Eingaben!$B$23,B1302&lt;Eingaben!$B$24))),"HEAT","STANDARD"))</f>
        <v>STANDARD</v>
      </c>
      <c r="E1302" s="9"/>
      <c r="F1302" t="str">
        <f>IF(E1302="",D1302,E1302)</f>
        <v>STANDARD</v>
      </c>
      <c r="G1302" t="str">
        <f>INDEX(Netzzeiten!$B$6:$B$29,HOUR(B1302)+1)</f>
        <v>NT</v>
      </c>
      <c r="H1302" s="6">
        <f>IF(F1302="GO",Eingaben!$B$11,IF(F1302="STANDARD",Eingaben!$B$12,IF(AND(F1302="HEAT",ISNUMBER(Eingaben!$B$13)),Eingaben!$B$13,"")))</f>
        <v>28.2744</v>
      </c>
      <c r="I1302" s="6">
        <f>INDEX(Netzzeiten!$C$6:$C$29,HOUR(B1302)+1)</f>
        <v>1.64</v>
      </c>
      <c r="J1302" t="str">
        <f>IF(C1302="","FEHLT",IF(NOT(ISNUMBER(C1302)),"MESSWERT UNGUELTIG",IF(C1302&lt;0,"MESSWERT UNGUELTIG",IF(H1302="","TARIFPREIS FEHLT","OK"))))</f>
        <v>FEHLT</v>
      </c>
      <c r="K1302" s="7">
        <f>IF(J1302&lt;&gt;"OK","",C1302*I1302/100)</f>
        <v/>
      </c>
    </row>
    <row r="1303" spans="1:11">
      <c r="A1303" s="14">
        <v>46156</v>
      </c>
      <c r="B1303" s="15">
        <v>0.5104166666666666</v>
      </c>
      <c r="C1303" s="5">
        <f>IF('96 Werte'!AY19="","",'96 Werte'!AY19)</f>
        <v/>
      </c>
      <c r="D1303" t="str">
        <f>IF(IF(Eingaben!$B$21&lt;Eingaben!$B$22,AND(B1303&gt;=Eingaben!$B$21,B1303&lt;Eingaben!$B$22),OR(B1303&gt;=Eingaben!$B$21,B1303&lt;Eingaben!$B$22)),"GO",IF(AND(ISNUMBER(Eingaben!$B$23),ISNUMBER(Eingaben!$B$24),IF(Eingaben!$B$23&lt;Eingaben!$B$24,AND(B1303&gt;=Eingaben!$B$23,B1303&lt;Eingaben!$B$24),OR(B1303&gt;=Eingaben!$B$23,B1303&lt;Eingaben!$B$24))),"HEAT","STANDARD"))</f>
        <v>STANDARD</v>
      </c>
      <c r="E1303" s="9"/>
      <c r="F1303" t="str">
        <f>IF(E1303="",D1303,E1303)</f>
        <v>STANDARD</v>
      </c>
      <c r="G1303" t="str">
        <f>INDEX(Netzzeiten!$B$6:$B$29,HOUR(B1303)+1)</f>
        <v>NT</v>
      </c>
      <c r="H1303" s="6">
        <f>IF(F1303="GO",Eingaben!$B$11,IF(F1303="STANDARD",Eingaben!$B$12,IF(AND(F1303="HEAT",ISNUMBER(Eingaben!$B$13)),Eingaben!$B$13,"")))</f>
        <v>28.2744</v>
      </c>
      <c r="I1303" s="6">
        <f>INDEX(Netzzeiten!$C$6:$C$29,HOUR(B1303)+1)</f>
        <v>1.64</v>
      </c>
      <c r="J1303" t="str">
        <f>IF(C1303="","FEHLT",IF(NOT(ISNUMBER(C1303)),"MESSWERT UNGUELTIG",IF(C1303&lt;0,"MESSWERT UNGUELTIG",IF(H1303="","TARIFPREIS FEHLT","OK"))))</f>
        <v>FEHLT</v>
      </c>
      <c r="K1303" s="7">
        <f>IF(J1303&lt;&gt;"OK","",C1303*I1303/100)</f>
        <v/>
      </c>
    </row>
    <row r="1304" spans="1:11">
      <c r="A1304" s="14">
        <v>46156</v>
      </c>
      <c r="B1304" s="15">
        <v>0.5208333333333334</v>
      </c>
      <c r="C1304" s="5">
        <f>IF('96 Werte'!AZ19="","",'96 Werte'!AZ19)</f>
        <v/>
      </c>
      <c r="D1304" t="str">
        <f>IF(IF(Eingaben!$B$21&lt;Eingaben!$B$22,AND(B1304&gt;=Eingaben!$B$21,B1304&lt;Eingaben!$B$22),OR(B1304&gt;=Eingaben!$B$21,B1304&lt;Eingaben!$B$22)),"GO",IF(AND(ISNUMBER(Eingaben!$B$23),ISNUMBER(Eingaben!$B$24),IF(Eingaben!$B$23&lt;Eingaben!$B$24,AND(B1304&gt;=Eingaben!$B$23,B1304&lt;Eingaben!$B$24),OR(B1304&gt;=Eingaben!$B$23,B1304&lt;Eingaben!$B$24))),"HEAT","STANDARD"))</f>
        <v>STANDARD</v>
      </c>
      <c r="E1304" s="9"/>
      <c r="F1304" t="str">
        <f>IF(E1304="",D1304,E1304)</f>
        <v>STANDARD</v>
      </c>
      <c r="G1304" t="str">
        <f>INDEX(Netzzeiten!$B$6:$B$29,HOUR(B1304)+1)</f>
        <v>NT</v>
      </c>
      <c r="H1304" s="6">
        <f>IF(F1304="GO",Eingaben!$B$11,IF(F1304="STANDARD",Eingaben!$B$12,IF(AND(F1304="HEAT",ISNUMBER(Eingaben!$B$13)),Eingaben!$B$13,"")))</f>
        <v>28.2744</v>
      </c>
      <c r="I1304" s="6">
        <f>INDEX(Netzzeiten!$C$6:$C$29,HOUR(B1304)+1)</f>
        <v>1.64</v>
      </c>
      <c r="J1304" t="str">
        <f>IF(C1304="","FEHLT",IF(NOT(ISNUMBER(C1304)),"MESSWERT UNGUELTIG",IF(C1304&lt;0,"MESSWERT UNGUELTIG",IF(H1304="","TARIFPREIS FEHLT","OK"))))</f>
        <v>FEHLT</v>
      </c>
      <c r="K1304" s="7">
        <f>IF(J1304&lt;&gt;"OK","",C1304*I1304/100)</f>
        <v/>
      </c>
    </row>
    <row r="1305" spans="1:11">
      <c r="A1305" s="14">
        <v>46156</v>
      </c>
      <c r="B1305" s="15">
        <v>0.53125</v>
      </c>
      <c r="C1305" s="5">
        <f>IF('96 Werte'!BA19="","",'96 Werte'!BA19)</f>
        <v/>
      </c>
      <c r="D1305" t="str">
        <f>IF(IF(Eingaben!$B$21&lt;Eingaben!$B$22,AND(B1305&gt;=Eingaben!$B$21,B1305&lt;Eingaben!$B$22),OR(B1305&gt;=Eingaben!$B$21,B1305&lt;Eingaben!$B$22)),"GO",IF(AND(ISNUMBER(Eingaben!$B$23),ISNUMBER(Eingaben!$B$24),IF(Eingaben!$B$23&lt;Eingaben!$B$24,AND(B1305&gt;=Eingaben!$B$23,B1305&lt;Eingaben!$B$24),OR(B1305&gt;=Eingaben!$B$23,B1305&lt;Eingaben!$B$24))),"HEAT","STANDARD"))</f>
        <v>STANDARD</v>
      </c>
      <c r="E1305" s="9"/>
      <c r="F1305" t="str">
        <f>IF(E1305="",D1305,E1305)</f>
        <v>STANDARD</v>
      </c>
      <c r="G1305" t="str">
        <f>INDEX(Netzzeiten!$B$6:$B$29,HOUR(B1305)+1)</f>
        <v>NT</v>
      </c>
      <c r="H1305" s="6">
        <f>IF(F1305="GO",Eingaben!$B$11,IF(F1305="STANDARD",Eingaben!$B$12,IF(AND(F1305="HEAT",ISNUMBER(Eingaben!$B$13)),Eingaben!$B$13,"")))</f>
        <v>28.2744</v>
      </c>
      <c r="I1305" s="6">
        <f>INDEX(Netzzeiten!$C$6:$C$29,HOUR(B1305)+1)</f>
        <v>1.64</v>
      </c>
      <c r="J1305" t="str">
        <f>IF(C1305="","FEHLT",IF(NOT(ISNUMBER(C1305)),"MESSWERT UNGUELTIG",IF(C1305&lt;0,"MESSWERT UNGUELTIG",IF(H1305="","TARIFPREIS FEHLT","OK"))))</f>
        <v>FEHLT</v>
      </c>
      <c r="K1305" s="7">
        <f>IF(J1305&lt;&gt;"OK","",C1305*I1305/100)</f>
        <v/>
      </c>
    </row>
    <row r="1306" spans="1:11">
      <c r="A1306" s="14">
        <v>46156</v>
      </c>
      <c r="B1306" s="15">
        <v>0.5416666666666666</v>
      </c>
      <c r="C1306" s="5">
        <f>IF('96 Werte'!BB19="","",'96 Werte'!BB19)</f>
        <v/>
      </c>
      <c r="D1306" t="str">
        <f>IF(IF(Eingaben!$B$21&lt;Eingaben!$B$22,AND(B1306&gt;=Eingaben!$B$21,B1306&lt;Eingaben!$B$22),OR(B1306&gt;=Eingaben!$B$21,B1306&lt;Eingaben!$B$22)),"GO",IF(AND(ISNUMBER(Eingaben!$B$23),ISNUMBER(Eingaben!$B$24),IF(Eingaben!$B$23&lt;Eingaben!$B$24,AND(B1306&gt;=Eingaben!$B$23,B1306&lt;Eingaben!$B$24),OR(B1306&gt;=Eingaben!$B$23,B1306&lt;Eingaben!$B$24))),"HEAT","STANDARD"))</f>
        <v>STANDARD</v>
      </c>
      <c r="E1306" s="9"/>
      <c r="F1306" t="str">
        <f>IF(E1306="",D1306,E1306)</f>
        <v>STANDARD</v>
      </c>
      <c r="G1306" t="str">
        <f>INDEX(Netzzeiten!$B$6:$B$29,HOUR(B1306)+1)</f>
        <v>NT</v>
      </c>
      <c r="H1306" s="6">
        <f>IF(F1306="GO",Eingaben!$B$11,IF(F1306="STANDARD",Eingaben!$B$12,IF(AND(F1306="HEAT",ISNUMBER(Eingaben!$B$13)),Eingaben!$B$13,"")))</f>
        <v>28.2744</v>
      </c>
      <c r="I1306" s="6">
        <f>INDEX(Netzzeiten!$C$6:$C$29,HOUR(B1306)+1)</f>
        <v>1.64</v>
      </c>
      <c r="J1306" t="str">
        <f>IF(C1306="","FEHLT",IF(NOT(ISNUMBER(C1306)),"MESSWERT UNGUELTIG",IF(C1306&lt;0,"MESSWERT UNGUELTIG",IF(H1306="","TARIFPREIS FEHLT","OK"))))</f>
        <v>FEHLT</v>
      </c>
      <c r="K1306" s="7">
        <f>IF(J1306&lt;&gt;"OK","",C1306*I1306/100)</f>
        <v/>
      </c>
    </row>
    <row r="1307" spans="1:11">
      <c r="A1307" s="14">
        <v>46156</v>
      </c>
      <c r="B1307" s="15">
        <v>0.5520833333333334</v>
      </c>
      <c r="C1307" s="5">
        <f>IF('96 Werte'!BC19="","",'96 Werte'!BC19)</f>
        <v/>
      </c>
      <c r="D1307" t="str">
        <f>IF(IF(Eingaben!$B$21&lt;Eingaben!$B$22,AND(B1307&gt;=Eingaben!$B$21,B1307&lt;Eingaben!$B$22),OR(B1307&gt;=Eingaben!$B$21,B1307&lt;Eingaben!$B$22)),"GO",IF(AND(ISNUMBER(Eingaben!$B$23),ISNUMBER(Eingaben!$B$24),IF(Eingaben!$B$23&lt;Eingaben!$B$24,AND(B1307&gt;=Eingaben!$B$23,B1307&lt;Eingaben!$B$24),OR(B1307&gt;=Eingaben!$B$23,B1307&lt;Eingaben!$B$24))),"HEAT","STANDARD"))</f>
        <v>STANDARD</v>
      </c>
      <c r="E1307" s="9"/>
      <c r="F1307" t="str">
        <f>IF(E1307="",D1307,E1307)</f>
        <v>STANDARD</v>
      </c>
      <c r="G1307" t="str">
        <f>INDEX(Netzzeiten!$B$6:$B$29,HOUR(B1307)+1)</f>
        <v>NT</v>
      </c>
      <c r="H1307" s="6">
        <f>IF(F1307="GO",Eingaben!$B$11,IF(F1307="STANDARD",Eingaben!$B$12,IF(AND(F1307="HEAT",ISNUMBER(Eingaben!$B$13)),Eingaben!$B$13,"")))</f>
        <v>28.2744</v>
      </c>
      <c r="I1307" s="6">
        <f>INDEX(Netzzeiten!$C$6:$C$29,HOUR(B1307)+1)</f>
        <v>1.64</v>
      </c>
      <c r="J1307" t="str">
        <f>IF(C1307="","FEHLT",IF(NOT(ISNUMBER(C1307)),"MESSWERT UNGUELTIG",IF(C1307&lt;0,"MESSWERT UNGUELTIG",IF(H1307="","TARIFPREIS FEHLT","OK"))))</f>
        <v>FEHLT</v>
      </c>
      <c r="K1307" s="7">
        <f>IF(J1307&lt;&gt;"OK","",C1307*I1307/100)</f>
        <v/>
      </c>
    </row>
    <row r="1308" spans="1:11">
      <c r="A1308" s="14">
        <v>46156</v>
      </c>
      <c r="B1308" s="15">
        <v>0.5625</v>
      </c>
      <c r="C1308" s="5">
        <f>IF('96 Werte'!BD19="","",'96 Werte'!BD19)</f>
        <v/>
      </c>
      <c r="D1308" t="str">
        <f>IF(IF(Eingaben!$B$21&lt;Eingaben!$B$22,AND(B1308&gt;=Eingaben!$B$21,B1308&lt;Eingaben!$B$22),OR(B1308&gt;=Eingaben!$B$21,B1308&lt;Eingaben!$B$22)),"GO",IF(AND(ISNUMBER(Eingaben!$B$23),ISNUMBER(Eingaben!$B$24),IF(Eingaben!$B$23&lt;Eingaben!$B$24,AND(B1308&gt;=Eingaben!$B$23,B1308&lt;Eingaben!$B$24),OR(B1308&gt;=Eingaben!$B$23,B1308&lt;Eingaben!$B$24))),"HEAT","STANDARD"))</f>
        <v>STANDARD</v>
      </c>
      <c r="E1308" s="9"/>
      <c r="F1308" t="str">
        <f>IF(E1308="",D1308,E1308)</f>
        <v>STANDARD</v>
      </c>
      <c r="G1308" t="str">
        <f>INDEX(Netzzeiten!$B$6:$B$29,HOUR(B1308)+1)</f>
        <v>NT</v>
      </c>
      <c r="H1308" s="6">
        <f>IF(F1308="GO",Eingaben!$B$11,IF(F1308="STANDARD",Eingaben!$B$12,IF(AND(F1308="HEAT",ISNUMBER(Eingaben!$B$13)),Eingaben!$B$13,"")))</f>
        <v>28.2744</v>
      </c>
      <c r="I1308" s="6">
        <f>INDEX(Netzzeiten!$C$6:$C$29,HOUR(B1308)+1)</f>
        <v>1.64</v>
      </c>
      <c r="J1308" t="str">
        <f>IF(C1308="","FEHLT",IF(NOT(ISNUMBER(C1308)),"MESSWERT UNGUELTIG",IF(C1308&lt;0,"MESSWERT UNGUELTIG",IF(H1308="","TARIFPREIS FEHLT","OK"))))</f>
        <v>FEHLT</v>
      </c>
      <c r="K1308" s="7">
        <f>IF(J1308&lt;&gt;"OK","",C1308*I1308/100)</f>
        <v/>
      </c>
    </row>
    <row r="1309" spans="1:11">
      <c r="A1309" s="14">
        <v>46156</v>
      </c>
      <c r="B1309" s="15">
        <v>0.5729166666666666</v>
      </c>
      <c r="C1309" s="5">
        <f>IF('96 Werte'!BE19="","",'96 Werte'!BE19)</f>
        <v/>
      </c>
      <c r="D1309" t="str">
        <f>IF(IF(Eingaben!$B$21&lt;Eingaben!$B$22,AND(B1309&gt;=Eingaben!$B$21,B1309&lt;Eingaben!$B$22),OR(B1309&gt;=Eingaben!$B$21,B1309&lt;Eingaben!$B$22)),"GO",IF(AND(ISNUMBER(Eingaben!$B$23),ISNUMBER(Eingaben!$B$24),IF(Eingaben!$B$23&lt;Eingaben!$B$24,AND(B1309&gt;=Eingaben!$B$23,B1309&lt;Eingaben!$B$24),OR(B1309&gt;=Eingaben!$B$23,B1309&lt;Eingaben!$B$24))),"HEAT","STANDARD"))</f>
        <v>STANDARD</v>
      </c>
      <c r="E1309" s="9"/>
      <c r="F1309" t="str">
        <f>IF(E1309="",D1309,E1309)</f>
        <v>STANDARD</v>
      </c>
      <c r="G1309" t="str">
        <f>INDEX(Netzzeiten!$B$6:$B$29,HOUR(B1309)+1)</f>
        <v>NT</v>
      </c>
      <c r="H1309" s="6">
        <f>IF(F1309="GO",Eingaben!$B$11,IF(F1309="STANDARD",Eingaben!$B$12,IF(AND(F1309="HEAT",ISNUMBER(Eingaben!$B$13)),Eingaben!$B$13,"")))</f>
        <v>28.2744</v>
      </c>
      <c r="I1309" s="6">
        <f>INDEX(Netzzeiten!$C$6:$C$29,HOUR(B1309)+1)</f>
        <v>1.64</v>
      </c>
      <c r="J1309" t="str">
        <f>IF(C1309="","FEHLT",IF(NOT(ISNUMBER(C1309)),"MESSWERT UNGUELTIG",IF(C1309&lt;0,"MESSWERT UNGUELTIG",IF(H1309="","TARIFPREIS FEHLT","OK"))))</f>
        <v>FEHLT</v>
      </c>
      <c r="K1309" s="7">
        <f>IF(J1309&lt;&gt;"OK","",C1309*I1309/100)</f>
        <v/>
      </c>
    </row>
    <row r="1310" spans="1:11">
      <c r="A1310" s="14">
        <v>46156</v>
      </c>
      <c r="B1310" s="15">
        <v>0.5833333333333334</v>
      </c>
      <c r="C1310" s="5">
        <f>IF('96 Werte'!BF19="","",'96 Werte'!BF19)</f>
        <v/>
      </c>
      <c r="D1310" t="str">
        <f>IF(IF(Eingaben!$B$21&lt;Eingaben!$B$22,AND(B1310&gt;=Eingaben!$B$21,B1310&lt;Eingaben!$B$22),OR(B1310&gt;=Eingaben!$B$21,B1310&lt;Eingaben!$B$22)),"GO",IF(AND(ISNUMBER(Eingaben!$B$23),ISNUMBER(Eingaben!$B$24),IF(Eingaben!$B$23&lt;Eingaben!$B$24,AND(B1310&gt;=Eingaben!$B$23,B1310&lt;Eingaben!$B$24),OR(B1310&gt;=Eingaben!$B$23,B1310&lt;Eingaben!$B$24))),"HEAT","STANDARD"))</f>
        <v>STANDARD</v>
      </c>
      <c r="E1310" s="9"/>
      <c r="F1310" t="str">
        <f>IF(E1310="",D1310,E1310)</f>
        <v>STANDARD</v>
      </c>
      <c r="G1310" t="str">
        <f>INDEX(Netzzeiten!$B$6:$B$29,HOUR(B1310)+1)</f>
        <v>NT</v>
      </c>
      <c r="H1310" s="6">
        <f>IF(F1310="GO",Eingaben!$B$11,IF(F1310="STANDARD",Eingaben!$B$12,IF(AND(F1310="HEAT",ISNUMBER(Eingaben!$B$13)),Eingaben!$B$13,"")))</f>
        <v>28.2744</v>
      </c>
      <c r="I1310" s="6">
        <f>INDEX(Netzzeiten!$C$6:$C$29,HOUR(B1310)+1)</f>
        <v>1.64</v>
      </c>
      <c r="J1310" t="str">
        <f>IF(C1310="","FEHLT",IF(NOT(ISNUMBER(C1310)),"MESSWERT UNGUELTIG",IF(C1310&lt;0,"MESSWERT UNGUELTIG",IF(H1310="","TARIFPREIS FEHLT","OK"))))</f>
        <v>FEHLT</v>
      </c>
      <c r="K1310" s="7">
        <f>IF(J1310&lt;&gt;"OK","",C1310*I1310/100)</f>
        <v/>
      </c>
    </row>
    <row r="1311" spans="1:11">
      <c r="A1311" s="14">
        <v>46156</v>
      </c>
      <c r="B1311" s="15">
        <v>0.59375</v>
      </c>
      <c r="C1311" s="5">
        <f>IF('96 Werte'!BG19="","",'96 Werte'!BG19)</f>
        <v/>
      </c>
      <c r="D1311" t="str">
        <f>IF(IF(Eingaben!$B$21&lt;Eingaben!$B$22,AND(B1311&gt;=Eingaben!$B$21,B1311&lt;Eingaben!$B$22),OR(B1311&gt;=Eingaben!$B$21,B1311&lt;Eingaben!$B$22)),"GO",IF(AND(ISNUMBER(Eingaben!$B$23),ISNUMBER(Eingaben!$B$24),IF(Eingaben!$B$23&lt;Eingaben!$B$24,AND(B1311&gt;=Eingaben!$B$23,B1311&lt;Eingaben!$B$24),OR(B1311&gt;=Eingaben!$B$23,B1311&lt;Eingaben!$B$24))),"HEAT","STANDARD"))</f>
        <v>STANDARD</v>
      </c>
      <c r="E1311" s="9"/>
      <c r="F1311" t="str">
        <f>IF(E1311="",D1311,E1311)</f>
        <v>STANDARD</v>
      </c>
      <c r="G1311" t="str">
        <f>INDEX(Netzzeiten!$B$6:$B$29,HOUR(B1311)+1)</f>
        <v>NT</v>
      </c>
      <c r="H1311" s="6">
        <f>IF(F1311="GO",Eingaben!$B$11,IF(F1311="STANDARD",Eingaben!$B$12,IF(AND(F1311="HEAT",ISNUMBER(Eingaben!$B$13)),Eingaben!$B$13,"")))</f>
        <v>28.2744</v>
      </c>
      <c r="I1311" s="6">
        <f>INDEX(Netzzeiten!$C$6:$C$29,HOUR(B1311)+1)</f>
        <v>1.64</v>
      </c>
      <c r="J1311" t="str">
        <f>IF(C1311="","FEHLT",IF(NOT(ISNUMBER(C1311)),"MESSWERT UNGUELTIG",IF(C1311&lt;0,"MESSWERT UNGUELTIG",IF(H1311="","TARIFPREIS FEHLT","OK"))))</f>
        <v>FEHLT</v>
      </c>
      <c r="K1311" s="7">
        <f>IF(J1311&lt;&gt;"OK","",C1311*I1311/100)</f>
        <v/>
      </c>
    </row>
    <row r="1312" spans="1:11">
      <c r="A1312" s="14">
        <v>46156</v>
      </c>
      <c r="B1312" s="15">
        <v>0.6041666666666666</v>
      </c>
      <c r="C1312" s="5">
        <f>IF('96 Werte'!BH19="","",'96 Werte'!BH19)</f>
        <v/>
      </c>
      <c r="D1312" t="str">
        <f>IF(IF(Eingaben!$B$21&lt;Eingaben!$B$22,AND(B1312&gt;=Eingaben!$B$21,B1312&lt;Eingaben!$B$22),OR(B1312&gt;=Eingaben!$B$21,B1312&lt;Eingaben!$B$22)),"GO",IF(AND(ISNUMBER(Eingaben!$B$23),ISNUMBER(Eingaben!$B$24),IF(Eingaben!$B$23&lt;Eingaben!$B$24,AND(B1312&gt;=Eingaben!$B$23,B1312&lt;Eingaben!$B$24),OR(B1312&gt;=Eingaben!$B$23,B1312&lt;Eingaben!$B$24))),"HEAT","STANDARD"))</f>
        <v>STANDARD</v>
      </c>
      <c r="E1312" s="9"/>
      <c r="F1312" t="str">
        <f>IF(E1312="",D1312,E1312)</f>
        <v>STANDARD</v>
      </c>
      <c r="G1312" t="str">
        <f>INDEX(Netzzeiten!$B$6:$B$29,HOUR(B1312)+1)</f>
        <v>NT</v>
      </c>
      <c r="H1312" s="6">
        <f>IF(F1312="GO",Eingaben!$B$11,IF(F1312="STANDARD",Eingaben!$B$12,IF(AND(F1312="HEAT",ISNUMBER(Eingaben!$B$13)),Eingaben!$B$13,"")))</f>
        <v>28.2744</v>
      </c>
      <c r="I1312" s="6">
        <f>INDEX(Netzzeiten!$C$6:$C$29,HOUR(B1312)+1)</f>
        <v>1.64</v>
      </c>
      <c r="J1312" t="str">
        <f>IF(C1312="","FEHLT",IF(NOT(ISNUMBER(C1312)),"MESSWERT UNGUELTIG",IF(C1312&lt;0,"MESSWERT UNGUELTIG",IF(H1312="","TARIFPREIS FEHLT","OK"))))</f>
        <v>FEHLT</v>
      </c>
      <c r="K1312" s="7">
        <f>IF(J1312&lt;&gt;"OK","",C1312*I1312/100)</f>
        <v/>
      </c>
    </row>
    <row r="1313" spans="1:11">
      <c r="A1313" s="14">
        <v>46156</v>
      </c>
      <c r="B1313" s="15">
        <v>0.6145833333333334</v>
      </c>
      <c r="C1313" s="5">
        <f>IF('96 Werte'!BI19="","",'96 Werte'!BI19)</f>
        <v/>
      </c>
      <c r="D1313" t="str">
        <f>IF(IF(Eingaben!$B$21&lt;Eingaben!$B$22,AND(B1313&gt;=Eingaben!$B$21,B1313&lt;Eingaben!$B$22),OR(B1313&gt;=Eingaben!$B$21,B1313&lt;Eingaben!$B$22)),"GO",IF(AND(ISNUMBER(Eingaben!$B$23),ISNUMBER(Eingaben!$B$24),IF(Eingaben!$B$23&lt;Eingaben!$B$24,AND(B1313&gt;=Eingaben!$B$23,B1313&lt;Eingaben!$B$24),OR(B1313&gt;=Eingaben!$B$23,B1313&lt;Eingaben!$B$24))),"HEAT","STANDARD"))</f>
        <v>STANDARD</v>
      </c>
      <c r="E1313" s="9"/>
      <c r="F1313" t="str">
        <f>IF(E1313="",D1313,E1313)</f>
        <v>STANDARD</v>
      </c>
      <c r="G1313" t="str">
        <f>INDEX(Netzzeiten!$B$6:$B$29,HOUR(B1313)+1)</f>
        <v>NT</v>
      </c>
      <c r="H1313" s="6">
        <f>IF(F1313="GO",Eingaben!$B$11,IF(F1313="STANDARD",Eingaben!$B$12,IF(AND(F1313="HEAT",ISNUMBER(Eingaben!$B$13)),Eingaben!$B$13,"")))</f>
        <v>28.2744</v>
      </c>
      <c r="I1313" s="6">
        <f>INDEX(Netzzeiten!$C$6:$C$29,HOUR(B1313)+1)</f>
        <v>1.64</v>
      </c>
      <c r="J1313" t="str">
        <f>IF(C1313="","FEHLT",IF(NOT(ISNUMBER(C1313)),"MESSWERT UNGUELTIG",IF(C1313&lt;0,"MESSWERT UNGUELTIG",IF(H1313="","TARIFPREIS FEHLT","OK"))))</f>
        <v>FEHLT</v>
      </c>
      <c r="K1313" s="7">
        <f>IF(J1313&lt;&gt;"OK","",C1313*I1313/100)</f>
        <v/>
      </c>
    </row>
    <row r="1314" spans="1:11">
      <c r="A1314" s="14">
        <v>46156</v>
      </c>
      <c r="B1314" s="15">
        <v>0.625</v>
      </c>
      <c r="C1314" s="5">
        <f>IF('96 Werte'!BJ19="","",'96 Werte'!BJ19)</f>
        <v/>
      </c>
      <c r="D1314" t="str">
        <f>IF(IF(Eingaben!$B$21&lt;Eingaben!$B$22,AND(B1314&gt;=Eingaben!$B$21,B1314&lt;Eingaben!$B$22),OR(B1314&gt;=Eingaben!$B$21,B1314&lt;Eingaben!$B$22)),"GO",IF(AND(ISNUMBER(Eingaben!$B$23),ISNUMBER(Eingaben!$B$24),IF(Eingaben!$B$23&lt;Eingaben!$B$24,AND(B1314&gt;=Eingaben!$B$23,B1314&lt;Eingaben!$B$24),OR(B1314&gt;=Eingaben!$B$23,B1314&lt;Eingaben!$B$24))),"HEAT","STANDARD"))</f>
        <v>STANDARD</v>
      </c>
      <c r="E1314" s="9"/>
      <c r="F1314" t="str">
        <f>IF(E1314="",D1314,E1314)</f>
        <v>STANDARD</v>
      </c>
      <c r="G1314" t="str">
        <f>INDEX(Netzzeiten!$B$6:$B$29,HOUR(B1314)+1)</f>
        <v>ST</v>
      </c>
      <c r="H1314" s="6">
        <f>IF(F1314="GO",Eingaben!$B$11,IF(F1314="STANDARD",Eingaben!$B$12,IF(AND(F1314="HEAT",ISNUMBER(Eingaben!$B$13)),Eingaben!$B$13,"")))</f>
        <v>28.2744</v>
      </c>
      <c r="I1314" s="6">
        <f>INDEX(Netzzeiten!$C$6:$C$29,HOUR(B1314)+1)</f>
        <v>5.48</v>
      </c>
      <c r="J1314" t="str">
        <f>IF(C1314="","FEHLT",IF(NOT(ISNUMBER(C1314)),"MESSWERT UNGUELTIG",IF(C1314&lt;0,"MESSWERT UNGUELTIG",IF(H1314="","TARIFPREIS FEHLT","OK"))))</f>
        <v>FEHLT</v>
      </c>
      <c r="K1314" s="7">
        <f>IF(J1314&lt;&gt;"OK","",C1314*I1314/100)</f>
        <v/>
      </c>
    </row>
    <row r="1315" spans="1:11">
      <c r="A1315" s="14">
        <v>46156</v>
      </c>
      <c r="B1315" s="15">
        <v>0.6354166666666666</v>
      </c>
      <c r="C1315" s="5">
        <f>IF('96 Werte'!BK19="","",'96 Werte'!BK19)</f>
        <v/>
      </c>
      <c r="D1315" t="str">
        <f>IF(IF(Eingaben!$B$21&lt;Eingaben!$B$22,AND(B1315&gt;=Eingaben!$B$21,B1315&lt;Eingaben!$B$22),OR(B1315&gt;=Eingaben!$B$21,B1315&lt;Eingaben!$B$22)),"GO",IF(AND(ISNUMBER(Eingaben!$B$23),ISNUMBER(Eingaben!$B$24),IF(Eingaben!$B$23&lt;Eingaben!$B$24,AND(B1315&gt;=Eingaben!$B$23,B1315&lt;Eingaben!$B$24),OR(B1315&gt;=Eingaben!$B$23,B1315&lt;Eingaben!$B$24))),"HEAT","STANDARD"))</f>
        <v>STANDARD</v>
      </c>
      <c r="E1315" s="9"/>
      <c r="F1315" t="str">
        <f>IF(E1315="",D1315,E1315)</f>
        <v>STANDARD</v>
      </c>
      <c r="G1315" t="str">
        <f>INDEX(Netzzeiten!$B$6:$B$29,HOUR(B1315)+1)</f>
        <v>ST</v>
      </c>
      <c r="H1315" s="6">
        <f>IF(F1315="GO",Eingaben!$B$11,IF(F1315="STANDARD",Eingaben!$B$12,IF(AND(F1315="HEAT",ISNUMBER(Eingaben!$B$13)),Eingaben!$B$13,"")))</f>
        <v>28.2744</v>
      </c>
      <c r="I1315" s="6">
        <f>INDEX(Netzzeiten!$C$6:$C$29,HOUR(B1315)+1)</f>
        <v>5.48</v>
      </c>
      <c r="J1315" t="str">
        <f>IF(C1315="","FEHLT",IF(NOT(ISNUMBER(C1315)),"MESSWERT UNGUELTIG",IF(C1315&lt;0,"MESSWERT UNGUELTIG",IF(H1315="","TARIFPREIS FEHLT","OK"))))</f>
        <v>FEHLT</v>
      </c>
      <c r="K1315" s="7">
        <f>IF(J1315&lt;&gt;"OK","",C1315*I1315/100)</f>
        <v/>
      </c>
    </row>
    <row r="1316" spans="1:11">
      <c r="A1316" s="14">
        <v>46156</v>
      </c>
      <c r="B1316" s="15">
        <v>0.6458333333333334</v>
      </c>
      <c r="C1316" s="5">
        <f>IF('96 Werte'!BL19="","",'96 Werte'!BL19)</f>
        <v/>
      </c>
      <c r="D1316" t="str">
        <f>IF(IF(Eingaben!$B$21&lt;Eingaben!$B$22,AND(B1316&gt;=Eingaben!$B$21,B1316&lt;Eingaben!$B$22),OR(B1316&gt;=Eingaben!$B$21,B1316&lt;Eingaben!$B$22)),"GO",IF(AND(ISNUMBER(Eingaben!$B$23),ISNUMBER(Eingaben!$B$24),IF(Eingaben!$B$23&lt;Eingaben!$B$24,AND(B1316&gt;=Eingaben!$B$23,B1316&lt;Eingaben!$B$24),OR(B1316&gt;=Eingaben!$B$23,B1316&lt;Eingaben!$B$24))),"HEAT","STANDARD"))</f>
        <v>STANDARD</v>
      </c>
      <c r="E1316" s="9"/>
      <c r="F1316" t="str">
        <f>IF(E1316="",D1316,E1316)</f>
        <v>STANDARD</v>
      </c>
      <c r="G1316" t="str">
        <f>INDEX(Netzzeiten!$B$6:$B$29,HOUR(B1316)+1)</f>
        <v>ST</v>
      </c>
      <c r="H1316" s="6">
        <f>IF(F1316="GO",Eingaben!$B$11,IF(F1316="STANDARD",Eingaben!$B$12,IF(AND(F1316="HEAT",ISNUMBER(Eingaben!$B$13)),Eingaben!$B$13,"")))</f>
        <v>28.2744</v>
      </c>
      <c r="I1316" s="6">
        <f>INDEX(Netzzeiten!$C$6:$C$29,HOUR(B1316)+1)</f>
        <v>5.48</v>
      </c>
      <c r="J1316" t="str">
        <f>IF(C1316="","FEHLT",IF(NOT(ISNUMBER(C1316)),"MESSWERT UNGUELTIG",IF(C1316&lt;0,"MESSWERT UNGUELTIG",IF(H1316="","TARIFPREIS FEHLT","OK"))))</f>
        <v>FEHLT</v>
      </c>
      <c r="K1316" s="7">
        <f>IF(J1316&lt;&gt;"OK","",C1316*I1316/100)</f>
        <v/>
      </c>
    </row>
    <row r="1317" spans="1:11">
      <c r="A1317" s="14">
        <v>46156</v>
      </c>
      <c r="B1317" s="15">
        <v>0.65625</v>
      </c>
      <c r="C1317" s="5">
        <f>IF('96 Werte'!BM19="","",'96 Werte'!BM19)</f>
        <v/>
      </c>
      <c r="D1317" t="str">
        <f>IF(IF(Eingaben!$B$21&lt;Eingaben!$B$22,AND(B1317&gt;=Eingaben!$B$21,B1317&lt;Eingaben!$B$22),OR(B1317&gt;=Eingaben!$B$21,B1317&lt;Eingaben!$B$22)),"GO",IF(AND(ISNUMBER(Eingaben!$B$23),ISNUMBER(Eingaben!$B$24),IF(Eingaben!$B$23&lt;Eingaben!$B$24,AND(B1317&gt;=Eingaben!$B$23,B1317&lt;Eingaben!$B$24),OR(B1317&gt;=Eingaben!$B$23,B1317&lt;Eingaben!$B$24))),"HEAT","STANDARD"))</f>
        <v>STANDARD</v>
      </c>
      <c r="E1317" s="9"/>
      <c r="F1317" t="str">
        <f>IF(E1317="",D1317,E1317)</f>
        <v>STANDARD</v>
      </c>
      <c r="G1317" t="str">
        <f>INDEX(Netzzeiten!$B$6:$B$29,HOUR(B1317)+1)</f>
        <v>ST</v>
      </c>
      <c r="H1317" s="6">
        <f>IF(F1317="GO",Eingaben!$B$11,IF(F1317="STANDARD",Eingaben!$B$12,IF(AND(F1317="HEAT",ISNUMBER(Eingaben!$B$13)),Eingaben!$B$13,"")))</f>
        <v>28.2744</v>
      </c>
      <c r="I1317" s="6">
        <f>INDEX(Netzzeiten!$C$6:$C$29,HOUR(B1317)+1)</f>
        <v>5.48</v>
      </c>
      <c r="J1317" t="str">
        <f>IF(C1317="","FEHLT",IF(NOT(ISNUMBER(C1317)),"MESSWERT UNGUELTIG",IF(C1317&lt;0,"MESSWERT UNGUELTIG",IF(H1317="","TARIFPREIS FEHLT","OK"))))</f>
        <v>FEHLT</v>
      </c>
      <c r="K1317" s="7">
        <f>IF(J1317&lt;&gt;"OK","",C1317*I1317/100)</f>
        <v/>
      </c>
    </row>
    <row r="1318" spans="1:11">
      <c r="A1318" s="14">
        <v>46156</v>
      </c>
      <c r="B1318" s="15">
        <v>0.6666666666666666</v>
      </c>
      <c r="C1318" s="5">
        <f>IF('96 Werte'!BN19="","",'96 Werte'!BN19)</f>
        <v/>
      </c>
      <c r="D1318" t="str">
        <f>IF(IF(Eingaben!$B$21&lt;Eingaben!$B$22,AND(B1318&gt;=Eingaben!$B$21,B1318&lt;Eingaben!$B$22),OR(B1318&gt;=Eingaben!$B$21,B1318&lt;Eingaben!$B$22)),"GO",IF(AND(ISNUMBER(Eingaben!$B$23),ISNUMBER(Eingaben!$B$24),IF(Eingaben!$B$23&lt;Eingaben!$B$24,AND(B1318&gt;=Eingaben!$B$23,B1318&lt;Eingaben!$B$24),OR(B1318&gt;=Eingaben!$B$23,B1318&lt;Eingaben!$B$24))),"HEAT","STANDARD"))</f>
        <v>STANDARD</v>
      </c>
      <c r="E1318" s="9"/>
      <c r="F1318" t="str">
        <f>IF(E1318="",D1318,E1318)</f>
        <v>STANDARD</v>
      </c>
      <c r="G1318" t="str">
        <f>INDEX(Netzzeiten!$B$6:$B$29,HOUR(B1318)+1)</f>
        <v>ST</v>
      </c>
      <c r="H1318" s="6">
        <f>IF(F1318="GO",Eingaben!$B$11,IF(F1318="STANDARD",Eingaben!$B$12,IF(AND(F1318="HEAT",ISNUMBER(Eingaben!$B$13)),Eingaben!$B$13,"")))</f>
        <v>28.2744</v>
      </c>
      <c r="I1318" s="6">
        <f>INDEX(Netzzeiten!$C$6:$C$29,HOUR(B1318)+1)</f>
        <v>5.48</v>
      </c>
      <c r="J1318" t="str">
        <f>IF(C1318="","FEHLT",IF(NOT(ISNUMBER(C1318)),"MESSWERT UNGUELTIG",IF(C1318&lt;0,"MESSWERT UNGUELTIG",IF(H1318="","TARIFPREIS FEHLT","OK"))))</f>
        <v>FEHLT</v>
      </c>
      <c r="K1318" s="7">
        <f>IF(J1318&lt;&gt;"OK","",C1318*I1318/100)</f>
        <v/>
      </c>
    </row>
    <row r="1319" spans="1:11">
      <c r="A1319" s="14">
        <v>46156</v>
      </c>
      <c r="B1319" s="15">
        <v>0.6770833333333334</v>
      </c>
      <c r="C1319" s="5">
        <f>IF('96 Werte'!BO19="","",'96 Werte'!BO19)</f>
        <v/>
      </c>
      <c r="D1319" t="str">
        <f>IF(IF(Eingaben!$B$21&lt;Eingaben!$B$22,AND(B1319&gt;=Eingaben!$B$21,B1319&lt;Eingaben!$B$22),OR(B1319&gt;=Eingaben!$B$21,B1319&lt;Eingaben!$B$22)),"GO",IF(AND(ISNUMBER(Eingaben!$B$23),ISNUMBER(Eingaben!$B$24),IF(Eingaben!$B$23&lt;Eingaben!$B$24,AND(B1319&gt;=Eingaben!$B$23,B1319&lt;Eingaben!$B$24),OR(B1319&gt;=Eingaben!$B$23,B1319&lt;Eingaben!$B$24))),"HEAT","STANDARD"))</f>
        <v>STANDARD</v>
      </c>
      <c r="E1319" s="9"/>
      <c r="F1319" t="str">
        <f>IF(E1319="",D1319,E1319)</f>
        <v>STANDARD</v>
      </c>
      <c r="G1319" t="str">
        <f>INDEX(Netzzeiten!$B$6:$B$29,HOUR(B1319)+1)</f>
        <v>ST</v>
      </c>
      <c r="H1319" s="6">
        <f>IF(F1319="GO",Eingaben!$B$11,IF(F1319="STANDARD",Eingaben!$B$12,IF(AND(F1319="HEAT",ISNUMBER(Eingaben!$B$13)),Eingaben!$B$13,"")))</f>
        <v>28.2744</v>
      </c>
      <c r="I1319" s="6">
        <f>INDEX(Netzzeiten!$C$6:$C$29,HOUR(B1319)+1)</f>
        <v>5.48</v>
      </c>
      <c r="J1319" t="str">
        <f>IF(C1319="","FEHLT",IF(NOT(ISNUMBER(C1319)),"MESSWERT UNGUELTIG",IF(C1319&lt;0,"MESSWERT UNGUELTIG",IF(H1319="","TARIFPREIS FEHLT","OK"))))</f>
        <v>FEHLT</v>
      </c>
      <c r="K1319" s="7">
        <f>IF(J1319&lt;&gt;"OK","",C1319*I1319/100)</f>
        <v/>
      </c>
    </row>
    <row r="1320" spans="1:11">
      <c r="A1320" s="14">
        <v>46156</v>
      </c>
      <c r="B1320" s="15">
        <v>0.6875</v>
      </c>
      <c r="C1320" s="5">
        <f>IF('96 Werte'!BP19="","",'96 Werte'!BP19)</f>
        <v/>
      </c>
      <c r="D1320" t="str">
        <f>IF(IF(Eingaben!$B$21&lt;Eingaben!$B$22,AND(B1320&gt;=Eingaben!$B$21,B1320&lt;Eingaben!$B$22),OR(B1320&gt;=Eingaben!$B$21,B1320&lt;Eingaben!$B$22)),"GO",IF(AND(ISNUMBER(Eingaben!$B$23),ISNUMBER(Eingaben!$B$24),IF(Eingaben!$B$23&lt;Eingaben!$B$24,AND(B1320&gt;=Eingaben!$B$23,B1320&lt;Eingaben!$B$24),OR(B1320&gt;=Eingaben!$B$23,B1320&lt;Eingaben!$B$24))),"HEAT","STANDARD"))</f>
        <v>STANDARD</v>
      </c>
      <c r="E1320" s="9"/>
      <c r="F1320" t="str">
        <f>IF(E1320="",D1320,E1320)</f>
        <v>STANDARD</v>
      </c>
      <c r="G1320" t="str">
        <f>INDEX(Netzzeiten!$B$6:$B$29,HOUR(B1320)+1)</f>
        <v>ST</v>
      </c>
      <c r="H1320" s="6">
        <f>IF(F1320="GO",Eingaben!$B$11,IF(F1320="STANDARD",Eingaben!$B$12,IF(AND(F1320="HEAT",ISNUMBER(Eingaben!$B$13)),Eingaben!$B$13,"")))</f>
        <v>28.2744</v>
      </c>
      <c r="I1320" s="6">
        <f>INDEX(Netzzeiten!$C$6:$C$29,HOUR(B1320)+1)</f>
        <v>5.48</v>
      </c>
      <c r="J1320" t="str">
        <f>IF(C1320="","FEHLT",IF(NOT(ISNUMBER(C1320)),"MESSWERT UNGUELTIG",IF(C1320&lt;0,"MESSWERT UNGUELTIG",IF(H1320="","TARIFPREIS FEHLT","OK"))))</f>
        <v>FEHLT</v>
      </c>
      <c r="K1320" s="7">
        <f>IF(J1320&lt;&gt;"OK","",C1320*I1320/100)</f>
        <v/>
      </c>
    </row>
    <row r="1321" spans="1:11">
      <c r="A1321" s="14">
        <v>46156</v>
      </c>
      <c r="B1321" s="15">
        <v>0.6979166666666666</v>
      </c>
      <c r="C1321" s="5">
        <f>IF('96 Werte'!BQ19="","",'96 Werte'!BQ19)</f>
        <v/>
      </c>
      <c r="D1321" t="str">
        <f>IF(IF(Eingaben!$B$21&lt;Eingaben!$B$22,AND(B1321&gt;=Eingaben!$B$21,B1321&lt;Eingaben!$B$22),OR(B1321&gt;=Eingaben!$B$21,B1321&lt;Eingaben!$B$22)),"GO",IF(AND(ISNUMBER(Eingaben!$B$23),ISNUMBER(Eingaben!$B$24),IF(Eingaben!$B$23&lt;Eingaben!$B$24,AND(B1321&gt;=Eingaben!$B$23,B1321&lt;Eingaben!$B$24),OR(B1321&gt;=Eingaben!$B$23,B1321&lt;Eingaben!$B$24))),"HEAT","STANDARD"))</f>
        <v>STANDARD</v>
      </c>
      <c r="E1321" s="9"/>
      <c r="F1321" t="str">
        <f>IF(E1321="",D1321,E1321)</f>
        <v>STANDARD</v>
      </c>
      <c r="G1321" t="str">
        <f>INDEX(Netzzeiten!$B$6:$B$29,HOUR(B1321)+1)</f>
        <v>ST</v>
      </c>
      <c r="H1321" s="6">
        <f>IF(F1321="GO",Eingaben!$B$11,IF(F1321="STANDARD",Eingaben!$B$12,IF(AND(F1321="HEAT",ISNUMBER(Eingaben!$B$13)),Eingaben!$B$13,"")))</f>
        <v>28.2744</v>
      </c>
      <c r="I1321" s="6">
        <f>INDEX(Netzzeiten!$C$6:$C$29,HOUR(B1321)+1)</f>
        <v>5.48</v>
      </c>
      <c r="J1321" t="str">
        <f>IF(C1321="","FEHLT",IF(NOT(ISNUMBER(C1321)),"MESSWERT UNGUELTIG",IF(C1321&lt;0,"MESSWERT UNGUELTIG",IF(H1321="","TARIFPREIS FEHLT","OK"))))</f>
        <v>FEHLT</v>
      </c>
      <c r="K1321" s="7">
        <f>IF(J1321&lt;&gt;"OK","",C1321*I1321/100)</f>
        <v/>
      </c>
    </row>
    <row r="1322" spans="1:11">
      <c r="A1322" s="14">
        <v>46156</v>
      </c>
      <c r="B1322" s="15">
        <v>0.7083333333333334</v>
      </c>
      <c r="C1322" s="5">
        <f>IF('96 Werte'!BR19="","",'96 Werte'!BR19)</f>
        <v/>
      </c>
      <c r="D1322" t="str">
        <f>IF(IF(Eingaben!$B$21&lt;Eingaben!$B$22,AND(B1322&gt;=Eingaben!$B$21,B1322&lt;Eingaben!$B$22),OR(B1322&gt;=Eingaben!$B$21,B1322&lt;Eingaben!$B$22)),"GO",IF(AND(ISNUMBER(Eingaben!$B$23),ISNUMBER(Eingaben!$B$24),IF(Eingaben!$B$23&lt;Eingaben!$B$24,AND(B1322&gt;=Eingaben!$B$23,B1322&lt;Eingaben!$B$24),OR(B1322&gt;=Eingaben!$B$23,B1322&lt;Eingaben!$B$24))),"HEAT","STANDARD"))</f>
        <v>STANDARD</v>
      </c>
      <c r="E1322" s="9"/>
      <c r="F1322" t="str">
        <f>IF(E1322="",D1322,E1322)</f>
        <v>STANDARD</v>
      </c>
      <c r="G1322" t="str">
        <f>INDEX(Netzzeiten!$B$6:$B$29,HOUR(B1322)+1)</f>
        <v>HT</v>
      </c>
      <c r="H1322" s="6">
        <f>IF(F1322="GO",Eingaben!$B$11,IF(F1322="STANDARD",Eingaben!$B$12,IF(AND(F1322="HEAT",ISNUMBER(Eingaben!$B$13)),Eingaben!$B$13,"")))</f>
        <v>28.2744</v>
      </c>
      <c r="I1322" s="6">
        <f>INDEX(Netzzeiten!$C$6:$C$29,HOUR(B1322)+1)</f>
        <v>10.52</v>
      </c>
      <c r="J1322" t="str">
        <f>IF(C1322="","FEHLT",IF(NOT(ISNUMBER(C1322)),"MESSWERT UNGUELTIG",IF(C1322&lt;0,"MESSWERT UNGUELTIG",IF(H1322="","TARIFPREIS FEHLT","OK"))))</f>
        <v>FEHLT</v>
      </c>
      <c r="K1322" s="7">
        <f>IF(J1322&lt;&gt;"OK","",C1322*I1322/100)</f>
        <v/>
      </c>
    </row>
    <row r="1323" spans="1:11">
      <c r="A1323" s="14">
        <v>46156</v>
      </c>
      <c r="B1323" s="15">
        <v>0.71875</v>
      </c>
      <c r="C1323" s="5">
        <f>IF('96 Werte'!BS19="","",'96 Werte'!BS19)</f>
        <v/>
      </c>
      <c r="D1323" t="str">
        <f>IF(IF(Eingaben!$B$21&lt;Eingaben!$B$22,AND(B1323&gt;=Eingaben!$B$21,B1323&lt;Eingaben!$B$22),OR(B1323&gt;=Eingaben!$B$21,B1323&lt;Eingaben!$B$22)),"GO",IF(AND(ISNUMBER(Eingaben!$B$23),ISNUMBER(Eingaben!$B$24),IF(Eingaben!$B$23&lt;Eingaben!$B$24,AND(B1323&gt;=Eingaben!$B$23,B1323&lt;Eingaben!$B$24),OR(B1323&gt;=Eingaben!$B$23,B1323&lt;Eingaben!$B$24))),"HEAT","STANDARD"))</f>
        <v>STANDARD</v>
      </c>
      <c r="E1323" s="9"/>
      <c r="F1323" t="str">
        <f>IF(E1323="",D1323,E1323)</f>
        <v>STANDARD</v>
      </c>
      <c r="G1323" t="str">
        <f>INDEX(Netzzeiten!$B$6:$B$29,HOUR(B1323)+1)</f>
        <v>HT</v>
      </c>
      <c r="H1323" s="6">
        <f>IF(F1323="GO",Eingaben!$B$11,IF(F1323="STANDARD",Eingaben!$B$12,IF(AND(F1323="HEAT",ISNUMBER(Eingaben!$B$13)),Eingaben!$B$13,"")))</f>
        <v>28.2744</v>
      </c>
      <c r="I1323" s="6">
        <f>INDEX(Netzzeiten!$C$6:$C$29,HOUR(B1323)+1)</f>
        <v>10.52</v>
      </c>
      <c r="J1323" t="str">
        <f>IF(C1323="","FEHLT",IF(NOT(ISNUMBER(C1323)),"MESSWERT UNGUELTIG",IF(C1323&lt;0,"MESSWERT UNGUELTIG",IF(H1323="","TARIFPREIS FEHLT","OK"))))</f>
        <v>FEHLT</v>
      </c>
      <c r="K1323" s="7">
        <f>IF(J1323&lt;&gt;"OK","",C1323*I1323/100)</f>
        <v/>
      </c>
    </row>
    <row r="1324" spans="1:11">
      <c r="A1324" s="14">
        <v>46156</v>
      </c>
      <c r="B1324" s="15">
        <v>0.7291666666666666</v>
      </c>
      <c r="C1324" s="5">
        <f>IF('96 Werte'!BT19="","",'96 Werte'!BT19)</f>
        <v/>
      </c>
      <c r="D1324" t="str">
        <f>IF(IF(Eingaben!$B$21&lt;Eingaben!$B$22,AND(B1324&gt;=Eingaben!$B$21,B1324&lt;Eingaben!$B$22),OR(B1324&gt;=Eingaben!$B$21,B1324&lt;Eingaben!$B$22)),"GO",IF(AND(ISNUMBER(Eingaben!$B$23),ISNUMBER(Eingaben!$B$24),IF(Eingaben!$B$23&lt;Eingaben!$B$24,AND(B1324&gt;=Eingaben!$B$23,B1324&lt;Eingaben!$B$24),OR(B1324&gt;=Eingaben!$B$23,B1324&lt;Eingaben!$B$24))),"HEAT","STANDARD"))</f>
        <v>STANDARD</v>
      </c>
      <c r="E1324" s="9"/>
      <c r="F1324" t="str">
        <f>IF(E1324="",D1324,E1324)</f>
        <v>STANDARD</v>
      </c>
      <c r="G1324" t="str">
        <f>INDEX(Netzzeiten!$B$6:$B$29,HOUR(B1324)+1)</f>
        <v>HT</v>
      </c>
      <c r="H1324" s="6">
        <f>IF(F1324="GO",Eingaben!$B$11,IF(F1324="STANDARD",Eingaben!$B$12,IF(AND(F1324="HEAT",ISNUMBER(Eingaben!$B$13)),Eingaben!$B$13,"")))</f>
        <v>28.2744</v>
      </c>
      <c r="I1324" s="6">
        <f>INDEX(Netzzeiten!$C$6:$C$29,HOUR(B1324)+1)</f>
        <v>10.52</v>
      </c>
      <c r="J1324" t="str">
        <f>IF(C1324="","FEHLT",IF(NOT(ISNUMBER(C1324)),"MESSWERT UNGUELTIG",IF(C1324&lt;0,"MESSWERT UNGUELTIG",IF(H1324="","TARIFPREIS FEHLT","OK"))))</f>
        <v>FEHLT</v>
      </c>
      <c r="K1324" s="7">
        <f>IF(J1324&lt;&gt;"OK","",C1324*I1324/100)</f>
        <v/>
      </c>
    </row>
    <row r="1325" spans="1:11">
      <c r="A1325" s="14">
        <v>46156</v>
      </c>
      <c r="B1325" s="15">
        <v>0.7395833333333334</v>
      </c>
      <c r="C1325" s="5">
        <f>IF('96 Werte'!BU19="","",'96 Werte'!BU19)</f>
        <v/>
      </c>
      <c r="D1325" t="str">
        <f>IF(IF(Eingaben!$B$21&lt;Eingaben!$B$22,AND(B1325&gt;=Eingaben!$B$21,B1325&lt;Eingaben!$B$22),OR(B1325&gt;=Eingaben!$B$21,B1325&lt;Eingaben!$B$22)),"GO",IF(AND(ISNUMBER(Eingaben!$B$23),ISNUMBER(Eingaben!$B$24),IF(Eingaben!$B$23&lt;Eingaben!$B$24,AND(B1325&gt;=Eingaben!$B$23,B1325&lt;Eingaben!$B$24),OR(B1325&gt;=Eingaben!$B$23,B1325&lt;Eingaben!$B$24))),"HEAT","STANDARD"))</f>
        <v>STANDARD</v>
      </c>
      <c r="E1325" s="9"/>
      <c r="F1325" t="str">
        <f>IF(E1325="",D1325,E1325)</f>
        <v>STANDARD</v>
      </c>
      <c r="G1325" t="str">
        <f>INDEX(Netzzeiten!$B$6:$B$29,HOUR(B1325)+1)</f>
        <v>HT</v>
      </c>
      <c r="H1325" s="6">
        <f>IF(F1325="GO",Eingaben!$B$11,IF(F1325="STANDARD",Eingaben!$B$12,IF(AND(F1325="HEAT",ISNUMBER(Eingaben!$B$13)),Eingaben!$B$13,"")))</f>
        <v>28.2744</v>
      </c>
      <c r="I1325" s="6">
        <f>INDEX(Netzzeiten!$C$6:$C$29,HOUR(B1325)+1)</f>
        <v>10.52</v>
      </c>
      <c r="J1325" t="str">
        <f>IF(C1325="","FEHLT",IF(NOT(ISNUMBER(C1325)),"MESSWERT UNGUELTIG",IF(C1325&lt;0,"MESSWERT UNGUELTIG",IF(H1325="","TARIFPREIS FEHLT","OK"))))</f>
        <v>FEHLT</v>
      </c>
      <c r="K1325" s="7">
        <f>IF(J1325&lt;&gt;"OK","",C1325*I1325/100)</f>
        <v/>
      </c>
    </row>
    <row r="1326" spans="1:11">
      <c r="A1326" s="14">
        <v>46156</v>
      </c>
      <c r="B1326" s="15">
        <v>0.75</v>
      </c>
      <c r="C1326" s="5">
        <f>IF('96 Werte'!BV19="","",'96 Werte'!BV19)</f>
        <v/>
      </c>
      <c r="D1326" t="str">
        <f>IF(IF(Eingaben!$B$21&lt;Eingaben!$B$22,AND(B1326&gt;=Eingaben!$B$21,B1326&lt;Eingaben!$B$22),OR(B1326&gt;=Eingaben!$B$21,B1326&lt;Eingaben!$B$22)),"GO",IF(AND(ISNUMBER(Eingaben!$B$23),ISNUMBER(Eingaben!$B$24),IF(Eingaben!$B$23&lt;Eingaben!$B$24,AND(B1326&gt;=Eingaben!$B$23,B1326&lt;Eingaben!$B$24),OR(B1326&gt;=Eingaben!$B$23,B1326&lt;Eingaben!$B$24))),"HEAT","STANDARD"))</f>
        <v>STANDARD</v>
      </c>
      <c r="E1326" s="9"/>
      <c r="F1326" t="str">
        <f>IF(E1326="",D1326,E1326)</f>
        <v>STANDARD</v>
      </c>
      <c r="G1326" t="str">
        <f>INDEX(Netzzeiten!$B$6:$B$29,HOUR(B1326)+1)</f>
        <v>HT</v>
      </c>
      <c r="H1326" s="6">
        <f>IF(F1326="GO",Eingaben!$B$11,IF(F1326="STANDARD",Eingaben!$B$12,IF(AND(F1326="HEAT",ISNUMBER(Eingaben!$B$13)),Eingaben!$B$13,"")))</f>
        <v>28.2744</v>
      </c>
      <c r="I1326" s="6">
        <f>INDEX(Netzzeiten!$C$6:$C$29,HOUR(B1326)+1)</f>
        <v>10.52</v>
      </c>
      <c r="J1326" t="str">
        <f>IF(C1326="","FEHLT",IF(NOT(ISNUMBER(C1326)),"MESSWERT UNGUELTIG",IF(C1326&lt;0,"MESSWERT UNGUELTIG",IF(H1326="","TARIFPREIS FEHLT","OK"))))</f>
        <v>FEHLT</v>
      </c>
      <c r="K1326" s="7">
        <f>IF(J1326&lt;&gt;"OK","",C1326*I1326/100)</f>
        <v/>
      </c>
    </row>
    <row r="1327" spans="1:11">
      <c r="A1327" s="14">
        <v>46156</v>
      </c>
      <c r="B1327" s="15">
        <v>0.7604166666666666</v>
      </c>
      <c r="C1327" s="5">
        <f>IF('96 Werte'!BW19="","",'96 Werte'!BW19)</f>
        <v/>
      </c>
      <c r="D1327" t="str">
        <f>IF(IF(Eingaben!$B$21&lt;Eingaben!$B$22,AND(B1327&gt;=Eingaben!$B$21,B1327&lt;Eingaben!$B$22),OR(B1327&gt;=Eingaben!$B$21,B1327&lt;Eingaben!$B$22)),"GO",IF(AND(ISNUMBER(Eingaben!$B$23),ISNUMBER(Eingaben!$B$24),IF(Eingaben!$B$23&lt;Eingaben!$B$24,AND(B1327&gt;=Eingaben!$B$23,B1327&lt;Eingaben!$B$24),OR(B1327&gt;=Eingaben!$B$23,B1327&lt;Eingaben!$B$24))),"HEAT","STANDARD"))</f>
        <v>STANDARD</v>
      </c>
      <c r="E1327" s="9"/>
      <c r="F1327" t="str">
        <f>IF(E1327="",D1327,E1327)</f>
        <v>STANDARD</v>
      </c>
      <c r="G1327" t="str">
        <f>INDEX(Netzzeiten!$B$6:$B$29,HOUR(B1327)+1)</f>
        <v>HT</v>
      </c>
      <c r="H1327" s="6">
        <f>IF(F1327="GO",Eingaben!$B$11,IF(F1327="STANDARD",Eingaben!$B$12,IF(AND(F1327="HEAT",ISNUMBER(Eingaben!$B$13)),Eingaben!$B$13,"")))</f>
        <v>28.2744</v>
      </c>
      <c r="I1327" s="6">
        <f>INDEX(Netzzeiten!$C$6:$C$29,HOUR(B1327)+1)</f>
        <v>10.52</v>
      </c>
      <c r="J1327" t="str">
        <f>IF(C1327="","FEHLT",IF(NOT(ISNUMBER(C1327)),"MESSWERT UNGUELTIG",IF(C1327&lt;0,"MESSWERT UNGUELTIG",IF(H1327="","TARIFPREIS FEHLT","OK"))))</f>
        <v>FEHLT</v>
      </c>
      <c r="K1327" s="7">
        <f>IF(J1327&lt;&gt;"OK","",C1327*I1327/100)</f>
        <v/>
      </c>
    </row>
    <row r="1328" spans="1:11">
      <c r="A1328" s="14">
        <v>46156</v>
      </c>
      <c r="B1328" s="15">
        <v>0.7708333333333334</v>
      </c>
      <c r="C1328" s="5">
        <f>IF('96 Werte'!BX19="","",'96 Werte'!BX19)</f>
        <v/>
      </c>
      <c r="D1328" t="str">
        <f>IF(IF(Eingaben!$B$21&lt;Eingaben!$B$22,AND(B1328&gt;=Eingaben!$B$21,B1328&lt;Eingaben!$B$22),OR(B1328&gt;=Eingaben!$B$21,B1328&lt;Eingaben!$B$22)),"GO",IF(AND(ISNUMBER(Eingaben!$B$23),ISNUMBER(Eingaben!$B$24),IF(Eingaben!$B$23&lt;Eingaben!$B$24,AND(B1328&gt;=Eingaben!$B$23,B1328&lt;Eingaben!$B$24),OR(B1328&gt;=Eingaben!$B$23,B1328&lt;Eingaben!$B$24))),"HEAT","STANDARD"))</f>
        <v>STANDARD</v>
      </c>
      <c r="E1328" s="9"/>
      <c r="F1328" t="str">
        <f>IF(E1328="",D1328,E1328)</f>
        <v>STANDARD</v>
      </c>
      <c r="G1328" t="str">
        <f>INDEX(Netzzeiten!$B$6:$B$29,HOUR(B1328)+1)</f>
        <v>HT</v>
      </c>
      <c r="H1328" s="6">
        <f>IF(F1328="GO",Eingaben!$B$11,IF(F1328="STANDARD",Eingaben!$B$12,IF(AND(F1328="HEAT",ISNUMBER(Eingaben!$B$13)),Eingaben!$B$13,"")))</f>
        <v>28.2744</v>
      </c>
      <c r="I1328" s="6">
        <f>INDEX(Netzzeiten!$C$6:$C$29,HOUR(B1328)+1)</f>
        <v>10.52</v>
      </c>
      <c r="J1328" t="str">
        <f>IF(C1328="","FEHLT",IF(NOT(ISNUMBER(C1328)),"MESSWERT UNGUELTIG",IF(C1328&lt;0,"MESSWERT UNGUELTIG",IF(H1328="","TARIFPREIS FEHLT","OK"))))</f>
        <v>FEHLT</v>
      </c>
      <c r="K1328" s="7">
        <f>IF(J1328&lt;&gt;"OK","",C1328*I1328/100)</f>
        <v/>
      </c>
    </row>
    <row r="1329" spans="1:11">
      <c r="A1329" s="14">
        <v>46156</v>
      </c>
      <c r="B1329" s="15">
        <v>0.78125</v>
      </c>
      <c r="C1329" s="5">
        <f>IF('96 Werte'!BY19="","",'96 Werte'!BY19)</f>
        <v/>
      </c>
      <c r="D1329" t="str">
        <f>IF(IF(Eingaben!$B$21&lt;Eingaben!$B$22,AND(B1329&gt;=Eingaben!$B$21,B1329&lt;Eingaben!$B$22),OR(B1329&gt;=Eingaben!$B$21,B1329&lt;Eingaben!$B$22)),"GO",IF(AND(ISNUMBER(Eingaben!$B$23),ISNUMBER(Eingaben!$B$24),IF(Eingaben!$B$23&lt;Eingaben!$B$24,AND(B1329&gt;=Eingaben!$B$23,B1329&lt;Eingaben!$B$24),OR(B1329&gt;=Eingaben!$B$23,B1329&lt;Eingaben!$B$24))),"HEAT","STANDARD"))</f>
        <v>STANDARD</v>
      </c>
      <c r="E1329" s="9"/>
      <c r="F1329" t="str">
        <f>IF(E1329="",D1329,E1329)</f>
        <v>STANDARD</v>
      </c>
      <c r="G1329" t="str">
        <f>INDEX(Netzzeiten!$B$6:$B$29,HOUR(B1329)+1)</f>
        <v>HT</v>
      </c>
      <c r="H1329" s="6">
        <f>IF(F1329="GO",Eingaben!$B$11,IF(F1329="STANDARD",Eingaben!$B$12,IF(AND(F1329="HEAT",ISNUMBER(Eingaben!$B$13)),Eingaben!$B$13,"")))</f>
        <v>28.2744</v>
      </c>
      <c r="I1329" s="6">
        <f>INDEX(Netzzeiten!$C$6:$C$29,HOUR(B1329)+1)</f>
        <v>10.52</v>
      </c>
      <c r="J1329" t="str">
        <f>IF(C1329="","FEHLT",IF(NOT(ISNUMBER(C1329)),"MESSWERT UNGUELTIG",IF(C1329&lt;0,"MESSWERT UNGUELTIG",IF(H1329="","TARIFPREIS FEHLT","OK"))))</f>
        <v>FEHLT</v>
      </c>
      <c r="K1329" s="7">
        <f>IF(J1329&lt;&gt;"OK","",C1329*I1329/100)</f>
        <v/>
      </c>
    </row>
    <row r="1330" spans="1:11">
      <c r="A1330" s="14">
        <v>46156</v>
      </c>
      <c r="B1330" s="15">
        <v>0.7916666666666666</v>
      </c>
      <c r="C1330" s="5">
        <f>IF('96 Werte'!BZ19="","",'96 Werte'!BZ19)</f>
        <v/>
      </c>
      <c r="D1330" t="str">
        <f>IF(IF(Eingaben!$B$21&lt;Eingaben!$B$22,AND(B1330&gt;=Eingaben!$B$21,B1330&lt;Eingaben!$B$22),OR(B1330&gt;=Eingaben!$B$21,B1330&lt;Eingaben!$B$22)),"GO",IF(AND(ISNUMBER(Eingaben!$B$23),ISNUMBER(Eingaben!$B$24),IF(Eingaben!$B$23&lt;Eingaben!$B$24,AND(B1330&gt;=Eingaben!$B$23,B1330&lt;Eingaben!$B$24),OR(B1330&gt;=Eingaben!$B$23,B1330&lt;Eingaben!$B$24))),"HEAT","STANDARD"))</f>
        <v>STANDARD</v>
      </c>
      <c r="E1330" s="9"/>
      <c r="F1330" t="str">
        <f>IF(E1330="",D1330,E1330)</f>
        <v>STANDARD</v>
      </c>
      <c r="G1330" t="str">
        <f>INDEX(Netzzeiten!$B$6:$B$29,HOUR(B1330)+1)</f>
        <v>HT</v>
      </c>
      <c r="H1330" s="6">
        <f>IF(F1330="GO",Eingaben!$B$11,IF(F1330="STANDARD",Eingaben!$B$12,IF(AND(F1330="HEAT",ISNUMBER(Eingaben!$B$13)),Eingaben!$B$13,"")))</f>
        <v>28.2744</v>
      </c>
      <c r="I1330" s="6">
        <f>INDEX(Netzzeiten!$C$6:$C$29,HOUR(B1330)+1)</f>
        <v>10.52</v>
      </c>
      <c r="J1330" t="str">
        <f>IF(C1330="","FEHLT",IF(NOT(ISNUMBER(C1330)),"MESSWERT UNGUELTIG",IF(C1330&lt;0,"MESSWERT UNGUELTIG",IF(H1330="","TARIFPREIS FEHLT","OK"))))</f>
        <v>FEHLT</v>
      </c>
      <c r="K1330" s="7">
        <f>IF(J1330&lt;&gt;"OK","",C1330*I1330/100)</f>
        <v/>
      </c>
    </row>
    <row r="1331" spans="1:11">
      <c r="A1331" s="14">
        <v>46156</v>
      </c>
      <c r="B1331" s="15">
        <v>0.8020833333333334</v>
      </c>
      <c r="C1331" s="5">
        <f>IF('96 Werte'!CA19="","",'96 Werte'!CA19)</f>
        <v/>
      </c>
      <c r="D1331" t="str">
        <f>IF(IF(Eingaben!$B$21&lt;Eingaben!$B$22,AND(B1331&gt;=Eingaben!$B$21,B1331&lt;Eingaben!$B$22),OR(B1331&gt;=Eingaben!$B$21,B1331&lt;Eingaben!$B$22)),"GO",IF(AND(ISNUMBER(Eingaben!$B$23),ISNUMBER(Eingaben!$B$24),IF(Eingaben!$B$23&lt;Eingaben!$B$24,AND(B1331&gt;=Eingaben!$B$23,B1331&lt;Eingaben!$B$24),OR(B1331&gt;=Eingaben!$B$23,B1331&lt;Eingaben!$B$24))),"HEAT","STANDARD"))</f>
        <v>STANDARD</v>
      </c>
      <c r="E1331" s="9"/>
      <c r="F1331" t="str">
        <f>IF(E1331="",D1331,E1331)</f>
        <v>STANDARD</v>
      </c>
      <c r="G1331" t="str">
        <f>INDEX(Netzzeiten!$B$6:$B$29,HOUR(B1331)+1)</f>
        <v>HT</v>
      </c>
      <c r="H1331" s="6">
        <f>IF(F1331="GO",Eingaben!$B$11,IF(F1331="STANDARD",Eingaben!$B$12,IF(AND(F1331="HEAT",ISNUMBER(Eingaben!$B$13)),Eingaben!$B$13,"")))</f>
        <v>28.2744</v>
      </c>
      <c r="I1331" s="6">
        <f>INDEX(Netzzeiten!$C$6:$C$29,HOUR(B1331)+1)</f>
        <v>10.52</v>
      </c>
      <c r="J1331" t="str">
        <f>IF(C1331="","FEHLT",IF(NOT(ISNUMBER(C1331)),"MESSWERT UNGUELTIG",IF(C1331&lt;0,"MESSWERT UNGUELTIG",IF(H1331="","TARIFPREIS FEHLT","OK"))))</f>
        <v>FEHLT</v>
      </c>
      <c r="K1331" s="7">
        <f>IF(J1331&lt;&gt;"OK","",C1331*I1331/100)</f>
        <v/>
      </c>
    </row>
    <row r="1332" spans="1:11">
      <c r="A1332" s="14">
        <v>46156</v>
      </c>
      <c r="B1332" s="15">
        <v>0.8125</v>
      </c>
      <c r="C1332" s="5">
        <f>IF('96 Werte'!CB19="","",'96 Werte'!CB19)</f>
        <v/>
      </c>
      <c r="D1332" t="str">
        <f>IF(IF(Eingaben!$B$21&lt;Eingaben!$B$22,AND(B1332&gt;=Eingaben!$B$21,B1332&lt;Eingaben!$B$22),OR(B1332&gt;=Eingaben!$B$21,B1332&lt;Eingaben!$B$22)),"GO",IF(AND(ISNUMBER(Eingaben!$B$23),ISNUMBER(Eingaben!$B$24),IF(Eingaben!$B$23&lt;Eingaben!$B$24,AND(B1332&gt;=Eingaben!$B$23,B1332&lt;Eingaben!$B$24),OR(B1332&gt;=Eingaben!$B$23,B1332&lt;Eingaben!$B$24))),"HEAT","STANDARD"))</f>
        <v>STANDARD</v>
      </c>
      <c r="E1332" s="9"/>
      <c r="F1332" t="str">
        <f>IF(E1332="",D1332,E1332)</f>
        <v>STANDARD</v>
      </c>
      <c r="G1332" t="str">
        <f>INDEX(Netzzeiten!$B$6:$B$29,HOUR(B1332)+1)</f>
        <v>HT</v>
      </c>
      <c r="H1332" s="6">
        <f>IF(F1332="GO",Eingaben!$B$11,IF(F1332="STANDARD",Eingaben!$B$12,IF(AND(F1332="HEAT",ISNUMBER(Eingaben!$B$13)),Eingaben!$B$13,"")))</f>
        <v>28.2744</v>
      </c>
      <c r="I1332" s="6">
        <f>INDEX(Netzzeiten!$C$6:$C$29,HOUR(B1332)+1)</f>
        <v>10.52</v>
      </c>
      <c r="J1332" t="str">
        <f>IF(C1332="","FEHLT",IF(NOT(ISNUMBER(C1332)),"MESSWERT UNGUELTIG",IF(C1332&lt;0,"MESSWERT UNGUELTIG",IF(H1332="","TARIFPREIS FEHLT","OK"))))</f>
        <v>FEHLT</v>
      </c>
      <c r="K1332" s="7">
        <f>IF(J1332&lt;&gt;"OK","",C1332*I1332/100)</f>
        <v/>
      </c>
    </row>
    <row r="1333" spans="1:11">
      <c r="A1333" s="14">
        <v>46156</v>
      </c>
      <c r="B1333" s="15">
        <v>0.8229166666666666</v>
      </c>
      <c r="C1333" s="5">
        <f>IF('96 Werte'!CC19="","",'96 Werte'!CC19)</f>
        <v/>
      </c>
      <c r="D1333" t="str">
        <f>IF(IF(Eingaben!$B$21&lt;Eingaben!$B$22,AND(B1333&gt;=Eingaben!$B$21,B1333&lt;Eingaben!$B$22),OR(B1333&gt;=Eingaben!$B$21,B1333&lt;Eingaben!$B$22)),"GO",IF(AND(ISNUMBER(Eingaben!$B$23),ISNUMBER(Eingaben!$B$24),IF(Eingaben!$B$23&lt;Eingaben!$B$24,AND(B1333&gt;=Eingaben!$B$23,B1333&lt;Eingaben!$B$24),OR(B1333&gt;=Eingaben!$B$23,B1333&lt;Eingaben!$B$24))),"HEAT","STANDARD"))</f>
        <v>STANDARD</v>
      </c>
      <c r="E1333" s="9"/>
      <c r="F1333" t="str">
        <f>IF(E1333="",D1333,E1333)</f>
        <v>STANDARD</v>
      </c>
      <c r="G1333" t="str">
        <f>INDEX(Netzzeiten!$B$6:$B$29,HOUR(B1333)+1)</f>
        <v>HT</v>
      </c>
      <c r="H1333" s="6">
        <f>IF(F1333="GO",Eingaben!$B$11,IF(F1333="STANDARD",Eingaben!$B$12,IF(AND(F1333="HEAT",ISNUMBER(Eingaben!$B$13)),Eingaben!$B$13,"")))</f>
        <v>28.2744</v>
      </c>
      <c r="I1333" s="6">
        <f>INDEX(Netzzeiten!$C$6:$C$29,HOUR(B1333)+1)</f>
        <v>10.52</v>
      </c>
      <c r="J1333" t="str">
        <f>IF(C1333="","FEHLT",IF(NOT(ISNUMBER(C1333)),"MESSWERT UNGUELTIG",IF(C1333&lt;0,"MESSWERT UNGUELTIG",IF(H1333="","TARIFPREIS FEHLT","OK"))))</f>
        <v>FEHLT</v>
      </c>
      <c r="K1333" s="7">
        <f>IF(J1333&lt;&gt;"OK","",C1333*I1333/100)</f>
        <v/>
      </c>
    </row>
    <row r="1334" spans="1:11">
      <c r="A1334" s="14">
        <v>46156</v>
      </c>
      <c r="B1334" s="15">
        <v>0.8333333333333334</v>
      </c>
      <c r="C1334" s="5">
        <f>IF('96 Werte'!CD19="","",'96 Werte'!CD19)</f>
        <v/>
      </c>
      <c r="D1334" t="str">
        <f>IF(IF(Eingaben!$B$21&lt;Eingaben!$B$22,AND(B1334&gt;=Eingaben!$B$21,B1334&lt;Eingaben!$B$22),OR(B1334&gt;=Eingaben!$B$21,B1334&lt;Eingaben!$B$22)),"GO",IF(AND(ISNUMBER(Eingaben!$B$23),ISNUMBER(Eingaben!$B$24),IF(Eingaben!$B$23&lt;Eingaben!$B$24,AND(B1334&gt;=Eingaben!$B$23,B1334&lt;Eingaben!$B$24),OR(B1334&gt;=Eingaben!$B$23,B1334&lt;Eingaben!$B$24))),"HEAT","STANDARD"))</f>
        <v>STANDARD</v>
      </c>
      <c r="E1334" s="9"/>
      <c r="F1334" t="str">
        <f>IF(E1334="",D1334,E1334)</f>
        <v>STANDARD</v>
      </c>
      <c r="G1334" t="str">
        <f>INDEX(Netzzeiten!$B$6:$B$29,HOUR(B1334)+1)</f>
        <v>HT</v>
      </c>
      <c r="H1334" s="6">
        <f>IF(F1334="GO",Eingaben!$B$11,IF(F1334="STANDARD",Eingaben!$B$12,IF(AND(F1334="HEAT",ISNUMBER(Eingaben!$B$13)),Eingaben!$B$13,"")))</f>
        <v>28.2744</v>
      </c>
      <c r="I1334" s="6">
        <f>INDEX(Netzzeiten!$C$6:$C$29,HOUR(B1334)+1)</f>
        <v>10.52</v>
      </c>
      <c r="J1334" t="str">
        <f>IF(C1334="","FEHLT",IF(NOT(ISNUMBER(C1334)),"MESSWERT UNGUELTIG",IF(C1334&lt;0,"MESSWERT UNGUELTIG",IF(H1334="","TARIFPREIS FEHLT","OK"))))</f>
        <v>FEHLT</v>
      </c>
      <c r="K1334" s="7">
        <f>IF(J1334&lt;&gt;"OK","",C1334*I1334/100)</f>
        <v/>
      </c>
    </row>
    <row r="1335" spans="1:11">
      <c r="A1335" s="14">
        <v>46156</v>
      </c>
      <c r="B1335" s="15">
        <v>0.84375</v>
      </c>
      <c r="C1335" s="5">
        <f>IF('96 Werte'!CE19="","",'96 Werte'!CE19)</f>
        <v/>
      </c>
      <c r="D1335" t="str">
        <f>IF(IF(Eingaben!$B$21&lt;Eingaben!$B$22,AND(B1335&gt;=Eingaben!$B$21,B1335&lt;Eingaben!$B$22),OR(B1335&gt;=Eingaben!$B$21,B1335&lt;Eingaben!$B$22)),"GO",IF(AND(ISNUMBER(Eingaben!$B$23),ISNUMBER(Eingaben!$B$24),IF(Eingaben!$B$23&lt;Eingaben!$B$24,AND(B1335&gt;=Eingaben!$B$23,B1335&lt;Eingaben!$B$24),OR(B1335&gt;=Eingaben!$B$23,B1335&lt;Eingaben!$B$24))),"HEAT","STANDARD"))</f>
        <v>STANDARD</v>
      </c>
      <c r="E1335" s="9"/>
      <c r="F1335" t="str">
        <f>IF(E1335="",D1335,E1335)</f>
        <v>STANDARD</v>
      </c>
      <c r="G1335" t="str">
        <f>INDEX(Netzzeiten!$B$6:$B$29,HOUR(B1335)+1)</f>
        <v>HT</v>
      </c>
      <c r="H1335" s="6">
        <f>IF(F1335="GO",Eingaben!$B$11,IF(F1335="STANDARD",Eingaben!$B$12,IF(AND(F1335="HEAT",ISNUMBER(Eingaben!$B$13)),Eingaben!$B$13,"")))</f>
        <v>28.2744</v>
      </c>
      <c r="I1335" s="6">
        <f>INDEX(Netzzeiten!$C$6:$C$29,HOUR(B1335)+1)</f>
        <v>10.52</v>
      </c>
      <c r="J1335" t="str">
        <f>IF(C1335="","FEHLT",IF(NOT(ISNUMBER(C1335)),"MESSWERT UNGUELTIG",IF(C1335&lt;0,"MESSWERT UNGUELTIG",IF(H1335="","TARIFPREIS FEHLT","OK"))))</f>
        <v>FEHLT</v>
      </c>
      <c r="K1335" s="7">
        <f>IF(J1335&lt;&gt;"OK","",C1335*I1335/100)</f>
        <v/>
      </c>
    </row>
    <row r="1336" spans="1:11">
      <c r="A1336" s="14">
        <v>46156</v>
      </c>
      <c r="B1336" s="15">
        <v>0.8541666666666666</v>
      </c>
      <c r="C1336" s="5">
        <f>IF('96 Werte'!CF19="","",'96 Werte'!CF19)</f>
        <v/>
      </c>
      <c r="D1336" t="str">
        <f>IF(IF(Eingaben!$B$21&lt;Eingaben!$B$22,AND(B1336&gt;=Eingaben!$B$21,B1336&lt;Eingaben!$B$22),OR(B1336&gt;=Eingaben!$B$21,B1336&lt;Eingaben!$B$22)),"GO",IF(AND(ISNUMBER(Eingaben!$B$23),ISNUMBER(Eingaben!$B$24),IF(Eingaben!$B$23&lt;Eingaben!$B$24,AND(B1336&gt;=Eingaben!$B$23,B1336&lt;Eingaben!$B$24),OR(B1336&gt;=Eingaben!$B$23,B1336&lt;Eingaben!$B$24))),"HEAT","STANDARD"))</f>
        <v>STANDARD</v>
      </c>
      <c r="E1336" s="9"/>
      <c r="F1336" t="str">
        <f>IF(E1336="",D1336,E1336)</f>
        <v>STANDARD</v>
      </c>
      <c r="G1336" t="str">
        <f>INDEX(Netzzeiten!$B$6:$B$29,HOUR(B1336)+1)</f>
        <v>HT</v>
      </c>
      <c r="H1336" s="6">
        <f>IF(F1336="GO",Eingaben!$B$11,IF(F1336="STANDARD",Eingaben!$B$12,IF(AND(F1336="HEAT",ISNUMBER(Eingaben!$B$13)),Eingaben!$B$13,"")))</f>
        <v>28.2744</v>
      </c>
      <c r="I1336" s="6">
        <f>INDEX(Netzzeiten!$C$6:$C$29,HOUR(B1336)+1)</f>
        <v>10.52</v>
      </c>
      <c r="J1336" t="str">
        <f>IF(C1336="","FEHLT",IF(NOT(ISNUMBER(C1336)),"MESSWERT UNGUELTIG",IF(C1336&lt;0,"MESSWERT UNGUELTIG",IF(H1336="","TARIFPREIS FEHLT","OK"))))</f>
        <v>FEHLT</v>
      </c>
      <c r="K1336" s="7">
        <f>IF(J1336&lt;&gt;"OK","",C1336*I1336/100)</f>
        <v/>
      </c>
    </row>
    <row r="1337" spans="1:11">
      <c r="A1337" s="14">
        <v>46156</v>
      </c>
      <c r="B1337" s="15">
        <v>0.8645833333333334</v>
      </c>
      <c r="C1337" s="5">
        <f>IF('96 Werte'!CG19="","",'96 Werte'!CG19)</f>
        <v/>
      </c>
      <c r="D1337" t="str">
        <f>IF(IF(Eingaben!$B$21&lt;Eingaben!$B$22,AND(B1337&gt;=Eingaben!$B$21,B1337&lt;Eingaben!$B$22),OR(B1337&gt;=Eingaben!$B$21,B1337&lt;Eingaben!$B$22)),"GO",IF(AND(ISNUMBER(Eingaben!$B$23),ISNUMBER(Eingaben!$B$24),IF(Eingaben!$B$23&lt;Eingaben!$B$24,AND(B1337&gt;=Eingaben!$B$23,B1337&lt;Eingaben!$B$24),OR(B1337&gt;=Eingaben!$B$23,B1337&lt;Eingaben!$B$24))),"HEAT","STANDARD"))</f>
        <v>STANDARD</v>
      </c>
      <c r="E1337" s="9"/>
      <c r="F1337" t="str">
        <f>IF(E1337="",D1337,E1337)</f>
        <v>STANDARD</v>
      </c>
      <c r="G1337" t="str">
        <f>INDEX(Netzzeiten!$B$6:$B$29,HOUR(B1337)+1)</f>
        <v>HT</v>
      </c>
      <c r="H1337" s="6">
        <f>IF(F1337="GO",Eingaben!$B$11,IF(F1337="STANDARD",Eingaben!$B$12,IF(AND(F1337="HEAT",ISNUMBER(Eingaben!$B$13)),Eingaben!$B$13,"")))</f>
        <v>28.2744</v>
      </c>
      <c r="I1337" s="6">
        <f>INDEX(Netzzeiten!$C$6:$C$29,HOUR(B1337)+1)</f>
        <v>10.52</v>
      </c>
      <c r="J1337" t="str">
        <f>IF(C1337="","FEHLT",IF(NOT(ISNUMBER(C1337)),"MESSWERT UNGUELTIG",IF(C1337&lt;0,"MESSWERT UNGUELTIG",IF(H1337="","TARIFPREIS FEHLT","OK"))))</f>
        <v>FEHLT</v>
      </c>
      <c r="K1337" s="7">
        <f>IF(J1337&lt;&gt;"OK","",C1337*I1337/100)</f>
        <v/>
      </c>
    </row>
    <row r="1338" spans="1:11">
      <c r="A1338" s="14">
        <v>46156</v>
      </c>
      <c r="B1338" s="15">
        <v>0.875</v>
      </c>
      <c r="C1338" s="5">
        <f>IF('96 Werte'!CH19="","",'96 Werte'!CH19)</f>
        <v/>
      </c>
      <c r="D1338" t="str">
        <f>IF(IF(Eingaben!$B$21&lt;Eingaben!$B$22,AND(B1338&gt;=Eingaben!$B$21,B1338&lt;Eingaben!$B$22),OR(B1338&gt;=Eingaben!$B$21,B1338&lt;Eingaben!$B$22)),"GO",IF(AND(ISNUMBER(Eingaben!$B$23),ISNUMBER(Eingaben!$B$24),IF(Eingaben!$B$23&lt;Eingaben!$B$24,AND(B1338&gt;=Eingaben!$B$23,B1338&lt;Eingaben!$B$24),OR(B1338&gt;=Eingaben!$B$23,B1338&lt;Eingaben!$B$24))),"HEAT","STANDARD"))</f>
        <v>STANDARD</v>
      </c>
      <c r="E1338" s="9"/>
      <c r="F1338" t="str">
        <f>IF(E1338="",D1338,E1338)</f>
        <v>STANDARD</v>
      </c>
      <c r="G1338" t="str">
        <f>INDEX(Netzzeiten!$B$6:$B$29,HOUR(B1338)+1)</f>
        <v>HT</v>
      </c>
      <c r="H1338" s="6">
        <f>IF(F1338="GO",Eingaben!$B$11,IF(F1338="STANDARD",Eingaben!$B$12,IF(AND(F1338="HEAT",ISNUMBER(Eingaben!$B$13)),Eingaben!$B$13,"")))</f>
        <v>28.2744</v>
      </c>
      <c r="I1338" s="6">
        <f>INDEX(Netzzeiten!$C$6:$C$29,HOUR(B1338)+1)</f>
        <v>10.52</v>
      </c>
      <c r="J1338" t="str">
        <f>IF(C1338="","FEHLT",IF(NOT(ISNUMBER(C1338)),"MESSWERT UNGUELTIG",IF(C1338&lt;0,"MESSWERT UNGUELTIG",IF(H1338="","TARIFPREIS FEHLT","OK"))))</f>
        <v>FEHLT</v>
      </c>
      <c r="K1338" s="7">
        <f>IF(J1338&lt;&gt;"OK","",C1338*I1338/100)</f>
        <v/>
      </c>
    </row>
    <row r="1339" spans="1:11">
      <c r="A1339" s="14">
        <v>46156</v>
      </c>
      <c r="B1339" s="15">
        <v>0.8854166666666666</v>
      </c>
      <c r="C1339" s="5">
        <f>IF('96 Werte'!CI19="","",'96 Werte'!CI19)</f>
        <v/>
      </c>
      <c r="D1339" t="str">
        <f>IF(IF(Eingaben!$B$21&lt;Eingaben!$B$22,AND(B1339&gt;=Eingaben!$B$21,B1339&lt;Eingaben!$B$22),OR(B1339&gt;=Eingaben!$B$21,B1339&lt;Eingaben!$B$22)),"GO",IF(AND(ISNUMBER(Eingaben!$B$23),ISNUMBER(Eingaben!$B$24),IF(Eingaben!$B$23&lt;Eingaben!$B$24,AND(B1339&gt;=Eingaben!$B$23,B1339&lt;Eingaben!$B$24),OR(B1339&gt;=Eingaben!$B$23,B1339&lt;Eingaben!$B$24))),"HEAT","STANDARD"))</f>
        <v>STANDARD</v>
      </c>
      <c r="E1339" s="9"/>
      <c r="F1339" t="str">
        <f>IF(E1339="",D1339,E1339)</f>
        <v>STANDARD</v>
      </c>
      <c r="G1339" t="str">
        <f>INDEX(Netzzeiten!$B$6:$B$29,HOUR(B1339)+1)</f>
        <v>HT</v>
      </c>
      <c r="H1339" s="6">
        <f>IF(F1339="GO",Eingaben!$B$11,IF(F1339="STANDARD",Eingaben!$B$12,IF(AND(F1339="HEAT",ISNUMBER(Eingaben!$B$13)),Eingaben!$B$13,"")))</f>
        <v>28.2744</v>
      </c>
      <c r="I1339" s="6">
        <f>INDEX(Netzzeiten!$C$6:$C$29,HOUR(B1339)+1)</f>
        <v>10.52</v>
      </c>
      <c r="J1339" t="str">
        <f>IF(C1339="","FEHLT",IF(NOT(ISNUMBER(C1339)),"MESSWERT UNGUELTIG",IF(C1339&lt;0,"MESSWERT UNGUELTIG",IF(H1339="","TARIFPREIS FEHLT","OK"))))</f>
        <v>FEHLT</v>
      </c>
      <c r="K1339" s="7">
        <f>IF(J1339&lt;&gt;"OK","",C1339*I1339/100)</f>
        <v/>
      </c>
    </row>
    <row r="1340" spans="1:11">
      <c r="A1340" s="14">
        <v>46156</v>
      </c>
      <c r="B1340" s="15">
        <v>0.8958333333333334</v>
      </c>
      <c r="C1340" s="5">
        <f>IF('96 Werte'!CJ19="","",'96 Werte'!CJ19)</f>
        <v/>
      </c>
      <c r="D1340" t="str">
        <f>IF(IF(Eingaben!$B$21&lt;Eingaben!$B$22,AND(B1340&gt;=Eingaben!$B$21,B1340&lt;Eingaben!$B$22),OR(B1340&gt;=Eingaben!$B$21,B1340&lt;Eingaben!$B$22)),"GO",IF(AND(ISNUMBER(Eingaben!$B$23),ISNUMBER(Eingaben!$B$24),IF(Eingaben!$B$23&lt;Eingaben!$B$24,AND(B1340&gt;=Eingaben!$B$23,B1340&lt;Eingaben!$B$24),OR(B1340&gt;=Eingaben!$B$23,B1340&lt;Eingaben!$B$24))),"HEAT","STANDARD"))</f>
        <v>STANDARD</v>
      </c>
      <c r="E1340" s="9"/>
      <c r="F1340" t="str">
        <f>IF(E1340="",D1340,E1340)</f>
        <v>STANDARD</v>
      </c>
      <c r="G1340" t="str">
        <f>INDEX(Netzzeiten!$B$6:$B$29,HOUR(B1340)+1)</f>
        <v>HT</v>
      </c>
      <c r="H1340" s="6">
        <f>IF(F1340="GO",Eingaben!$B$11,IF(F1340="STANDARD",Eingaben!$B$12,IF(AND(F1340="HEAT",ISNUMBER(Eingaben!$B$13)),Eingaben!$B$13,"")))</f>
        <v>28.2744</v>
      </c>
      <c r="I1340" s="6">
        <f>INDEX(Netzzeiten!$C$6:$C$29,HOUR(B1340)+1)</f>
        <v>10.52</v>
      </c>
      <c r="J1340" t="str">
        <f>IF(C1340="","FEHLT",IF(NOT(ISNUMBER(C1340)),"MESSWERT UNGUELTIG",IF(C1340&lt;0,"MESSWERT UNGUELTIG",IF(H1340="","TARIFPREIS FEHLT","OK"))))</f>
        <v>FEHLT</v>
      </c>
      <c r="K1340" s="7">
        <f>IF(J1340&lt;&gt;"OK","",C1340*I1340/100)</f>
        <v/>
      </c>
    </row>
    <row r="1341" spans="1:11">
      <c r="A1341" s="14">
        <v>46156</v>
      </c>
      <c r="B1341" s="15">
        <v>0.90625</v>
      </c>
      <c r="C1341" s="5">
        <f>IF('96 Werte'!CK19="","",'96 Werte'!CK19)</f>
        <v/>
      </c>
      <c r="D1341" t="str">
        <f>IF(IF(Eingaben!$B$21&lt;Eingaben!$B$22,AND(B1341&gt;=Eingaben!$B$21,B1341&lt;Eingaben!$B$22),OR(B1341&gt;=Eingaben!$B$21,B1341&lt;Eingaben!$B$22)),"GO",IF(AND(ISNUMBER(Eingaben!$B$23),ISNUMBER(Eingaben!$B$24),IF(Eingaben!$B$23&lt;Eingaben!$B$24,AND(B1341&gt;=Eingaben!$B$23,B1341&lt;Eingaben!$B$24),OR(B1341&gt;=Eingaben!$B$23,B1341&lt;Eingaben!$B$24))),"HEAT","STANDARD"))</f>
        <v>STANDARD</v>
      </c>
      <c r="E1341" s="9"/>
      <c r="F1341" t="str">
        <f>IF(E1341="",D1341,E1341)</f>
        <v>STANDARD</v>
      </c>
      <c r="G1341" t="str">
        <f>INDEX(Netzzeiten!$B$6:$B$29,HOUR(B1341)+1)</f>
        <v>HT</v>
      </c>
      <c r="H1341" s="6">
        <f>IF(F1341="GO",Eingaben!$B$11,IF(F1341="STANDARD",Eingaben!$B$12,IF(AND(F1341="HEAT",ISNUMBER(Eingaben!$B$13)),Eingaben!$B$13,"")))</f>
        <v>28.2744</v>
      </c>
      <c r="I1341" s="6">
        <f>INDEX(Netzzeiten!$C$6:$C$29,HOUR(B1341)+1)</f>
        <v>10.52</v>
      </c>
      <c r="J1341" t="str">
        <f>IF(C1341="","FEHLT",IF(NOT(ISNUMBER(C1341)),"MESSWERT UNGUELTIG",IF(C1341&lt;0,"MESSWERT UNGUELTIG",IF(H1341="","TARIFPREIS FEHLT","OK"))))</f>
        <v>FEHLT</v>
      </c>
      <c r="K1341" s="7">
        <f>IF(J1341&lt;&gt;"OK","",C1341*I1341/100)</f>
        <v/>
      </c>
    </row>
    <row r="1342" spans="1:11">
      <c r="A1342" s="14">
        <v>46156</v>
      </c>
      <c r="B1342" s="15">
        <v>0.9166666666666666</v>
      </c>
      <c r="C1342" s="5">
        <f>IF('96 Werte'!CL19="","",'96 Werte'!CL19)</f>
        <v/>
      </c>
      <c r="D1342" t="str">
        <f>IF(IF(Eingaben!$B$21&lt;Eingaben!$B$22,AND(B1342&gt;=Eingaben!$B$21,B1342&lt;Eingaben!$B$22),OR(B1342&gt;=Eingaben!$B$21,B1342&lt;Eingaben!$B$22)),"GO",IF(AND(ISNUMBER(Eingaben!$B$23),ISNUMBER(Eingaben!$B$24),IF(Eingaben!$B$23&lt;Eingaben!$B$24,AND(B1342&gt;=Eingaben!$B$23,B1342&lt;Eingaben!$B$24),OR(B1342&gt;=Eingaben!$B$23,B1342&lt;Eingaben!$B$24))),"HEAT","STANDARD"))</f>
        <v>STANDARD</v>
      </c>
      <c r="E1342" s="9"/>
      <c r="F1342" t="str">
        <f>IF(E1342="",D1342,E1342)</f>
        <v>STANDARD</v>
      </c>
      <c r="G1342" t="str">
        <f>INDEX(Netzzeiten!$B$6:$B$29,HOUR(B1342)+1)</f>
        <v>ST</v>
      </c>
      <c r="H1342" s="6">
        <f>IF(F1342="GO",Eingaben!$B$11,IF(F1342="STANDARD",Eingaben!$B$12,IF(AND(F1342="HEAT",ISNUMBER(Eingaben!$B$13)),Eingaben!$B$13,"")))</f>
        <v>28.2744</v>
      </c>
      <c r="I1342" s="6">
        <f>INDEX(Netzzeiten!$C$6:$C$29,HOUR(B1342)+1)</f>
        <v>5.48</v>
      </c>
      <c r="J1342" t="str">
        <f>IF(C1342="","FEHLT",IF(NOT(ISNUMBER(C1342)),"MESSWERT UNGUELTIG",IF(C1342&lt;0,"MESSWERT UNGUELTIG",IF(H1342="","TARIFPREIS FEHLT","OK"))))</f>
        <v>FEHLT</v>
      </c>
      <c r="K1342" s="7">
        <f>IF(J1342&lt;&gt;"OK","",C1342*I1342/100)</f>
        <v/>
      </c>
    </row>
    <row r="1343" spans="1:11">
      <c r="A1343" s="14">
        <v>46156</v>
      </c>
      <c r="B1343" s="15">
        <v>0.9270833333333334</v>
      </c>
      <c r="C1343" s="5">
        <f>IF('96 Werte'!CM19="","",'96 Werte'!CM19)</f>
        <v/>
      </c>
      <c r="D1343" t="str">
        <f>IF(IF(Eingaben!$B$21&lt;Eingaben!$B$22,AND(B1343&gt;=Eingaben!$B$21,B1343&lt;Eingaben!$B$22),OR(B1343&gt;=Eingaben!$B$21,B1343&lt;Eingaben!$B$22)),"GO",IF(AND(ISNUMBER(Eingaben!$B$23),ISNUMBER(Eingaben!$B$24),IF(Eingaben!$B$23&lt;Eingaben!$B$24,AND(B1343&gt;=Eingaben!$B$23,B1343&lt;Eingaben!$B$24),OR(B1343&gt;=Eingaben!$B$23,B1343&lt;Eingaben!$B$24))),"HEAT","STANDARD"))</f>
        <v>STANDARD</v>
      </c>
      <c r="E1343" s="9"/>
      <c r="F1343" t="str">
        <f>IF(E1343="",D1343,E1343)</f>
        <v>STANDARD</v>
      </c>
      <c r="G1343" t="str">
        <f>INDEX(Netzzeiten!$B$6:$B$29,HOUR(B1343)+1)</f>
        <v>ST</v>
      </c>
      <c r="H1343" s="6">
        <f>IF(F1343="GO",Eingaben!$B$11,IF(F1343="STANDARD",Eingaben!$B$12,IF(AND(F1343="HEAT",ISNUMBER(Eingaben!$B$13)),Eingaben!$B$13,"")))</f>
        <v>28.2744</v>
      </c>
      <c r="I1343" s="6">
        <f>INDEX(Netzzeiten!$C$6:$C$29,HOUR(B1343)+1)</f>
        <v>5.48</v>
      </c>
      <c r="J1343" t="str">
        <f>IF(C1343="","FEHLT",IF(NOT(ISNUMBER(C1343)),"MESSWERT UNGUELTIG",IF(C1343&lt;0,"MESSWERT UNGUELTIG",IF(H1343="","TARIFPREIS FEHLT","OK"))))</f>
        <v>FEHLT</v>
      </c>
      <c r="K1343" s="7">
        <f>IF(J1343&lt;&gt;"OK","",C1343*I1343/100)</f>
        <v/>
      </c>
    </row>
    <row r="1344" spans="1:11">
      <c r="A1344" s="14">
        <v>46156</v>
      </c>
      <c r="B1344" s="15">
        <v>0.9375</v>
      </c>
      <c r="C1344" s="5">
        <f>IF('96 Werte'!CN19="","",'96 Werte'!CN19)</f>
        <v/>
      </c>
      <c r="D1344" t="str">
        <f>IF(IF(Eingaben!$B$21&lt;Eingaben!$B$22,AND(B1344&gt;=Eingaben!$B$21,B1344&lt;Eingaben!$B$22),OR(B1344&gt;=Eingaben!$B$21,B1344&lt;Eingaben!$B$22)),"GO",IF(AND(ISNUMBER(Eingaben!$B$23),ISNUMBER(Eingaben!$B$24),IF(Eingaben!$B$23&lt;Eingaben!$B$24,AND(B1344&gt;=Eingaben!$B$23,B1344&lt;Eingaben!$B$24),OR(B1344&gt;=Eingaben!$B$23,B1344&lt;Eingaben!$B$24))),"HEAT","STANDARD"))</f>
        <v>STANDARD</v>
      </c>
      <c r="E1344" s="9"/>
      <c r="F1344" t="str">
        <f>IF(E1344="",D1344,E1344)</f>
        <v>STANDARD</v>
      </c>
      <c r="G1344" t="str">
        <f>INDEX(Netzzeiten!$B$6:$B$29,HOUR(B1344)+1)</f>
        <v>ST</v>
      </c>
      <c r="H1344" s="6">
        <f>IF(F1344="GO",Eingaben!$B$11,IF(F1344="STANDARD",Eingaben!$B$12,IF(AND(F1344="HEAT",ISNUMBER(Eingaben!$B$13)),Eingaben!$B$13,"")))</f>
        <v>28.2744</v>
      </c>
      <c r="I1344" s="6">
        <f>INDEX(Netzzeiten!$C$6:$C$29,HOUR(B1344)+1)</f>
        <v>5.48</v>
      </c>
      <c r="J1344" t="str">
        <f>IF(C1344="","FEHLT",IF(NOT(ISNUMBER(C1344)),"MESSWERT UNGUELTIG",IF(C1344&lt;0,"MESSWERT UNGUELTIG",IF(H1344="","TARIFPREIS FEHLT","OK"))))</f>
        <v>FEHLT</v>
      </c>
      <c r="K1344" s="7">
        <f>IF(J1344&lt;&gt;"OK","",C1344*I1344/100)</f>
        <v/>
      </c>
    </row>
    <row r="1345" spans="1:11">
      <c r="A1345" s="14">
        <v>46156</v>
      </c>
      <c r="B1345" s="15">
        <v>0.9479166666666666</v>
      </c>
      <c r="C1345" s="5">
        <f>IF('96 Werte'!CO19="","",'96 Werte'!CO19)</f>
        <v/>
      </c>
      <c r="D1345" t="str">
        <f>IF(IF(Eingaben!$B$21&lt;Eingaben!$B$22,AND(B1345&gt;=Eingaben!$B$21,B1345&lt;Eingaben!$B$22),OR(B1345&gt;=Eingaben!$B$21,B1345&lt;Eingaben!$B$22)),"GO",IF(AND(ISNUMBER(Eingaben!$B$23),ISNUMBER(Eingaben!$B$24),IF(Eingaben!$B$23&lt;Eingaben!$B$24,AND(B1345&gt;=Eingaben!$B$23,B1345&lt;Eingaben!$B$24),OR(B1345&gt;=Eingaben!$B$23,B1345&lt;Eingaben!$B$24))),"HEAT","STANDARD"))</f>
        <v>STANDARD</v>
      </c>
      <c r="E1345" s="9"/>
      <c r="F1345" t="str">
        <f>IF(E1345="",D1345,E1345)</f>
        <v>STANDARD</v>
      </c>
      <c r="G1345" t="str">
        <f>INDEX(Netzzeiten!$B$6:$B$29,HOUR(B1345)+1)</f>
        <v>ST</v>
      </c>
      <c r="H1345" s="6">
        <f>IF(F1345="GO",Eingaben!$B$11,IF(F1345="STANDARD",Eingaben!$B$12,IF(AND(F1345="HEAT",ISNUMBER(Eingaben!$B$13)),Eingaben!$B$13,"")))</f>
        <v>28.2744</v>
      </c>
      <c r="I1345" s="6">
        <f>INDEX(Netzzeiten!$C$6:$C$29,HOUR(B1345)+1)</f>
        <v>5.48</v>
      </c>
      <c r="J1345" t="str">
        <f>IF(C1345="","FEHLT",IF(NOT(ISNUMBER(C1345)),"MESSWERT UNGUELTIG",IF(C1345&lt;0,"MESSWERT UNGUELTIG",IF(H1345="","TARIFPREIS FEHLT","OK"))))</f>
        <v>FEHLT</v>
      </c>
      <c r="K1345" s="7">
        <f>IF(J1345&lt;&gt;"OK","",C1345*I1345/100)</f>
        <v/>
      </c>
    </row>
    <row r="1346" spans="1:11">
      <c r="A1346" s="14">
        <v>46156</v>
      </c>
      <c r="B1346" s="15">
        <v>0.9583333333333334</v>
      </c>
      <c r="C1346" s="5">
        <f>IF('96 Werte'!CP19="","",'96 Werte'!CP19)</f>
        <v/>
      </c>
      <c r="D1346" t="str">
        <f>IF(IF(Eingaben!$B$21&lt;Eingaben!$B$22,AND(B1346&gt;=Eingaben!$B$21,B1346&lt;Eingaben!$B$22),OR(B1346&gt;=Eingaben!$B$21,B1346&lt;Eingaben!$B$22)),"GO",IF(AND(ISNUMBER(Eingaben!$B$23),ISNUMBER(Eingaben!$B$24),IF(Eingaben!$B$23&lt;Eingaben!$B$24,AND(B1346&gt;=Eingaben!$B$23,B1346&lt;Eingaben!$B$24),OR(B1346&gt;=Eingaben!$B$23,B1346&lt;Eingaben!$B$24))),"HEAT","STANDARD"))</f>
        <v>STANDARD</v>
      </c>
      <c r="E1346" s="9"/>
      <c r="F1346" t="str">
        <f>IF(E1346="",D1346,E1346)</f>
        <v>STANDARD</v>
      </c>
      <c r="G1346" t="str">
        <f>INDEX(Netzzeiten!$B$6:$B$29,HOUR(B1346)+1)</f>
        <v>NT</v>
      </c>
      <c r="H1346" s="6">
        <f>IF(F1346="GO",Eingaben!$B$11,IF(F1346="STANDARD",Eingaben!$B$12,IF(AND(F1346="HEAT",ISNUMBER(Eingaben!$B$13)),Eingaben!$B$13,"")))</f>
        <v>28.2744</v>
      </c>
      <c r="I1346" s="6">
        <f>INDEX(Netzzeiten!$C$6:$C$29,HOUR(B1346)+1)</f>
        <v>1.64</v>
      </c>
      <c r="J1346" t="str">
        <f>IF(C1346="","FEHLT",IF(NOT(ISNUMBER(C1346)),"MESSWERT UNGUELTIG",IF(C1346&lt;0,"MESSWERT UNGUELTIG",IF(H1346="","TARIFPREIS FEHLT","OK"))))</f>
        <v>FEHLT</v>
      </c>
      <c r="K1346" s="7">
        <f>IF(J1346&lt;&gt;"OK","",C1346*I1346/100)</f>
        <v/>
      </c>
    </row>
    <row r="1347" spans="1:11">
      <c r="A1347" s="14">
        <v>46156</v>
      </c>
      <c r="B1347" s="15">
        <v>0.96875</v>
      </c>
      <c r="C1347" s="5">
        <f>IF('96 Werte'!CQ19="","",'96 Werte'!CQ19)</f>
        <v/>
      </c>
      <c r="D1347" t="str">
        <f>IF(IF(Eingaben!$B$21&lt;Eingaben!$B$22,AND(B1347&gt;=Eingaben!$B$21,B1347&lt;Eingaben!$B$22),OR(B1347&gt;=Eingaben!$B$21,B1347&lt;Eingaben!$B$22)),"GO",IF(AND(ISNUMBER(Eingaben!$B$23),ISNUMBER(Eingaben!$B$24),IF(Eingaben!$B$23&lt;Eingaben!$B$24,AND(B1347&gt;=Eingaben!$B$23,B1347&lt;Eingaben!$B$24),OR(B1347&gt;=Eingaben!$B$23,B1347&lt;Eingaben!$B$24))),"HEAT","STANDARD"))</f>
        <v>STANDARD</v>
      </c>
      <c r="E1347" s="9"/>
      <c r="F1347" t="str">
        <f>IF(E1347="",D1347,E1347)</f>
        <v>STANDARD</v>
      </c>
      <c r="G1347" t="str">
        <f>INDEX(Netzzeiten!$B$6:$B$29,HOUR(B1347)+1)</f>
        <v>NT</v>
      </c>
      <c r="H1347" s="6">
        <f>IF(F1347="GO",Eingaben!$B$11,IF(F1347="STANDARD",Eingaben!$B$12,IF(AND(F1347="HEAT",ISNUMBER(Eingaben!$B$13)),Eingaben!$B$13,"")))</f>
        <v>28.2744</v>
      </c>
      <c r="I1347" s="6">
        <f>INDEX(Netzzeiten!$C$6:$C$29,HOUR(B1347)+1)</f>
        <v>1.64</v>
      </c>
      <c r="J1347" t="str">
        <f>IF(C1347="","FEHLT",IF(NOT(ISNUMBER(C1347)),"MESSWERT UNGUELTIG",IF(C1347&lt;0,"MESSWERT UNGUELTIG",IF(H1347="","TARIFPREIS FEHLT","OK"))))</f>
        <v>FEHLT</v>
      </c>
      <c r="K1347" s="7">
        <f>IF(J1347&lt;&gt;"OK","",C1347*I1347/100)</f>
        <v/>
      </c>
    </row>
    <row r="1348" spans="1:11">
      <c r="A1348" s="14">
        <v>46156</v>
      </c>
      <c r="B1348" s="15">
        <v>0.9791666666666666</v>
      </c>
      <c r="C1348" s="5">
        <f>IF('96 Werte'!CR19="","",'96 Werte'!CR19)</f>
        <v/>
      </c>
      <c r="D1348" t="str">
        <f>IF(IF(Eingaben!$B$21&lt;Eingaben!$B$22,AND(B1348&gt;=Eingaben!$B$21,B1348&lt;Eingaben!$B$22),OR(B1348&gt;=Eingaben!$B$21,B1348&lt;Eingaben!$B$22)),"GO",IF(AND(ISNUMBER(Eingaben!$B$23),ISNUMBER(Eingaben!$B$24),IF(Eingaben!$B$23&lt;Eingaben!$B$24,AND(B1348&gt;=Eingaben!$B$23,B1348&lt;Eingaben!$B$24),OR(B1348&gt;=Eingaben!$B$23,B1348&lt;Eingaben!$B$24))),"HEAT","STANDARD"))</f>
        <v>STANDARD</v>
      </c>
      <c r="E1348" s="9"/>
      <c r="F1348" t="str">
        <f>IF(E1348="",D1348,E1348)</f>
        <v>STANDARD</v>
      </c>
      <c r="G1348" t="str">
        <f>INDEX(Netzzeiten!$B$6:$B$29,HOUR(B1348)+1)</f>
        <v>NT</v>
      </c>
      <c r="H1348" s="6">
        <f>IF(F1348="GO",Eingaben!$B$11,IF(F1348="STANDARD",Eingaben!$B$12,IF(AND(F1348="HEAT",ISNUMBER(Eingaben!$B$13)),Eingaben!$B$13,"")))</f>
        <v>28.2744</v>
      </c>
      <c r="I1348" s="6">
        <f>INDEX(Netzzeiten!$C$6:$C$29,HOUR(B1348)+1)</f>
        <v>1.64</v>
      </c>
      <c r="J1348" t="str">
        <f>IF(C1348="","FEHLT",IF(NOT(ISNUMBER(C1348)),"MESSWERT UNGUELTIG",IF(C1348&lt;0,"MESSWERT UNGUELTIG",IF(H1348="","TARIFPREIS FEHLT","OK"))))</f>
        <v>FEHLT</v>
      </c>
      <c r="K1348" s="7">
        <f>IF(J1348&lt;&gt;"OK","",C1348*I1348/100)</f>
        <v/>
      </c>
    </row>
    <row r="1349" spans="1:11">
      <c r="A1349" s="14">
        <v>46156</v>
      </c>
      <c r="B1349" s="15">
        <v>0.9895833333333334</v>
      </c>
      <c r="C1349" s="5">
        <f>IF('96 Werte'!CS19="","",'96 Werte'!CS19)</f>
        <v/>
      </c>
      <c r="D1349" t="str">
        <f>IF(IF(Eingaben!$B$21&lt;Eingaben!$B$22,AND(B1349&gt;=Eingaben!$B$21,B1349&lt;Eingaben!$B$22),OR(B1349&gt;=Eingaben!$B$21,B1349&lt;Eingaben!$B$22)),"GO",IF(AND(ISNUMBER(Eingaben!$B$23),ISNUMBER(Eingaben!$B$24),IF(Eingaben!$B$23&lt;Eingaben!$B$24,AND(B1349&gt;=Eingaben!$B$23,B1349&lt;Eingaben!$B$24),OR(B1349&gt;=Eingaben!$B$23,B1349&lt;Eingaben!$B$24))),"HEAT","STANDARD"))</f>
        <v>STANDARD</v>
      </c>
      <c r="E1349" s="9"/>
      <c r="F1349" t="str">
        <f>IF(E1349="",D1349,E1349)</f>
        <v>STANDARD</v>
      </c>
      <c r="G1349" t="str">
        <f>INDEX(Netzzeiten!$B$6:$B$29,HOUR(B1349)+1)</f>
        <v>NT</v>
      </c>
      <c r="H1349" s="6">
        <f>IF(F1349="GO",Eingaben!$B$11,IF(F1349="STANDARD",Eingaben!$B$12,IF(AND(F1349="HEAT",ISNUMBER(Eingaben!$B$13)),Eingaben!$B$13,"")))</f>
        <v>28.2744</v>
      </c>
      <c r="I1349" s="6">
        <f>INDEX(Netzzeiten!$C$6:$C$29,HOUR(B1349)+1)</f>
        <v>1.64</v>
      </c>
      <c r="J1349" t="str">
        <f>IF(C1349="","FEHLT",IF(NOT(ISNUMBER(C1349)),"MESSWERT UNGUELTIG",IF(C1349&lt;0,"MESSWERT UNGUELTIG",IF(H1349="","TARIFPREIS FEHLT","OK"))))</f>
        <v>FEHLT</v>
      </c>
      <c r="K1349" s="7">
        <f>IF(J1349&lt;&gt;"OK","",C1349*I1349/100)</f>
        <v/>
      </c>
    </row>
    <row r="1350" spans="1:11">
      <c r="A1350" s="14">
        <v>46157</v>
      </c>
      <c r="B1350" s="15">
        <v>0</v>
      </c>
      <c r="C1350" s="5">
        <f>IF('96 Werte'!B20="","",'96 Werte'!B20)</f>
        <v/>
      </c>
      <c r="D1350" t="str">
        <f>IF(IF(Eingaben!$B$21&lt;Eingaben!$B$22,AND(B1350&gt;=Eingaben!$B$21,B1350&lt;Eingaben!$B$22),OR(B1350&gt;=Eingaben!$B$21,B1350&lt;Eingaben!$B$22)),"GO",IF(AND(ISNUMBER(Eingaben!$B$23),ISNUMBER(Eingaben!$B$24),IF(Eingaben!$B$23&lt;Eingaben!$B$24,AND(B1350&gt;=Eingaben!$B$23,B1350&lt;Eingaben!$B$24),OR(B1350&gt;=Eingaben!$B$23,B1350&lt;Eingaben!$B$24))),"HEAT","STANDARD"))</f>
        <v>GO</v>
      </c>
      <c r="E1350" s="9"/>
      <c r="F1350" t="str">
        <f>IF(E1350="",D1350,E1350)</f>
        <v>GO</v>
      </c>
      <c r="G1350" t="str">
        <f>INDEX(Netzzeiten!$B$6:$B$29,HOUR(B1350)+1)</f>
        <v>NT</v>
      </c>
      <c r="H1350" s="6">
        <f>IF(F1350="GO",Eingaben!$B$11,IF(F1350="STANDARD",Eingaben!$B$12,IF(AND(F1350="HEAT",ISNUMBER(Eingaben!$B$13)),Eingaben!$B$13,"")))</f>
        <v>15.0654</v>
      </c>
      <c r="I1350" s="6">
        <f>INDEX(Netzzeiten!$C$6:$C$29,HOUR(B1350)+1)</f>
        <v>1.64</v>
      </c>
      <c r="J1350" t="str">
        <f>IF(C1350="","FEHLT",IF(NOT(ISNUMBER(C1350)),"MESSWERT UNGUELTIG",IF(C1350&lt;0,"MESSWERT UNGUELTIG",IF(H1350="","TARIFPREIS FEHLT","OK"))))</f>
        <v>FEHLT</v>
      </c>
      <c r="K1350" s="7">
        <f>IF(J1350&lt;&gt;"OK","",C1350*I1350/100)</f>
        <v/>
      </c>
    </row>
    <row r="1351" spans="1:11">
      <c r="A1351" s="14">
        <v>46157</v>
      </c>
      <c r="B1351" s="15">
        <v>0.01041666666666667</v>
      </c>
      <c r="C1351" s="5">
        <f>IF('96 Werte'!C20="","",'96 Werte'!C20)</f>
        <v/>
      </c>
      <c r="D1351" t="str">
        <f>IF(IF(Eingaben!$B$21&lt;Eingaben!$B$22,AND(B1351&gt;=Eingaben!$B$21,B1351&lt;Eingaben!$B$22),OR(B1351&gt;=Eingaben!$B$21,B1351&lt;Eingaben!$B$22)),"GO",IF(AND(ISNUMBER(Eingaben!$B$23),ISNUMBER(Eingaben!$B$24),IF(Eingaben!$B$23&lt;Eingaben!$B$24,AND(B1351&gt;=Eingaben!$B$23,B1351&lt;Eingaben!$B$24),OR(B1351&gt;=Eingaben!$B$23,B1351&lt;Eingaben!$B$24))),"HEAT","STANDARD"))</f>
        <v>GO</v>
      </c>
      <c r="E1351" s="9"/>
      <c r="F1351" t="str">
        <f>IF(E1351="",D1351,E1351)</f>
        <v>GO</v>
      </c>
      <c r="G1351" t="str">
        <f>INDEX(Netzzeiten!$B$6:$B$29,HOUR(B1351)+1)</f>
        <v>NT</v>
      </c>
      <c r="H1351" s="6">
        <f>IF(F1351="GO",Eingaben!$B$11,IF(F1351="STANDARD",Eingaben!$B$12,IF(AND(F1351="HEAT",ISNUMBER(Eingaben!$B$13)),Eingaben!$B$13,"")))</f>
        <v>15.0654</v>
      </c>
      <c r="I1351" s="6">
        <f>INDEX(Netzzeiten!$C$6:$C$29,HOUR(B1351)+1)</f>
        <v>1.64</v>
      </c>
      <c r="J1351" t="str">
        <f>IF(C1351="","FEHLT",IF(NOT(ISNUMBER(C1351)),"MESSWERT UNGUELTIG",IF(C1351&lt;0,"MESSWERT UNGUELTIG",IF(H1351="","TARIFPREIS FEHLT","OK"))))</f>
        <v>FEHLT</v>
      </c>
      <c r="K1351" s="7">
        <f>IF(J1351&lt;&gt;"OK","",C1351*I1351/100)</f>
        <v/>
      </c>
    </row>
    <row r="1352" spans="1:11">
      <c r="A1352" s="14">
        <v>46157</v>
      </c>
      <c r="B1352" s="15">
        <v>0.02083333333333333</v>
      </c>
      <c r="C1352" s="5">
        <f>IF('96 Werte'!D20="","",'96 Werte'!D20)</f>
        <v/>
      </c>
      <c r="D1352" t="str">
        <f>IF(IF(Eingaben!$B$21&lt;Eingaben!$B$22,AND(B1352&gt;=Eingaben!$B$21,B1352&lt;Eingaben!$B$22),OR(B1352&gt;=Eingaben!$B$21,B1352&lt;Eingaben!$B$22)),"GO",IF(AND(ISNUMBER(Eingaben!$B$23),ISNUMBER(Eingaben!$B$24),IF(Eingaben!$B$23&lt;Eingaben!$B$24,AND(B1352&gt;=Eingaben!$B$23,B1352&lt;Eingaben!$B$24),OR(B1352&gt;=Eingaben!$B$23,B1352&lt;Eingaben!$B$24))),"HEAT","STANDARD"))</f>
        <v>GO</v>
      </c>
      <c r="E1352" s="9"/>
      <c r="F1352" t="str">
        <f>IF(E1352="",D1352,E1352)</f>
        <v>GO</v>
      </c>
      <c r="G1352" t="str">
        <f>INDEX(Netzzeiten!$B$6:$B$29,HOUR(B1352)+1)</f>
        <v>NT</v>
      </c>
      <c r="H1352" s="6">
        <f>IF(F1352="GO",Eingaben!$B$11,IF(F1352="STANDARD",Eingaben!$B$12,IF(AND(F1352="HEAT",ISNUMBER(Eingaben!$B$13)),Eingaben!$B$13,"")))</f>
        <v>15.0654</v>
      </c>
      <c r="I1352" s="6">
        <f>INDEX(Netzzeiten!$C$6:$C$29,HOUR(B1352)+1)</f>
        <v>1.64</v>
      </c>
      <c r="J1352" t="str">
        <f>IF(C1352="","FEHLT",IF(NOT(ISNUMBER(C1352)),"MESSWERT UNGUELTIG",IF(C1352&lt;0,"MESSWERT UNGUELTIG",IF(H1352="","TARIFPREIS FEHLT","OK"))))</f>
        <v>FEHLT</v>
      </c>
      <c r="K1352" s="7">
        <f>IF(J1352&lt;&gt;"OK","",C1352*I1352/100)</f>
        <v/>
      </c>
    </row>
    <row r="1353" spans="1:11">
      <c r="A1353" s="14">
        <v>46157</v>
      </c>
      <c r="B1353" s="15">
        <v>0.03125</v>
      </c>
      <c r="C1353" s="5">
        <f>IF('96 Werte'!E20="","",'96 Werte'!E20)</f>
        <v/>
      </c>
      <c r="D1353" t="str">
        <f>IF(IF(Eingaben!$B$21&lt;Eingaben!$B$22,AND(B1353&gt;=Eingaben!$B$21,B1353&lt;Eingaben!$B$22),OR(B1353&gt;=Eingaben!$B$21,B1353&lt;Eingaben!$B$22)),"GO",IF(AND(ISNUMBER(Eingaben!$B$23),ISNUMBER(Eingaben!$B$24),IF(Eingaben!$B$23&lt;Eingaben!$B$24,AND(B1353&gt;=Eingaben!$B$23,B1353&lt;Eingaben!$B$24),OR(B1353&gt;=Eingaben!$B$23,B1353&lt;Eingaben!$B$24))),"HEAT","STANDARD"))</f>
        <v>GO</v>
      </c>
      <c r="E1353" s="9"/>
      <c r="F1353" t="str">
        <f>IF(E1353="",D1353,E1353)</f>
        <v>GO</v>
      </c>
      <c r="G1353" t="str">
        <f>INDEX(Netzzeiten!$B$6:$B$29,HOUR(B1353)+1)</f>
        <v>NT</v>
      </c>
      <c r="H1353" s="6">
        <f>IF(F1353="GO",Eingaben!$B$11,IF(F1353="STANDARD",Eingaben!$B$12,IF(AND(F1353="HEAT",ISNUMBER(Eingaben!$B$13)),Eingaben!$B$13,"")))</f>
        <v>15.0654</v>
      </c>
      <c r="I1353" s="6">
        <f>INDEX(Netzzeiten!$C$6:$C$29,HOUR(B1353)+1)</f>
        <v>1.64</v>
      </c>
      <c r="J1353" t="str">
        <f>IF(C1353="","FEHLT",IF(NOT(ISNUMBER(C1353)),"MESSWERT UNGUELTIG",IF(C1353&lt;0,"MESSWERT UNGUELTIG",IF(H1353="","TARIFPREIS FEHLT","OK"))))</f>
        <v>FEHLT</v>
      </c>
      <c r="K1353" s="7">
        <f>IF(J1353&lt;&gt;"OK","",C1353*I1353/100)</f>
        <v/>
      </c>
    </row>
    <row r="1354" spans="1:11">
      <c r="A1354" s="14">
        <v>46157</v>
      </c>
      <c r="B1354" s="15">
        <v>0.04166666666666666</v>
      </c>
      <c r="C1354" s="5">
        <f>IF('96 Werte'!F20="","",'96 Werte'!F20)</f>
        <v/>
      </c>
      <c r="D1354" t="str">
        <f>IF(IF(Eingaben!$B$21&lt;Eingaben!$B$22,AND(B1354&gt;=Eingaben!$B$21,B1354&lt;Eingaben!$B$22),OR(B1354&gt;=Eingaben!$B$21,B1354&lt;Eingaben!$B$22)),"GO",IF(AND(ISNUMBER(Eingaben!$B$23),ISNUMBER(Eingaben!$B$24),IF(Eingaben!$B$23&lt;Eingaben!$B$24,AND(B1354&gt;=Eingaben!$B$23,B1354&lt;Eingaben!$B$24),OR(B1354&gt;=Eingaben!$B$23,B1354&lt;Eingaben!$B$24))),"HEAT","STANDARD"))</f>
        <v>GO</v>
      </c>
      <c r="E1354" s="9"/>
      <c r="F1354" t="str">
        <f>IF(E1354="",D1354,E1354)</f>
        <v>GO</v>
      </c>
      <c r="G1354" t="str">
        <f>INDEX(Netzzeiten!$B$6:$B$29,HOUR(B1354)+1)</f>
        <v>NT</v>
      </c>
      <c r="H1354" s="6">
        <f>IF(F1354="GO",Eingaben!$B$11,IF(F1354="STANDARD",Eingaben!$B$12,IF(AND(F1354="HEAT",ISNUMBER(Eingaben!$B$13)),Eingaben!$B$13,"")))</f>
        <v>15.0654</v>
      </c>
      <c r="I1354" s="6">
        <f>INDEX(Netzzeiten!$C$6:$C$29,HOUR(B1354)+1)</f>
        <v>1.64</v>
      </c>
      <c r="J1354" t="str">
        <f>IF(C1354="","FEHLT",IF(NOT(ISNUMBER(C1354)),"MESSWERT UNGUELTIG",IF(C1354&lt;0,"MESSWERT UNGUELTIG",IF(H1354="","TARIFPREIS FEHLT","OK"))))</f>
        <v>FEHLT</v>
      </c>
      <c r="K1354" s="7">
        <f>IF(J1354&lt;&gt;"OK","",C1354*I1354/100)</f>
        <v/>
      </c>
    </row>
    <row r="1355" spans="1:11">
      <c r="A1355" s="14">
        <v>46157</v>
      </c>
      <c r="B1355" s="15">
        <v>0.05208333333333334</v>
      </c>
      <c r="C1355" s="5">
        <f>IF('96 Werte'!G20="","",'96 Werte'!G20)</f>
        <v/>
      </c>
      <c r="D1355" t="str">
        <f>IF(IF(Eingaben!$B$21&lt;Eingaben!$B$22,AND(B1355&gt;=Eingaben!$B$21,B1355&lt;Eingaben!$B$22),OR(B1355&gt;=Eingaben!$B$21,B1355&lt;Eingaben!$B$22)),"GO",IF(AND(ISNUMBER(Eingaben!$B$23),ISNUMBER(Eingaben!$B$24),IF(Eingaben!$B$23&lt;Eingaben!$B$24,AND(B1355&gt;=Eingaben!$B$23,B1355&lt;Eingaben!$B$24),OR(B1355&gt;=Eingaben!$B$23,B1355&lt;Eingaben!$B$24))),"HEAT","STANDARD"))</f>
        <v>GO</v>
      </c>
      <c r="E1355" s="9"/>
      <c r="F1355" t="str">
        <f>IF(E1355="",D1355,E1355)</f>
        <v>GO</v>
      </c>
      <c r="G1355" t="str">
        <f>INDEX(Netzzeiten!$B$6:$B$29,HOUR(B1355)+1)</f>
        <v>NT</v>
      </c>
      <c r="H1355" s="6">
        <f>IF(F1355="GO",Eingaben!$B$11,IF(F1355="STANDARD",Eingaben!$B$12,IF(AND(F1355="HEAT",ISNUMBER(Eingaben!$B$13)),Eingaben!$B$13,"")))</f>
        <v>15.0654</v>
      </c>
      <c r="I1355" s="6">
        <f>INDEX(Netzzeiten!$C$6:$C$29,HOUR(B1355)+1)</f>
        <v>1.64</v>
      </c>
      <c r="J1355" t="str">
        <f>IF(C1355="","FEHLT",IF(NOT(ISNUMBER(C1355)),"MESSWERT UNGUELTIG",IF(C1355&lt;0,"MESSWERT UNGUELTIG",IF(H1355="","TARIFPREIS FEHLT","OK"))))</f>
        <v>FEHLT</v>
      </c>
      <c r="K1355" s="7">
        <f>IF(J1355&lt;&gt;"OK","",C1355*I1355/100)</f>
        <v/>
      </c>
    </row>
    <row r="1356" spans="1:11">
      <c r="A1356" s="14">
        <v>46157</v>
      </c>
      <c r="B1356" s="15">
        <v>0.0625</v>
      </c>
      <c r="C1356" s="5">
        <f>IF('96 Werte'!H20="","",'96 Werte'!H20)</f>
        <v/>
      </c>
      <c r="D1356" t="str">
        <f>IF(IF(Eingaben!$B$21&lt;Eingaben!$B$22,AND(B1356&gt;=Eingaben!$B$21,B1356&lt;Eingaben!$B$22),OR(B1356&gt;=Eingaben!$B$21,B1356&lt;Eingaben!$B$22)),"GO",IF(AND(ISNUMBER(Eingaben!$B$23),ISNUMBER(Eingaben!$B$24),IF(Eingaben!$B$23&lt;Eingaben!$B$24,AND(B1356&gt;=Eingaben!$B$23,B1356&lt;Eingaben!$B$24),OR(B1356&gt;=Eingaben!$B$23,B1356&lt;Eingaben!$B$24))),"HEAT","STANDARD"))</f>
        <v>GO</v>
      </c>
      <c r="E1356" s="9"/>
      <c r="F1356" t="str">
        <f>IF(E1356="",D1356,E1356)</f>
        <v>GO</v>
      </c>
      <c r="G1356" t="str">
        <f>INDEX(Netzzeiten!$B$6:$B$29,HOUR(B1356)+1)</f>
        <v>NT</v>
      </c>
      <c r="H1356" s="6">
        <f>IF(F1356="GO",Eingaben!$B$11,IF(F1356="STANDARD",Eingaben!$B$12,IF(AND(F1356="HEAT",ISNUMBER(Eingaben!$B$13)),Eingaben!$B$13,"")))</f>
        <v>15.0654</v>
      </c>
      <c r="I1356" s="6">
        <f>INDEX(Netzzeiten!$C$6:$C$29,HOUR(B1356)+1)</f>
        <v>1.64</v>
      </c>
      <c r="J1356" t="str">
        <f>IF(C1356="","FEHLT",IF(NOT(ISNUMBER(C1356)),"MESSWERT UNGUELTIG",IF(C1356&lt;0,"MESSWERT UNGUELTIG",IF(H1356="","TARIFPREIS FEHLT","OK"))))</f>
        <v>FEHLT</v>
      </c>
      <c r="K1356" s="7">
        <f>IF(J1356&lt;&gt;"OK","",C1356*I1356/100)</f>
        <v/>
      </c>
    </row>
    <row r="1357" spans="1:11">
      <c r="A1357" s="14">
        <v>46157</v>
      </c>
      <c r="B1357" s="15">
        <v>0.07291666666666667</v>
      </c>
      <c r="C1357" s="5">
        <f>IF('96 Werte'!I20="","",'96 Werte'!I20)</f>
        <v/>
      </c>
      <c r="D1357" t="str">
        <f>IF(IF(Eingaben!$B$21&lt;Eingaben!$B$22,AND(B1357&gt;=Eingaben!$B$21,B1357&lt;Eingaben!$B$22),OR(B1357&gt;=Eingaben!$B$21,B1357&lt;Eingaben!$B$22)),"GO",IF(AND(ISNUMBER(Eingaben!$B$23),ISNUMBER(Eingaben!$B$24),IF(Eingaben!$B$23&lt;Eingaben!$B$24,AND(B1357&gt;=Eingaben!$B$23,B1357&lt;Eingaben!$B$24),OR(B1357&gt;=Eingaben!$B$23,B1357&lt;Eingaben!$B$24))),"HEAT","STANDARD"))</f>
        <v>GO</v>
      </c>
      <c r="E1357" s="9"/>
      <c r="F1357" t="str">
        <f>IF(E1357="",D1357,E1357)</f>
        <v>GO</v>
      </c>
      <c r="G1357" t="str">
        <f>INDEX(Netzzeiten!$B$6:$B$29,HOUR(B1357)+1)</f>
        <v>NT</v>
      </c>
      <c r="H1357" s="6">
        <f>IF(F1357="GO",Eingaben!$B$11,IF(F1357="STANDARD",Eingaben!$B$12,IF(AND(F1357="HEAT",ISNUMBER(Eingaben!$B$13)),Eingaben!$B$13,"")))</f>
        <v>15.0654</v>
      </c>
      <c r="I1357" s="6">
        <f>INDEX(Netzzeiten!$C$6:$C$29,HOUR(B1357)+1)</f>
        <v>1.64</v>
      </c>
      <c r="J1357" t="str">
        <f>IF(C1357="","FEHLT",IF(NOT(ISNUMBER(C1357)),"MESSWERT UNGUELTIG",IF(C1357&lt;0,"MESSWERT UNGUELTIG",IF(H1357="","TARIFPREIS FEHLT","OK"))))</f>
        <v>FEHLT</v>
      </c>
      <c r="K1357" s="7">
        <f>IF(J1357&lt;&gt;"OK","",C1357*I1357/100)</f>
        <v/>
      </c>
    </row>
    <row r="1358" spans="1:11">
      <c r="A1358" s="14">
        <v>46157</v>
      </c>
      <c r="B1358" s="15">
        <v>0.08333333333333333</v>
      </c>
      <c r="C1358" s="5">
        <f>IF('96 Werte'!J20="","",'96 Werte'!J20)</f>
        <v/>
      </c>
      <c r="D1358" t="str">
        <f>IF(IF(Eingaben!$B$21&lt;Eingaben!$B$22,AND(B1358&gt;=Eingaben!$B$21,B1358&lt;Eingaben!$B$22),OR(B1358&gt;=Eingaben!$B$21,B1358&lt;Eingaben!$B$22)),"GO",IF(AND(ISNUMBER(Eingaben!$B$23),ISNUMBER(Eingaben!$B$24),IF(Eingaben!$B$23&lt;Eingaben!$B$24,AND(B1358&gt;=Eingaben!$B$23,B1358&lt;Eingaben!$B$24),OR(B1358&gt;=Eingaben!$B$23,B1358&lt;Eingaben!$B$24))),"HEAT","STANDARD"))</f>
        <v>GO</v>
      </c>
      <c r="E1358" s="9"/>
      <c r="F1358" t="str">
        <f>IF(E1358="",D1358,E1358)</f>
        <v>GO</v>
      </c>
      <c r="G1358" t="str">
        <f>INDEX(Netzzeiten!$B$6:$B$29,HOUR(B1358)+1)</f>
        <v>NT</v>
      </c>
      <c r="H1358" s="6">
        <f>IF(F1358="GO",Eingaben!$B$11,IF(F1358="STANDARD",Eingaben!$B$12,IF(AND(F1358="HEAT",ISNUMBER(Eingaben!$B$13)),Eingaben!$B$13,"")))</f>
        <v>15.0654</v>
      </c>
      <c r="I1358" s="6">
        <f>INDEX(Netzzeiten!$C$6:$C$29,HOUR(B1358)+1)</f>
        <v>1.64</v>
      </c>
      <c r="J1358" t="str">
        <f>IF(C1358="","FEHLT",IF(NOT(ISNUMBER(C1358)),"MESSWERT UNGUELTIG",IF(C1358&lt;0,"MESSWERT UNGUELTIG",IF(H1358="","TARIFPREIS FEHLT","OK"))))</f>
        <v>FEHLT</v>
      </c>
      <c r="K1358" s="7">
        <f>IF(J1358&lt;&gt;"OK","",C1358*I1358/100)</f>
        <v/>
      </c>
    </row>
    <row r="1359" spans="1:11">
      <c r="A1359" s="14">
        <v>46157</v>
      </c>
      <c r="B1359" s="15">
        <v>0.09375</v>
      </c>
      <c r="C1359" s="5">
        <f>IF('96 Werte'!K20="","",'96 Werte'!K20)</f>
        <v/>
      </c>
      <c r="D1359" t="str">
        <f>IF(IF(Eingaben!$B$21&lt;Eingaben!$B$22,AND(B1359&gt;=Eingaben!$B$21,B1359&lt;Eingaben!$B$22),OR(B1359&gt;=Eingaben!$B$21,B1359&lt;Eingaben!$B$22)),"GO",IF(AND(ISNUMBER(Eingaben!$B$23),ISNUMBER(Eingaben!$B$24),IF(Eingaben!$B$23&lt;Eingaben!$B$24,AND(B1359&gt;=Eingaben!$B$23,B1359&lt;Eingaben!$B$24),OR(B1359&gt;=Eingaben!$B$23,B1359&lt;Eingaben!$B$24))),"HEAT","STANDARD"))</f>
        <v>GO</v>
      </c>
      <c r="E1359" s="9"/>
      <c r="F1359" t="str">
        <f>IF(E1359="",D1359,E1359)</f>
        <v>GO</v>
      </c>
      <c r="G1359" t="str">
        <f>INDEX(Netzzeiten!$B$6:$B$29,HOUR(B1359)+1)</f>
        <v>NT</v>
      </c>
      <c r="H1359" s="6">
        <f>IF(F1359="GO",Eingaben!$B$11,IF(F1359="STANDARD",Eingaben!$B$12,IF(AND(F1359="HEAT",ISNUMBER(Eingaben!$B$13)),Eingaben!$B$13,"")))</f>
        <v>15.0654</v>
      </c>
      <c r="I1359" s="6">
        <f>INDEX(Netzzeiten!$C$6:$C$29,HOUR(B1359)+1)</f>
        <v>1.64</v>
      </c>
      <c r="J1359" t="str">
        <f>IF(C1359="","FEHLT",IF(NOT(ISNUMBER(C1359)),"MESSWERT UNGUELTIG",IF(C1359&lt;0,"MESSWERT UNGUELTIG",IF(H1359="","TARIFPREIS FEHLT","OK"))))</f>
        <v>FEHLT</v>
      </c>
      <c r="K1359" s="7">
        <f>IF(J1359&lt;&gt;"OK","",C1359*I1359/100)</f>
        <v/>
      </c>
    </row>
    <row r="1360" spans="1:11">
      <c r="A1360" s="14">
        <v>46157</v>
      </c>
      <c r="B1360" s="15">
        <v>0.1041666666666667</v>
      </c>
      <c r="C1360" s="5">
        <f>IF('96 Werte'!L20="","",'96 Werte'!L20)</f>
        <v/>
      </c>
      <c r="D1360" t="str">
        <f>IF(IF(Eingaben!$B$21&lt;Eingaben!$B$22,AND(B1360&gt;=Eingaben!$B$21,B1360&lt;Eingaben!$B$22),OR(B1360&gt;=Eingaben!$B$21,B1360&lt;Eingaben!$B$22)),"GO",IF(AND(ISNUMBER(Eingaben!$B$23),ISNUMBER(Eingaben!$B$24),IF(Eingaben!$B$23&lt;Eingaben!$B$24,AND(B1360&gt;=Eingaben!$B$23,B1360&lt;Eingaben!$B$24),OR(B1360&gt;=Eingaben!$B$23,B1360&lt;Eingaben!$B$24))),"HEAT","STANDARD"))</f>
        <v>GO</v>
      </c>
      <c r="E1360" s="9"/>
      <c r="F1360" t="str">
        <f>IF(E1360="",D1360,E1360)</f>
        <v>GO</v>
      </c>
      <c r="G1360" t="str">
        <f>INDEX(Netzzeiten!$B$6:$B$29,HOUR(B1360)+1)</f>
        <v>NT</v>
      </c>
      <c r="H1360" s="6">
        <f>IF(F1360="GO",Eingaben!$B$11,IF(F1360="STANDARD",Eingaben!$B$12,IF(AND(F1360="HEAT",ISNUMBER(Eingaben!$B$13)),Eingaben!$B$13,"")))</f>
        <v>15.0654</v>
      </c>
      <c r="I1360" s="6">
        <f>INDEX(Netzzeiten!$C$6:$C$29,HOUR(B1360)+1)</f>
        <v>1.64</v>
      </c>
      <c r="J1360" t="str">
        <f>IF(C1360="","FEHLT",IF(NOT(ISNUMBER(C1360)),"MESSWERT UNGUELTIG",IF(C1360&lt;0,"MESSWERT UNGUELTIG",IF(H1360="","TARIFPREIS FEHLT","OK"))))</f>
        <v>FEHLT</v>
      </c>
      <c r="K1360" s="7">
        <f>IF(J1360&lt;&gt;"OK","",C1360*I1360/100)</f>
        <v/>
      </c>
    </row>
    <row r="1361" spans="1:11">
      <c r="A1361" s="14">
        <v>46157</v>
      </c>
      <c r="B1361" s="15">
        <v>0.1145833333333333</v>
      </c>
      <c r="C1361" s="5">
        <f>IF('96 Werte'!M20="","",'96 Werte'!M20)</f>
        <v/>
      </c>
      <c r="D1361" t="str">
        <f>IF(IF(Eingaben!$B$21&lt;Eingaben!$B$22,AND(B1361&gt;=Eingaben!$B$21,B1361&lt;Eingaben!$B$22),OR(B1361&gt;=Eingaben!$B$21,B1361&lt;Eingaben!$B$22)),"GO",IF(AND(ISNUMBER(Eingaben!$B$23),ISNUMBER(Eingaben!$B$24),IF(Eingaben!$B$23&lt;Eingaben!$B$24,AND(B1361&gt;=Eingaben!$B$23,B1361&lt;Eingaben!$B$24),OR(B1361&gt;=Eingaben!$B$23,B1361&lt;Eingaben!$B$24))),"HEAT","STANDARD"))</f>
        <v>GO</v>
      </c>
      <c r="E1361" s="9"/>
      <c r="F1361" t="str">
        <f>IF(E1361="",D1361,E1361)</f>
        <v>GO</v>
      </c>
      <c r="G1361" t="str">
        <f>INDEX(Netzzeiten!$B$6:$B$29,HOUR(B1361)+1)</f>
        <v>NT</v>
      </c>
      <c r="H1361" s="6">
        <f>IF(F1361="GO",Eingaben!$B$11,IF(F1361="STANDARD",Eingaben!$B$12,IF(AND(F1361="HEAT",ISNUMBER(Eingaben!$B$13)),Eingaben!$B$13,"")))</f>
        <v>15.0654</v>
      </c>
      <c r="I1361" s="6">
        <f>INDEX(Netzzeiten!$C$6:$C$29,HOUR(B1361)+1)</f>
        <v>1.64</v>
      </c>
      <c r="J1361" t="str">
        <f>IF(C1361="","FEHLT",IF(NOT(ISNUMBER(C1361)),"MESSWERT UNGUELTIG",IF(C1361&lt;0,"MESSWERT UNGUELTIG",IF(H1361="","TARIFPREIS FEHLT","OK"))))</f>
        <v>FEHLT</v>
      </c>
      <c r="K1361" s="7">
        <f>IF(J1361&lt;&gt;"OK","",C1361*I1361/100)</f>
        <v/>
      </c>
    </row>
    <row r="1362" spans="1:11">
      <c r="A1362" s="14">
        <v>46157</v>
      </c>
      <c r="B1362" s="15">
        <v>0.125</v>
      </c>
      <c r="C1362" s="5">
        <f>IF('96 Werte'!N20="","",'96 Werte'!N20)</f>
        <v/>
      </c>
      <c r="D1362" t="str">
        <f>IF(IF(Eingaben!$B$21&lt;Eingaben!$B$22,AND(B1362&gt;=Eingaben!$B$21,B1362&lt;Eingaben!$B$22),OR(B1362&gt;=Eingaben!$B$21,B1362&lt;Eingaben!$B$22)),"GO",IF(AND(ISNUMBER(Eingaben!$B$23),ISNUMBER(Eingaben!$B$24),IF(Eingaben!$B$23&lt;Eingaben!$B$24,AND(B1362&gt;=Eingaben!$B$23,B1362&lt;Eingaben!$B$24),OR(B1362&gt;=Eingaben!$B$23,B1362&lt;Eingaben!$B$24))),"HEAT","STANDARD"))</f>
        <v>GO</v>
      </c>
      <c r="E1362" s="9"/>
      <c r="F1362" t="str">
        <f>IF(E1362="",D1362,E1362)</f>
        <v>GO</v>
      </c>
      <c r="G1362" t="str">
        <f>INDEX(Netzzeiten!$B$6:$B$29,HOUR(B1362)+1)</f>
        <v>NT</v>
      </c>
      <c r="H1362" s="6">
        <f>IF(F1362="GO",Eingaben!$B$11,IF(F1362="STANDARD",Eingaben!$B$12,IF(AND(F1362="HEAT",ISNUMBER(Eingaben!$B$13)),Eingaben!$B$13,"")))</f>
        <v>15.0654</v>
      </c>
      <c r="I1362" s="6">
        <f>INDEX(Netzzeiten!$C$6:$C$29,HOUR(B1362)+1)</f>
        <v>1.64</v>
      </c>
      <c r="J1362" t="str">
        <f>IF(C1362="","FEHLT",IF(NOT(ISNUMBER(C1362)),"MESSWERT UNGUELTIG",IF(C1362&lt;0,"MESSWERT UNGUELTIG",IF(H1362="","TARIFPREIS FEHLT","OK"))))</f>
        <v>FEHLT</v>
      </c>
      <c r="K1362" s="7">
        <f>IF(J1362&lt;&gt;"OK","",C1362*I1362/100)</f>
        <v/>
      </c>
    </row>
    <row r="1363" spans="1:11">
      <c r="A1363" s="14">
        <v>46157</v>
      </c>
      <c r="B1363" s="15">
        <v>0.1354166666666667</v>
      </c>
      <c r="C1363" s="5">
        <f>IF('96 Werte'!O20="","",'96 Werte'!O20)</f>
        <v/>
      </c>
      <c r="D1363" t="str">
        <f>IF(IF(Eingaben!$B$21&lt;Eingaben!$B$22,AND(B1363&gt;=Eingaben!$B$21,B1363&lt;Eingaben!$B$22),OR(B1363&gt;=Eingaben!$B$21,B1363&lt;Eingaben!$B$22)),"GO",IF(AND(ISNUMBER(Eingaben!$B$23),ISNUMBER(Eingaben!$B$24),IF(Eingaben!$B$23&lt;Eingaben!$B$24,AND(B1363&gt;=Eingaben!$B$23,B1363&lt;Eingaben!$B$24),OR(B1363&gt;=Eingaben!$B$23,B1363&lt;Eingaben!$B$24))),"HEAT","STANDARD"))</f>
        <v>GO</v>
      </c>
      <c r="E1363" s="9"/>
      <c r="F1363" t="str">
        <f>IF(E1363="",D1363,E1363)</f>
        <v>GO</v>
      </c>
      <c r="G1363" t="str">
        <f>INDEX(Netzzeiten!$B$6:$B$29,HOUR(B1363)+1)</f>
        <v>NT</v>
      </c>
      <c r="H1363" s="6">
        <f>IF(F1363="GO",Eingaben!$B$11,IF(F1363="STANDARD",Eingaben!$B$12,IF(AND(F1363="HEAT",ISNUMBER(Eingaben!$B$13)),Eingaben!$B$13,"")))</f>
        <v>15.0654</v>
      </c>
      <c r="I1363" s="6">
        <f>INDEX(Netzzeiten!$C$6:$C$29,HOUR(B1363)+1)</f>
        <v>1.64</v>
      </c>
      <c r="J1363" t="str">
        <f>IF(C1363="","FEHLT",IF(NOT(ISNUMBER(C1363)),"MESSWERT UNGUELTIG",IF(C1363&lt;0,"MESSWERT UNGUELTIG",IF(H1363="","TARIFPREIS FEHLT","OK"))))</f>
        <v>FEHLT</v>
      </c>
      <c r="K1363" s="7">
        <f>IF(J1363&lt;&gt;"OK","",C1363*I1363/100)</f>
        <v/>
      </c>
    </row>
    <row r="1364" spans="1:11">
      <c r="A1364" s="14">
        <v>46157</v>
      </c>
      <c r="B1364" s="15">
        <v>0.1458333333333333</v>
      </c>
      <c r="C1364" s="5">
        <f>IF('96 Werte'!P20="","",'96 Werte'!P20)</f>
        <v/>
      </c>
      <c r="D1364" t="str">
        <f>IF(IF(Eingaben!$B$21&lt;Eingaben!$B$22,AND(B1364&gt;=Eingaben!$B$21,B1364&lt;Eingaben!$B$22),OR(B1364&gt;=Eingaben!$B$21,B1364&lt;Eingaben!$B$22)),"GO",IF(AND(ISNUMBER(Eingaben!$B$23),ISNUMBER(Eingaben!$B$24),IF(Eingaben!$B$23&lt;Eingaben!$B$24,AND(B1364&gt;=Eingaben!$B$23,B1364&lt;Eingaben!$B$24),OR(B1364&gt;=Eingaben!$B$23,B1364&lt;Eingaben!$B$24))),"HEAT","STANDARD"))</f>
        <v>GO</v>
      </c>
      <c r="E1364" s="9"/>
      <c r="F1364" t="str">
        <f>IF(E1364="",D1364,E1364)</f>
        <v>GO</v>
      </c>
      <c r="G1364" t="str">
        <f>INDEX(Netzzeiten!$B$6:$B$29,HOUR(B1364)+1)</f>
        <v>NT</v>
      </c>
      <c r="H1364" s="6">
        <f>IF(F1364="GO",Eingaben!$B$11,IF(F1364="STANDARD",Eingaben!$B$12,IF(AND(F1364="HEAT",ISNUMBER(Eingaben!$B$13)),Eingaben!$B$13,"")))</f>
        <v>15.0654</v>
      </c>
      <c r="I1364" s="6">
        <f>INDEX(Netzzeiten!$C$6:$C$29,HOUR(B1364)+1)</f>
        <v>1.64</v>
      </c>
      <c r="J1364" t="str">
        <f>IF(C1364="","FEHLT",IF(NOT(ISNUMBER(C1364)),"MESSWERT UNGUELTIG",IF(C1364&lt;0,"MESSWERT UNGUELTIG",IF(H1364="","TARIFPREIS FEHLT","OK"))))</f>
        <v>FEHLT</v>
      </c>
      <c r="K1364" s="7">
        <f>IF(J1364&lt;&gt;"OK","",C1364*I1364/100)</f>
        <v/>
      </c>
    </row>
    <row r="1365" spans="1:11">
      <c r="A1365" s="14">
        <v>46157</v>
      </c>
      <c r="B1365" s="15">
        <v>0.15625</v>
      </c>
      <c r="C1365" s="5">
        <f>IF('96 Werte'!Q20="","",'96 Werte'!Q20)</f>
        <v/>
      </c>
      <c r="D1365" t="str">
        <f>IF(IF(Eingaben!$B$21&lt;Eingaben!$B$22,AND(B1365&gt;=Eingaben!$B$21,B1365&lt;Eingaben!$B$22),OR(B1365&gt;=Eingaben!$B$21,B1365&lt;Eingaben!$B$22)),"GO",IF(AND(ISNUMBER(Eingaben!$B$23),ISNUMBER(Eingaben!$B$24),IF(Eingaben!$B$23&lt;Eingaben!$B$24,AND(B1365&gt;=Eingaben!$B$23,B1365&lt;Eingaben!$B$24),OR(B1365&gt;=Eingaben!$B$23,B1365&lt;Eingaben!$B$24))),"HEAT","STANDARD"))</f>
        <v>GO</v>
      </c>
      <c r="E1365" s="9"/>
      <c r="F1365" t="str">
        <f>IF(E1365="",D1365,E1365)</f>
        <v>GO</v>
      </c>
      <c r="G1365" t="str">
        <f>INDEX(Netzzeiten!$B$6:$B$29,HOUR(B1365)+1)</f>
        <v>NT</v>
      </c>
      <c r="H1365" s="6">
        <f>IF(F1365="GO",Eingaben!$B$11,IF(F1365="STANDARD",Eingaben!$B$12,IF(AND(F1365="HEAT",ISNUMBER(Eingaben!$B$13)),Eingaben!$B$13,"")))</f>
        <v>15.0654</v>
      </c>
      <c r="I1365" s="6">
        <f>INDEX(Netzzeiten!$C$6:$C$29,HOUR(B1365)+1)</f>
        <v>1.64</v>
      </c>
      <c r="J1365" t="str">
        <f>IF(C1365="","FEHLT",IF(NOT(ISNUMBER(C1365)),"MESSWERT UNGUELTIG",IF(C1365&lt;0,"MESSWERT UNGUELTIG",IF(H1365="","TARIFPREIS FEHLT","OK"))))</f>
        <v>FEHLT</v>
      </c>
      <c r="K1365" s="7">
        <f>IF(J1365&lt;&gt;"OK","",C1365*I1365/100)</f>
        <v/>
      </c>
    </row>
    <row r="1366" spans="1:11">
      <c r="A1366" s="14">
        <v>46157</v>
      </c>
      <c r="B1366" s="15">
        <v>0.1666666666666667</v>
      </c>
      <c r="C1366" s="5">
        <f>IF('96 Werte'!R20="","",'96 Werte'!R20)</f>
        <v/>
      </c>
      <c r="D1366" t="str">
        <f>IF(IF(Eingaben!$B$21&lt;Eingaben!$B$22,AND(B1366&gt;=Eingaben!$B$21,B1366&lt;Eingaben!$B$22),OR(B1366&gt;=Eingaben!$B$21,B1366&lt;Eingaben!$B$22)),"GO",IF(AND(ISNUMBER(Eingaben!$B$23),ISNUMBER(Eingaben!$B$24),IF(Eingaben!$B$23&lt;Eingaben!$B$24,AND(B1366&gt;=Eingaben!$B$23,B1366&lt;Eingaben!$B$24),OR(B1366&gt;=Eingaben!$B$23,B1366&lt;Eingaben!$B$24))),"HEAT","STANDARD"))</f>
        <v>GO</v>
      </c>
      <c r="E1366" s="9"/>
      <c r="F1366" t="str">
        <f>IF(E1366="",D1366,E1366)</f>
        <v>GO</v>
      </c>
      <c r="G1366" t="str">
        <f>INDEX(Netzzeiten!$B$6:$B$29,HOUR(B1366)+1)</f>
        <v>NT</v>
      </c>
      <c r="H1366" s="6">
        <f>IF(F1366="GO",Eingaben!$B$11,IF(F1366="STANDARD",Eingaben!$B$12,IF(AND(F1366="HEAT",ISNUMBER(Eingaben!$B$13)),Eingaben!$B$13,"")))</f>
        <v>15.0654</v>
      </c>
      <c r="I1366" s="6">
        <f>INDEX(Netzzeiten!$C$6:$C$29,HOUR(B1366)+1)</f>
        <v>1.64</v>
      </c>
      <c r="J1366" t="str">
        <f>IF(C1366="","FEHLT",IF(NOT(ISNUMBER(C1366)),"MESSWERT UNGUELTIG",IF(C1366&lt;0,"MESSWERT UNGUELTIG",IF(H1366="","TARIFPREIS FEHLT","OK"))))</f>
        <v>FEHLT</v>
      </c>
      <c r="K1366" s="7">
        <f>IF(J1366&lt;&gt;"OK","",C1366*I1366/100)</f>
        <v/>
      </c>
    </row>
    <row r="1367" spans="1:11">
      <c r="A1367" s="14">
        <v>46157</v>
      </c>
      <c r="B1367" s="15">
        <v>0.1770833333333333</v>
      </c>
      <c r="C1367" s="5">
        <f>IF('96 Werte'!S20="","",'96 Werte'!S20)</f>
        <v/>
      </c>
      <c r="D1367" t="str">
        <f>IF(IF(Eingaben!$B$21&lt;Eingaben!$B$22,AND(B1367&gt;=Eingaben!$B$21,B1367&lt;Eingaben!$B$22),OR(B1367&gt;=Eingaben!$B$21,B1367&lt;Eingaben!$B$22)),"GO",IF(AND(ISNUMBER(Eingaben!$B$23),ISNUMBER(Eingaben!$B$24),IF(Eingaben!$B$23&lt;Eingaben!$B$24,AND(B1367&gt;=Eingaben!$B$23,B1367&lt;Eingaben!$B$24),OR(B1367&gt;=Eingaben!$B$23,B1367&lt;Eingaben!$B$24))),"HEAT","STANDARD"))</f>
        <v>GO</v>
      </c>
      <c r="E1367" s="9"/>
      <c r="F1367" t="str">
        <f>IF(E1367="",D1367,E1367)</f>
        <v>GO</v>
      </c>
      <c r="G1367" t="str">
        <f>INDEX(Netzzeiten!$B$6:$B$29,HOUR(B1367)+1)</f>
        <v>NT</v>
      </c>
      <c r="H1367" s="6">
        <f>IF(F1367="GO",Eingaben!$B$11,IF(F1367="STANDARD",Eingaben!$B$12,IF(AND(F1367="HEAT",ISNUMBER(Eingaben!$B$13)),Eingaben!$B$13,"")))</f>
        <v>15.0654</v>
      </c>
      <c r="I1367" s="6">
        <f>INDEX(Netzzeiten!$C$6:$C$29,HOUR(B1367)+1)</f>
        <v>1.64</v>
      </c>
      <c r="J1367" t="str">
        <f>IF(C1367="","FEHLT",IF(NOT(ISNUMBER(C1367)),"MESSWERT UNGUELTIG",IF(C1367&lt;0,"MESSWERT UNGUELTIG",IF(H1367="","TARIFPREIS FEHLT","OK"))))</f>
        <v>FEHLT</v>
      </c>
      <c r="K1367" s="7">
        <f>IF(J1367&lt;&gt;"OK","",C1367*I1367/100)</f>
        <v/>
      </c>
    </row>
    <row r="1368" spans="1:11">
      <c r="A1368" s="14">
        <v>46157</v>
      </c>
      <c r="B1368" s="15">
        <v>0.1875</v>
      </c>
      <c r="C1368" s="5">
        <f>IF('96 Werte'!T20="","",'96 Werte'!T20)</f>
        <v/>
      </c>
      <c r="D1368" t="str">
        <f>IF(IF(Eingaben!$B$21&lt;Eingaben!$B$22,AND(B1368&gt;=Eingaben!$B$21,B1368&lt;Eingaben!$B$22),OR(B1368&gt;=Eingaben!$B$21,B1368&lt;Eingaben!$B$22)),"GO",IF(AND(ISNUMBER(Eingaben!$B$23),ISNUMBER(Eingaben!$B$24),IF(Eingaben!$B$23&lt;Eingaben!$B$24,AND(B1368&gt;=Eingaben!$B$23,B1368&lt;Eingaben!$B$24),OR(B1368&gt;=Eingaben!$B$23,B1368&lt;Eingaben!$B$24))),"HEAT","STANDARD"))</f>
        <v>GO</v>
      </c>
      <c r="E1368" s="9"/>
      <c r="F1368" t="str">
        <f>IF(E1368="",D1368,E1368)</f>
        <v>GO</v>
      </c>
      <c r="G1368" t="str">
        <f>INDEX(Netzzeiten!$B$6:$B$29,HOUR(B1368)+1)</f>
        <v>NT</v>
      </c>
      <c r="H1368" s="6">
        <f>IF(F1368="GO",Eingaben!$B$11,IF(F1368="STANDARD",Eingaben!$B$12,IF(AND(F1368="HEAT",ISNUMBER(Eingaben!$B$13)),Eingaben!$B$13,"")))</f>
        <v>15.0654</v>
      </c>
      <c r="I1368" s="6">
        <f>INDEX(Netzzeiten!$C$6:$C$29,HOUR(B1368)+1)</f>
        <v>1.64</v>
      </c>
      <c r="J1368" t="str">
        <f>IF(C1368="","FEHLT",IF(NOT(ISNUMBER(C1368)),"MESSWERT UNGUELTIG",IF(C1368&lt;0,"MESSWERT UNGUELTIG",IF(H1368="","TARIFPREIS FEHLT","OK"))))</f>
        <v>FEHLT</v>
      </c>
      <c r="K1368" s="7">
        <f>IF(J1368&lt;&gt;"OK","",C1368*I1368/100)</f>
        <v/>
      </c>
    </row>
    <row r="1369" spans="1:11">
      <c r="A1369" s="14">
        <v>46157</v>
      </c>
      <c r="B1369" s="15">
        <v>0.1979166666666667</v>
      </c>
      <c r="C1369" s="5">
        <f>IF('96 Werte'!U20="","",'96 Werte'!U20)</f>
        <v/>
      </c>
      <c r="D1369" t="str">
        <f>IF(IF(Eingaben!$B$21&lt;Eingaben!$B$22,AND(B1369&gt;=Eingaben!$B$21,B1369&lt;Eingaben!$B$22),OR(B1369&gt;=Eingaben!$B$21,B1369&lt;Eingaben!$B$22)),"GO",IF(AND(ISNUMBER(Eingaben!$B$23),ISNUMBER(Eingaben!$B$24),IF(Eingaben!$B$23&lt;Eingaben!$B$24,AND(B1369&gt;=Eingaben!$B$23,B1369&lt;Eingaben!$B$24),OR(B1369&gt;=Eingaben!$B$23,B1369&lt;Eingaben!$B$24))),"HEAT","STANDARD"))</f>
        <v>GO</v>
      </c>
      <c r="E1369" s="9"/>
      <c r="F1369" t="str">
        <f>IF(E1369="",D1369,E1369)</f>
        <v>GO</v>
      </c>
      <c r="G1369" t="str">
        <f>INDEX(Netzzeiten!$B$6:$B$29,HOUR(B1369)+1)</f>
        <v>NT</v>
      </c>
      <c r="H1369" s="6">
        <f>IF(F1369="GO",Eingaben!$B$11,IF(F1369="STANDARD",Eingaben!$B$12,IF(AND(F1369="HEAT",ISNUMBER(Eingaben!$B$13)),Eingaben!$B$13,"")))</f>
        <v>15.0654</v>
      </c>
      <c r="I1369" s="6">
        <f>INDEX(Netzzeiten!$C$6:$C$29,HOUR(B1369)+1)</f>
        <v>1.64</v>
      </c>
      <c r="J1369" t="str">
        <f>IF(C1369="","FEHLT",IF(NOT(ISNUMBER(C1369)),"MESSWERT UNGUELTIG",IF(C1369&lt;0,"MESSWERT UNGUELTIG",IF(H1369="","TARIFPREIS FEHLT","OK"))))</f>
        <v>FEHLT</v>
      </c>
      <c r="K1369" s="7">
        <f>IF(J1369&lt;&gt;"OK","",C1369*I1369/100)</f>
        <v/>
      </c>
    </row>
    <row r="1370" spans="1:11">
      <c r="A1370" s="14">
        <v>46157</v>
      </c>
      <c r="B1370" s="15">
        <v>0.2083333333333333</v>
      </c>
      <c r="C1370" s="5">
        <f>IF('96 Werte'!V20="","",'96 Werte'!V20)</f>
        <v/>
      </c>
      <c r="D1370" t="str">
        <f>IF(IF(Eingaben!$B$21&lt;Eingaben!$B$22,AND(B1370&gt;=Eingaben!$B$21,B1370&lt;Eingaben!$B$22),OR(B1370&gt;=Eingaben!$B$21,B1370&lt;Eingaben!$B$22)),"GO",IF(AND(ISNUMBER(Eingaben!$B$23),ISNUMBER(Eingaben!$B$24),IF(Eingaben!$B$23&lt;Eingaben!$B$24,AND(B1370&gt;=Eingaben!$B$23,B1370&lt;Eingaben!$B$24),OR(B1370&gt;=Eingaben!$B$23,B1370&lt;Eingaben!$B$24))),"HEAT","STANDARD"))</f>
        <v>STANDARD</v>
      </c>
      <c r="E1370" s="9"/>
      <c r="F1370" t="str">
        <f>IF(E1370="",D1370,E1370)</f>
        <v>STANDARD</v>
      </c>
      <c r="G1370" t="str">
        <f>INDEX(Netzzeiten!$B$6:$B$29,HOUR(B1370)+1)</f>
        <v>NT</v>
      </c>
      <c r="H1370" s="6">
        <f>IF(F1370="GO",Eingaben!$B$11,IF(F1370="STANDARD",Eingaben!$B$12,IF(AND(F1370="HEAT",ISNUMBER(Eingaben!$B$13)),Eingaben!$B$13,"")))</f>
        <v>28.2744</v>
      </c>
      <c r="I1370" s="6">
        <f>INDEX(Netzzeiten!$C$6:$C$29,HOUR(B1370)+1)</f>
        <v>1.64</v>
      </c>
      <c r="J1370" t="str">
        <f>IF(C1370="","FEHLT",IF(NOT(ISNUMBER(C1370)),"MESSWERT UNGUELTIG",IF(C1370&lt;0,"MESSWERT UNGUELTIG",IF(H1370="","TARIFPREIS FEHLT","OK"))))</f>
        <v>FEHLT</v>
      </c>
      <c r="K1370" s="7">
        <f>IF(J1370&lt;&gt;"OK","",C1370*I1370/100)</f>
        <v/>
      </c>
    </row>
    <row r="1371" spans="1:11">
      <c r="A1371" s="14">
        <v>46157</v>
      </c>
      <c r="B1371" s="15">
        <v>0.21875</v>
      </c>
      <c r="C1371" s="5">
        <f>IF('96 Werte'!W20="","",'96 Werte'!W20)</f>
        <v/>
      </c>
      <c r="D1371" t="str">
        <f>IF(IF(Eingaben!$B$21&lt;Eingaben!$B$22,AND(B1371&gt;=Eingaben!$B$21,B1371&lt;Eingaben!$B$22),OR(B1371&gt;=Eingaben!$B$21,B1371&lt;Eingaben!$B$22)),"GO",IF(AND(ISNUMBER(Eingaben!$B$23),ISNUMBER(Eingaben!$B$24),IF(Eingaben!$B$23&lt;Eingaben!$B$24,AND(B1371&gt;=Eingaben!$B$23,B1371&lt;Eingaben!$B$24),OR(B1371&gt;=Eingaben!$B$23,B1371&lt;Eingaben!$B$24))),"HEAT","STANDARD"))</f>
        <v>STANDARD</v>
      </c>
      <c r="E1371" s="9"/>
      <c r="F1371" t="str">
        <f>IF(E1371="",D1371,E1371)</f>
        <v>STANDARD</v>
      </c>
      <c r="G1371" t="str">
        <f>INDEX(Netzzeiten!$B$6:$B$29,HOUR(B1371)+1)</f>
        <v>NT</v>
      </c>
      <c r="H1371" s="6">
        <f>IF(F1371="GO",Eingaben!$B$11,IF(F1371="STANDARD",Eingaben!$B$12,IF(AND(F1371="HEAT",ISNUMBER(Eingaben!$B$13)),Eingaben!$B$13,"")))</f>
        <v>28.2744</v>
      </c>
      <c r="I1371" s="6">
        <f>INDEX(Netzzeiten!$C$6:$C$29,HOUR(B1371)+1)</f>
        <v>1.64</v>
      </c>
      <c r="J1371" t="str">
        <f>IF(C1371="","FEHLT",IF(NOT(ISNUMBER(C1371)),"MESSWERT UNGUELTIG",IF(C1371&lt;0,"MESSWERT UNGUELTIG",IF(H1371="","TARIFPREIS FEHLT","OK"))))</f>
        <v>FEHLT</v>
      </c>
      <c r="K1371" s="7">
        <f>IF(J1371&lt;&gt;"OK","",C1371*I1371/100)</f>
        <v/>
      </c>
    </row>
    <row r="1372" spans="1:11">
      <c r="A1372" s="14">
        <v>46157</v>
      </c>
      <c r="B1372" s="15">
        <v>0.2291666666666667</v>
      </c>
      <c r="C1372" s="5">
        <f>IF('96 Werte'!X20="","",'96 Werte'!X20)</f>
        <v/>
      </c>
      <c r="D1372" t="str">
        <f>IF(IF(Eingaben!$B$21&lt;Eingaben!$B$22,AND(B1372&gt;=Eingaben!$B$21,B1372&lt;Eingaben!$B$22),OR(B1372&gt;=Eingaben!$B$21,B1372&lt;Eingaben!$B$22)),"GO",IF(AND(ISNUMBER(Eingaben!$B$23),ISNUMBER(Eingaben!$B$24),IF(Eingaben!$B$23&lt;Eingaben!$B$24,AND(B1372&gt;=Eingaben!$B$23,B1372&lt;Eingaben!$B$24),OR(B1372&gt;=Eingaben!$B$23,B1372&lt;Eingaben!$B$24))),"HEAT","STANDARD"))</f>
        <v>STANDARD</v>
      </c>
      <c r="E1372" s="9"/>
      <c r="F1372" t="str">
        <f>IF(E1372="",D1372,E1372)</f>
        <v>STANDARD</v>
      </c>
      <c r="G1372" t="str">
        <f>INDEX(Netzzeiten!$B$6:$B$29,HOUR(B1372)+1)</f>
        <v>NT</v>
      </c>
      <c r="H1372" s="6">
        <f>IF(F1372="GO",Eingaben!$B$11,IF(F1372="STANDARD",Eingaben!$B$12,IF(AND(F1372="HEAT",ISNUMBER(Eingaben!$B$13)),Eingaben!$B$13,"")))</f>
        <v>28.2744</v>
      </c>
      <c r="I1372" s="6">
        <f>INDEX(Netzzeiten!$C$6:$C$29,HOUR(B1372)+1)</f>
        <v>1.64</v>
      </c>
      <c r="J1372" t="str">
        <f>IF(C1372="","FEHLT",IF(NOT(ISNUMBER(C1372)),"MESSWERT UNGUELTIG",IF(C1372&lt;0,"MESSWERT UNGUELTIG",IF(H1372="","TARIFPREIS FEHLT","OK"))))</f>
        <v>FEHLT</v>
      </c>
      <c r="K1372" s="7">
        <f>IF(J1372&lt;&gt;"OK","",C1372*I1372/100)</f>
        <v/>
      </c>
    </row>
    <row r="1373" spans="1:11">
      <c r="A1373" s="14">
        <v>46157</v>
      </c>
      <c r="B1373" s="15">
        <v>0.2395833333333333</v>
      </c>
      <c r="C1373" s="5">
        <f>IF('96 Werte'!Y20="","",'96 Werte'!Y20)</f>
        <v/>
      </c>
      <c r="D1373" t="str">
        <f>IF(IF(Eingaben!$B$21&lt;Eingaben!$B$22,AND(B1373&gt;=Eingaben!$B$21,B1373&lt;Eingaben!$B$22),OR(B1373&gt;=Eingaben!$B$21,B1373&lt;Eingaben!$B$22)),"GO",IF(AND(ISNUMBER(Eingaben!$B$23),ISNUMBER(Eingaben!$B$24),IF(Eingaben!$B$23&lt;Eingaben!$B$24,AND(B1373&gt;=Eingaben!$B$23,B1373&lt;Eingaben!$B$24),OR(B1373&gt;=Eingaben!$B$23,B1373&lt;Eingaben!$B$24))),"HEAT","STANDARD"))</f>
        <v>STANDARD</v>
      </c>
      <c r="E1373" s="9"/>
      <c r="F1373" t="str">
        <f>IF(E1373="",D1373,E1373)</f>
        <v>STANDARD</v>
      </c>
      <c r="G1373" t="str">
        <f>INDEX(Netzzeiten!$B$6:$B$29,HOUR(B1373)+1)</f>
        <v>NT</v>
      </c>
      <c r="H1373" s="6">
        <f>IF(F1373="GO",Eingaben!$B$11,IF(F1373="STANDARD",Eingaben!$B$12,IF(AND(F1373="HEAT",ISNUMBER(Eingaben!$B$13)),Eingaben!$B$13,"")))</f>
        <v>28.2744</v>
      </c>
      <c r="I1373" s="6">
        <f>INDEX(Netzzeiten!$C$6:$C$29,HOUR(B1373)+1)</f>
        <v>1.64</v>
      </c>
      <c r="J1373" t="str">
        <f>IF(C1373="","FEHLT",IF(NOT(ISNUMBER(C1373)),"MESSWERT UNGUELTIG",IF(C1373&lt;0,"MESSWERT UNGUELTIG",IF(H1373="","TARIFPREIS FEHLT","OK"))))</f>
        <v>FEHLT</v>
      </c>
      <c r="K1373" s="7">
        <f>IF(J1373&lt;&gt;"OK","",C1373*I1373/100)</f>
        <v/>
      </c>
    </row>
    <row r="1374" spans="1:11">
      <c r="A1374" s="14">
        <v>46157</v>
      </c>
      <c r="B1374" s="15">
        <v>0.25</v>
      </c>
      <c r="C1374" s="5">
        <f>IF('96 Werte'!Z20="","",'96 Werte'!Z20)</f>
        <v/>
      </c>
      <c r="D1374" t="str">
        <f>IF(IF(Eingaben!$B$21&lt;Eingaben!$B$22,AND(B1374&gt;=Eingaben!$B$21,B1374&lt;Eingaben!$B$22),OR(B1374&gt;=Eingaben!$B$21,B1374&lt;Eingaben!$B$22)),"GO",IF(AND(ISNUMBER(Eingaben!$B$23),ISNUMBER(Eingaben!$B$24),IF(Eingaben!$B$23&lt;Eingaben!$B$24,AND(B1374&gt;=Eingaben!$B$23,B1374&lt;Eingaben!$B$24),OR(B1374&gt;=Eingaben!$B$23,B1374&lt;Eingaben!$B$24))),"HEAT","STANDARD"))</f>
        <v>STANDARD</v>
      </c>
      <c r="E1374" s="9"/>
      <c r="F1374" t="str">
        <f>IF(E1374="",D1374,E1374)</f>
        <v>STANDARD</v>
      </c>
      <c r="G1374" t="str">
        <f>INDEX(Netzzeiten!$B$6:$B$29,HOUR(B1374)+1)</f>
        <v>ST</v>
      </c>
      <c r="H1374" s="6">
        <f>IF(F1374="GO",Eingaben!$B$11,IF(F1374="STANDARD",Eingaben!$B$12,IF(AND(F1374="HEAT",ISNUMBER(Eingaben!$B$13)),Eingaben!$B$13,"")))</f>
        <v>28.2744</v>
      </c>
      <c r="I1374" s="6">
        <f>INDEX(Netzzeiten!$C$6:$C$29,HOUR(B1374)+1)</f>
        <v>5.48</v>
      </c>
      <c r="J1374" t="str">
        <f>IF(C1374="","FEHLT",IF(NOT(ISNUMBER(C1374)),"MESSWERT UNGUELTIG",IF(C1374&lt;0,"MESSWERT UNGUELTIG",IF(H1374="","TARIFPREIS FEHLT","OK"))))</f>
        <v>FEHLT</v>
      </c>
      <c r="K1374" s="7">
        <f>IF(J1374&lt;&gt;"OK","",C1374*I1374/100)</f>
        <v/>
      </c>
    </row>
    <row r="1375" spans="1:11">
      <c r="A1375" s="14">
        <v>46157</v>
      </c>
      <c r="B1375" s="15">
        <v>0.2604166666666667</v>
      </c>
      <c r="C1375" s="5">
        <f>IF('96 Werte'!AA20="","",'96 Werte'!AA20)</f>
        <v/>
      </c>
      <c r="D1375" t="str">
        <f>IF(IF(Eingaben!$B$21&lt;Eingaben!$B$22,AND(B1375&gt;=Eingaben!$B$21,B1375&lt;Eingaben!$B$22),OR(B1375&gt;=Eingaben!$B$21,B1375&lt;Eingaben!$B$22)),"GO",IF(AND(ISNUMBER(Eingaben!$B$23),ISNUMBER(Eingaben!$B$24),IF(Eingaben!$B$23&lt;Eingaben!$B$24,AND(B1375&gt;=Eingaben!$B$23,B1375&lt;Eingaben!$B$24),OR(B1375&gt;=Eingaben!$B$23,B1375&lt;Eingaben!$B$24))),"HEAT","STANDARD"))</f>
        <v>STANDARD</v>
      </c>
      <c r="E1375" s="9"/>
      <c r="F1375" t="str">
        <f>IF(E1375="",D1375,E1375)</f>
        <v>STANDARD</v>
      </c>
      <c r="G1375" t="str">
        <f>INDEX(Netzzeiten!$B$6:$B$29,HOUR(B1375)+1)</f>
        <v>ST</v>
      </c>
      <c r="H1375" s="6">
        <f>IF(F1375="GO",Eingaben!$B$11,IF(F1375="STANDARD",Eingaben!$B$12,IF(AND(F1375="HEAT",ISNUMBER(Eingaben!$B$13)),Eingaben!$B$13,"")))</f>
        <v>28.2744</v>
      </c>
      <c r="I1375" s="6">
        <f>INDEX(Netzzeiten!$C$6:$C$29,HOUR(B1375)+1)</f>
        <v>5.48</v>
      </c>
      <c r="J1375" t="str">
        <f>IF(C1375="","FEHLT",IF(NOT(ISNUMBER(C1375)),"MESSWERT UNGUELTIG",IF(C1375&lt;0,"MESSWERT UNGUELTIG",IF(H1375="","TARIFPREIS FEHLT","OK"))))</f>
        <v>FEHLT</v>
      </c>
      <c r="K1375" s="7">
        <f>IF(J1375&lt;&gt;"OK","",C1375*I1375/100)</f>
        <v/>
      </c>
    </row>
    <row r="1376" spans="1:11">
      <c r="A1376" s="14">
        <v>46157</v>
      </c>
      <c r="B1376" s="15">
        <v>0.2708333333333333</v>
      </c>
      <c r="C1376" s="5">
        <f>IF('96 Werte'!AB20="","",'96 Werte'!AB20)</f>
        <v/>
      </c>
      <c r="D1376" t="str">
        <f>IF(IF(Eingaben!$B$21&lt;Eingaben!$B$22,AND(B1376&gt;=Eingaben!$B$21,B1376&lt;Eingaben!$B$22),OR(B1376&gt;=Eingaben!$B$21,B1376&lt;Eingaben!$B$22)),"GO",IF(AND(ISNUMBER(Eingaben!$B$23),ISNUMBER(Eingaben!$B$24),IF(Eingaben!$B$23&lt;Eingaben!$B$24,AND(B1376&gt;=Eingaben!$B$23,B1376&lt;Eingaben!$B$24),OR(B1376&gt;=Eingaben!$B$23,B1376&lt;Eingaben!$B$24))),"HEAT","STANDARD"))</f>
        <v>STANDARD</v>
      </c>
      <c r="E1376" s="9"/>
      <c r="F1376" t="str">
        <f>IF(E1376="",D1376,E1376)</f>
        <v>STANDARD</v>
      </c>
      <c r="G1376" t="str">
        <f>INDEX(Netzzeiten!$B$6:$B$29,HOUR(B1376)+1)</f>
        <v>ST</v>
      </c>
      <c r="H1376" s="6">
        <f>IF(F1376="GO",Eingaben!$B$11,IF(F1376="STANDARD",Eingaben!$B$12,IF(AND(F1376="HEAT",ISNUMBER(Eingaben!$B$13)),Eingaben!$B$13,"")))</f>
        <v>28.2744</v>
      </c>
      <c r="I1376" s="6">
        <f>INDEX(Netzzeiten!$C$6:$C$29,HOUR(B1376)+1)</f>
        <v>5.48</v>
      </c>
      <c r="J1376" t="str">
        <f>IF(C1376="","FEHLT",IF(NOT(ISNUMBER(C1376)),"MESSWERT UNGUELTIG",IF(C1376&lt;0,"MESSWERT UNGUELTIG",IF(H1376="","TARIFPREIS FEHLT","OK"))))</f>
        <v>FEHLT</v>
      </c>
      <c r="K1376" s="7">
        <f>IF(J1376&lt;&gt;"OK","",C1376*I1376/100)</f>
        <v/>
      </c>
    </row>
    <row r="1377" spans="1:11">
      <c r="A1377" s="14">
        <v>46157</v>
      </c>
      <c r="B1377" s="15">
        <v>0.28125</v>
      </c>
      <c r="C1377" s="5">
        <f>IF('96 Werte'!AC20="","",'96 Werte'!AC20)</f>
        <v/>
      </c>
      <c r="D1377" t="str">
        <f>IF(IF(Eingaben!$B$21&lt;Eingaben!$B$22,AND(B1377&gt;=Eingaben!$B$21,B1377&lt;Eingaben!$B$22),OR(B1377&gt;=Eingaben!$B$21,B1377&lt;Eingaben!$B$22)),"GO",IF(AND(ISNUMBER(Eingaben!$B$23),ISNUMBER(Eingaben!$B$24),IF(Eingaben!$B$23&lt;Eingaben!$B$24,AND(B1377&gt;=Eingaben!$B$23,B1377&lt;Eingaben!$B$24),OR(B1377&gt;=Eingaben!$B$23,B1377&lt;Eingaben!$B$24))),"HEAT","STANDARD"))</f>
        <v>STANDARD</v>
      </c>
      <c r="E1377" s="9"/>
      <c r="F1377" t="str">
        <f>IF(E1377="",D1377,E1377)</f>
        <v>STANDARD</v>
      </c>
      <c r="G1377" t="str">
        <f>INDEX(Netzzeiten!$B$6:$B$29,HOUR(B1377)+1)</f>
        <v>ST</v>
      </c>
      <c r="H1377" s="6">
        <f>IF(F1377="GO",Eingaben!$B$11,IF(F1377="STANDARD",Eingaben!$B$12,IF(AND(F1377="HEAT",ISNUMBER(Eingaben!$B$13)),Eingaben!$B$13,"")))</f>
        <v>28.2744</v>
      </c>
      <c r="I1377" s="6">
        <f>INDEX(Netzzeiten!$C$6:$C$29,HOUR(B1377)+1)</f>
        <v>5.48</v>
      </c>
      <c r="J1377" t="str">
        <f>IF(C1377="","FEHLT",IF(NOT(ISNUMBER(C1377)),"MESSWERT UNGUELTIG",IF(C1377&lt;0,"MESSWERT UNGUELTIG",IF(H1377="","TARIFPREIS FEHLT","OK"))))</f>
        <v>FEHLT</v>
      </c>
      <c r="K1377" s="7">
        <f>IF(J1377&lt;&gt;"OK","",C1377*I1377/100)</f>
        <v/>
      </c>
    </row>
    <row r="1378" spans="1:11">
      <c r="A1378" s="14">
        <v>46157</v>
      </c>
      <c r="B1378" s="15">
        <v>0.2916666666666667</v>
      </c>
      <c r="C1378" s="5">
        <f>IF('96 Werte'!AD20="","",'96 Werte'!AD20)</f>
        <v/>
      </c>
      <c r="D1378" t="str">
        <f>IF(IF(Eingaben!$B$21&lt;Eingaben!$B$22,AND(B1378&gt;=Eingaben!$B$21,B1378&lt;Eingaben!$B$22),OR(B1378&gt;=Eingaben!$B$21,B1378&lt;Eingaben!$B$22)),"GO",IF(AND(ISNUMBER(Eingaben!$B$23),ISNUMBER(Eingaben!$B$24),IF(Eingaben!$B$23&lt;Eingaben!$B$24,AND(B1378&gt;=Eingaben!$B$23,B1378&lt;Eingaben!$B$24),OR(B1378&gt;=Eingaben!$B$23,B1378&lt;Eingaben!$B$24))),"HEAT","STANDARD"))</f>
        <v>STANDARD</v>
      </c>
      <c r="E1378" s="9"/>
      <c r="F1378" t="str">
        <f>IF(E1378="",D1378,E1378)</f>
        <v>STANDARD</v>
      </c>
      <c r="G1378" t="str">
        <f>INDEX(Netzzeiten!$B$6:$B$29,HOUR(B1378)+1)</f>
        <v>ST</v>
      </c>
      <c r="H1378" s="6">
        <f>IF(F1378="GO",Eingaben!$B$11,IF(F1378="STANDARD",Eingaben!$B$12,IF(AND(F1378="HEAT",ISNUMBER(Eingaben!$B$13)),Eingaben!$B$13,"")))</f>
        <v>28.2744</v>
      </c>
      <c r="I1378" s="6">
        <f>INDEX(Netzzeiten!$C$6:$C$29,HOUR(B1378)+1)</f>
        <v>5.48</v>
      </c>
      <c r="J1378" t="str">
        <f>IF(C1378="","FEHLT",IF(NOT(ISNUMBER(C1378)),"MESSWERT UNGUELTIG",IF(C1378&lt;0,"MESSWERT UNGUELTIG",IF(H1378="","TARIFPREIS FEHLT","OK"))))</f>
        <v>FEHLT</v>
      </c>
      <c r="K1378" s="7">
        <f>IF(J1378&lt;&gt;"OK","",C1378*I1378/100)</f>
        <v/>
      </c>
    </row>
    <row r="1379" spans="1:11">
      <c r="A1379" s="14">
        <v>46157</v>
      </c>
      <c r="B1379" s="15">
        <v>0.3020833333333333</v>
      </c>
      <c r="C1379" s="5">
        <f>IF('96 Werte'!AE20="","",'96 Werte'!AE20)</f>
        <v/>
      </c>
      <c r="D1379" t="str">
        <f>IF(IF(Eingaben!$B$21&lt;Eingaben!$B$22,AND(B1379&gt;=Eingaben!$B$21,B1379&lt;Eingaben!$B$22),OR(B1379&gt;=Eingaben!$B$21,B1379&lt;Eingaben!$B$22)),"GO",IF(AND(ISNUMBER(Eingaben!$B$23),ISNUMBER(Eingaben!$B$24),IF(Eingaben!$B$23&lt;Eingaben!$B$24,AND(B1379&gt;=Eingaben!$B$23,B1379&lt;Eingaben!$B$24),OR(B1379&gt;=Eingaben!$B$23,B1379&lt;Eingaben!$B$24))),"HEAT","STANDARD"))</f>
        <v>STANDARD</v>
      </c>
      <c r="E1379" s="9"/>
      <c r="F1379" t="str">
        <f>IF(E1379="",D1379,E1379)</f>
        <v>STANDARD</v>
      </c>
      <c r="G1379" t="str">
        <f>INDEX(Netzzeiten!$B$6:$B$29,HOUR(B1379)+1)</f>
        <v>ST</v>
      </c>
      <c r="H1379" s="6">
        <f>IF(F1379="GO",Eingaben!$B$11,IF(F1379="STANDARD",Eingaben!$B$12,IF(AND(F1379="HEAT",ISNUMBER(Eingaben!$B$13)),Eingaben!$B$13,"")))</f>
        <v>28.2744</v>
      </c>
      <c r="I1379" s="6">
        <f>INDEX(Netzzeiten!$C$6:$C$29,HOUR(B1379)+1)</f>
        <v>5.48</v>
      </c>
      <c r="J1379" t="str">
        <f>IF(C1379="","FEHLT",IF(NOT(ISNUMBER(C1379)),"MESSWERT UNGUELTIG",IF(C1379&lt;0,"MESSWERT UNGUELTIG",IF(H1379="","TARIFPREIS FEHLT","OK"))))</f>
        <v>FEHLT</v>
      </c>
      <c r="K1379" s="7">
        <f>IF(J1379&lt;&gt;"OK","",C1379*I1379/100)</f>
        <v/>
      </c>
    </row>
    <row r="1380" spans="1:11">
      <c r="A1380" s="14">
        <v>46157</v>
      </c>
      <c r="B1380" s="15">
        <v>0.3125</v>
      </c>
      <c r="C1380" s="5">
        <f>IF('96 Werte'!AF20="","",'96 Werte'!AF20)</f>
        <v/>
      </c>
      <c r="D1380" t="str">
        <f>IF(IF(Eingaben!$B$21&lt;Eingaben!$B$22,AND(B1380&gt;=Eingaben!$B$21,B1380&lt;Eingaben!$B$22),OR(B1380&gt;=Eingaben!$B$21,B1380&lt;Eingaben!$B$22)),"GO",IF(AND(ISNUMBER(Eingaben!$B$23),ISNUMBER(Eingaben!$B$24),IF(Eingaben!$B$23&lt;Eingaben!$B$24,AND(B1380&gt;=Eingaben!$B$23,B1380&lt;Eingaben!$B$24),OR(B1380&gt;=Eingaben!$B$23,B1380&lt;Eingaben!$B$24))),"HEAT","STANDARD"))</f>
        <v>STANDARD</v>
      </c>
      <c r="E1380" s="9"/>
      <c r="F1380" t="str">
        <f>IF(E1380="",D1380,E1380)</f>
        <v>STANDARD</v>
      </c>
      <c r="G1380" t="str">
        <f>INDEX(Netzzeiten!$B$6:$B$29,HOUR(B1380)+1)</f>
        <v>ST</v>
      </c>
      <c r="H1380" s="6">
        <f>IF(F1380="GO",Eingaben!$B$11,IF(F1380="STANDARD",Eingaben!$B$12,IF(AND(F1380="HEAT",ISNUMBER(Eingaben!$B$13)),Eingaben!$B$13,"")))</f>
        <v>28.2744</v>
      </c>
      <c r="I1380" s="6">
        <f>INDEX(Netzzeiten!$C$6:$C$29,HOUR(B1380)+1)</f>
        <v>5.48</v>
      </c>
      <c r="J1380" t="str">
        <f>IF(C1380="","FEHLT",IF(NOT(ISNUMBER(C1380)),"MESSWERT UNGUELTIG",IF(C1380&lt;0,"MESSWERT UNGUELTIG",IF(H1380="","TARIFPREIS FEHLT","OK"))))</f>
        <v>FEHLT</v>
      </c>
      <c r="K1380" s="7">
        <f>IF(J1380&lt;&gt;"OK","",C1380*I1380/100)</f>
        <v/>
      </c>
    </row>
    <row r="1381" spans="1:11">
      <c r="A1381" s="14">
        <v>46157</v>
      </c>
      <c r="B1381" s="15">
        <v>0.3229166666666667</v>
      </c>
      <c r="C1381" s="5">
        <f>IF('96 Werte'!AG20="","",'96 Werte'!AG20)</f>
        <v/>
      </c>
      <c r="D1381" t="str">
        <f>IF(IF(Eingaben!$B$21&lt;Eingaben!$B$22,AND(B1381&gt;=Eingaben!$B$21,B1381&lt;Eingaben!$B$22),OR(B1381&gt;=Eingaben!$B$21,B1381&lt;Eingaben!$B$22)),"GO",IF(AND(ISNUMBER(Eingaben!$B$23),ISNUMBER(Eingaben!$B$24),IF(Eingaben!$B$23&lt;Eingaben!$B$24,AND(B1381&gt;=Eingaben!$B$23,B1381&lt;Eingaben!$B$24),OR(B1381&gt;=Eingaben!$B$23,B1381&lt;Eingaben!$B$24))),"HEAT","STANDARD"))</f>
        <v>STANDARD</v>
      </c>
      <c r="E1381" s="9"/>
      <c r="F1381" t="str">
        <f>IF(E1381="",D1381,E1381)</f>
        <v>STANDARD</v>
      </c>
      <c r="G1381" t="str">
        <f>INDEX(Netzzeiten!$B$6:$B$29,HOUR(B1381)+1)</f>
        <v>ST</v>
      </c>
      <c r="H1381" s="6">
        <f>IF(F1381="GO",Eingaben!$B$11,IF(F1381="STANDARD",Eingaben!$B$12,IF(AND(F1381="HEAT",ISNUMBER(Eingaben!$B$13)),Eingaben!$B$13,"")))</f>
        <v>28.2744</v>
      </c>
      <c r="I1381" s="6">
        <f>INDEX(Netzzeiten!$C$6:$C$29,HOUR(B1381)+1)</f>
        <v>5.48</v>
      </c>
      <c r="J1381" t="str">
        <f>IF(C1381="","FEHLT",IF(NOT(ISNUMBER(C1381)),"MESSWERT UNGUELTIG",IF(C1381&lt;0,"MESSWERT UNGUELTIG",IF(H1381="","TARIFPREIS FEHLT","OK"))))</f>
        <v>FEHLT</v>
      </c>
      <c r="K1381" s="7">
        <f>IF(J1381&lt;&gt;"OK","",C1381*I1381/100)</f>
        <v/>
      </c>
    </row>
    <row r="1382" spans="1:11">
      <c r="A1382" s="14">
        <v>46157</v>
      </c>
      <c r="B1382" s="15">
        <v>0.3333333333333333</v>
      </c>
      <c r="C1382" s="5">
        <f>IF('96 Werte'!AH20="","",'96 Werte'!AH20)</f>
        <v/>
      </c>
      <c r="D1382" t="str">
        <f>IF(IF(Eingaben!$B$21&lt;Eingaben!$B$22,AND(B1382&gt;=Eingaben!$B$21,B1382&lt;Eingaben!$B$22),OR(B1382&gt;=Eingaben!$B$21,B1382&lt;Eingaben!$B$22)),"GO",IF(AND(ISNUMBER(Eingaben!$B$23),ISNUMBER(Eingaben!$B$24),IF(Eingaben!$B$23&lt;Eingaben!$B$24,AND(B1382&gt;=Eingaben!$B$23,B1382&lt;Eingaben!$B$24),OR(B1382&gt;=Eingaben!$B$23,B1382&lt;Eingaben!$B$24))),"HEAT","STANDARD"))</f>
        <v>STANDARD</v>
      </c>
      <c r="E1382" s="9"/>
      <c r="F1382" t="str">
        <f>IF(E1382="",D1382,E1382)</f>
        <v>STANDARD</v>
      </c>
      <c r="G1382" t="str">
        <f>INDEX(Netzzeiten!$B$6:$B$29,HOUR(B1382)+1)</f>
        <v>ST</v>
      </c>
      <c r="H1382" s="6">
        <f>IF(F1382="GO",Eingaben!$B$11,IF(F1382="STANDARD",Eingaben!$B$12,IF(AND(F1382="HEAT",ISNUMBER(Eingaben!$B$13)),Eingaben!$B$13,"")))</f>
        <v>28.2744</v>
      </c>
      <c r="I1382" s="6">
        <f>INDEX(Netzzeiten!$C$6:$C$29,HOUR(B1382)+1)</f>
        <v>5.48</v>
      </c>
      <c r="J1382" t="str">
        <f>IF(C1382="","FEHLT",IF(NOT(ISNUMBER(C1382)),"MESSWERT UNGUELTIG",IF(C1382&lt;0,"MESSWERT UNGUELTIG",IF(H1382="","TARIFPREIS FEHLT","OK"))))</f>
        <v>FEHLT</v>
      </c>
      <c r="K1382" s="7">
        <f>IF(J1382&lt;&gt;"OK","",C1382*I1382/100)</f>
        <v/>
      </c>
    </row>
    <row r="1383" spans="1:11">
      <c r="A1383" s="14">
        <v>46157</v>
      </c>
      <c r="B1383" s="15">
        <v>0.34375</v>
      </c>
      <c r="C1383" s="5">
        <f>IF('96 Werte'!AI20="","",'96 Werte'!AI20)</f>
        <v/>
      </c>
      <c r="D1383" t="str">
        <f>IF(IF(Eingaben!$B$21&lt;Eingaben!$B$22,AND(B1383&gt;=Eingaben!$B$21,B1383&lt;Eingaben!$B$22),OR(B1383&gt;=Eingaben!$B$21,B1383&lt;Eingaben!$B$22)),"GO",IF(AND(ISNUMBER(Eingaben!$B$23),ISNUMBER(Eingaben!$B$24),IF(Eingaben!$B$23&lt;Eingaben!$B$24,AND(B1383&gt;=Eingaben!$B$23,B1383&lt;Eingaben!$B$24),OR(B1383&gt;=Eingaben!$B$23,B1383&lt;Eingaben!$B$24))),"HEAT","STANDARD"))</f>
        <v>STANDARD</v>
      </c>
      <c r="E1383" s="9"/>
      <c r="F1383" t="str">
        <f>IF(E1383="",D1383,E1383)</f>
        <v>STANDARD</v>
      </c>
      <c r="G1383" t="str">
        <f>INDEX(Netzzeiten!$B$6:$B$29,HOUR(B1383)+1)</f>
        <v>ST</v>
      </c>
      <c r="H1383" s="6">
        <f>IF(F1383="GO",Eingaben!$B$11,IF(F1383="STANDARD",Eingaben!$B$12,IF(AND(F1383="HEAT",ISNUMBER(Eingaben!$B$13)),Eingaben!$B$13,"")))</f>
        <v>28.2744</v>
      </c>
      <c r="I1383" s="6">
        <f>INDEX(Netzzeiten!$C$6:$C$29,HOUR(B1383)+1)</f>
        <v>5.48</v>
      </c>
      <c r="J1383" t="str">
        <f>IF(C1383="","FEHLT",IF(NOT(ISNUMBER(C1383)),"MESSWERT UNGUELTIG",IF(C1383&lt;0,"MESSWERT UNGUELTIG",IF(H1383="","TARIFPREIS FEHLT","OK"))))</f>
        <v>FEHLT</v>
      </c>
      <c r="K1383" s="7">
        <f>IF(J1383&lt;&gt;"OK","",C1383*I1383/100)</f>
        <v/>
      </c>
    </row>
    <row r="1384" spans="1:11">
      <c r="A1384" s="14">
        <v>46157</v>
      </c>
      <c r="B1384" s="15">
        <v>0.3541666666666667</v>
      </c>
      <c r="C1384" s="5">
        <f>IF('96 Werte'!AJ20="","",'96 Werte'!AJ20)</f>
        <v/>
      </c>
      <c r="D1384" t="str">
        <f>IF(IF(Eingaben!$B$21&lt;Eingaben!$B$22,AND(B1384&gt;=Eingaben!$B$21,B1384&lt;Eingaben!$B$22),OR(B1384&gt;=Eingaben!$B$21,B1384&lt;Eingaben!$B$22)),"GO",IF(AND(ISNUMBER(Eingaben!$B$23),ISNUMBER(Eingaben!$B$24),IF(Eingaben!$B$23&lt;Eingaben!$B$24,AND(B1384&gt;=Eingaben!$B$23,B1384&lt;Eingaben!$B$24),OR(B1384&gt;=Eingaben!$B$23,B1384&lt;Eingaben!$B$24))),"HEAT","STANDARD"))</f>
        <v>STANDARD</v>
      </c>
      <c r="E1384" s="9"/>
      <c r="F1384" t="str">
        <f>IF(E1384="",D1384,E1384)</f>
        <v>STANDARD</v>
      </c>
      <c r="G1384" t="str">
        <f>INDEX(Netzzeiten!$B$6:$B$29,HOUR(B1384)+1)</f>
        <v>ST</v>
      </c>
      <c r="H1384" s="6">
        <f>IF(F1384="GO",Eingaben!$B$11,IF(F1384="STANDARD",Eingaben!$B$12,IF(AND(F1384="HEAT",ISNUMBER(Eingaben!$B$13)),Eingaben!$B$13,"")))</f>
        <v>28.2744</v>
      </c>
      <c r="I1384" s="6">
        <f>INDEX(Netzzeiten!$C$6:$C$29,HOUR(B1384)+1)</f>
        <v>5.48</v>
      </c>
      <c r="J1384" t="str">
        <f>IF(C1384="","FEHLT",IF(NOT(ISNUMBER(C1384)),"MESSWERT UNGUELTIG",IF(C1384&lt;0,"MESSWERT UNGUELTIG",IF(H1384="","TARIFPREIS FEHLT","OK"))))</f>
        <v>FEHLT</v>
      </c>
      <c r="K1384" s="7">
        <f>IF(J1384&lt;&gt;"OK","",C1384*I1384/100)</f>
        <v/>
      </c>
    </row>
    <row r="1385" spans="1:11">
      <c r="A1385" s="14">
        <v>46157</v>
      </c>
      <c r="B1385" s="15">
        <v>0.3645833333333333</v>
      </c>
      <c r="C1385" s="5">
        <f>IF('96 Werte'!AK20="","",'96 Werte'!AK20)</f>
        <v/>
      </c>
      <c r="D1385" t="str">
        <f>IF(IF(Eingaben!$B$21&lt;Eingaben!$B$22,AND(B1385&gt;=Eingaben!$B$21,B1385&lt;Eingaben!$B$22),OR(B1385&gt;=Eingaben!$B$21,B1385&lt;Eingaben!$B$22)),"GO",IF(AND(ISNUMBER(Eingaben!$B$23),ISNUMBER(Eingaben!$B$24),IF(Eingaben!$B$23&lt;Eingaben!$B$24,AND(B1385&gt;=Eingaben!$B$23,B1385&lt;Eingaben!$B$24),OR(B1385&gt;=Eingaben!$B$23,B1385&lt;Eingaben!$B$24))),"HEAT","STANDARD"))</f>
        <v>STANDARD</v>
      </c>
      <c r="E1385" s="9"/>
      <c r="F1385" t="str">
        <f>IF(E1385="",D1385,E1385)</f>
        <v>STANDARD</v>
      </c>
      <c r="G1385" t="str">
        <f>INDEX(Netzzeiten!$B$6:$B$29,HOUR(B1385)+1)</f>
        <v>ST</v>
      </c>
      <c r="H1385" s="6">
        <f>IF(F1385="GO",Eingaben!$B$11,IF(F1385="STANDARD",Eingaben!$B$12,IF(AND(F1385="HEAT",ISNUMBER(Eingaben!$B$13)),Eingaben!$B$13,"")))</f>
        <v>28.2744</v>
      </c>
      <c r="I1385" s="6">
        <f>INDEX(Netzzeiten!$C$6:$C$29,HOUR(B1385)+1)</f>
        <v>5.48</v>
      </c>
      <c r="J1385" t="str">
        <f>IF(C1385="","FEHLT",IF(NOT(ISNUMBER(C1385)),"MESSWERT UNGUELTIG",IF(C1385&lt;0,"MESSWERT UNGUELTIG",IF(H1385="","TARIFPREIS FEHLT","OK"))))</f>
        <v>FEHLT</v>
      </c>
      <c r="K1385" s="7">
        <f>IF(J1385&lt;&gt;"OK","",C1385*I1385/100)</f>
        <v/>
      </c>
    </row>
    <row r="1386" spans="1:11">
      <c r="A1386" s="14">
        <v>46157</v>
      </c>
      <c r="B1386" s="15">
        <v>0.375</v>
      </c>
      <c r="C1386" s="5">
        <f>IF('96 Werte'!AL20="","",'96 Werte'!AL20)</f>
        <v/>
      </c>
      <c r="D1386" t="str">
        <f>IF(IF(Eingaben!$B$21&lt;Eingaben!$B$22,AND(B1386&gt;=Eingaben!$B$21,B1386&lt;Eingaben!$B$22),OR(B1386&gt;=Eingaben!$B$21,B1386&lt;Eingaben!$B$22)),"GO",IF(AND(ISNUMBER(Eingaben!$B$23),ISNUMBER(Eingaben!$B$24),IF(Eingaben!$B$23&lt;Eingaben!$B$24,AND(B1386&gt;=Eingaben!$B$23,B1386&lt;Eingaben!$B$24),OR(B1386&gt;=Eingaben!$B$23,B1386&lt;Eingaben!$B$24))),"HEAT","STANDARD"))</f>
        <v>STANDARD</v>
      </c>
      <c r="E1386" s="9"/>
      <c r="F1386" t="str">
        <f>IF(E1386="",D1386,E1386)</f>
        <v>STANDARD</v>
      </c>
      <c r="G1386" t="str">
        <f>INDEX(Netzzeiten!$B$6:$B$29,HOUR(B1386)+1)</f>
        <v>ST</v>
      </c>
      <c r="H1386" s="6">
        <f>IF(F1386="GO",Eingaben!$B$11,IF(F1386="STANDARD",Eingaben!$B$12,IF(AND(F1386="HEAT",ISNUMBER(Eingaben!$B$13)),Eingaben!$B$13,"")))</f>
        <v>28.2744</v>
      </c>
      <c r="I1386" s="6">
        <f>INDEX(Netzzeiten!$C$6:$C$29,HOUR(B1386)+1)</f>
        <v>5.48</v>
      </c>
      <c r="J1386" t="str">
        <f>IF(C1386="","FEHLT",IF(NOT(ISNUMBER(C1386)),"MESSWERT UNGUELTIG",IF(C1386&lt;0,"MESSWERT UNGUELTIG",IF(H1386="","TARIFPREIS FEHLT","OK"))))</f>
        <v>FEHLT</v>
      </c>
      <c r="K1386" s="7">
        <f>IF(J1386&lt;&gt;"OK","",C1386*I1386/100)</f>
        <v/>
      </c>
    </row>
    <row r="1387" spans="1:11">
      <c r="A1387" s="14">
        <v>46157</v>
      </c>
      <c r="B1387" s="15">
        <v>0.3854166666666667</v>
      </c>
      <c r="C1387" s="5">
        <f>IF('96 Werte'!AM20="","",'96 Werte'!AM20)</f>
        <v/>
      </c>
      <c r="D1387" t="str">
        <f>IF(IF(Eingaben!$B$21&lt;Eingaben!$B$22,AND(B1387&gt;=Eingaben!$B$21,B1387&lt;Eingaben!$B$22),OR(B1387&gt;=Eingaben!$B$21,B1387&lt;Eingaben!$B$22)),"GO",IF(AND(ISNUMBER(Eingaben!$B$23),ISNUMBER(Eingaben!$B$24),IF(Eingaben!$B$23&lt;Eingaben!$B$24,AND(B1387&gt;=Eingaben!$B$23,B1387&lt;Eingaben!$B$24),OR(B1387&gt;=Eingaben!$B$23,B1387&lt;Eingaben!$B$24))),"HEAT","STANDARD"))</f>
        <v>STANDARD</v>
      </c>
      <c r="E1387" s="9"/>
      <c r="F1387" t="str">
        <f>IF(E1387="",D1387,E1387)</f>
        <v>STANDARD</v>
      </c>
      <c r="G1387" t="str">
        <f>INDEX(Netzzeiten!$B$6:$B$29,HOUR(B1387)+1)</f>
        <v>ST</v>
      </c>
      <c r="H1387" s="6">
        <f>IF(F1387="GO",Eingaben!$B$11,IF(F1387="STANDARD",Eingaben!$B$12,IF(AND(F1387="HEAT",ISNUMBER(Eingaben!$B$13)),Eingaben!$B$13,"")))</f>
        <v>28.2744</v>
      </c>
      <c r="I1387" s="6">
        <f>INDEX(Netzzeiten!$C$6:$C$29,HOUR(B1387)+1)</f>
        <v>5.48</v>
      </c>
      <c r="J1387" t="str">
        <f>IF(C1387="","FEHLT",IF(NOT(ISNUMBER(C1387)),"MESSWERT UNGUELTIG",IF(C1387&lt;0,"MESSWERT UNGUELTIG",IF(H1387="","TARIFPREIS FEHLT","OK"))))</f>
        <v>FEHLT</v>
      </c>
      <c r="K1387" s="7">
        <f>IF(J1387&lt;&gt;"OK","",C1387*I1387/100)</f>
        <v/>
      </c>
    </row>
    <row r="1388" spans="1:11">
      <c r="A1388" s="14">
        <v>46157</v>
      </c>
      <c r="B1388" s="15">
        <v>0.3958333333333333</v>
      </c>
      <c r="C1388" s="5">
        <f>IF('96 Werte'!AN20="","",'96 Werte'!AN20)</f>
        <v/>
      </c>
      <c r="D1388" t="str">
        <f>IF(IF(Eingaben!$B$21&lt;Eingaben!$B$22,AND(B1388&gt;=Eingaben!$B$21,B1388&lt;Eingaben!$B$22),OR(B1388&gt;=Eingaben!$B$21,B1388&lt;Eingaben!$B$22)),"GO",IF(AND(ISNUMBER(Eingaben!$B$23),ISNUMBER(Eingaben!$B$24),IF(Eingaben!$B$23&lt;Eingaben!$B$24,AND(B1388&gt;=Eingaben!$B$23,B1388&lt;Eingaben!$B$24),OR(B1388&gt;=Eingaben!$B$23,B1388&lt;Eingaben!$B$24))),"HEAT","STANDARD"))</f>
        <v>STANDARD</v>
      </c>
      <c r="E1388" s="9"/>
      <c r="F1388" t="str">
        <f>IF(E1388="",D1388,E1388)</f>
        <v>STANDARD</v>
      </c>
      <c r="G1388" t="str">
        <f>INDEX(Netzzeiten!$B$6:$B$29,HOUR(B1388)+1)</f>
        <v>ST</v>
      </c>
      <c r="H1388" s="6">
        <f>IF(F1388="GO",Eingaben!$B$11,IF(F1388="STANDARD",Eingaben!$B$12,IF(AND(F1388="HEAT",ISNUMBER(Eingaben!$B$13)),Eingaben!$B$13,"")))</f>
        <v>28.2744</v>
      </c>
      <c r="I1388" s="6">
        <f>INDEX(Netzzeiten!$C$6:$C$29,HOUR(B1388)+1)</f>
        <v>5.48</v>
      </c>
      <c r="J1388" t="str">
        <f>IF(C1388="","FEHLT",IF(NOT(ISNUMBER(C1388)),"MESSWERT UNGUELTIG",IF(C1388&lt;0,"MESSWERT UNGUELTIG",IF(H1388="","TARIFPREIS FEHLT","OK"))))</f>
        <v>FEHLT</v>
      </c>
      <c r="K1388" s="7">
        <f>IF(J1388&lt;&gt;"OK","",C1388*I1388/100)</f>
        <v/>
      </c>
    </row>
    <row r="1389" spans="1:11">
      <c r="A1389" s="14">
        <v>46157</v>
      </c>
      <c r="B1389" s="15">
        <v>0.40625</v>
      </c>
      <c r="C1389" s="5">
        <f>IF('96 Werte'!AO20="","",'96 Werte'!AO20)</f>
        <v/>
      </c>
      <c r="D1389" t="str">
        <f>IF(IF(Eingaben!$B$21&lt;Eingaben!$B$22,AND(B1389&gt;=Eingaben!$B$21,B1389&lt;Eingaben!$B$22),OR(B1389&gt;=Eingaben!$B$21,B1389&lt;Eingaben!$B$22)),"GO",IF(AND(ISNUMBER(Eingaben!$B$23),ISNUMBER(Eingaben!$B$24),IF(Eingaben!$B$23&lt;Eingaben!$B$24,AND(B1389&gt;=Eingaben!$B$23,B1389&lt;Eingaben!$B$24),OR(B1389&gt;=Eingaben!$B$23,B1389&lt;Eingaben!$B$24))),"HEAT","STANDARD"))</f>
        <v>STANDARD</v>
      </c>
      <c r="E1389" s="9"/>
      <c r="F1389" t="str">
        <f>IF(E1389="",D1389,E1389)</f>
        <v>STANDARD</v>
      </c>
      <c r="G1389" t="str">
        <f>INDEX(Netzzeiten!$B$6:$B$29,HOUR(B1389)+1)</f>
        <v>ST</v>
      </c>
      <c r="H1389" s="6">
        <f>IF(F1389="GO",Eingaben!$B$11,IF(F1389="STANDARD",Eingaben!$B$12,IF(AND(F1389="HEAT",ISNUMBER(Eingaben!$B$13)),Eingaben!$B$13,"")))</f>
        <v>28.2744</v>
      </c>
      <c r="I1389" s="6">
        <f>INDEX(Netzzeiten!$C$6:$C$29,HOUR(B1389)+1)</f>
        <v>5.48</v>
      </c>
      <c r="J1389" t="str">
        <f>IF(C1389="","FEHLT",IF(NOT(ISNUMBER(C1389)),"MESSWERT UNGUELTIG",IF(C1389&lt;0,"MESSWERT UNGUELTIG",IF(H1389="","TARIFPREIS FEHLT","OK"))))</f>
        <v>FEHLT</v>
      </c>
      <c r="K1389" s="7">
        <f>IF(J1389&lt;&gt;"OK","",C1389*I1389/100)</f>
        <v/>
      </c>
    </row>
    <row r="1390" spans="1:11">
      <c r="A1390" s="14">
        <v>46157</v>
      </c>
      <c r="B1390" s="15">
        <v>0.4166666666666667</v>
      </c>
      <c r="C1390" s="5">
        <f>IF('96 Werte'!AP20="","",'96 Werte'!AP20)</f>
        <v/>
      </c>
      <c r="D1390" t="str">
        <f>IF(IF(Eingaben!$B$21&lt;Eingaben!$B$22,AND(B1390&gt;=Eingaben!$B$21,B1390&lt;Eingaben!$B$22),OR(B1390&gt;=Eingaben!$B$21,B1390&lt;Eingaben!$B$22)),"GO",IF(AND(ISNUMBER(Eingaben!$B$23),ISNUMBER(Eingaben!$B$24),IF(Eingaben!$B$23&lt;Eingaben!$B$24,AND(B1390&gt;=Eingaben!$B$23,B1390&lt;Eingaben!$B$24),OR(B1390&gt;=Eingaben!$B$23,B1390&lt;Eingaben!$B$24))),"HEAT","STANDARD"))</f>
        <v>STANDARD</v>
      </c>
      <c r="E1390" s="9"/>
      <c r="F1390" t="str">
        <f>IF(E1390="",D1390,E1390)</f>
        <v>STANDARD</v>
      </c>
      <c r="G1390" t="str">
        <f>INDEX(Netzzeiten!$B$6:$B$29,HOUR(B1390)+1)</f>
        <v>ST</v>
      </c>
      <c r="H1390" s="6">
        <f>IF(F1390="GO",Eingaben!$B$11,IF(F1390="STANDARD",Eingaben!$B$12,IF(AND(F1390="HEAT",ISNUMBER(Eingaben!$B$13)),Eingaben!$B$13,"")))</f>
        <v>28.2744</v>
      </c>
      <c r="I1390" s="6">
        <f>INDEX(Netzzeiten!$C$6:$C$29,HOUR(B1390)+1)</f>
        <v>5.48</v>
      </c>
      <c r="J1390" t="str">
        <f>IF(C1390="","FEHLT",IF(NOT(ISNUMBER(C1390)),"MESSWERT UNGUELTIG",IF(C1390&lt;0,"MESSWERT UNGUELTIG",IF(H1390="","TARIFPREIS FEHLT","OK"))))</f>
        <v>FEHLT</v>
      </c>
      <c r="K1390" s="7">
        <f>IF(J1390&lt;&gt;"OK","",C1390*I1390/100)</f>
        <v/>
      </c>
    </row>
    <row r="1391" spans="1:11">
      <c r="A1391" s="14">
        <v>46157</v>
      </c>
      <c r="B1391" s="15">
        <v>0.4270833333333333</v>
      </c>
      <c r="C1391" s="5">
        <f>IF('96 Werte'!AQ20="","",'96 Werte'!AQ20)</f>
        <v/>
      </c>
      <c r="D1391" t="str">
        <f>IF(IF(Eingaben!$B$21&lt;Eingaben!$B$22,AND(B1391&gt;=Eingaben!$B$21,B1391&lt;Eingaben!$B$22),OR(B1391&gt;=Eingaben!$B$21,B1391&lt;Eingaben!$B$22)),"GO",IF(AND(ISNUMBER(Eingaben!$B$23),ISNUMBER(Eingaben!$B$24),IF(Eingaben!$B$23&lt;Eingaben!$B$24,AND(B1391&gt;=Eingaben!$B$23,B1391&lt;Eingaben!$B$24),OR(B1391&gt;=Eingaben!$B$23,B1391&lt;Eingaben!$B$24))),"HEAT","STANDARD"))</f>
        <v>STANDARD</v>
      </c>
      <c r="E1391" s="9"/>
      <c r="F1391" t="str">
        <f>IF(E1391="",D1391,E1391)</f>
        <v>STANDARD</v>
      </c>
      <c r="G1391" t="str">
        <f>INDEX(Netzzeiten!$B$6:$B$29,HOUR(B1391)+1)</f>
        <v>ST</v>
      </c>
      <c r="H1391" s="6">
        <f>IF(F1391="GO",Eingaben!$B$11,IF(F1391="STANDARD",Eingaben!$B$12,IF(AND(F1391="HEAT",ISNUMBER(Eingaben!$B$13)),Eingaben!$B$13,"")))</f>
        <v>28.2744</v>
      </c>
      <c r="I1391" s="6">
        <f>INDEX(Netzzeiten!$C$6:$C$29,HOUR(B1391)+1)</f>
        <v>5.48</v>
      </c>
      <c r="J1391" t="str">
        <f>IF(C1391="","FEHLT",IF(NOT(ISNUMBER(C1391)),"MESSWERT UNGUELTIG",IF(C1391&lt;0,"MESSWERT UNGUELTIG",IF(H1391="","TARIFPREIS FEHLT","OK"))))</f>
        <v>FEHLT</v>
      </c>
      <c r="K1391" s="7">
        <f>IF(J1391&lt;&gt;"OK","",C1391*I1391/100)</f>
        <v/>
      </c>
    </row>
    <row r="1392" spans="1:11">
      <c r="A1392" s="14">
        <v>46157</v>
      </c>
      <c r="B1392" s="15">
        <v>0.4375</v>
      </c>
      <c r="C1392" s="5">
        <f>IF('96 Werte'!AR20="","",'96 Werte'!AR20)</f>
        <v/>
      </c>
      <c r="D1392" t="str">
        <f>IF(IF(Eingaben!$B$21&lt;Eingaben!$B$22,AND(B1392&gt;=Eingaben!$B$21,B1392&lt;Eingaben!$B$22),OR(B1392&gt;=Eingaben!$B$21,B1392&lt;Eingaben!$B$22)),"GO",IF(AND(ISNUMBER(Eingaben!$B$23),ISNUMBER(Eingaben!$B$24),IF(Eingaben!$B$23&lt;Eingaben!$B$24,AND(B1392&gt;=Eingaben!$B$23,B1392&lt;Eingaben!$B$24),OR(B1392&gt;=Eingaben!$B$23,B1392&lt;Eingaben!$B$24))),"HEAT","STANDARD"))</f>
        <v>STANDARD</v>
      </c>
      <c r="E1392" s="9"/>
      <c r="F1392" t="str">
        <f>IF(E1392="",D1392,E1392)</f>
        <v>STANDARD</v>
      </c>
      <c r="G1392" t="str">
        <f>INDEX(Netzzeiten!$B$6:$B$29,HOUR(B1392)+1)</f>
        <v>ST</v>
      </c>
      <c r="H1392" s="6">
        <f>IF(F1392="GO",Eingaben!$B$11,IF(F1392="STANDARD",Eingaben!$B$12,IF(AND(F1392="HEAT",ISNUMBER(Eingaben!$B$13)),Eingaben!$B$13,"")))</f>
        <v>28.2744</v>
      </c>
      <c r="I1392" s="6">
        <f>INDEX(Netzzeiten!$C$6:$C$29,HOUR(B1392)+1)</f>
        <v>5.48</v>
      </c>
      <c r="J1392" t="str">
        <f>IF(C1392="","FEHLT",IF(NOT(ISNUMBER(C1392)),"MESSWERT UNGUELTIG",IF(C1392&lt;0,"MESSWERT UNGUELTIG",IF(H1392="","TARIFPREIS FEHLT","OK"))))</f>
        <v>FEHLT</v>
      </c>
      <c r="K1392" s="7">
        <f>IF(J1392&lt;&gt;"OK","",C1392*I1392/100)</f>
        <v/>
      </c>
    </row>
    <row r="1393" spans="1:11">
      <c r="A1393" s="14">
        <v>46157</v>
      </c>
      <c r="B1393" s="15">
        <v>0.4479166666666667</v>
      </c>
      <c r="C1393" s="5">
        <f>IF('96 Werte'!AS20="","",'96 Werte'!AS20)</f>
        <v/>
      </c>
      <c r="D1393" t="str">
        <f>IF(IF(Eingaben!$B$21&lt;Eingaben!$B$22,AND(B1393&gt;=Eingaben!$B$21,B1393&lt;Eingaben!$B$22),OR(B1393&gt;=Eingaben!$B$21,B1393&lt;Eingaben!$B$22)),"GO",IF(AND(ISNUMBER(Eingaben!$B$23),ISNUMBER(Eingaben!$B$24),IF(Eingaben!$B$23&lt;Eingaben!$B$24,AND(B1393&gt;=Eingaben!$B$23,B1393&lt;Eingaben!$B$24),OR(B1393&gt;=Eingaben!$B$23,B1393&lt;Eingaben!$B$24))),"HEAT","STANDARD"))</f>
        <v>STANDARD</v>
      </c>
      <c r="E1393" s="9"/>
      <c r="F1393" t="str">
        <f>IF(E1393="",D1393,E1393)</f>
        <v>STANDARD</v>
      </c>
      <c r="G1393" t="str">
        <f>INDEX(Netzzeiten!$B$6:$B$29,HOUR(B1393)+1)</f>
        <v>ST</v>
      </c>
      <c r="H1393" s="6">
        <f>IF(F1393="GO",Eingaben!$B$11,IF(F1393="STANDARD",Eingaben!$B$12,IF(AND(F1393="HEAT",ISNUMBER(Eingaben!$B$13)),Eingaben!$B$13,"")))</f>
        <v>28.2744</v>
      </c>
      <c r="I1393" s="6">
        <f>INDEX(Netzzeiten!$C$6:$C$29,HOUR(B1393)+1)</f>
        <v>5.48</v>
      </c>
      <c r="J1393" t="str">
        <f>IF(C1393="","FEHLT",IF(NOT(ISNUMBER(C1393)),"MESSWERT UNGUELTIG",IF(C1393&lt;0,"MESSWERT UNGUELTIG",IF(H1393="","TARIFPREIS FEHLT","OK"))))</f>
        <v>FEHLT</v>
      </c>
      <c r="K1393" s="7">
        <f>IF(J1393&lt;&gt;"OK","",C1393*I1393/100)</f>
        <v/>
      </c>
    </row>
    <row r="1394" spans="1:11">
      <c r="A1394" s="14">
        <v>46157</v>
      </c>
      <c r="B1394" s="15">
        <v>0.4583333333333333</v>
      </c>
      <c r="C1394" s="5">
        <f>IF('96 Werte'!AT20="","",'96 Werte'!AT20)</f>
        <v/>
      </c>
      <c r="D1394" t="str">
        <f>IF(IF(Eingaben!$B$21&lt;Eingaben!$B$22,AND(B1394&gt;=Eingaben!$B$21,B1394&lt;Eingaben!$B$22),OR(B1394&gt;=Eingaben!$B$21,B1394&lt;Eingaben!$B$22)),"GO",IF(AND(ISNUMBER(Eingaben!$B$23),ISNUMBER(Eingaben!$B$24),IF(Eingaben!$B$23&lt;Eingaben!$B$24,AND(B1394&gt;=Eingaben!$B$23,B1394&lt;Eingaben!$B$24),OR(B1394&gt;=Eingaben!$B$23,B1394&lt;Eingaben!$B$24))),"HEAT","STANDARD"))</f>
        <v>STANDARD</v>
      </c>
      <c r="E1394" s="9"/>
      <c r="F1394" t="str">
        <f>IF(E1394="",D1394,E1394)</f>
        <v>STANDARD</v>
      </c>
      <c r="G1394" t="str">
        <f>INDEX(Netzzeiten!$B$6:$B$29,HOUR(B1394)+1)</f>
        <v>NT</v>
      </c>
      <c r="H1394" s="6">
        <f>IF(F1394="GO",Eingaben!$B$11,IF(F1394="STANDARD",Eingaben!$B$12,IF(AND(F1394="HEAT",ISNUMBER(Eingaben!$B$13)),Eingaben!$B$13,"")))</f>
        <v>28.2744</v>
      </c>
      <c r="I1394" s="6">
        <f>INDEX(Netzzeiten!$C$6:$C$29,HOUR(B1394)+1)</f>
        <v>1.64</v>
      </c>
      <c r="J1394" t="str">
        <f>IF(C1394="","FEHLT",IF(NOT(ISNUMBER(C1394)),"MESSWERT UNGUELTIG",IF(C1394&lt;0,"MESSWERT UNGUELTIG",IF(H1394="","TARIFPREIS FEHLT","OK"))))</f>
        <v>FEHLT</v>
      </c>
      <c r="K1394" s="7">
        <f>IF(J1394&lt;&gt;"OK","",C1394*I1394/100)</f>
        <v/>
      </c>
    </row>
    <row r="1395" spans="1:11">
      <c r="A1395" s="14">
        <v>46157</v>
      </c>
      <c r="B1395" s="15">
        <v>0.46875</v>
      </c>
      <c r="C1395" s="5">
        <f>IF('96 Werte'!AU20="","",'96 Werte'!AU20)</f>
        <v/>
      </c>
      <c r="D1395" t="str">
        <f>IF(IF(Eingaben!$B$21&lt;Eingaben!$B$22,AND(B1395&gt;=Eingaben!$B$21,B1395&lt;Eingaben!$B$22),OR(B1395&gt;=Eingaben!$B$21,B1395&lt;Eingaben!$B$22)),"GO",IF(AND(ISNUMBER(Eingaben!$B$23),ISNUMBER(Eingaben!$B$24),IF(Eingaben!$B$23&lt;Eingaben!$B$24,AND(B1395&gt;=Eingaben!$B$23,B1395&lt;Eingaben!$B$24),OR(B1395&gt;=Eingaben!$B$23,B1395&lt;Eingaben!$B$24))),"HEAT","STANDARD"))</f>
        <v>STANDARD</v>
      </c>
      <c r="E1395" s="9"/>
      <c r="F1395" t="str">
        <f>IF(E1395="",D1395,E1395)</f>
        <v>STANDARD</v>
      </c>
      <c r="G1395" t="str">
        <f>INDEX(Netzzeiten!$B$6:$B$29,HOUR(B1395)+1)</f>
        <v>NT</v>
      </c>
      <c r="H1395" s="6">
        <f>IF(F1395="GO",Eingaben!$B$11,IF(F1395="STANDARD",Eingaben!$B$12,IF(AND(F1395="HEAT",ISNUMBER(Eingaben!$B$13)),Eingaben!$B$13,"")))</f>
        <v>28.2744</v>
      </c>
      <c r="I1395" s="6">
        <f>INDEX(Netzzeiten!$C$6:$C$29,HOUR(B1395)+1)</f>
        <v>1.64</v>
      </c>
      <c r="J1395" t="str">
        <f>IF(C1395="","FEHLT",IF(NOT(ISNUMBER(C1395)),"MESSWERT UNGUELTIG",IF(C1395&lt;0,"MESSWERT UNGUELTIG",IF(H1395="","TARIFPREIS FEHLT","OK"))))</f>
        <v>FEHLT</v>
      </c>
      <c r="K1395" s="7">
        <f>IF(J1395&lt;&gt;"OK","",C1395*I1395/100)</f>
        <v/>
      </c>
    </row>
    <row r="1396" spans="1:11">
      <c r="A1396" s="14">
        <v>46157</v>
      </c>
      <c r="B1396" s="15">
        <v>0.4791666666666667</v>
      </c>
      <c r="C1396" s="5">
        <f>IF('96 Werte'!AV20="","",'96 Werte'!AV20)</f>
        <v/>
      </c>
      <c r="D1396" t="str">
        <f>IF(IF(Eingaben!$B$21&lt;Eingaben!$B$22,AND(B1396&gt;=Eingaben!$B$21,B1396&lt;Eingaben!$B$22),OR(B1396&gt;=Eingaben!$B$21,B1396&lt;Eingaben!$B$22)),"GO",IF(AND(ISNUMBER(Eingaben!$B$23),ISNUMBER(Eingaben!$B$24),IF(Eingaben!$B$23&lt;Eingaben!$B$24,AND(B1396&gt;=Eingaben!$B$23,B1396&lt;Eingaben!$B$24),OR(B1396&gt;=Eingaben!$B$23,B1396&lt;Eingaben!$B$24))),"HEAT","STANDARD"))</f>
        <v>STANDARD</v>
      </c>
      <c r="E1396" s="9"/>
      <c r="F1396" t="str">
        <f>IF(E1396="",D1396,E1396)</f>
        <v>STANDARD</v>
      </c>
      <c r="G1396" t="str">
        <f>INDEX(Netzzeiten!$B$6:$B$29,HOUR(B1396)+1)</f>
        <v>NT</v>
      </c>
      <c r="H1396" s="6">
        <f>IF(F1396="GO",Eingaben!$B$11,IF(F1396="STANDARD",Eingaben!$B$12,IF(AND(F1396="HEAT",ISNUMBER(Eingaben!$B$13)),Eingaben!$B$13,"")))</f>
        <v>28.2744</v>
      </c>
      <c r="I1396" s="6">
        <f>INDEX(Netzzeiten!$C$6:$C$29,HOUR(B1396)+1)</f>
        <v>1.64</v>
      </c>
      <c r="J1396" t="str">
        <f>IF(C1396="","FEHLT",IF(NOT(ISNUMBER(C1396)),"MESSWERT UNGUELTIG",IF(C1396&lt;0,"MESSWERT UNGUELTIG",IF(H1396="","TARIFPREIS FEHLT","OK"))))</f>
        <v>FEHLT</v>
      </c>
      <c r="K1396" s="7">
        <f>IF(J1396&lt;&gt;"OK","",C1396*I1396/100)</f>
        <v/>
      </c>
    </row>
    <row r="1397" spans="1:11">
      <c r="A1397" s="14">
        <v>46157</v>
      </c>
      <c r="B1397" s="15">
        <v>0.4895833333333333</v>
      </c>
      <c r="C1397" s="5">
        <f>IF('96 Werte'!AW20="","",'96 Werte'!AW20)</f>
        <v/>
      </c>
      <c r="D1397" t="str">
        <f>IF(IF(Eingaben!$B$21&lt;Eingaben!$B$22,AND(B1397&gt;=Eingaben!$B$21,B1397&lt;Eingaben!$B$22),OR(B1397&gt;=Eingaben!$B$21,B1397&lt;Eingaben!$B$22)),"GO",IF(AND(ISNUMBER(Eingaben!$B$23),ISNUMBER(Eingaben!$B$24),IF(Eingaben!$B$23&lt;Eingaben!$B$24,AND(B1397&gt;=Eingaben!$B$23,B1397&lt;Eingaben!$B$24),OR(B1397&gt;=Eingaben!$B$23,B1397&lt;Eingaben!$B$24))),"HEAT","STANDARD"))</f>
        <v>STANDARD</v>
      </c>
      <c r="E1397" s="9"/>
      <c r="F1397" t="str">
        <f>IF(E1397="",D1397,E1397)</f>
        <v>STANDARD</v>
      </c>
      <c r="G1397" t="str">
        <f>INDEX(Netzzeiten!$B$6:$B$29,HOUR(B1397)+1)</f>
        <v>NT</v>
      </c>
      <c r="H1397" s="6">
        <f>IF(F1397="GO",Eingaben!$B$11,IF(F1397="STANDARD",Eingaben!$B$12,IF(AND(F1397="HEAT",ISNUMBER(Eingaben!$B$13)),Eingaben!$B$13,"")))</f>
        <v>28.2744</v>
      </c>
      <c r="I1397" s="6">
        <f>INDEX(Netzzeiten!$C$6:$C$29,HOUR(B1397)+1)</f>
        <v>1.64</v>
      </c>
      <c r="J1397" t="str">
        <f>IF(C1397="","FEHLT",IF(NOT(ISNUMBER(C1397)),"MESSWERT UNGUELTIG",IF(C1397&lt;0,"MESSWERT UNGUELTIG",IF(H1397="","TARIFPREIS FEHLT","OK"))))</f>
        <v>FEHLT</v>
      </c>
      <c r="K1397" s="7">
        <f>IF(J1397&lt;&gt;"OK","",C1397*I1397/100)</f>
        <v/>
      </c>
    </row>
    <row r="1398" spans="1:11">
      <c r="A1398" s="14">
        <v>46157</v>
      </c>
      <c r="B1398" s="15">
        <v>0.5</v>
      </c>
      <c r="C1398" s="5">
        <f>IF('96 Werte'!AX20="","",'96 Werte'!AX20)</f>
        <v/>
      </c>
      <c r="D1398" t="str">
        <f>IF(IF(Eingaben!$B$21&lt;Eingaben!$B$22,AND(B1398&gt;=Eingaben!$B$21,B1398&lt;Eingaben!$B$22),OR(B1398&gt;=Eingaben!$B$21,B1398&lt;Eingaben!$B$22)),"GO",IF(AND(ISNUMBER(Eingaben!$B$23),ISNUMBER(Eingaben!$B$24),IF(Eingaben!$B$23&lt;Eingaben!$B$24,AND(B1398&gt;=Eingaben!$B$23,B1398&lt;Eingaben!$B$24),OR(B1398&gt;=Eingaben!$B$23,B1398&lt;Eingaben!$B$24))),"HEAT","STANDARD"))</f>
        <v>STANDARD</v>
      </c>
      <c r="E1398" s="9"/>
      <c r="F1398" t="str">
        <f>IF(E1398="",D1398,E1398)</f>
        <v>STANDARD</v>
      </c>
      <c r="G1398" t="str">
        <f>INDEX(Netzzeiten!$B$6:$B$29,HOUR(B1398)+1)</f>
        <v>NT</v>
      </c>
      <c r="H1398" s="6">
        <f>IF(F1398="GO",Eingaben!$B$11,IF(F1398="STANDARD",Eingaben!$B$12,IF(AND(F1398="HEAT",ISNUMBER(Eingaben!$B$13)),Eingaben!$B$13,"")))</f>
        <v>28.2744</v>
      </c>
      <c r="I1398" s="6">
        <f>INDEX(Netzzeiten!$C$6:$C$29,HOUR(B1398)+1)</f>
        <v>1.64</v>
      </c>
      <c r="J1398" t="str">
        <f>IF(C1398="","FEHLT",IF(NOT(ISNUMBER(C1398)),"MESSWERT UNGUELTIG",IF(C1398&lt;0,"MESSWERT UNGUELTIG",IF(H1398="","TARIFPREIS FEHLT","OK"))))</f>
        <v>FEHLT</v>
      </c>
      <c r="K1398" s="7">
        <f>IF(J1398&lt;&gt;"OK","",C1398*I1398/100)</f>
        <v/>
      </c>
    </row>
    <row r="1399" spans="1:11">
      <c r="A1399" s="14">
        <v>46157</v>
      </c>
      <c r="B1399" s="15">
        <v>0.5104166666666666</v>
      </c>
      <c r="C1399" s="5">
        <f>IF('96 Werte'!AY20="","",'96 Werte'!AY20)</f>
        <v/>
      </c>
      <c r="D1399" t="str">
        <f>IF(IF(Eingaben!$B$21&lt;Eingaben!$B$22,AND(B1399&gt;=Eingaben!$B$21,B1399&lt;Eingaben!$B$22),OR(B1399&gt;=Eingaben!$B$21,B1399&lt;Eingaben!$B$22)),"GO",IF(AND(ISNUMBER(Eingaben!$B$23),ISNUMBER(Eingaben!$B$24),IF(Eingaben!$B$23&lt;Eingaben!$B$24,AND(B1399&gt;=Eingaben!$B$23,B1399&lt;Eingaben!$B$24),OR(B1399&gt;=Eingaben!$B$23,B1399&lt;Eingaben!$B$24))),"HEAT","STANDARD"))</f>
        <v>STANDARD</v>
      </c>
      <c r="E1399" s="9"/>
      <c r="F1399" t="str">
        <f>IF(E1399="",D1399,E1399)</f>
        <v>STANDARD</v>
      </c>
      <c r="G1399" t="str">
        <f>INDEX(Netzzeiten!$B$6:$B$29,HOUR(B1399)+1)</f>
        <v>NT</v>
      </c>
      <c r="H1399" s="6">
        <f>IF(F1399="GO",Eingaben!$B$11,IF(F1399="STANDARD",Eingaben!$B$12,IF(AND(F1399="HEAT",ISNUMBER(Eingaben!$B$13)),Eingaben!$B$13,"")))</f>
        <v>28.2744</v>
      </c>
      <c r="I1399" s="6">
        <f>INDEX(Netzzeiten!$C$6:$C$29,HOUR(B1399)+1)</f>
        <v>1.64</v>
      </c>
      <c r="J1399" t="str">
        <f>IF(C1399="","FEHLT",IF(NOT(ISNUMBER(C1399)),"MESSWERT UNGUELTIG",IF(C1399&lt;0,"MESSWERT UNGUELTIG",IF(H1399="","TARIFPREIS FEHLT","OK"))))</f>
        <v>FEHLT</v>
      </c>
      <c r="K1399" s="7">
        <f>IF(J1399&lt;&gt;"OK","",C1399*I1399/100)</f>
        <v/>
      </c>
    </row>
    <row r="1400" spans="1:11">
      <c r="A1400" s="14">
        <v>46157</v>
      </c>
      <c r="B1400" s="15">
        <v>0.5208333333333334</v>
      </c>
      <c r="C1400" s="5">
        <f>IF('96 Werte'!AZ20="","",'96 Werte'!AZ20)</f>
        <v/>
      </c>
      <c r="D1400" t="str">
        <f>IF(IF(Eingaben!$B$21&lt;Eingaben!$B$22,AND(B1400&gt;=Eingaben!$B$21,B1400&lt;Eingaben!$B$22),OR(B1400&gt;=Eingaben!$B$21,B1400&lt;Eingaben!$B$22)),"GO",IF(AND(ISNUMBER(Eingaben!$B$23),ISNUMBER(Eingaben!$B$24),IF(Eingaben!$B$23&lt;Eingaben!$B$24,AND(B1400&gt;=Eingaben!$B$23,B1400&lt;Eingaben!$B$24),OR(B1400&gt;=Eingaben!$B$23,B1400&lt;Eingaben!$B$24))),"HEAT","STANDARD"))</f>
        <v>STANDARD</v>
      </c>
      <c r="E1400" s="9"/>
      <c r="F1400" t="str">
        <f>IF(E1400="",D1400,E1400)</f>
        <v>STANDARD</v>
      </c>
      <c r="G1400" t="str">
        <f>INDEX(Netzzeiten!$B$6:$B$29,HOUR(B1400)+1)</f>
        <v>NT</v>
      </c>
      <c r="H1400" s="6">
        <f>IF(F1400="GO",Eingaben!$B$11,IF(F1400="STANDARD",Eingaben!$B$12,IF(AND(F1400="HEAT",ISNUMBER(Eingaben!$B$13)),Eingaben!$B$13,"")))</f>
        <v>28.2744</v>
      </c>
      <c r="I1400" s="6">
        <f>INDEX(Netzzeiten!$C$6:$C$29,HOUR(B1400)+1)</f>
        <v>1.64</v>
      </c>
      <c r="J1400" t="str">
        <f>IF(C1400="","FEHLT",IF(NOT(ISNUMBER(C1400)),"MESSWERT UNGUELTIG",IF(C1400&lt;0,"MESSWERT UNGUELTIG",IF(H1400="","TARIFPREIS FEHLT","OK"))))</f>
        <v>FEHLT</v>
      </c>
      <c r="K1400" s="7">
        <f>IF(J1400&lt;&gt;"OK","",C1400*I1400/100)</f>
        <v/>
      </c>
    </row>
    <row r="1401" spans="1:11">
      <c r="A1401" s="14">
        <v>46157</v>
      </c>
      <c r="B1401" s="15">
        <v>0.53125</v>
      </c>
      <c r="C1401" s="5">
        <f>IF('96 Werte'!BA20="","",'96 Werte'!BA20)</f>
        <v/>
      </c>
      <c r="D1401" t="str">
        <f>IF(IF(Eingaben!$B$21&lt;Eingaben!$B$22,AND(B1401&gt;=Eingaben!$B$21,B1401&lt;Eingaben!$B$22),OR(B1401&gt;=Eingaben!$B$21,B1401&lt;Eingaben!$B$22)),"GO",IF(AND(ISNUMBER(Eingaben!$B$23),ISNUMBER(Eingaben!$B$24),IF(Eingaben!$B$23&lt;Eingaben!$B$24,AND(B1401&gt;=Eingaben!$B$23,B1401&lt;Eingaben!$B$24),OR(B1401&gt;=Eingaben!$B$23,B1401&lt;Eingaben!$B$24))),"HEAT","STANDARD"))</f>
        <v>STANDARD</v>
      </c>
      <c r="E1401" s="9"/>
      <c r="F1401" t="str">
        <f>IF(E1401="",D1401,E1401)</f>
        <v>STANDARD</v>
      </c>
      <c r="G1401" t="str">
        <f>INDEX(Netzzeiten!$B$6:$B$29,HOUR(B1401)+1)</f>
        <v>NT</v>
      </c>
      <c r="H1401" s="6">
        <f>IF(F1401="GO",Eingaben!$B$11,IF(F1401="STANDARD",Eingaben!$B$12,IF(AND(F1401="HEAT",ISNUMBER(Eingaben!$B$13)),Eingaben!$B$13,"")))</f>
        <v>28.2744</v>
      </c>
      <c r="I1401" s="6">
        <f>INDEX(Netzzeiten!$C$6:$C$29,HOUR(B1401)+1)</f>
        <v>1.64</v>
      </c>
      <c r="J1401" t="str">
        <f>IF(C1401="","FEHLT",IF(NOT(ISNUMBER(C1401)),"MESSWERT UNGUELTIG",IF(C1401&lt;0,"MESSWERT UNGUELTIG",IF(H1401="","TARIFPREIS FEHLT","OK"))))</f>
        <v>FEHLT</v>
      </c>
      <c r="K1401" s="7">
        <f>IF(J1401&lt;&gt;"OK","",C1401*I1401/100)</f>
        <v/>
      </c>
    </row>
    <row r="1402" spans="1:11">
      <c r="A1402" s="14">
        <v>46157</v>
      </c>
      <c r="B1402" s="15">
        <v>0.5416666666666666</v>
      </c>
      <c r="C1402" s="5">
        <f>IF('96 Werte'!BB20="","",'96 Werte'!BB20)</f>
        <v/>
      </c>
      <c r="D1402" t="str">
        <f>IF(IF(Eingaben!$B$21&lt;Eingaben!$B$22,AND(B1402&gt;=Eingaben!$B$21,B1402&lt;Eingaben!$B$22),OR(B1402&gt;=Eingaben!$B$21,B1402&lt;Eingaben!$B$22)),"GO",IF(AND(ISNUMBER(Eingaben!$B$23),ISNUMBER(Eingaben!$B$24),IF(Eingaben!$B$23&lt;Eingaben!$B$24,AND(B1402&gt;=Eingaben!$B$23,B1402&lt;Eingaben!$B$24),OR(B1402&gt;=Eingaben!$B$23,B1402&lt;Eingaben!$B$24))),"HEAT","STANDARD"))</f>
        <v>STANDARD</v>
      </c>
      <c r="E1402" s="9"/>
      <c r="F1402" t="str">
        <f>IF(E1402="",D1402,E1402)</f>
        <v>STANDARD</v>
      </c>
      <c r="G1402" t="str">
        <f>INDEX(Netzzeiten!$B$6:$B$29,HOUR(B1402)+1)</f>
        <v>NT</v>
      </c>
      <c r="H1402" s="6">
        <f>IF(F1402="GO",Eingaben!$B$11,IF(F1402="STANDARD",Eingaben!$B$12,IF(AND(F1402="HEAT",ISNUMBER(Eingaben!$B$13)),Eingaben!$B$13,"")))</f>
        <v>28.2744</v>
      </c>
      <c r="I1402" s="6">
        <f>INDEX(Netzzeiten!$C$6:$C$29,HOUR(B1402)+1)</f>
        <v>1.64</v>
      </c>
      <c r="J1402" t="str">
        <f>IF(C1402="","FEHLT",IF(NOT(ISNUMBER(C1402)),"MESSWERT UNGUELTIG",IF(C1402&lt;0,"MESSWERT UNGUELTIG",IF(H1402="","TARIFPREIS FEHLT","OK"))))</f>
        <v>FEHLT</v>
      </c>
      <c r="K1402" s="7">
        <f>IF(J1402&lt;&gt;"OK","",C1402*I1402/100)</f>
        <v/>
      </c>
    </row>
    <row r="1403" spans="1:11">
      <c r="A1403" s="14">
        <v>46157</v>
      </c>
      <c r="B1403" s="15">
        <v>0.5520833333333334</v>
      </c>
      <c r="C1403" s="5">
        <f>IF('96 Werte'!BC20="","",'96 Werte'!BC20)</f>
        <v/>
      </c>
      <c r="D1403" t="str">
        <f>IF(IF(Eingaben!$B$21&lt;Eingaben!$B$22,AND(B1403&gt;=Eingaben!$B$21,B1403&lt;Eingaben!$B$22),OR(B1403&gt;=Eingaben!$B$21,B1403&lt;Eingaben!$B$22)),"GO",IF(AND(ISNUMBER(Eingaben!$B$23),ISNUMBER(Eingaben!$B$24),IF(Eingaben!$B$23&lt;Eingaben!$B$24,AND(B1403&gt;=Eingaben!$B$23,B1403&lt;Eingaben!$B$24),OR(B1403&gt;=Eingaben!$B$23,B1403&lt;Eingaben!$B$24))),"HEAT","STANDARD"))</f>
        <v>STANDARD</v>
      </c>
      <c r="E1403" s="9"/>
      <c r="F1403" t="str">
        <f>IF(E1403="",D1403,E1403)</f>
        <v>STANDARD</v>
      </c>
      <c r="G1403" t="str">
        <f>INDEX(Netzzeiten!$B$6:$B$29,HOUR(B1403)+1)</f>
        <v>NT</v>
      </c>
      <c r="H1403" s="6">
        <f>IF(F1403="GO",Eingaben!$B$11,IF(F1403="STANDARD",Eingaben!$B$12,IF(AND(F1403="HEAT",ISNUMBER(Eingaben!$B$13)),Eingaben!$B$13,"")))</f>
        <v>28.2744</v>
      </c>
      <c r="I1403" s="6">
        <f>INDEX(Netzzeiten!$C$6:$C$29,HOUR(B1403)+1)</f>
        <v>1.64</v>
      </c>
      <c r="J1403" t="str">
        <f>IF(C1403="","FEHLT",IF(NOT(ISNUMBER(C1403)),"MESSWERT UNGUELTIG",IF(C1403&lt;0,"MESSWERT UNGUELTIG",IF(H1403="","TARIFPREIS FEHLT","OK"))))</f>
        <v>FEHLT</v>
      </c>
      <c r="K1403" s="7">
        <f>IF(J1403&lt;&gt;"OK","",C1403*I1403/100)</f>
        <v/>
      </c>
    </row>
    <row r="1404" spans="1:11">
      <c r="A1404" s="14">
        <v>46157</v>
      </c>
      <c r="B1404" s="15">
        <v>0.5625</v>
      </c>
      <c r="C1404" s="5">
        <f>IF('96 Werte'!BD20="","",'96 Werte'!BD20)</f>
        <v/>
      </c>
      <c r="D1404" t="str">
        <f>IF(IF(Eingaben!$B$21&lt;Eingaben!$B$22,AND(B1404&gt;=Eingaben!$B$21,B1404&lt;Eingaben!$B$22),OR(B1404&gt;=Eingaben!$B$21,B1404&lt;Eingaben!$B$22)),"GO",IF(AND(ISNUMBER(Eingaben!$B$23),ISNUMBER(Eingaben!$B$24),IF(Eingaben!$B$23&lt;Eingaben!$B$24,AND(B1404&gt;=Eingaben!$B$23,B1404&lt;Eingaben!$B$24),OR(B1404&gt;=Eingaben!$B$23,B1404&lt;Eingaben!$B$24))),"HEAT","STANDARD"))</f>
        <v>STANDARD</v>
      </c>
      <c r="E1404" s="9"/>
      <c r="F1404" t="str">
        <f>IF(E1404="",D1404,E1404)</f>
        <v>STANDARD</v>
      </c>
      <c r="G1404" t="str">
        <f>INDEX(Netzzeiten!$B$6:$B$29,HOUR(B1404)+1)</f>
        <v>NT</v>
      </c>
      <c r="H1404" s="6">
        <f>IF(F1404="GO",Eingaben!$B$11,IF(F1404="STANDARD",Eingaben!$B$12,IF(AND(F1404="HEAT",ISNUMBER(Eingaben!$B$13)),Eingaben!$B$13,"")))</f>
        <v>28.2744</v>
      </c>
      <c r="I1404" s="6">
        <f>INDEX(Netzzeiten!$C$6:$C$29,HOUR(B1404)+1)</f>
        <v>1.64</v>
      </c>
      <c r="J1404" t="str">
        <f>IF(C1404="","FEHLT",IF(NOT(ISNUMBER(C1404)),"MESSWERT UNGUELTIG",IF(C1404&lt;0,"MESSWERT UNGUELTIG",IF(H1404="","TARIFPREIS FEHLT","OK"))))</f>
        <v>FEHLT</v>
      </c>
      <c r="K1404" s="7">
        <f>IF(J1404&lt;&gt;"OK","",C1404*I1404/100)</f>
        <v/>
      </c>
    </row>
    <row r="1405" spans="1:11">
      <c r="A1405" s="14">
        <v>46157</v>
      </c>
      <c r="B1405" s="15">
        <v>0.5729166666666666</v>
      </c>
      <c r="C1405" s="5">
        <f>IF('96 Werte'!BE20="","",'96 Werte'!BE20)</f>
        <v/>
      </c>
      <c r="D1405" t="str">
        <f>IF(IF(Eingaben!$B$21&lt;Eingaben!$B$22,AND(B1405&gt;=Eingaben!$B$21,B1405&lt;Eingaben!$B$22),OR(B1405&gt;=Eingaben!$B$21,B1405&lt;Eingaben!$B$22)),"GO",IF(AND(ISNUMBER(Eingaben!$B$23),ISNUMBER(Eingaben!$B$24),IF(Eingaben!$B$23&lt;Eingaben!$B$24,AND(B1405&gt;=Eingaben!$B$23,B1405&lt;Eingaben!$B$24),OR(B1405&gt;=Eingaben!$B$23,B1405&lt;Eingaben!$B$24))),"HEAT","STANDARD"))</f>
        <v>STANDARD</v>
      </c>
      <c r="E1405" s="9"/>
      <c r="F1405" t="str">
        <f>IF(E1405="",D1405,E1405)</f>
        <v>STANDARD</v>
      </c>
      <c r="G1405" t="str">
        <f>INDEX(Netzzeiten!$B$6:$B$29,HOUR(B1405)+1)</f>
        <v>NT</v>
      </c>
      <c r="H1405" s="6">
        <f>IF(F1405="GO",Eingaben!$B$11,IF(F1405="STANDARD",Eingaben!$B$12,IF(AND(F1405="HEAT",ISNUMBER(Eingaben!$B$13)),Eingaben!$B$13,"")))</f>
        <v>28.2744</v>
      </c>
      <c r="I1405" s="6">
        <f>INDEX(Netzzeiten!$C$6:$C$29,HOUR(B1405)+1)</f>
        <v>1.64</v>
      </c>
      <c r="J1405" t="str">
        <f>IF(C1405="","FEHLT",IF(NOT(ISNUMBER(C1405)),"MESSWERT UNGUELTIG",IF(C1405&lt;0,"MESSWERT UNGUELTIG",IF(H1405="","TARIFPREIS FEHLT","OK"))))</f>
        <v>FEHLT</v>
      </c>
      <c r="K1405" s="7">
        <f>IF(J1405&lt;&gt;"OK","",C1405*I1405/100)</f>
        <v/>
      </c>
    </row>
    <row r="1406" spans="1:11">
      <c r="A1406" s="14">
        <v>46157</v>
      </c>
      <c r="B1406" s="15">
        <v>0.5833333333333334</v>
      </c>
      <c r="C1406" s="5">
        <f>IF('96 Werte'!BF20="","",'96 Werte'!BF20)</f>
        <v/>
      </c>
      <c r="D1406" t="str">
        <f>IF(IF(Eingaben!$B$21&lt;Eingaben!$B$22,AND(B1406&gt;=Eingaben!$B$21,B1406&lt;Eingaben!$B$22),OR(B1406&gt;=Eingaben!$B$21,B1406&lt;Eingaben!$B$22)),"GO",IF(AND(ISNUMBER(Eingaben!$B$23),ISNUMBER(Eingaben!$B$24),IF(Eingaben!$B$23&lt;Eingaben!$B$24,AND(B1406&gt;=Eingaben!$B$23,B1406&lt;Eingaben!$B$24),OR(B1406&gt;=Eingaben!$B$23,B1406&lt;Eingaben!$B$24))),"HEAT","STANDARD"))</f>
        <v>STANDARD</v>
      </c>
      <c r="E1406" s="9"/>
      <c r="F1406" t="str">
        <f>IF(E1406="",D1406,E1406)</f>
        <v>STANDARD</v>
      </c>
      <c r="G1406" t="str">
        <f>INDEX(Netzzeiten!$B$6:$B$29,HOUR(B1406)+1)</f>
        <v>NT</v>
      </c>
      <c r="H1406" s="6">
        <f>IF(F1406="GO",Eingaben!$B$11,IF(F1406="STANDARD",Eingaben!$B$12,IF(AND(F1406="HEAT",ISNUMBER(Eingaben!$B$13)),Eingaben!$B$13,"")))</f>
        <v>28.2744</v>
      </c>
      <c r="I1406" s="6">
        <f>INDEX(Netzzeiten!$C$6:$C$29,HOUR(B1406)+1)</f>
        <v>1.64</v>
      </c>
      <c r="J1406" t="str">
        <f>IF(C1406="","FEHLT",IF(NOT(ISNUMBER(C1406)),"MESSWERT UNGUELTIG",IF(C1406&lt;0,"MESSWERT UNGUELTIG",IF(H1406="","TARIFPREIS FEHLT","OK"))))</f>
        <v>FEHLT</v>
      </c>
      <c r="K1406" s="7">
        <f>IF(J1406&lt;&gt;"OK","",C1406*I1406/100)</f>
        <v/>
      </c>
    </row>
    <row r="1407" spans="1:11">
      <c r="A1407" s="14">
        <v>46157</v>
      </c>
      <c r="B1407" s="15">
        <v>0.59375</v>
      </c>
      <c r="C1407" s="5">
        <f>IF('96 Werte'!BG20="","",'96 Werte'!BG20)</f>
        <v/>
      </c>
      <c r="D1407" t="str">
        <f>IF(IF(Eingaben!$B$21&lt;Eingaben!$B$22,AND(B1407&gt;=Eingaben!$B$21,B1407&lt;Eingaben!$B$22),OR(B1407&gt;=Eingaben!$B$21,B1407&lt;Eingaben!$B$22)),"GO",IF(AND(ISNUMBER(Eingaben!$B$23),ISNUMBER(Eingaben!$B$24),IF(Eingaben!$B$23&lt;Eingaben!$B$24,AND(B1407&gt;=Eingaben!$B$23,B1407&lt;Eingaben!$B$24),OR(B1407&gt;=Eingaben!$B$23,B1407&lt;Eingaben!$B$24))),"HEAT","STANDARD"))</f>
        <v>STANDARD</v>
      </c>
      <c r="E1407" s="9"/>
      <c r="F1407" t="str">
        <f>IF(E1407="",D1407,E1407)</f>
        <v>STANDARD</v>
      </c>
      <c r="G1407" t="str">
        <f>INDEX(Netzzeiten!$B$6:$B$29,HOUR(B1407)+1)</f>
        <v>NT</v>
      </c>
      <c r="H1407" s="6">
        <f>IF(F1407="GO",Eingaben!$B$11,IF(F1407="STANDARD",Eingaben!$B$12,IF(AND(F1407="HEAT",ISNUMBER(Eingaben!$B$13)),Eingaben!$B$13,"")))</f>
        <v>28.2744</v>
      </c>
      <c r="I1407" s="6">
        <f>INDEX(Netzzeiten!$C$6:$C$29,HOUR(B1407)+1)</f>
        <v>1.64</v>
      </c>
      <c r="J1407" t="str">
        <f>IF(C1407="","FEHLT",IF(NOT(ISNUMBER(C1407)),"MESSWERT UNGUELTIG",IF(C1407&lt;0,"MESSWERT UNGUELTIG",IF(H1407="","TARIFPREIS FEHLT","OK"))))</f>
        <v>FEHLT</v>
      </c>
      <c r="K1407" s="7">
        <f>IF(J1407&lt;&gt;"OK","",C1407*I1407/100)</f>
        <v/>
      </c>
    </row>
    <row r="1408" spans="1:11">
      <c r="A1408" s="14">
        <v>46157</v>
      </c>
      <c r="B1408" s="15">
        <v>0.6041666666666666</v>
      </c>
      <c r="C1408" s="5">
        <f>IF('96 Werte'!BH20="","",'96 Werte'!BH20)</f>
        <v/>
      </c>
      <c r="D1408" t="str">
        <f>IF(IF(Eingaben!$B$21&lt;Eingaben!$B$22,AND(B1408&gt;=Eingaben!$B$21,B1408&lt;Eingaben!$B$22),OR(B1408&gt;=Eingaben!$B$21,B1408&lt;Eingaben!$B$22)),"GO",IF(AND(ISNUMBER(Eingaben!$B$23),ISNUMBER(Eingaben!$B$24),IF(Eingaben!$B$23&lt;Eingaben!$B$24,AND(B1408&gt;=Eingaben!$B$23,B1408&lt;Eingaben!$B$24),OR(B1408&gt;=Eingaben!$B$23,B1408&lt;Eingaben!$B$24))),"HEAT","STANDARD"))</f>
        <v>STANDARD</v>
      </c>
      <c r="E1408" s="9"/>
      <c r="F1408" t="str">
        <f>IF(E1408="",D1408,E1408)</f>
        <v>STANDARD</v>
      </c>
      <c r="G1408" t="str">
        <f>INDEX(Netzzeiten!$B$6:$B$29,HOUR(B1408)+1)</f>
        <v>NT</v>
      </c>
      <c r="H1408" s="6">
        <f>IF(F1408="GO",Eingaben!$B$11,IF(F1408="STANDARD",Eingaben!$B$12,IF(AND(F1408="HEAT",ISNUMBER(Eingaben!$B$13)),Eingaben!$B$13,"")))</f>
        <v>28.2744</v>
      </c>
      <c r="I1408" s="6">
        <f>INDEX(Netzzeiten!$C$6:$C$29,HOUR(B1408)+1)</f>
        <v>1.64</v>
      </c>
      <c r="J1408" t="str">
        <f>IF(C1408="","FEHLT",IF(NOT(ISNUMBER(C1408)),"MESSWERT UNGUELTIG",IF(C1408&lt;0,"MESSWERT UNGUELTIG",IF(H1408="","TARIFPREIS FEHLT","OK"))))</f>
        <v>FEHLT</v>
      </c>
      <c r="K1408" s="7">
        <f>IF(J1408&lt;&gt;"OK","",C1408*I1408/100)</f>
        <v/>
      </c>
    </row>
    <row r="1409" spans="1:11">
      <c r="A1409" s="14">
        <v>46157</v>
      </c>
      <c r="B1409" s="15">
        <v>0.6145833333333334</v>
      </c>
      <c r="C1409" s="5">
        <f>IF('96 Werte'!BI20="","",'96 Werte'!BI20)</f>
        <v/>
      </c>
      <c r="D1409" t="str">
        <f>IF(IF(Eingaben!$B$21&lt;Eingaben!$B$22,AND(B1409&gt;=Eingaben!$B$21,B1409&lt;Eingaben!$B$22),OR(B1409&gt;=Eingaben!$B$21,B1409&lt;Eingaben!$B$22)),"GO",IF(AND(ISNUMBER(Eingaben!$B$23),ISNUMBER(Eingaben!$B$24),IF(Eingaben!$B$23&lt;Eingaben!$B$24,AND(B1409&gt;=Eingaben!$B$23,B1409&lt;Eingaben!$B$24),OR(B1409&gt;=Eingaben!$B$23,B1409&lt;Eingaben!$B$24))),"HEAT","STANDARD"))</f>
        <v>STANDARD</v>
      </c>
      <c r="E1409" s="9"/>
      <c r="F1409" t="str">
        <f>IF(E1409="",D1409,E1409)</f>
        <v>STANDARD</v>
      </c>
      <c r="G1409" t="str">
        <f>INDEX(Netzzeiten!$B$6:$B$29,HOUR(B1409)+1)</f>
        <v>NT</v>
      </c>
      <c r="H1409" s="6">
        <f>IF(F1409="GO",Eingaben!$B$11,IF(F1409="STANDARD",Eingaben!$B$12,IF(AND(F1409="HEAT",ISNUMBER(Eingaben!$B$13)),Eingaben!$B$13,"")))</f>
        <v>28.2744</v>
      </c>
      <c r="I1409" s="6">
        <f>INDEX(Netzzeiten!$C$6:$C$29,HOUR(B1409)+1)</f>
        <v>1.64</v>
      </c>
      <c r="J1409" t="str">
        <f>IF(C1409="","FEHLT",IF(NOT(ISNUMBER(C1409)),"MESSWERT UNGUELTIG",IF(C1409&lt;0,"MESSWERT UNGUELTIG",IF(H1409="","TARIFPREIS FEHLT","OK"))))</f>
        <v>FEHLT</v>
      </c>
      <c r="K1409" s="7">
        <f>IF(J1409&lt;&gt;"OK","",C1409*I1409/100)</f>
        <v/>
      </c>
    </row>
    <row r="1410" spans="1:11">
      <c r="A1410" s="14">
        <v>46157</v>
      </c>
      <c r="B1410" s="15">
        <v>0.625</v>
      </c>
      <c r="C1410" s="5">
        <f>IF('96 Werte'!BJ20="","",'96 Werte'!BJ20)</f>
        <v/>
      </c>
      <c r="D1410" t="str">
        <f>IF(IF(Eingaben!$B$21&lt;Eingaben!$B$22,AND(B1410&gt;=Eingaben!$B$21,B1410&lt;Eingaben!$B$22),OR(B1410&gt;=Eingaben!$B$21,B1410&lt;Eingaben!$B$22)),"GO",IF(AND(ISNUMBER(Eingaben!$B$23),ISNUMBER(Eingaben!$B$24),IF(Eingaben!$B$23&lt;Eingaben!$B$24,AND(B1410&gt;=Eingaben!$B$23,B1410&lt;Eingaben!$B$24),OR(B1410&gt;=Eingaben!$B$23,B1410&lt;Eingaben!$B$24))),"HEAT","STANDARD"))</f>
        <v>STANDARD</v>
      </c>
      <c r="E1410" s="9"/>
      <c r="F1410" t="str">
        <f>IF(E1410="",D1410,E1410)</f>
        <v>STANDARD</v>
      </c>
      <c r="G1410" t="str">
        <f>INDEX(Netzzeiten!$B$6:$B$29,HOUR(B1410)+1)</f>
        <v>ST</v>
      </c>
      <c r="H1410" s="6">
        <f>IF(F1410="GO",Eingaben!$B$11,IF(F1410="STANDARD",Eingaben!$B$12,IF(AND(F1410="HEAT",ISNUMBER(Eingaben!$B$13)),Eingaben!$B$13,"")))</f>
        <v>28.2744</v>
      </c>
      <c r="I1410" s="6">
        <f>INDEX(Netzzeiten!$C$6:$C$29,HOUR(B1410)+1)</f>
        <v>5.48</v>
      </c>
      <c r="J1410" t="str">
        <f>IF(C1410="","FEHLT",IF(NOT(ISNUMBER(C1410)),"MESSWERT UNGUELTIG",IF(C1410&lt;0,"MESSWERT UNGUELTIG",IF(H1410="","TARIFPREIS FEHLT","OK"))))</f>
        <v>FEHLT</v>
      </c>
      <c r="K1410" s="7">
        <f>IF(J1410&lt;&gt;"OK","",C1410*I1410/100)</f>
        <v/>
      </c>
    </row>
    <row r="1411" spans="1:11">
      <c r="A1411" s="14">
        <v>46157</v>
      </c>
      <c r="B1411" s="15">
        <v>0.6354166666666666</v>
      </c>
      <c r="C1411" s="5">
        <f>IF('96 Werte'!BK20="","",'96 Werte'!BK20)</f>
        <v/>
      </c>
      <c r="D1411" t="str">
        <f>IF(IF(Eingaben!$B$21&lt;Eingaben!$B$22,AND(B1411&gt;=Eingaben!$B$21,B1411&lt;Eingaben!$B$22),OR(B1411&gt;=Eingaben!$B$21,B1411&lt;Eingaben!$B$22)),"GO",IF(AND(ISNUMBER(Eingaben!$B$23),ISNUMBER(Eingaben!$B$24),IF(Eingaben!$B$23&lt;Eingaben!$B$24,AND(B1411&gt;=Eingaben!$B$23,B1411&lt;Eingaben!$B$24),OR(B1411&gt;=Eingaben!$B$23,B1411&lt;Eingaben!$B$24))),"HEAT","STANDARD"))</f>
        <v>STANDARD</v>
      </c>
      <c r="E1411" s="9"/>
      <c r="F1411" t="str">
        <f>IF(E1411="",D1411,E1411)</f>
        <v>STANDARD</v>
      </c>
      <c r="G1411" t="str">
        <f>INDEX(Netzzeiten!$B$6:$B$29,HOUR(B1411)+1)</f>
        <v>ST</v>
      </c>
      <c r="H1411" s="6">
        <f>IF(F1411="GO",Eingaben!$B$11,IF(F1411="STANDARD",Eingaben!$B$12,IF(AND(F1411="HEAT",ISNUMBER(Eingaben!$B$13)),Eingaben!$B$13,"")))</f>
        <v>28.2744</v>
      </c>
      <c r="I1411" s="6">
        <f>INDEX(Netzzeiten!$C$6:$C$29,HOUR(B1411)+1)</f>
        <v>5.48</v>
      </c>
      <c r="J1411" t="str">
        <f>IF(C1411="","FEHLT",IF(NOT(ISNUMBER(C1411)),"MESSWERT UNGUELTIG",IF(C1411&lt;0,"MESSWERT UNGUELTIG",IF(H1411="","TARIFPREIS FEHLT","OK"))))</f>
        <v>FEHLT</v>
      </c>
      <c r="K1411" s="7">
        <f>IF(J1411&lt;&gt;"OK","",C1411*I1411/100)</f>
        <v/>
      </c>
    </row>
    <row r="1412" spans="1:11">
      <c r="A1412" s="14">
        <v>46157</v>
      </c>
      <c r="B1412" s="15">
        <v>0.6458333333333334</v>
      </c>
      <c r="C1412" s="5">
        <f>IF('96 Werte'!BL20="","",'96 Werte'!BL20)</f>
        <v/>
      </c>
      <c r="D1412" t="str">
        <f>IF(IF(Eingaben!$B$21&lt;Eingaben!$B$22,AND(B1412&gt;=Eingaben!$B$21,B1412&lt;Eingaben!$B$22),OR(B1412&gt;=Eingaben!$B$21,B1412&lt;Eingaben!$B$22)),"GO",IF(AND(ISNUMBER(Eingaben!$B$23),ISNUMBER(Eingaben!$B$24),IF(Eingaben!$B$23&lt;Eingaben!$B$24,AND(B1412&gt;=Eingaben!$B$23,B1412&lt;Eingaben!$B$24),OR(B1412&gt;=Eingaben!$B$23,B1412&lt;Eingaben!$B$24))),"HEAT","STANDARD"))</f>
        <v>STANDARD</v>
      </c>
      <c r="E1412" s="9"/>
      <c r="F1412" t="str">
        <f>IF(E1412="",D1412,E1412)</f>
        <v>STANDARD</v>
      </c>
      <c r="G1412" t="str">
        <f>INDEX(Netzzeiten!$B$6:$B$29,HOUR(B1412)+1)</f>
        <v>ST</v>
      </c>
      <c r="H1412" s="6">
        <f>IF(F1412="GO",Eingaben!$B$11,IF(F1412="STANDARD",Eingaben!$B$12,IF(AND(F1412="HEAT",ISNUMBER(Eingaben!$B$13)),Eingaben!$B$13,"")))</f>
        <v>28.2744</v>
      </c>
      <c r="I1412" s="6">
        <f>INDEX(Netzzeiten!$C$6:$C$29,HOUR(B1412)+1)</f>
        <v>5.48</v>
      </c>
      <c r="J1412" t="str">
        <f>IF(C1412="","FEHLT",IF(NOT(ISNUMBER(C1412)),"MESSWERT UNGUELTIG",IF(C1412&lt;0,"MESSWERT UNGUELTIG",IF(H1412="","TARIFPREIS FEHLT","OK"))))</f>
        <v>FEHLT</v>
      </c>
      <c r="K1412" s="7">
        <f>IF(J1412&lt;&gt;"OK","",C1412*I1412/100)</f>
        <v/>
      </c>
    </row>
    <row r="1413" spans="1:11">
      <c r="A1413" s="14">
        <v>46157</v>
      </c>
      <c r="B1413" s="15">
        <v>0.65625</v>
      </c>
      <c r="C1413" s="5">
        <f>IF('96 Werte'!BM20="","",'96 Werte'!BM20)</f>
        <v/>
      </c>
      <c r="D1413" t="str">
        <f>IF(IF(Eingaben!$B$21&lt;Eingaben!$B$22,AND(B1413&gt;=Eingaben!$B$21,B1413&lt;Eingaben!$B$22),OR(B1413&gt;=Eingaben!$B$21,B1413&lt;Eingaben!$B$22)),"GO",IF(AND(ISNUMBER(Eingaben!$B$23),ISNUMBER(Eingaben!$B$24),IF(Eingaben!$B$23&lt;Eingaben!$B$24,AND(B1413&gt;=Eingaben!$B$23,B1413&lt;Eingaben!$B$24),OR(B1413&gt;=Eingaben!$B$23,B1413&lt;Eingaben!$B$24))),"HEAT","STANDARD"))</f>
        <v>STANDARD</v>
      </c>
      <c r="E1413" s="9"/>
      <c r="F1413" t="str">
        <f>IF(E1413="",D1413,E1413)</f>
        <v>STANDARD</v>
      </c>
      <c r="G1413" t="str">
        <f>INDEX(Netzzeiten!$B$6:$B$29,HOUR(B1413)+1)</f>
        <v>ST</v>
      </c>
      <c r="H1413" s="6">
        <f>IF(F1413="GO",Eingaben!$B$11,IF(F1413="STANDARD",Eingaben!$B$12,IF(AND(F1413="HEAT",ISNUMBER(Eingaben!$B$13)),Eingaben!$B$13,"")))</f>
        <v>28.2744</v>
      </c>
      <c r="I1413" s="6">
        <f>INDEX(Netzzeiten!$C$6:$C$29,HOUR(B1413)+1)</f>
        <v>5.48</v>
      </c>
      <c r="J1413" t="str">
        <f>IF(C1413="","FEHLT",IF(NOT(ISNUMBER(C1413)),"MESSWERT UNGUELTIG",IF(C1413&lt;0,"MESSWERT UNGUELTIG",IF(H1413="","TARIFPREIS FEHLT","OK"))))</f>
        <v>FEHLT</v>
      </c>
      <c r="K1413" s="7">
        <f>IF(J1413&lt;&gt;"OK","",C1413*I1413/100)</f>
        <v/>
      </c>
    </row>
    <row r="1414" spans="1:11">
      <c r="A1414" s="14">
        <v>46157</v>
      </c>
      <c r="B1414" s="15">
        <v>0.6666666666666666</v>
      </c>
      <c r="C1414" s="5">
        <f>IF('96 Werte'!BN20="","",'96 Werte'!BN20)</f>
        <v/>
      </c>
      <c r="D1414" t="str">
        <f>IF(IF(Eingaben!$B$21&lt;Eingaben!$B$22,AND(B1414&gt;=Eingaben!$B$21,B1414&lt;Eingaben!$B$22),OR(B1414&gt;=Eingaben!$B$21,B1414&lt;Eingaben!$B$22)),"GO",IF(AND(ISNUMBER(Eingaben!$B$23),ISNUMBER(Eingaben!$B$24),IF(Eingaben!$B$23&lt;Eingaben!$B$24,AND(B1414&gt;=Eingaben!$B$23,B1414&lt;Eingaben!$B$24),OR(B1414&gt;=Eingaben!$B$23,B1414&lt;Eingaben!$B$24))),"HEAT","STANDARD"))</f>
        <v>STANDARD</v>
      </c>
      <c r="E1414" s="9"/>
      <c r="F1414" t="str">
        <f>IF(E1414="",D1414,E1414)</f>
        <v>STANDARD</v>
      </c>
      <c r="G1414" t="str">
        <f>INDEX(Netzzeiten!$B$6:$B$29,HOUR(B1414)+1)</f>
        <v>ST</v>
      </c>
      <c r="H1414" s="6">
        <f>IF(F1414="GO",Eingaben!$B$11,IF(F1414="STANDARD",Eingaben!$B$12,IF(AND(F1414="HEAT",ISNUMBER(Eingaben!$B$13)),Eingaben!$B$13,"")))</f>
        <v>28.2744</v>
      </c>
      <c r="I1414" s="6">
        <f>INDEX(Netzzeiten!$C$6:$C$29,HOUR(B1414)+1)</f>
        <v>5.48</v>
      </c>
      <c r="J1414" t="str">
        <f>IF(C1414="","FEHLT",IF(NOT(ISNUMBER(C1414)),"MESSWERT UNGUELTIG",IF(C1414&lt;0,"MESSWERT UNGUELTIG",IF(H1414="","TARIFPREIS FEHLT","OK"))))</f>
        <v>FEHLT</v>
      </c>
      <c r="K1414" s="7">
        <f>IF(J1414&lt;&gt;"OK","",C1414*I1414/100)</f>
        <v/>
      </c>
    </row>
    <row r="1415" spans="1:11">
      <c r="A1415" s="14">
        <v>46157</v>
      </c>
      <c r="B1415" s="15">
        <v>0.6770833333333334</v>
      </c>
      <c r="C1415" s="5">
        <f>IF('96 Werte'!BO20="","",'96 Werte'!BO20)</f>
        <v/>
      </c>
      <c r="D1415" t="str">
        <f>IF(IF(Eingaben!$B$21&lt;Eingaben!$B$22,AND(B1415&gt;=Eingaben!$B$21,B1415&lt;Eingaben!$B$22),OR(B1415&gt;=Eingaben!$B$21,B1415&lt;Eingaben!$B$22)),"GO",IF(AND(ISNUMBER(Eingaben!$B$23),ISNUMBER(Eingaben!$B$24),IF(Eingaben!$B$23&lt;Eingaben!$B$24,AND(B1415&gt;=Eingaben!$B$23,B1415&lt;Eingaben!$B$24),OR(B1415&gt;=Eingaben!$B$23,B1415&lt;Eingaben!$B$24))),"HEAT","STANDARD"))</f>
        <v>STANDARD</v>
      </c>
      <c r="E1415" s="9"/>
      <c r="F1415" t="str">
        <f>IF(E1415="",D1415,E1415)</f>
        <v>STANDARD</v>
      </c>
      <c r="G1415" t="str">
        <f>INDEX(Netzzeiten!$B$6:$B$29,HOUR(B1415)+1)</f>
        <v>ST</v>
      </c>
      <c r="H1415" s="6">
        <f>IF(F1415="GO",Eingaben!$B$11,IF(F1415="STANDARD",Eingaben!$B$12,IF(AND(F1415="HEAT",ISNUMBER(Eingaben!$B$13)),Eingaben!$B$13,"")))</f>
        <v>28.2744</v>
      </c>
      <c r="I1415" s="6">
        <f>INDEX(Netzzeiten!$C$6:$C$29,HOUR(B1415)+1)</f>
        <v>5.48</v>
      </c>
      <c r="J1415" t="str">
        <f>IF(C1415="","FEHLT",IF(NOT(ISNUMBER(C1415)),"MESSWERT UNGUELTIG",IF(C1415&lt;0,"MESSWERT UNGUELTIG",IF(H1415="","TARIFPREIS FEHLT","OK"))))</f>
        <v>FEHLT</v>
      </c>
      <c r="K1415" s="7">
        <f>IF(J1415&lt;&gt;"OK","",C1415*I1415/100)</f>
        <v/>
      </c>
    </row>
    <row r="1416" spans="1:11">
      <c r="A1416" s="14">
        <v>46157</v>
      </c>
      <c r="B1416" s="15">
        <v>0.6875</v>
      </c>
      <c r="C1416" s="5">
        <f>IF('96 Werte'!BP20="","",'96 Werte'!BP20)</f>
        <v/>
      </c>
      <c r="D1416" t="str">
        <f>IF(IF(Eingaben!$B$21&lt;Eingaben!$B$22,AND(B1416&gt;=Eingaben!$B$21,B1416&lt;Eingaben!$B$22),OR(B1416&gt;=Eingaben!$B$21,B1416&lt;Eingaben!$B$22)),"GO",IF(AND(ISNUMBER(Eingaben!$B$23),ISNUMBER(Eingaben!$B$24),IF(Eingaben!$B$23&lt;Eingaben!$B$24,AND(B1416&gt;=Eingaben!$B$23,B1416&lt;Eingaben!$B$24),OR(B1416&gt;=Eingaben!$B$23,B1416&lt;Eingaben!$B$24))),"HEAT","STANDARD"))</f>
        <v>STANDARD</v>
      </c>
      <c r="E1416" s="9"/>
      <c r="F1416" t="str">
        <f>IF(E1416="",D1416,E1416)</f>
        <v>STANDARD</v>
      </c>
      <c r="G1416" t="str">
        <f>INDEX(Netzzeiten!$B$6:$B$29,HOUR(B1416)+1)</f>
        <v>ST</v>
      </c>
      <c r="H1416" s="6">
        <f>IF(F1416="GO",Eingaben!$B$11,IF(F1416="STANDARD",Eingaben!$B$12,IF(AND(F1416="HEAT",ISNUMBER(Eingaben!$B$13)),Eingaben!$B$13,"")))</f>
        <v>28.2744</v>
      </c>
      <c r="I1416" s="6">
        <f>INDEX(Netzzeiten!$C$6:$C$29,HOUR(B1416)+1)</f>
        <v>5.48</v>
      </c>
      <c r="J1416" t="str">
        <f>IF(C1416="","FEHLT",IF(NOT(ISNUMBER(C1416)),"MESSWERT UNGUELTIG",IF(C1416&lt;0,"MESSWERT UNGUELTIG",IF(H1416="","TARIFPREIS FEHLT","OK"))))</f>
        <v>FEHLT</v>
      </c>
      <c r="K1416" s="7">
        <f>IF(J1416&lt;&gt;"OK","",C1416*I1416/100)</f>
        <v/>
      </c>
    </row>
    <row r="1417" spans="1:11">
      <c r="A1417" s="14">
        <v>46157</v>
      </c>
      <c r="B1417" s="15">
        <v>0.6979166666666666</v>
      </c>
      <c r="C1417" s="5">
        <f>IF('96 Werte'!BQ20="","",'96 Werte'!BQ20)</f>
        <v/>
      </c>
      <c r="D1417" t="str">
        <f>IF(IF(Eingaben!$B$21&lt;Eingaben!$B$22,AND(B1417&gt;=Eingaben!$B$21,B1417&lt;Eingaben!$B$22),OR(B1417&gt;=Eingaben!$B$21,B1417&lt;Eingaben!$B$22)),"GO",IF(AND(ISNUMBER(Eingaben!$B$23),ISNUMBER(Eingaben!$B$24),IF(Eingaben!$B$23&lt;Eingaben!$B$24,AND(B1417&gt;=Eingaben!$B$23,B1417&lt;Eingaben!$B$24),OR(B1417&gt;=Eingaben!$B$23,B1417&lt;Eingaben!$B$24))),"HEAT","STANDARD"))</f>
        <v>STANDARD</v>
      </c>
      <c r="E1417" s="9"/>
      <c r="F1417" t="str">
        <f>IF(E1417="",D1417,E1417)</f>
        <v>STANDARD</v>
      </c>
      <c r="G1417" t="str">
        <f>INDEX(Netzzeiten!$B$6:$B$29,HOUR(B1417)+1)</f>
        <v>ST</v>
      </c>
      <c r="H1417" s="6">
        <f>IF(F1417="GO",Eingaben!$B$11,IF(F1417="STANDARD",Eingaben!$B$12,IF(AND(F1417="HEAT",ISNUMBER(Eingaben!$B$13)),Eingaben!$B$13,"")))</f>
        <v>28.2744</v>
      </c>
      <c r="I1417" s="6">
        <f>INDEX(Netzzeiten!$C$6:$C$29,HOUR(B1417)+1)</f>
        <v>5.48</v>
      </c>
      <c r="J1417" t="str">
        <f>IF(C1417="","FEHLT",IF(NOT(ISNUMBER(C1417)),"MESSWERT UNGUELTIG",IF(C1417&lt;0,"MESSWERT UNGUELTIG",IF(H1417="","TARIFPREIS FEHLT","OK"))))</f>
        <v>FEHLT</v>
      </c>
      <c r="K1417" s="7">
        <f>IF(J1417&lt;&gt;"OK","",C1417*I1417/100)</f>
        <v/>
      </c>
    </row>
    <row r="1418" spans="1:11">
      <c r="A1418" s="14">
        <v>46157</v>
      </c>
      <c r="B1418" s="15">
        <v>0.7083333333333334</v>
      </c>
      <c r="C1418" s="5">
        <f>IF('96 Werte'!BR20="","",'96 Werte'!BR20)</f>
        <v/>
      </c>
      <c r="D1418" t="str">
        <f>IF(IF(Eingaben!$B$21&lt;Eingaben!$B$22,AND(B1418&gt;=Eingaben!$B$21,B1418&lt;Eingaben!$B$22),OR(B1418&gt;=Eingaben!$B$21,B1418&lt;Eingaben!$B$22)),"GO",IF(AND(ISNUMBER(Eingaben!$B$23),ISNUMBER(Eingaben!$B$24),IF(Eingaben!$B$23&lt;Eingaben!$B$24,AND(B1418&gt;=Eingaben!$B$23,B1418&lt;Eingaben!$B$24),OR(B1418&gt;=Eingaben!$B$23,B1418&lt;Eingaben!$B$24))),"HEAT","STANDARD"))</f>
        <v>STANDARD</v>
      </c>
      <c r="E1418" s="9"/>
      <c r="F1418" t="str">
        <f>IF(E1418="",D1418,E1418)</f>
        <v>STANDARD</v>
      </c>
      <c r="G1418" t="str">
        <f>INDEX(Netzzeiten!$B$6:$B$29,HOUR(B1418)+1)</f>
        <v>HT</v>
      </c>
      <c r="H1418" s="6">
        <f>IF(F1418="GO",Eingaben!$B$11,IF(F1418="STANDARD",Eingaben!$B$12,IF(AND(F1418="HEAT",ISNUMBER(Eingaben!$B$13)),Eingaben!$B$13,"")))</f>
        <v>28.2744</v>
      </c>
      <c r="I1418" s="6">
        <f>INDEX(Netzzeiten!$C$6:$C$29,HOUR(B1418)+1)</f>
        <v>10.52</v>
      </c>
      <c r="J1418" t="str">
        <f>IF(C1418="","FEHLT",IF(NOT(ISNUMBER(C1418)),"MESSWERT UNGUELTIG",IF(C1418&lt;0,"MESSWERT UNGUELTIG",IF(H1418="","TARIFPREIS FEHLT","OK"))))</f>
        <v>FEHLT</v>
      </c>
      <c r="K1418" s="7">
        <f>IF(J1418&lt;&gt;"OK","",C1418*I1418/100)</f>
        <v/>
      </c>
    </row>
    <row r="1419" spans="1:11">
      <c r="A1419" s="14">
        <v>46157</v>
      </c>
      <c r="B1419" s="15">
        <v>0.71875</v>
      </c>
      <c r="C1419" s="5">
        <f>IF('96 Werte'!BS20="","",'96 Werte'!BS20)</f>
        <v/>
      </c>
      <c r="D1419" t="str">
        <f>IF(IF(Eingaben!$B$21&lt;Eingaben!$B$22,AND(B1419&gt;=Eingaben!$B$21,B1419&lt;Eingaben!$B$22),OR(B1419&gt;=Eingaben!$B$21,B1419&lt;Eingaben!$B$22)),"GO",IF(AND(ISNUMBER(Eingaben!$B$23),ISNUMBER(Eingaben!$B$24),IF(Eingaben!$B$23&lt;Eingaben!$B$24,AND(B1419&gt;=Eingaben!$B$23,B1419&lt;Eingaben!$B$24),OR(B1419&gt;=Eingaben!$B$23,B1419&lt;Eingaben!$B$24))),"HEAT","STANDARD"))</f>
        <v>STANDARD</v>
      </c>
      <c r="E1419" s="9"/>
      <c r="F1419" t="str">
        <f>IF(E1419="",D1419,E1419)</f>
        <v>STANDARD</v>
      </c>
      <c r="G1419" t="str">
        <f>INDEX(Netzzeiten!$B$6:$B$29,HOUR(B1419)+1)</f>
        <v>HT</v>
      </c>
      <c r="H1419" s="6">
        <f>IF(F1419="GO",Eingaben!$B$11,IF(F1419="STANDARD",Eingaben!$B$12,IF(AND(F1419="HEAT",ISNUMBER(Eingaben!$B$13)),Eingaben!$B$13,"")))</f>
        <v>28.2744</v>
      </c>
      <c r="I1419" s="6">
        <f>INDEX(Netzzeiten!$C$6:$C$29,HOUR(B1419)+1)</f>
        <v>10.52</v>
      </c>
      <c r="J1419" t="str">
        <f>IF(C1419="","FEHLT",IF(NOT(ISNUMBER(C1419)),"MESSWERT UNGUELTIG",IF(C1419&lt;0,"MESSWERT UNGUELTIG",IF(H1419="","TARIFPREIS FEHLT","OK"))))</f>
        <v>FEHLT</v>
      </c>
      <c r="K1419" s="7">
        <f>IF(J1419&lt;&gt;"OK","",C1419*I1419/100)</f>
        <v/>
      </c>
    </row>
    <row r="1420" spans="1:11">
      <c r="A1420" s="14">
        <v>46157</v>
      </c>
      <c r="B1420" s="15">
        <v>0.7291666666666666</v>
      </c>
      <c r="C1420" s="5">
        <f>IF('96 Werte'!BT20="","",'96 Werte'!BT20)</f>
        <v/>
      </c>
      <c r="D1420" t="str">
        <f>IF(IF(Eingaben!$B$21&lt;Eingaben!$B$22,AND(B1420&gt;=Eingaben!$B$21,B1420&lt;Eingaben!$B$22),OR(B1420&gt;=Eingaben!$B$21,B1420&lt;Eingaben!$B$22)),"GO",IF(AND(ISNUMBER(Eingaben!$B$23),ISNUMBER(Eingaben!$B$24),IF(Eingaben!$B$23&lt;Eingaben!$B$24,AND(B1420&gt;=Eingaben!$B$23,B1420&lt;Eingaben!$B$24),OR(B1420&gt;=Eingaben!$B$23,B1420&lt;Eingaben!$B$24))),"HEAT","STANDARD"))</f>
        <v>STANDARD</v>
      </c>
      <c r="E1420" s="9"/>
      <c r="F1420" t="str">
        <f>IF(E1420="",D1420,E1420)</f>
        <v>STANDARD</v>
      </c>
      <c r="G1420" t="str">
        <f>INDEX(Netzzeiten!$B$6:$B$29,HOUR(B1420)+1)</f>
        <v>HT</v>
      </c>
      <c r="H1420" s="6">
        <f>IF(F1420="GO",Eingaben!$B$11,IF(F1420="STANDARD",Eingaben!$B$12,IF(AND(F1420="HEAT",ISNUMBER(Eingaben!$B$13)),Eingaben!$B$13,"")))</f>
        <v>28.2744</v>
      </c>
      <c r="I1420" s="6">
        <f>INDEX(Netzzeiten!$C$6:$C$29,HOUR(B1420)+1)</f>
        <v>10.52</v>
      </c>
      <c r="J1420" t="str">
        <f>IF(C1420="","FEHLT",IF(NOT(ISNUMBER(C1420)),"MESSWERT UNGUELTIG",IF(C1420&lt;0,"MESSWERT UNGUELTIG",IF(H1420="","TARIFPREIS FEHLT","OK"))))</f>
        <v>FEHLT</v>
      </c>
      <c r="K1420" s="7">
        <f>IF(J1420&lt;&gt;"OK","",C1420*I1420/100)</f>
        <v/>
      </c>
    </row>
    <row r="1421" spans="1:11">
      <c r="A1421" s="14">
        <v>46157</v>
      </c>
      <c r="B1421" s="15">
        <v>0.7395833333333334</v>
      </c>
      <c r="C1421" s="5">
        <f>IF('96 Werte'!BU20="","",'96 Werte'!BU20)</f>
        <v/>
      </c>
      <c r="D1421" t="str">
        <f>IF(IF(Eingaben!$B$21&lt;Eingaben!$B$22,AND(B1421&gt;=Eingaben!$B$21,B1421&lt;Eingaben!$B$22),OR(B1421&gt;=Eingaben!$B$21,B1421&lt;Eingaben!$B$22)),"GO",IF(AND(ISNUMBER(Eingaben!$B$23),ISNUMBER(Eingaben!$B$24),IF(Eingaben!$B$23&lt;Eingaben!$B$24,AND(B1421&gt;=Eingaben!$B$23,B1421&lt;Eingaben!$B$24),OR(B1421&gt;=Eingaben!$B$23,B1421&lt;Eingaben!$B$24))),"HEAT","STANDARD"))</f>
        <v>STANDARD</v>
      </c>
      <c r="E1421" s="9"/>
      <c r="F1421" t="str">
        <f>IF(E1421="",D1421,E1421)</f>
        <v>STANDARD</v>
      </c>
      <c r="G1421" t="str">
        <f>INDEX(Netzzeiten!$B$6:$B$29,HOUR(B1421)+1)</f>
        <v>HT</v>
      </c>
      <c r="H1421" s="6">
        <f>IF(F1421="GO",Eingaben!$B$11,IF(F1421="STANDARD",Eingaben!$B$12,IF(AND(F1421="HEAT",ISNUMBER(Eingaben!$B$13)),Eingaben!$B$13,"")))</f>
        <v>28.2744</v>
      </c>
      <c r="I1421" s="6">
        <f>INDEX(Netzzeiten!$C$6:$C$29,HOUR(B1421)+1)</f>
        <v>10.52</v>
      </c>
      <c r="J1421" t="str">
        <f>IF(C1421="","FEHLT",IF(NOT(ISNUMBER(C1421)),"MESSWERT UNGUELTIG",IF(C1421&lt;0,"MESSWERT UNGUELTIG",IF(H1421="","TARIFPREIS FEHLT","OK"))))</f>
        <v>FEHLT</v>
      </c>
      <c r="K1421" s="7">
        <f>IF(J1421&lt;&gt;"OK","",C1421*I1421/100)</f>
        <v/>
      </c>
    </row>
    <row r="1422" spans="1:11">
      <c r="A1422" s="14">
        <v>46157</v>
      </c>
      <c r="B1422" s="15">
        <v>0.75</v>
      </c>
      <c r="C1422" s="5">
        <f>IF('96 Werte'!BV20="","",'96 Werte'!BV20)</f>
        <v/>
      </c>
      <c r="D1422" t="str">
        <f>IF(IF(Eingaben!$B$21&lt;Eingaben!$B$22,AND(B1422&gt;=Eingaben!$B$21,B1422&lt;Eingaben!$B$22),OR(B1422&gt;=Eingaben!$B$21,B1422&lt;Eingaben!$B$22)),"GO",IF(AND(ISNUMBER(Eingaben!$B$23),ISNUMBER(Eingaben!$B$24),IF(Eingaben!$B$23&lt;Eingaben!$B$24,AND(B1422&gt;=Eingaben!$B$23,B1422&lt;Eingaben!$B$24),OR(B1422&gt;=Eingaben!$B$23,B1422&lt;Eingaben!$B$24))),"HEAT","STANDARD"))</f>
        <v>STANDARD</v>
      </c>
      <c r="E1422" s="9"/>
      <c r="F1422" t="str">
        <f>IF(E1422="",D1422,E1422)</f>
        <v>STANDARD</v>
      </c>
      <c r="G1422" t="str">
        <f>INDEX(Netzzeiten!$B$6:$B$29,HOUR(B1422)+1)</f>
        <v>HT</v>
      </c>
      <c r="H1422" s="6">
        <f>IF(F1422="GO",Eingaben!$B$11,IF(F1422="STANDARD",Eingaben!$B$12,IF(AND(F1422="HEAT",ISNUMBER(Eingaben!$B$13)),Eingaben!$B$13,"")))</f>
        <v>28.2744</v>
      </c>
      <c r="I1422" s="6">
        <f>INDEX(Netzzeiten!$C$6:$C$29,HOUR(B1422)+1)</f>
        <v>10.52</v>
      </c>
      <c r="J1422" t="str">
        <f>IF(C1422="","FEHLT",IF(NOT(ISNUMBER(C1422)),"MESSWERT UNGUELTIG",IF(C1422&lt;0,"MESSWERT UNGUELTIG",IF(H1422="","TARIFPREIS FEHLT","OK"))))</f>
        <v>FEHLT</v>
      </c>
      <c r="K1422" s="7">
        <f>IF(J1422&lt;&gt;"OK","",C1422*I1422/100)</f>
        <v/>
      </c>
    </row>
    <row r="1423" spans="1:11">
      <c r="A1423" s="14">
        <v>46157</v>
      </c>
      <c r="B1423" s="15">
        <v>0.7604166666666666</v>
      </c>
      <c r="C1423" s="5">
        <f>IF('96 Werte'!BW20="","",'96 Werte'!BW20)</f>
        <v/>
      </c>
      <c r="D1423" t="str">
        <f>IF(IF(Eingaben!$B$21&lt;Eingaben!$B$22,AND(B1423&gt;=Eingaben!$B$21,B1423&lt;Eingaben!$B$22),OR(B1423&gt;=Eingaben!$B$21,B1423&lt;Eingaben!$B$22)),"GO",IF(AND(ISNUMBER(Eingaben!$B$23),ISNUMBER(Eingaben!$B$24),IF(Eingaben!$B$23&lt;Eingaben!$B$24,AND(B1423&gt;=Eingaben!$B$23,B1423&lt;Eingaben!$B$24),OR(B1423&gt;=Eingaben!$B$23,B1423&lt;Eingaben!$B$24))),"HEAT","STANDARD"))</f>
        <v>STANDARD</v>
      </c>
      <c r="E1423" s="9"/>
      <c r="F1423" t="str">
        <f>IF(E1423="",D1423,E1423)</f>
        <v>STANDARD</v>
      </c>
      <c r="G1423" t="str">
        <f>INDEX(Netzzeiten!$B$6:$B$29,HOUR(B1423)+1)</f>
        <v>HT</v>
      </c>
      <c r="H1423" s="6">
        <f>IF(F1423="GO",Eingaben!$B$11,IF(F1423="STANDARD",Eingaben!$B$12,IF(AND(F1423="HEAT",ISNUMBER(Eingaben!$B$13)),Eingaben!$B$13,"")))</f>
        <v>28.2744</v>
      </c>
      <c r="I1423" s="6">
        <f>INDEX(Netzzeiten!$C$6:$C$29,HOUR(B1423)+1)</f>
        <v>10.52</v>
      </c>
      <c r="J1423" t="str">
        <f>IF(C1423="","FEHLT",IF(NOT(ISNUMBER(C1423)),"MESSWERT UNGUELTIG",IF(C1423&lt;0,"MESSWERT UNGUELTIG",IF(H1423="","TARIFPREIS FEHLT","OK"))))</f>
        <v>FEHLT</v>
      </c>
      <c r="K1423" s="7">
        <f>IF(J1423&lt;&gt;"OK","",C1423*I1423/100)</f>
        <v/>
      </c>
    </row>
    <row r="1424" spans="1:11">
      <c r="A1424" s="14">
        <v>46157</v>
      </c>
      <c r="B1424" s="15">
        <v>0.7708333333333334</v>
      </c>
      <c r="C1424" s="5">
        <f>IF('96 Werte'!BX20="","",'96 Werte'!BX20)</f>
        <v/>
      </c>
      <c r="D1424" t="str">
        <f>IF(IF(Eingaben!$B$21&lt;Eingaben!$B$22,AND(B1424&gt;=Eingaben!$B$21,B1424&lt;Eingaben!$B$22),OR(B1424&gt;=Eingaben!$B$21,B1424&lt;Eingaben!$B$22)),"GO",IF(AND(ISNUMBER(Eingaben!$B$23),ISNUMBER(Eingaben!$B$24),IF(Eingaben!$B$23&lt;Eingaben!$B$24,AND(B1424&gt;=Eingaben!$B$23,B1424&lt;Eingaben!$B$24),OR(B1424&gt;=Eingaben!$B$23,B1424&lt;Eingaben!$B$24))),"HEAT","STANDARD"))</f>
        <v>STANDARD</v>
      </c>
      <c r="E1424" s="9"/>
      <c r="F1424" t="str">
        <f>IF(E1424="",D1424,E1424)</f>
        <v>STANDARD</v>
      </c>
      <c r="G1424" t="str">
        <f>INDEX(Netzzeiten!$B$6:$B$29,HOUR(B1424)+1)</f>
        <v>HT</v>
      </c>
      <c r="H1424" s="6">
        <f>IF(F1424="GO",Eingaben!$B$11,IF(F1424="STANDARD",Eingaben!$B$12,IF(AND(F1424="HEAT",ISNUMBER(Eingaben!$B$13)),Eingaben!$B$13,"")))</f>
        <v>28.2744</v>
      </c>
      <c r="I1424" s="6">
        <f>INDEX(Netzzeiten!$C$6:$C$29,HOUR(B1424)+1)</f>
        <v>10.52</v>
      </c>
      <c r="J1424" t="str">
        <f>IF(C1424="","FEHLT",IF(NOT(ISNUMBER(C1424)),"MESSWERT UNGUELTIG",IF(C1424&lt;0,"MESSWERT UNGUELTIG",IF(H1424="","TARIFPREIS FEHLT","OK"))))</f>
        <v>FEHLT</v>
      </c>
      <c r="K1424" s="7">
        <f>IF(J1424&lt;&gt;"OK","",C1424*I1424/100)</f>
        <v/>
      </c>
    </row>
    <row r="1425" spans="1:11">
      <c r="A1425" s="14">
        <v>46157</v>
      </c>
      <c r="B1425" s="15">
        <v>0.78125</v>
      </c>
      <c r="C1425" s="5">
        <f>IF('96 Werte'!BY20="","",'96 Werte'!BY20)</f>
        <v/>
      </c>
      <c r="D1425" t="str">
        <f>IF(IF(Eingaben!$B$21&lt;Eingaben!$B$22,AND(B1425&gt;=Eingaben!$B$21,B1425&lt;Eingaben!$B$22),OR(B1425&gt;=Eingaben!$B$21,B1425&lt;Eingaben!$B$22)),"GO",IF(AND(ISNUMBER(Eingaben!$B$23),ISNUMBER(Eingaben!$B$24),IF(Eingaben!$B$23&lt;Eingaben!$B$24,AND(B1425&gt;=Eingaben!$B$23,B1425&lt;Eingaben!$B$24),OR(B1425&gt;=Eingaben!$B$23,B1425&lt;Eingaben!$B$24))),"HEAT","STANDARD"))</f>
        <v>STANDARD</v>
      </c>
      <c r="E1425" s="9"/>
      <c r="F1425" t="str">
        <f>IF(E1425="",D1425,E1425)</f>
        <v>STANDARD</v>
      </c>
      <c r="G1425" t="str">
        <f>INDEX(Netzzeiten!$B$6:$B$29,HOUR(B1425)+1)</f>
        <v>HT</v>
      </c>
      <c r="H1425" s="6">
        <f>IF(F1425="GO",Eingaben!$B$11,IF(F1425="STANDARD",Eingaben!$B$12,IF(AND(F1425="HEAT",ISNUMBER(Eingaben!$B$13)),Eingaben!$B$13,"")))</f>
        <v>28.2744</v>
      </c>
      <c r="I1425" s="6">
        <f>INDEX(Netzzeiten!$C$6:$C$29,HOUR(B1425)+1)</f>
        <v>10.52</v>
      </c>
      <c r="J1425" t="str">
        <f>IF(C1425="","FEHLT",IF(NOT(ISNUMBER(C1425)),"MESSWERT UNGUELTIG",IF(C1425&lt;0,"MESSWERT UNGUELTIG",IF(H1425="","TARIFPREIS FEHLT","OK"))))</f>
        <v>FEHLT</v>
      </c>
      <c r="K1425" s="7">
        <f>IF(J1425&lt;&gt;"OK","",C1425*I1425/100)</f>
        <v/>
      </c>
    </row>
    <row r="1426" spans="1:11">
      <c r="A1426" s="14">
        <v>46157</v>
      </c>
      <c r="B1426" s="15">
        <v>0.7916666666666666</v>
      </c>
      <c r="C1426" s="5">
        <f>IF('96 Werte'!BZ20="","",'96 Werte'!BZ20)</f>
        <v/>
      </c>
      <c r="D1426" t="str">
        <f>IF(IF(Eingaben!$B$21&lt;Eingaben!$B$22,AND(B1426&gt;=Eingaben!$B$21,B1426&lt;Eingaben!$B$22),OR(B1426&gt;=Eingaben!$B$21,B1426&lt;Eingaben!$B$22)),"GO",IF(AND(ISNUMBER(Eingaben!$B$23),ISNUMBER(Eingaben!$B$24),IF(Eingaben!$B$23&lt;Eingaben!$B$24,AND(B1426&gt;=Eingaben!$B$23,B1426&lt;Eingaben!$B$24),OR(B1426&gt;=Eingaben!$B$23,B1426&lt;Eingaben!$B$24))),"HEAT","STANDARD"))</f>
        <v>STANDARD</v>
      </c>
      <c r="E1426" s="9"/>
      <c r="F1426" t="str">
        <f>IF(E1426="",D1426,E1426)</f>
        <v>STANDARD</v>
      </c>
      <c r="G1426" t="str">
        <f>INDEX(Netzzeiten!$B$6:$B$29,HOUR(B1426)+1)</f>
        <v>HT</v>
      </c>
      <c r="H1426" s="6">
        <f>IF(F1426="GO",Eingaben!$B$11,IF(F1426="STANDARD",Eingaben!$B$12,IF(AND(F1426="HEAT",ISNUMBER(Eingaben!$B$13)),Eingaben!$B$13,"")))</f>
        <v>28.2744</v>
      </c>
      <c r="I1426" s="6">
        <f>INDEX(Netzzeiten!$C$6:$C$29,HOUR(B1426)+1)</f>
        <v>10.52</v>
      </c>
      <c r="J1426" t="str">
        <f>IF(C1426="","FEHLT",IF(NOT(ISNUMBER(C1426)),"MESSWERT UNGUELTIG",IF(C1426&lt;0,"MESSWERT UNGUELTIG",IF(H1426="","TARIFPREIS FEHLT","OK"))))</f>
        <v>FEHLT</v>
      </c>
      <c r="K1426" s="7">
        <f>IF(J1426&lt;&gt;"OK","",C1426*I1426/100)</f>
        <v/>
      </c>
    </row>
    <row r="1427" spans="1:11">
      <c r="A1427" s="14">
        <v>46157</v>
      </c>
      <c r="B1427" s="15">
        <v>0.8020833333333334</v>
      </c>
      <c r="C1427" s="5">
        <f>IF('96 Werte'!CA20="","",'96 Werte'!CA20)</f>
        <v/>
      </c>
      <c r="D1427" t="str">
        <f>IF(IF(Eingaben!$B$21&lt;Eingaben!$B$22,AND(B1427&gt;=Eingaben!$B$21,B1427&lt;Eingaben!$B$22),OR(B1427&gt;=Eingaben!$B$21,B1427&lt;Eingaben!$B$22)),"GO",IF(AND(ISNUMBER(Eingaben!$B$23),ISNUMBER(Eingaben!$B$24),IF(Eingaben!$B$23&lt;Eingaben!$B$24,AND(B1427&gt;=Eingaben!$B$23,B1427&lt;Eingaben!$B$24),OR(B1427&gt;=Eingaben!$B$23,B1427&lt;Eingaben!$B$24))),"HEAT","STANDARD"))</f>
        <v>STANDARD</v>
      </c>
      <c r="E1427" s="9"/>
      <c r="F1427" t="str">
        <f>IF(E1427="",D1427,E1427)</f>
        <v>STANDARD</v>
      </c>
      <c r="G1427" t="str">
        <f>INDEX(Netzzeiten!$B$6:$B$29,HOUR(B1427)+1)</f>
        <v>HT</v>
      </c>
      <c r="H1427" s="6">
        <f>IF(F1427="GO",Eingaben!$B$11,IF(F1427="STANDARD",Eingaben!$B$12,IF(AND(F1427="HEAT",ISNUMBER(Eingaben!$B$13)),Eingaben!$B$13,"")))</f>
        <v>28.2744</v>
      </c>
      <c r="I1427" s="6">
        <f>INDEX(Netzzeiten!$C$6:$C$29,HOUR(B1427)+1)</f>
        <v>10.52</v>
      </c>
      <c r="J1427" t="str">
        <f>IF(C1427="","FEHLT",IF(NOT(ISNUMBER(C1427)),"MESSWERT UNGUELTIG",IF(C1427&lt;0,"MESSWERT UNGUELTIG",IF(H1427="","TARIFPREIS FEHLT","OK"))))</f>
        <v>FEHLT</v>
      </c>
      <c r="K1427" s="7">
        <f>IF(J1427&lt;&gt;"OK","",C1427*I1427/100)</f>
        <v/>
      </c>
    </row>
    <row r="1428" spans="1:11">
      <c r="A1428" s="14">
        <v>46157</v>
      </c>
      <c r="B1428" s="15">
        <v>0.8125</v>
      </c>
      <c r="C1428" s="5">
        <f>IF('96 Werte'!CB20="","",'96 Werte'!CB20)</f>
        <v/>
      </c>
      <c r="D1428" t="str">
        <f>IF(IF(Eingaben!$B$21&lt;Eingaben!$B$22,AND(B1428&gt;=Eingaben!$B$21,B1428&lt;Eingaben!$B$22),OR(B1428&gt;=Eingaben!$B$21,B1428&lt;Eingaben!$B$22)),"GO",IF(AND(ISNUMBER(Eingaben!$B$23),ISNUMBER(Eingaben!$B$24),IF(Eingaben!$B$23&lt;Eingaben!$B$24,AND(B1428&gt;=Eingaben!$B$23,B1428&lt;Eingaben!$B$24),OR(B1428&gt;=Eingaben!$B$23,B1428&lt;Eingaben!$B$24))),"HEAT","STANDARD"))</f>
        <v>STANDARD</v>
      </c>
      <c r="E1428" s="9"/>
      <c r="F1428" t="str">
        <f>IF(E1428="",D1428,E1428)</f>
        <v>STANDARD</v>
      </c>
      <c r="G1428" t="str">
        <f>INDEX(Netzzeiten!$B$6:$B$29,HOUR(B1428)+1)</f>
        <v>HT</v>
      </c>
      <c r="H1428" s="6">
        <f>IF(F1428="GO",Eingaben!$B$11,IF(F1428="STANDARD",Eingaben!$B$12,IF(AND(F1428="HEAT",ISNUMBER(Eingaben!$B$13)),Eingaben!$B$13,"")))</f>
        <v>28.2744</v>
      </c>
      <c r="I1428" s="6">
        <f>INDEX(Netzzeiten!$C$6:$C$29,HOUR(B1428)+1)</f>
        <v>10.52</v>
      </c>
      <c r="J1428" t="str">
        <f>IF(C1428="","FEHLT",IF(NOT(ISNUMBER(C1428)),"MESSWERT UNGUELTIG",IF(C1428&lt;0,"MESSWERT UNGUELTIG",IF(H1428="","TARIFPREIS FEHLT","OK"))))</f>
        <v>FEHLT</v>
      </c>
      <c r="K1428" s="7">
        <f>IF(J1428&lt;&gt;"OK","",C1428*I1428/100)</f>
        <v/>
      </c>
    </row>
    <row r="1429" spans="1:11">
      <c r="A1429" s="14">
        <v>46157</v>
      </c>
      <c r="B1429" s="15">
        <v>0.8229166666666666</v>
      </c>
      <c r="C1429" s="5">
        <f>IF('96 Werte'!CC20="","",'96 Werte'!CC20)</f>
        <v/>
      </c>
      <c r="D1429" t="str">
        <f>IF(IF(Eingaben!$B$21&lt;Eingaben!$B$22,AND(B1429&gt;=Eingaben!$B$21,B1429&lt;Eingaben!$B$22),OR(B1429&gt;=Eingaben!$B$21,B1429&lt;Eingaben!$B$22)),"GO",IF(AND(ISNUMBER(Eingaben!$B$23),ISNUMBER(Eingaben!$B$24),IF(Eingaben!$B$23&lt;Eingaben!$B$24,AND(B1429&gt;=Eingaben!$B$23,B1429&lt;Eingaben!$B$24),OR(B1429&gt;=Eingaben!$B$23,B1429&lt;Eingaben!$B$24))),"HEAT","STANDARD"))</f>
        <v>STANDARD</v>
      </c>
      <c r="E1429" s="9"/>
      <c r="F1429" t="str">
        <f>IF(E1429="",D1429,E1429)</f>
        <v>STANDARD</v>
      </c>
      <c r="G1429" t="str">
        <f>INDEX(Netzzeiten!$B$6:$B$29,HOUR(B1429)+1)</f>
        <v>HT</v>
      </c>
      <c r="H1429" s="6">
        <f>IF(F1429="GO",Eingaben!$B$11,IF(F1429="STANDARD",Eingaben!$B$12,IF(AND(F1429="HEAT",ISNUMBER(Eingaben!$B$13)),Eingaben!$B$13,"")))</f>
        <v>28.2744</v>
      </c>
      <c r="I1429" s="6">
        <f>INDEX(Netzzeiten!$C$6:$C$29,HOUR(B1429)+1)</f>
        <v>10.52</v>
      </c>
      <c r="J1429" t="str">
        <f>IF(C1429="","FEHLT",IF(NOT(ISNUMBER(C1429)),"MESSWERT UNGUELTIG",IF(C1429&lt;0,"MESSWERT UNGUELTIG",IF(H1429="","TARIFPREIS FEHLT","OK"))))</f>
        <v>FEHLT</v>
      </c>
      <c r="K1429" s="7">
        <f>IF(J1429&lt;&gt;"OK","",C1429*I1429/100)</f>
        <v/>
      </c>
    </row>
    <row r="1430" spans="1:11">
      <c r="A1430" s="14">
        <v>46157</v>
      </c>
      <c r="B1430" s="15">
        <v>0.8333333333333334</v>
      </c>
      <c r="C1430" s="5">
        <f>IF('96 Werte'!CD20="","",'96 Werte'!CD20)</f>
        <v/>
      </c>
      <c r="D1430" t="str">
        <f>IF(IF(Eingaben!$B$21&lt;Eingaben!$B$22,AND(B1430&gt;=Eingaben!$B$21,B1430&lt;Eingaben!$B$22),OR(B1430&gt;=Eingaben!$B$21,B1430&lt;Eingaben!$B$22)),"GO",IF(AND(ISNUMBER(Eingaben!$B$23),ISNUMBER(Eingaben!$B$24),IF(Eingaben!$B$23&lt;Eingaben!$B$24,AND(B1430&gt;=Eingaben!$B$23,B1430&lt;Eingaben!$B$24),OR(B1430&gt;=Eingaben!$B$23,B1430&lt;Eingaben!$B$24))),"HEAT","STANDARD"))</f>
        <v>STANDARD</v>
      </c>
      <c r="E1430" s="9"/>
      <c r="F1430" t="str">
        <f>IF(E1430="",D1430,E1430)</f>
        <v>STANDARD</v>
      </c>
      <c r="G1430" t="str">
        <f>INDEX(Netzzeiten!$B$6:$B$29,HOUR(B1430)+1)</f>
        <v>HT</v>
      </c>
      <c r="H1430" s="6">
        <f>IF(F1430="GO",Eingaben!$B$11,IF(F1430="STANDARD",Eingaben!$B$12,IF(AND(F1430="HEAT",ISNUMBER(Eingaben!$B$13)),Eingaben!$B$13,"")))</f>
        <v>28.2744</v>
      </c>
      <c r="I1430" s="6">
        <f>INDEX(Netzzeiten!$C$6:$C$29,HOUR(B1430)+1)</f>
        <v>10.52</v>
      </c>
      <c r="J1430" t="str">
        <f>IF(C1430="","FEHLT",IF(NOT(ISNUMBER(C1430)),"MESSWERT UNGUELTIG",IF(C1430&lt;0,"MESSWERT UNGUELTIG",IF(H1430="","TARIFPREIS FEHLT","OK"))))</f>
        <v>FEHLT</v>
      </c>
      <c r="K1430" s="7">
        <f>IF(J1430&lt;&gt;"OK","",C1430*I1430/100)</f>
        <v/>
      </c>
    </row>
    <row r="1431" spans="1:11">
      <c r="A1431" s="14">
        <v>46157</v>
      </c>
      <c r="B1431" s="15">
        <v>0.84375</v>
      </c>
      <c r="C1431" s="5">
        <f>IF('96 Werte'!CE20="","",'96 Werte'!CE20)</f>
        <v/>
      </c>
      <c r="D1431" t="str">
        <f>IF(IF(Eingaben!$B$21&lt;Eingaben!$B$22,AND(B1431&gt;=Eingaben!$B$21,B1431&lt;Eingaben!$B$22),OR(B1431&gt;=Eingaben!$B$21,B1431&lt;Eingaben!$B$22)),"GO",IF(AND(ISNUMBER(Eingaben!$B$23),ISNUMBER(Eingaben!$B$24),IF(Eingaben!$B$23&lt;Eingaben!$B$24,AND(B1431&gt;=Eingaben!$B$23,B1431&lt;Eingaben!$B$24),OR(B1431&gt;=Eingaben!$B$23,B1431&lt;Eingaben!$B$24))),"HEAT","STANDARD"))</f>
        <v>STANDARD</v>
      </c>
      <c r="E1431" s="9"/>
      <c r="F1431" t="str">
        <f>IF(E1431="",D1431,E1431)</f>
        <v>STANDARD</v>
      </c>
      <c r="G1431" t="str">
        <f>INDEX(Netzzeiten!$B$6:$B$29,HOUR(B1431)+1)</f>
        <v>HT</v>
      </c>
      <c r="H1431" s="6">
        <f>IF(F1431="GO",Eingaben!$B$11,IF(F1431="STANDARD",Eingaben!$B$12,IF(AND(F1431="HEAT",ISNUMBER(Eingaben!$B$13)),Eingaben!$B$13,"")))</f>
        <v>28.2744</v>
      </c>
      <c r="I1431" s="6">
        <f>INDEX(Netzzeiten!$C$6:$C$29,HOUR(B1431)+1)</f>
        <v>10.52</v>
      </c>
      <c r="J1431" t="str">
        <f>IF(C1431="","FEHLT",IF(NOT(ISNUMBER(C1431)),"MESSWERT UNGUELTIG",IF(C1431&lt;0,"MESSWERT UNGUELTIG",IF(H1431="","TARIFPREIS FEHLT","OK"))))</f>
        <v>FEHLT</v>
      </c>
      <c r="K1431" s="7">
        <f>IF(J1431&lt;&gt;"OK","",C1431*I1431/100)</f>
        <v/>
      </c>
    </row>
    <row r="1432" spans="1:11">
      <c r="A1432" s="14">
        <v>46157</v>
      </c>
      <c r="B1432" s="15">
        <v>0.8541666666666666</v>
      </c>
      <c r="C1432" s="5">
        <f>IF('96 Werte'!CF20="","",'96 Werte'!CF20)</f>
        <v/>
      </c>
      <c r="D1432" t="str">
        <f>IF(IF(Eingaben!$B$21&lt;Eingaben!$B$22,AND(B1432&gt;=Eingaben!$B$21,B1432&lt;Eingaben!$B$22),OR(B1432&gt;=Eingaben!$B$21,B1432&lt;Eingaben!$B$22)),"GO",IF(AND(ISNUMBER(Eingaben!$B$23),ISNUMBER(Eingaben!$B$24),IF(Eingaben!$B$23&lt;Eingaben!$B$24,AND(B1432&gt;=Eingaben!$B$23,B1432&lt;Eingaben!$B$24),OR(B1432&gt;=Eingaben!$B$23,B1432&lt;Eingaben!$B$24))),"HEAT","STANDARD"))</f>
        <v>STANDARD</v>
      </c>
      <c r="E1432" s="9"/>
      <c r="F1432" t="str">
        <f>IF(E1432="",D1432,E1432)</f>
        <v>STANDARD</v>
      </c>
      <c r="G1432" t="str">
        <f>INDEX(Netzzeiten!$B$6:$B$29,HOUR(B1432)+1)</f>
        <v>HT</v>
      </c>
      <c r="H1432" s="6">
        <f>IF(F1432="GO",Eingaben!$B$11,IF(F1432="STANDARD",Eingaben!$B$12,IF(AND(F1432="HEAT",ISNUMBER(Eingaben!$B$13)),Eingaben!$B$13,"")))</f>
        <v>28.2744</v>
      </c>
      <c r="I1432" s="6">
        <f>INDEX(Netzzeiten!$C$6:$C$29,HOUR(B1432)+1)</f>
        <v>10.52</v>
      </c>
      <c r="J1432" t="str">
        <f>IF(C1432="","FEHLT",IF(NOT(ISNUMBER(C1432)),"MESSWERT UNGUELTIG",IF(C1432&lt;0,"MESSWERT UNGUELTIG",IF(H1432="","TARIFPREIS FEHLT","OK"))))</f>
        <v>FEHLT</v>
      </c>
      <c r="K1432" s="7">
        <f>IF(J1432&lt;&gt;"OK","",C1432*I1432/100)</f>
        <v/>
      </c>
    </row>
    <row r="1433" spans="1:11">
      <c r="A1433" s="14">
        <v>46157</v>
      </c>
      <c r="B1433" s="15">
        <v>0.8645833333333334</v>
      </c>
      <c r="C1433" s="5">
        <f>IF('96 Werte'!CG20="","",'96 Werte'!CG20)</f>
        <v/>
      </c>
      <c r="D1433" t="str">
        <f>IF(IF(Eingaben!$B$21&lt;Eingaben!$B$22,AND(B1433&gt;=Eingaben!$B$21,B1433&lt;Eingaben!$B$22),OR(B1433&gt;=Eingaben!$B$21,B1433&lt;Eingaben!$B$22)),"GO",IF(AND(ISNUMBER(Eingaben!$B$23),ISNUMBER(Eingaben!$B$24),IF(Eingaben!$B$23&lt;Eingaben!$B$24,AND(B1433&gt;=Eingaben!$B$23,B1433&lt;Eingaben!$B$24),OR(B1433&gt;=Eingaben!$B$23,B1433&lt;Eingaben!$B$24))),"HEAT","STANDARD"))</f>
        <v>STANDARD</v>
      </c>
      <c r="E1433" s="9"/>
      <c r="F1433" t="str">
        <f>IF(E1433="",D1433,E1433)</f>
        <v>STANDARD</v>
      </c>
      <c r="G1433" t="str">
        <f>INDEX(Netzzeiten!$B$6:$B$29,HOUR(B1433)+1)</f>
        <v>HT</v>
      </c>
      <c r="H1433" s="6">
        <f>IF(F1433="GO",Eingaben!$B$11,IF(F1433="STANDARD",Eingaben!$B$12,IF(AND(F1433="HEAT",ISNUMBER(Eingaben!$B$13)),Eingaben!$B$13,"")))</f>
        <v>28.2744</v>
      </c>
      <c r="I1433" s="6">
        <f>INDEX(Netzzeiten!$C$6:$C$29,HOUR(B1433)+1)</f>
        <v>10.52</v>
      </c>
      <c r="J1433" t="str">
        <f>IF(C1433="","FEHLT",IF(NOT(ISNUMBER(C1433)),"MESSWERT UNGUELTIG",IF(C1433&lt;0,"MESSWERT UNGUELTIG",IF(H1433="","TARIFPREIS FEHLT","OK"))))</f>
        <v>FEHLT</v>
      </c>
      <c r="K1433" s="7">
        <f>IF(J1433&lt;&gt;"OK","",C1433*I1433/100)</f>
        <v/>
      </c>
    </row>
    <row r="1434" spans="1:11">
      <c r="A1434" s="14">
        <v>46157</v>
      </c>
      <c r="B1434" s="15">
        <v>0.875</v>
      </c>
      <c r="C1434" s="5">
        <f>IF('96 Werte'!CH20="","",'96 Werte'!CH20)</f>
        <v/>
      </c>
      <c r="D1434" t="str">
        <f>IF(IF(Eingaben!$B$21&lt;Eingaben!$B$22,AND(B1434&gt;=Eingaben!$B$21,B1434&lt;Eingaben!$B$22),OR(B1434&gt;=Eingaben!$B$21,B1434&lt;Eingaben!$B$22)),"GO",IF(AND(ISNUMBER(Eingaben!$B$23),ISNUMBER(Eingaben!$B$24),IF(Eingaben!$B$23&lt;Eingaben!$B$24,AND(B1434&gt;=Eingaben!$B$23,B1434&lt;Eingaben!$B$24),OR(B1434&gt;=Eingaben!$B$23,B1434&lt;Eingaben!$B$24))),"HEAT","STANDARD"))</f>
        <v>STANDARD</v>
      </c>
      <c r="E1434" s="9"/>
      <c r="F1434" t="str">
        <f>IF(E1434="",D1434,E1434)</f>
        <v>STANDARD</v>
      </c>
      <c r="G1434" t="str">
        <f>INDEX(Netzzeiten!$B$6:$B$29,HOUR(B1434)+1)</f>
        <v>HT</v>
      </c>
      <c r="H1434" s="6">
        <f>IF(F1434="GO",Eingaben!$B$11,IF(F1434="STANDARD",Eingaben!$B$12,IF(AND(F1434="HEAT",ISNUMBER(Eingaben!$B$13)),Eingaben!$B$13,"")))</f>
        <v>28.2744</v>
      </c>
      <c r="I1434" s="6">
        <f>INDEX(Netzzeiten!$C$6:$C$29,HOUR(B1434)+1)</f>
        <v>10.52</v>
      </c>
      <c r="J1434" t="str">
        <f>IF(C1434="","FEHLT",IF(NOT(ISNUMBER(C1434)),"MESSWERT UNGUELTIG",IF(C1434&lt;0,"MESSWERT UNGUELTIG",IF(H1434="","TARIFPREIS FEHLT","OK"))))</f>
        <v>FEHLT</v>
      </c>
      <c r="K1434" s="7">
        <f>IF(J1434&lt;&gt;"OK","",C1434*I1434/100)</f>
        <v/>
      </c>
    </row>
    <row r="1435" spans="1:11">
      <c r="A1435" s="14">
        <v>46157</v>
      </c>
      <c r="B1435" s="15">
        <v>0.8854166666666666</v>
      </c>
      <c r="C1435" s="5">
        <f>IF('96 Werte'!CI20="","",'96 Werte'!CI20)</f>
        <v/>
      </c>
      <c r="D1435" t="str">
        <f>IF(IF(Eingaben!$B$21&lt;Eingaben!$B$22,AND(B1435&gt;=Eingaben!$B$21,B1435&lt;Eingaben!$B$22),OR(B1435&gt;=Eingaben!$B$21,B1435&lt;Eingaben!$B$22)),"GO",IF(AND(ISNUMBER(Eingaben!$B$23),ISNUMBER(Eingaben!$B$24),IF(Eingaben!$B$23&lt;Eingaben!$B$24,AND(B1435&gt;=Eingaben!$B$23,B1435&lt;Eingaben!$B$24),OR(B1435&gt;=Eingaben!$B$23,B1435&lt;Eingaben!$B$24))),"HEAT","STANDARD"))</f>
        <v>STANDARD</v>
      </c>
      <c r="E1435" s="9"/>
      <c r="F1435" t="str">
        <f>IF(E1435="",D1435,E1435)</f>
        <v>STANDARD</v>
      </c>
      <c r="G1435" t="str">
        <f>INDEX(Netzzeiten!$B$6:$B$29,HOUR(B1435)+1)</f>
        <v>HT</v>
      </c>
      <c r="H1435" s="6">
        <f>IF(F1435="GO",Eingaben!$B$11,IF(F1435="STANDARD",Eingaben!$B$12,IF(AND(F1435="HEAT",ISNUMBER(Eingaben!$B$13)),Eingaben!$B$13,"")))</f>
        <v>28.2744</v>
      </c>
      <c r="I1435" s="6">
        <f>INDEX(Netzzeiten!$C$6:$C$29,HOUR(B1435)+1)</f>
        <v>10.52</v>
      </c>
      <c r="J1435" t="str">
        <f>IF(C1435="","FEHLT",IF(NOT(ISNUMBER(C1435)),"MESSWERT UNGUELTIG",IF(C1435&lt;0,"MESSWERT UNGUELTIG",IF(H1435="","TARIFPREIS FEHLT","OK"))))</f>
        <v>FEHLT</v>
      </c>
      <c r="K1435" s="7">
        <f>IF(J1435&lt;&gt;"OK","",C1435*I1435/100)</f>
        <v/>
      </c>
    </row>
    <row r="1436" spans="1:11">
      <c r="A1436" s="14">
        <v>46157</v>
      </c>
      <c r="B1436" s="15">
        <v>0.8958333333333334</v>
      </c>
      <c r="C1436" s="5">
        <f>IF('96 Werte'!CJ20="","",'96 Werte'!CJ20)</f>
        <v/>
      </c>
      <c r="D1436" t="str">
        <f>IF(IF(Eingaben!$B$21&lt;Eingaben!$B$22,AND(B1436&gt;=Eingaben!$B$21,B1436&lt;Eingaben!$B$22),OR(B1436&gt;=Eingaben!$B$21,B1436&lt;Eingaben!$B$22)),"GO",IF(AND(ISNUMBER(Eingaben!$B$23),ISNUMBER(Eingaben!$B$24),IF(Eingaben!$B$23&lt;Eingaben!$B$24,AND(B1436&gt;=Eingaben!$B$23,B1436&lt;Eingaben!$B$24),OR(B1436&gt;=Eingaben!$B$23,B1436&lt;Eingaben!$B$24))),"HEAT","STANDARD"))</f>
        <v>STANDARD</v>
      </c>
      <c r="E1436" s="9"/>
      <c r="F1436" t="str">
        <f>IF(E1436="",D1436,E1436)</f>
        <v>STANDARD</v>
      </c>
      <c r="G1436" t="str">
        <f>INDEX(Netzzeiten!$B$6:$B$29,HOUR(B1436)+1)</f>
        <v>HT</v>
      </c>
      <c r="H1436" s="6">
        <f>IF(F1436="GO",Eingaben!$B$11,IF(F1436="STANDARD",Eingaben!$B$12,IF(AND(F1436="HEAT",ISNUMBER(Eingaben!$B$13)),Eingaben!$B$13,"")))</f>
        <v>28.2744</v>
      </c>
      <c r="I1436" s="6">
        <f>INDEX(Netzzeiten!$C$6:$C$29,HOUR(B1436)+1)</f>
        <v>10.52</v>
      </c>
      <c r="J1436" t="str">
        <f>IF(C1436="","FEHLT",IF(NOT(ISNUMBER(C1436)),"MESSWERT UNGUELTIG",IF(C1436&lt;0,"MESSWERT UNGUELTIG",IF(H1436="","TARIFPREIS FEHLT","OK"))))</f>
        <v>FEHLT</v>
      </c>
      <c r="K1436" s="7">
        <f>IF(J1436&lt;&gt;"OK","",C1436*I1436/100)</f>
        <v/>
      </c>
    </row>
    <row r="1437" spans="1:11">
      <c r="A1437" s="14">
        <v>46157</v>
      </c>
      <c r="B1437" s="15">
        <v>0.90625</v>
      </c>
      <c r="C1437" s="5">
        <f>IF('96 Werte'!CK20="","",'96 Werte'!CK20)</f>
        <v/>
      </c>
      <c r="D1437" t="str">
        <f>IF(IF(Eingaben!$B$21&lt;Eingaben!$B$22,AND(B1437&gt;=Eingaben!$B$21,B1437&lt;Eingaben!$B$22),OR(B1437&gt;=Eingaben!$B$21,B1437&lt;Eingaben!$B$22)),"GO",IF(AND(ISNUMBER(Eingaben!$B$23),ISNUMBER(Eingaben!$B$24),IF(Eingaben!$B$23&lt;Eingaben!$B$24,AND(B1437&gt;=Eingaben!$B$23,B1437&lt;Eingaben!$B$24),OR(B1437&gt;=Eingaben!$B$23,B1437&lt;Eingaben!$B$24))),"HEAT","STANDARD"))</f>
        <v>STANDARD</v>
      </c>
      <c r="E1437" s="9"/>
      <c r="F1437" t="str">
        <f>IF(E1437="",D1437,E1437)</f>
        <v>STANDARD</v>
      </c>
      <c r="G1437" t="str">
        <f>INDEX(Netzzeiten!$B$6:$B$29,HOUR(B1437)+1)</f>
        <v>HT</v>
      </c>
      <c r="H1437" s="6">
        <f>IF(F1437="GO",Eingaben!$B$11,IF(F1437="STANDARD",Eingaben!$B$12,IF(AND(F1437="HEAT",ISNUMBER(Eingaben!$B$13)),Eingaben!$B$13,"")))</f>
        <v>28.2744</v>
      </c>
      <c r="I1437" s="6">
        <f>INDEX(Netzzeiten!$C$6:$C$29,HOUR(B1437)+1)</f>
        <v>10.52</v>
      </c>
      <c r="J1437" t="str">
        <f>IF(C1437="","FEHLT",IF(NOT(ISNUMBER(C1437)),"MESSWERT UNGUELTIG",IF(C1437&lt;0,"MESSWERT UNGUELTIG",IF(H1437="","TARIFPREIS FEHLT","OK"))))</f>
        <v>FEHLT</v>
      </c>
      <c r="K1437" s="7">
        <f>IF(J1437&lt;&gt;"OK","",C1437*I1437/100)</f>
        <v/>
      </c>
    </row>
    <row r="1438" spans="1:11">
      <c r="A1438" s="14">
        <v>46157</v>
      </c>
      <c r="B1438" s="15">
        <v>0.9166666666666666</v>
      </c>
      <c r="C1438" s="5">
        <f>IF('96 Werte'!CL20="","",'96 Werte'!CL20)</f>
        <v/>
      </c>
      <c r="D1438" t="str">
        <f>IF(IF(Eingaben!$B$21&lt;Eingaben!$B$22,AND(B1438&gt;=Eingaben!$B$21,B1438&lt;Eingaben!$B$22),OR(B1438&gt;=Eingaben!$B$21,B1438&lt;Eingaben!$B$22)),"GO",IF(AND(ISNUMBER(Eingaben!$B$23),ISNUMBER(Eingaben!$B$24),IF(Eingaben!$B$23&lt;Eingaben!$B$24,AND(B1438&gt;=Eingaben!$B$23,B1438&lt;Eingaben!$B$24),OR(B1438&gt;=Eingaben!$B$23,B1438&lt;Eingaben!$B$24))),"HEAT","STANDARD"))</f>
        <v>STANDARD</v>
      </c>
      <c r="E1438" s="9"/>
      <c r="F1438" t="str">
        <f>IF(E1438="",D1438,E1438)</f>
        <v>STANDARD</v>
      </c>
      <c r="G1438" t="str">
        <f>INDEX(Netzzeiten!$B$6:$B$29,HOUR(B1438)+1)</f>
        <v>ST</v>
      </c>
      <c r="H1438" s="6">
        <f>IF(F1438="GO",Eingaben!$B$11,IF(F1438="STANDARD",Eingaben!$B$12,IF(AND(F1438="HEAT",ISNUMBER(Eingaben!$B$13)),Eingaben!$B$13,"")))</f>
        <v>28.2744</v>
      </c>
      <c r="I1438" s="6">
        <f>INDEX(Netzzeiten!$C$6:$C$29,HOUR(B1438)+1)</f>
        <v>5.48</v>
      </c>
      <c r="J1438" t="str">
        <f>IF(C1438="","FEHLT",IF(NOT(ISNUMBER(C1438)),"MESSWERT UNGUELTIG",IF(C1438&lt;0,"MESSWERT UNGUELTIG",IF(H1438="","TARIFPREIS FEHLT","OK"))))</f>
        <v>FEHLT</v>
      </c>
      <c r="K1438" s="7">
        <f>IF(J1438&lt;&gt;"OK","",C1438*I1438/100)</f>
        <v/>
      </c>
    </row>
    <row r="1439" spans="1:11">
      <c r="A1439" s="14">
        <v>46157</v>
      </c>
      <c r="B1439" s="15">
        <v>0.9270833333333334</v>
      </c>
      <c r="C1439" s="5">
        <f>IF('96 Werte'!CM20="","",'96 Werte'!CM20)</f>
        <v/>
      </c>
      <c r="D1439" t="str">
        <f>IF(IF(Eingaben!$B$21&lt;Eingaben!$B$22,AND(B1439&gt;=Eingaben!$B$21,B1439&lt;Eingaben!$B$22),OR(B1439&gt;=Eingaben!$B$21,B1439&lt;Eingaben!$B$22)),"GO",IF(AND(ISNUMBER(Eingaben!$B$23),ISNUMBER(Eingaben!$B$24),IF(Eingaben!$B$23&lt;Eingaben!$B$24,AND(B1439&gt;=Eingaben!$B$23,B1439&lt;Eingaben!$B$24),OR(B1439&gt;=Eingaben!$B$23,B1439&lt;Eingaben!$B$24))),"HEAT","STANDARD"))</f>
        <v>STANDARD</v>
      </c>
      <c r="E1439" s="9"/>
      <c r="F1439" t="str">
        <f>IF(E1439="",D1439,E1439)</f>
        <v>STANDARD</v>
      </c>
      <c r="G1439" t="str">
        <f>INDEX(Netzzeiten!$B$6:$B$29,HOUR(B1439)+1)</f>
        <v>ST</v>
      </c>
      <c r="H1439" s="6">
        <f>IF(F1439="GO",Eingaben!$B$11,IF(F1439="STANDARD",Eingaben!$B$12,IF(AND(F1439="HEAT",ISNUMBER(Eingaben!$B$13)),Eingaben!$B$13,"")))</f>
        <v>28.2744</v>
      </c>
      <c r="I1439" s="6">
        <f>INDEX(Netzzeiten!$C$6:$C$29,HOUR(B1439)+1)</f>
        <v>5.48</v>
      </c>
      <c r="J1439" t="str">
        <f>IF(C1439="","FEHLT",IF(NOT(ISNUMBER(C1439)),"MESSWERT UNGUELTIG",IF(C1439&lt;0,"MESSWERT UNGUELTIG",IF(H1439="","TARIFPREIS FEHLT","OK"))))</f>
        <v>FEHLT</v>
      </c>
      <c r="K1439" s="7">
        <f>IF(J1439&lt;&gt;"OK","",C1439*I1439/100)</f>
        <v/>
      </c>
    </row>
    <row r="1440" spans="1:11">
      <c r="A1440" s="14">
        <v>46157</v>
      </c>
      <c r="B1440" s="15">
        <v>0.9375</v>
      </c>
      <c r="C1440" s="5">
        <f>IF('96 Werte'!CN20="","",'96 Werte'!CN20)</f>
        <v/>
      </c>
      <c r="D1440" t="str">
        <f>IF(IF(Eingaben!$B$21&lt;Eingaben!$B$22,AND(B1440&gt;=Eingaben!$B$21,B1440&lt;Eingaben!$B$22),OR(B1440&gt;=Eingaben!$B$21,B1440&lt;Eingaben!$B$22)),"GO",IF(AND(ISNUMBER(Eingaben!$B$23),ISNUMBER(Eingaben!$B$24),IF(Eingaben!$B$23&lt;Eingaben!$B$24,AND(B1440&gt;=Eingaben!$B$23,B1440&lt;Eingaben!$B$24),OR(B1440&gt;=Eingaben!$B$23,B1440&lt;Eingaben!$B$24))),"HEAT","STANDARD"))</f>
        <v>STANDARD</v>
      </c>
      <c r="E1440" s="9"/>
      <c r="F1440" t="str">
        <f>IF(E1440="",D1440,E1440)</f>
        <v>STANDARD</v>
      </c>
      <c r="G1440" t="str">
        <f>INDEX(Netzzeiten!$B$6:$B$29,HOUR(B1440)+1)</f>
        <v>ST</v>
      </c>
      <c r="H1440" s="6">
        <f>IF(F1440="GO",Eingaben!$B$11,IF(F1440="STANDARD",Eingaben!$B$12,IF(AND(F1440="HEAT",ISNUMBER(Eingaben!$B$13)),Eingaben!$B$13,"")))</f>
        <v>28.2744</v>
      </c>
      <c r="I1440" s="6">
        <f>INDEX(Netzzeiten!$C$6:$C$29,HOUR(B1440)+1)</f>
        <v>5.48</v>
      </c>
      <c r="J1440" t="str">
        <f>IF(C1440="","FEHLT",IF(NOT(ISNUMBER(C1440)),"MESSWERT UNGUELTIG",IF(C1440&lt;0,"MESSWERT UNGUELTIG",IF(H1440="","TARIFPREIS FEHLT","OK"))))</f>
        <v>FEHLT</v>
      </c>
      <c r="K1440" s="7">
        <f>IF(J1440&lt;&gt;"OK","",C1440*I1440/100)</f>
        <v/>
      </c>
    </row>
    <row r="1441" spans="1:11">
      <c r="A1441" s="14">
        <v>46157</v>
      </c>
      <c r="B1441" s="15">
        <v>0.9479166666666666</v>
      </c>
      <c r="C1441" s="5">
        <f>IF('96 Werte'!CO20="","",'96 Werte'!CO20)</f>
        <v/>
      </c>
      <c r="D1441" t="str">
        <f>IF(IF(Eingaben!$B$21&lt;Eingaben!$B$22,AND(B1441&gt;=Eingaben!$B$21,B1441&lt;Eingaben!$B$22),OR(B1441&gt;=Eingaben!$B$21,B1441&lt;Eingaben!$B$22)),"GO",IF(AND(ISNUMBER(Eingaben!$B$23),ISNUMBER(Eingaben!$B$24),IF(Eingaben!$B$23&lt;Eingaben!$B$24,AND(B1441&gt;=Eingaben!$B$23,B1441&lt;Eingaben!$B$24),OR(B1441&gt;=Eingaben!$B$23,B1441&lt;Eingaben!$B$24))),"HEAT","STANDARD"))</f>
        <v>STANDARD</v>
      </c>
      <c r="E1441" s="9"/>
      <c r="F1441" t="str">
        <f>IF(E1441="",D1441,E1441)</f>
        <v>STANDARD</v>
      </c>
      <c r="G1441" t="str">
        <f>INDEX(Netzzeiten!$B$6:$B$29,HOUR(B1441)+1)</f>
        <v>ST</v>
      </c>
      <c r="H1441" s="6">
        <f>IF(F1441="GO",Eingaben!$B$11,IF(F1441="STANDARD",Eingaben!$B$12,IF(AND(F1441="HEAT",ISNUMBER(Eingaben!$B$13)),Eingaben!$B$13,"")))</f>
        <v>28.2744</v>
      </c>
      <c r="I1441" s="6">
        <f>INDEX(Netzzeiten!$C$6:$C$29,HOUR(B1441)+1)</f>
        <v>5.48</v>
      </c>
      <c r="J1441" t="str">
        <f>IF(C1441="","FEHLT",IF(NOT(ISNUMBER(C1441)),"MESSWERT UNGUELTIG",IF(C1441&lt;0,"MESSWERT UNGUELTIG",IF(H1441="","TARIFPREIS FEHLT","OK"))))</f>
        <v>FEHLT</v>
      </c>
      <c r="K1441" s="7">
        <f>IF(J1441&lt;&gt;"OK","",C1441*I1441/100)</f>
        <v/>
      </c>
    </row>
    <row r="1442" spans="1:11">
      <c r="A1442" s="14">
        <v>46157</v>
      </c>
      <c r="B1442" s="15">
        <v>0.9583333333333334</v>
      </c>
      <c r="C1442" s="5">
        <f>IF('96 Werte'!CP20="","",'96 Werte'!CP20)</f>
        <v/>
      </c>
      <c r="D1442" t="str">
        <f>IF(IF(Eingaben!$B$21&lt;Eingaben!$B$22,AND(B1442&gt;=Eingaben!$B$21,B1442&lt;Eingaben!$B$22),OR(B1442&gt;=Eingaben!$B$21,B1442&lt;Eingaben!$B$22)),"GO",IF(AND(ISNUMBER(Eingaben!$B$23),ISNUMBER(Eingaben!$B$24),IF(Eingaben!$B$23&lt;Eingaben!$B$24,AND(B1442&gt;=Eingaben!$B$23,B1442&lt;Eingaben!$B$24),OR(B1442&gt;=Eingaben!$B$23,B1442&lt;Eingaben!$B$24))),"HEAT","STANDARD"))</f>
        <v>STANDARD</v>
      </c>
      <c r="E1442" s="9"/>
      <c r="F1442" t="str">
        <f>IF(E1442="",D1442,E1442)</f>
        <v>STANDARD</v>
      </c>
      <c r="G1442" t="str">
        <f>INDEX(Netzzeiten!$B$6:$B$29,HOUR(B1442)+1)</f>
        <v>NT</v>
      </c>
      <c r="H1442" s="6">
        <f>IF(F1442="GO",Eingaben!$B$11,IF(F1442="STANDARD",Eingaben!$B$12,IF(AND(F1442="HEAT",ISNUMBER(Eingaben!$B$13)),Eingaben!$B$13,"")))</f>
        <v>28.2744</v>
      </c>
      <c r="I1442" s="6">
        <f>INDEX(Netzzeiten!$C$6:$C$29,HOUR(B1442)+1)</f>
        <v>1.64</v>
      </c>
      <c r="J1442" t="str">
        <f>IF(C1442="","FEHLT",IF(NOT(ISNUMBER(C1442)),"MESSWERT UNGUELTIG",IF(C1442&lt;0,"MESSWERT UNGUELTIG",IF(H1442="","TARIFPREIS FEHLT","OK"))))</f>
        <v>FEHLT</v>
      </c>
      <c r="K1442" s="7">
        <f>IF(J1442&lt;&gt;"OK","",C1442*I1442/100)</f>
        <v/>
      </c>
    </row>
    <row r="1443" spans="1:11">
      <c r="A1443" s="14">
        <v>46157</v>
      </c>
      <c r="B1443" s="15">
        <v>0.96875</v>
      </c>
      <c r="C1443" s="5">
        <f>IF('96 Werte'!CQ20="","",'96 Werte'!CQ20)</f>
        <v/>
      </c>
      <c r="D1443" t="str">
        <f>IF(IF(Eingaben!$B$21&lt;Eingaben!$B$22,AND(B1443&gt;=Eingaben!$B$21,B1443&lt;Eingaben!$B$22),OR(B1443&gt;=Eingaben!$B$21,B1443&lt;Eingaben!$B$22)),"GO",IF(AND(ISNUMBER(Eingaben!$B$23),ISNUMBER(Eingaben!$B$24),IF(Eingaben!$B$23&lt;Eingaben!$B$24,AND(B1443&gt;=Eingaben!$B$23,B1443&lt;Eingaben!$B$24),OR(B1443&gt;=Eingaben!$B$23,B1443&lt;Eingaben!$B$24))),"HEAT","STANDARD"))</f>
        <v>STANDARD</v>
      </c>
      <c r="E1443" s="9"/>
      <c r="F1443" t="str">
        <f>IF(E1443="",D1443,E1443)</f>
        <v>STANDARD</v>
      </c>
      <c r="G1443" t="str">
        <f>INDEX(Netzzeiten!$B$6:$B$29,HOUR(B1443)+1)</f>
        <v>NT</v>
      </c>
      <c r="H1443" s="6">
        <f>IF(F1443="GO",Eingaben!$B$11,IF(F1443="STANDARD",Eingaben!$B$12,IF(AND(F1443="HEAT",ISNUMBER(Eingaben!$B$13)),Eingaben!$B$13,"")))</f>
        <v>28.2744</v>
      </c>
      <c r="I1443" s="6">
        <f>INDEX(Netzzeiten!$C$6:$C$29,HOUR(B1443)+1)</f>
        <v>1.64</v>
      </c>
      <c r="J1443" t="str">
        <f>IF(C1443="","FEHLT",IF(NOT(ISNUMBER(C1443)),"MESSWERT UNGUELTIG",IF(C1443&lt;0,"MESSWERT UNGUELTIG",IF(H1443="","TARIFPREIS FEHLT","OK"))))</f>
        <v>FEHLT</v>
      </c>
      <c r="K1443" s="7">
        <f>IF(J1443&lt;&gt;"OK","",C1443*I1443/100)</f>
        <v/>
      </c>
    </row>
    <row r="1444" spans="1:11">
      <c r="A1444" s="14">
        <v>46157</v>
      </c>
      <c r="B1444" s="15">
        <v>0.9791666666666666</v>
      </c>
      <c r="C1444" s="5">
        <f>IF('96 Werte'!CR20="","",'96 Werte'!CR20)</f>
        <v/>
      </c>
      <c r="D1444" t="str">
        <f>IF(IF(Eingaben!$B$21&lt;Eingaben!$B$22,AND(B1444&gt;=Eingaben!$B$21,B1444&lt;Eingaben!$B$22),OR(B1444&gt;=Eingaben!$B$21,B1444&lt;Eingaben!$B$22)),"GO",IF(AND(ISNUMBER(Eingaben!$B$23),ISNUMBER(Eingaben!$B$24),IF(Eingaben!$B$23&lt;Eingaben!$B$24,AND(B1444&gt;=Eingaben!$B$23,B1444&lt;Eingaben!$B$24),OR(B1444&gt;=Eingaben!$B$23,B1444&lt;Eingaben!$B$24))),"HEAT","STANDARD"))</f>
        <v>STANDARD</v>
      </c>
      <c r="E1444" s="9"/>
      <c r="F1444" t="str">
        <f>IF(E1444="",D1444,E1444)</f>
        <v>STANDARD</v>
      </c>
      <c r="G1444" t="str">
        <f>INDEX(Netzzeiten!$B$6:$B$29,HOUR(B1444)+1)</f>
        <v>NT</v>
      </c>
      <c r="H1444" s="6">
        <f>IF(F1444="GO",Eingaben!$B$11,IF(F1444="STANDARD",Eingaben!$B$12,IF(AND(F1444="HEAT",ISNUMBER(Eingaben!$B$13)),Eingaben!$B$13,"")))</f>
        <v>28.2744</v>
      </c>
      <c r="I1444" s="6">
        <f>INDEX(Netzzeiten!$C$6:$C$29,HOUR(B1444)+1)</f>
        <v>1.64</v>
      </c>
      <c r="J1444" t="str">
        <f>IF(C1444="","FEHLT",IF(NOT(ISNUMBER(C1444)),"MESSWERT UNGUELTIG",IF(C1444&lt;0,"MESSWERT UNGUELTIG",IF(H1444="","TARIFPREIS FEHLT","OK"))))</f>
        <v>FEHLT</v>
      </c>
      <c r="K1444" s="7">
        <f>IF(J1444&lt;&gt;"OK","",C1444*I1444/100)</f>
        <v/>
      </c>
    </row>
    <row r="1445" spans="1:11">
      <c r="A1445" s="14">
        <v>46157</v>
      </c>
      <c r="B1445" s="15">
        <v>0.9895833333333334</v>
      </c>
      <c r="C1445" s="5">
        <f>IF('96 Werte'!CS20="","",'96 Werte'!CS20)</f>
        <v/>
      </c>
      <c r="D1445" t="str">
        <f>IF(IF(Eingaben!$B$21&lt;Eingaben!$B$22,AND(B1445&gt;=Eingaben!$B$21,B1445&lt;Eingaben!$B$22),OR(B1445&gt;=Eingaben!$B$21,B1445&lt;Eingaben!$B$22)),"GO",IF(AND(ISNUMBER(Eingaben!$B$23),ISNUMBER(Eingaben!$B$24),IF(Eingaben!$B$23&lt;Eingaben!$B$24,AND(B1445&gt;=Eingaben!$B$23,B1445&lt;Eingaben!$B$24),OR(B1445&gt;=Eingaben!$B$23,B1445&lt;Eingaben!$B$24))),"HEAT","STANDARD"))</f>
        <v>STANDARD</v>
      </c>
      <c r="E1445" s="9"/>
      <c r="F1445" t="str">
        <f>IF(E1445="",D1445,E1445)</f>
        <v>STANDARD</v>
      </c>
      <c r="G1445" t="str">
        <f>INDEX(Netzzeiten!$B$6:$B$29,HOUR(B1445)+1)</f>
        <v>NT</v>
      </c>
      <c r="H1445" s="6">
        <f>IF(F1445="GO",Eingaben!$B$11,IF(F1445="STANDARD",Eingaben!$B$12,IF(AND(F1445="HEAT",ISNUMBER(Eingaben!$B$13)),Eingaben!$B$13,"")))</f>
        <v>28.2744</v>
      </c>
      <c r="I1445" s="6">
        <f>INDEX(Netzzeiten!$C$6:$C$29,HOUR(B1445)+1)</f>
        <v>1.64</v>
      </c>
      <c r="J1445" t="str">
        <f>IF(C1445="","FEHLT",IF(NOT(ISNUMBER(C1445)),"MESSWERT UNGUELTIG",IF(C1445&lt;0,"MESSWERT UNGUELTIG",IF(H1445="","TARIFPREIS FEHLT","OK"))))</f>
        <v>FEHLT</v>
      </c>
      <c r="K1445" s="7">
        <f>IF(J1445&lt;&gt;"OK","",C1445*I1445/100)</f>
        <v/>
      </c>
    </row>
    <row r="1446" spans="1:11">
      <c r="A1446" s="14">
        <v>46158</v>
      </c>
      <c r="B1446" s="15">
        <v>0</v>
      </c>
      <c r="C1446" s="5">
        <f>IF('96 Werte'!B21="","",'96 Werte'!B21)</f>
        <v/>
      </c>
      <c r="D1446" t="str">
        <f>IF(IF(Eingaben!$B$21&lt;Eingaben!$B$22,AND(B1446&gt;=Eingaben!$B$21,B1446&lt;Eingaben!$B$22),OR(B1446&gt;=Eingaben!$B$21,B1446&lt;Eingaben!$B$22)),"GO",IF(AND(ISNUMBER(Eingaben!$B$23),ISNUMBER(Eingaben!$B$24),IF(Eingaben!$B$23&lt;Eingaben!$B$24,AND(B1446&gt;=Eingaben!$B$23,B1446&lt;Eingaben!$B$24),OR(B1446&gt;=Eingaben!$B$23,B1446&lt;Eingaben!$B$24))),"HEAT","STANDARD"))</f>
        <v>GO</v>
      </c>
      <c r="E1446" s="9"/>
      <c r="F1446" t="str">
        <f>IF(E1446="",D1446,E1446)</f>
        <v>GO</v>
      </c>
      <c r="G1446" t="str">
        <f>INDEX(Netzzeiten!$B$6:$B$29,HOUR(B1446)+1)</f>
        <v>NT</v>
      </c>
      <c r="H1446" s="6">
        <f>IF(F1446="GO",Eingaben!$B$11,IF(F1446="STANDARD",Eingaben!$B$12,IF(AND(F1446="HEAT",ISNUMBER(Eingaben!$B$13)),Eingaben!$B$13,"")))</f>
        <v>15.0654</v>
      </c>
      <c r="I1446" s="6">
        <f>INDEX(Netzzeiten!$C$6:$C$29,HOUR(B1446)+1)</f>
        <v>1.64</v>
      </c>
      <c r="J1446" t="str">
        <f>IF(C1446="","FEHLT",IF(NOT(ISNUMBER(C1446)),"MESSWERT UNGUELTIG",IF(C1446&lt;0,"MESSWERT UNGUELTIG",IF(H1446="","TARIFPREIS FEHLT","OK"))))</f>
        <v>FEHLT</v>
      </c>
      <c r="K1446" s="7">
        <f>IF(J1446&lt;&gt;"OK","",C1446*I1446/100)</f>
        <v/>
      </c>
    </row>
    <row r="1447" spans="1:11">
      <c r="A1447" s="14">
        <v>46158</v>
      </c>
      <c r="B1447" s="15">
        <v>0.01041666666666667</v>
      </c>
      <c r="C1447" s="5">
        <f>IF('96 Werte'!C21="","",'96 Werte'!C21)</f>
        <v/>
      </c>
      <c r="D1447" t="str">
        <f>IF(IF(Eingaben!$B$21&lt;Eingaben!$B$22,AND(B1447&gt;=Eingaben!$B$21,B1447&lt;Eingaben!$B$22),OR(B1447&gt;=Eingaben!$B$21,B1447&lt;Eingaben!$B$22)),"GO",IF(AND(ISNUMBER(Eingaben!$B$23),ISNUMBER(Eingaben!$B$24),IF(Eingaben!$B$23&lt;Eingaben!$B$24,AND(B1447&gt;=Eingaben!$B$23,B1447&lt;Eingaben!$B$24),OR(B1447&gt;=Eingaben!$B$23,B1447&lt;Eingaben!$B$24))),"HEAT","STANDARD"))</f>
        <v>GO</v>
      </c>
      <c r="E1447" s="9"/>
      <c r="F1447" t="str">
        <f>IF(E1447="",D1447,E1447)</f>
        <v>GO</v>
      </c>
      <c r="G1447" t="str">
        <f>INDEX(Netzzeiten!$B$6:$B$29,HOUR(B1447)+1)</f>
        <v>NT</v>
      </c>
      <c r="H1447" s="6">
        <f>IF(F1447="GO",Eingaben!$B$11,IF(F1447="STANDARD",Eingaben!$B$12,IF(AND(F1447="HEAT",ISNUMBER(Eingaben!$B$13)),Eingaben!$B$13,"")))</f>
        <v>15.0654</v>
      </c>
      <c r="I1447" s="6">
        <f>INDEX(Netzzeiten!$C$6:$C$29,HOUR(B1447)+1)</f>
        <v>1.64</v>
      </c>
      <c r="J1447" t="str">
        <f>IF(C1447="","FEHLT",IF(NOT(ISNUMBER(C1447)),"MESSWERT UNGUELTIG",IF(C1447&lt;0,"MESSWERT UNGUELTIG",IF(H1447="","TARIFPREIS FEHLT","OK"))))</f>
        <v>FEHLT</v>
      </c>
      <c r="K1447" s="7">
        <f>IF(J1447&lt;&gt;"OK","",C1447*I1447/100)</f>
        <v/>
      </c>
    </row>
    <row r="1448" spans="1:11">
      <c r="A1448" s="14">
        <v>46158</v>
      </c>
      <c r="B1448" s="15">
        <v>0.02083333333333333</v>
      </c>
      <c r="C1448" s="5">
        <f>IF('96 Werte'!D21="","",'96 Werte'!D21)</f>
        <v/>
      </c>
      <c r="D1448" t="str">
        <f>IF(IF(Eingaben!$B$21&lt;Eingaben!$B$22,AND(B1448&gt;=Eingaben!$B$21,B1448&lt;Eingaben!$B$22),OR(B1448&gt;=Eingaben!$B$21,B1448&lt;Eingaben!$B$22)),"GO",IF(AND(ISNUMBER(Eingaben!$B$23),ISNUMBER(Eingaben!$B$24),IF(Eingaben!$B$23&lt;Eingaben!$B$24,AND(B1448&gt;=Eingaben!$B$23,B1448&lt;Eingaben!$B$24),OR(B1448&gt;=Eingaben!$B$23,B1448&lt;Eingaben!$B$24))),"HEAT","STANDARD"))</f>
        <v>GO</v>
      </c>
      <c r="E1448" s="9"/>
      <c r="F1448" t="str">
        <f>IF(E1448="",D1448,E1448)</f>
        <v>GO</v>
      </c>
      <c r="G1448" t="str">
        <f>INDEX(Netzzeiten!$B$6:$B$29,HOUR(B1448)+1)</f>
        <v>NT</v>
      </c>
      <c r="H1448" s="6">
        <f>IF(F1448="GO",Eingaben!$B$11,IF(F1448="STANDARD",Eingaben!$B$12,IF(AND(F1448="HEAT",ISNUMBER(Eingaben!$B$13)),Eingaben!$B$13,"")))</f>
        <v>15.0654</v>
      </c>
      <c r="I1448" s="6">
        <f>INDEX(Netzzeiten!$C$6:$C$29,HOUR(B1448)+1)</f>
        <v>1.64</v>
      </c>
      <c r="J1448" t="str">
        <f>IF(C1448="","FEHLT",IF(NOT(ISNUMBER(C1448)),"MESSWERT UNGUELTIG",IF(C1448&lt;0,"MESSWERT UNGUELTIG",IF(H1448="","TARIFPREIS FEHLT","OK"))))</f>
        <v>FEHLT</v>
      </c>
      <c r="K1448" s="7">
        <f>IF(J1448&lt;&gt;"OK","",C1448*I1448/100)</f>
        <v/>
      </c>
    </row>
    <row r="1449" spans="1:11">
      <c r="A1449" s="14">
        <v>46158</v>
      </c>
      <c r="B1449" s="15">
        <v>0.03125</v>
      </c>
      <c r="C1449" s="5">
        <f>IF('96 Werte'!E21="","",'96 Werte'!E21)</f>
        <v/>
      </c>
      <c r="D1449" t="str">
        <f>IF(IF(Eingaben!$B$21&lt;Eingaben!$B$22,AND(B1449&gt;=Eingaben!$B$21,B1449&lt;Eingaben!$B$22),OR(B1449&gt;=Eingaben!$B$21,B1449&lt;Eingaben!$B$22)),"GO",IF(AND(ISNUMBER(Eingaben!$B$23),ISNUMBER(Eingaben!$B$24),IF(Eingaben!$B$23&lt;Eingaben!$B$24,AND(B1449&gt;=Eingaben!$B$23,B1449&lt;Eingaben!$B$24),OR(B1449&gt;=Eingaben!$B$23,B1449&lt;Eingaben!$B$24))),"HEAT","STANDARD"))</f>
        <v>GO</v>
      </c>
      <c r="E1449" s="9"/>
      <c r="F1449" t="str">
        <f>IF(E1449="",D1449,E1449)</f>
        <v>GO</v>
      </c>
      <c r="G1449" t="str">
        <f>INDEX(Netzzeiten!$B$6:$B$29,HOUR(B1449)+1)</f>
        <v>NT</v>
      </c>
      <c r="H1449" s="6">
        <f>IF(F1449="GO",Eingaben!$B$11,IF(F1449="STANDARD",Eingaben!$B$12,IF(AND(F1449="HEAT",ISNUMBER(Eingaben!$B$13)),Eingaben!$B$13,"")))</f>
        <v>15.0654</v>
      </c>
      <c r="I1449" s="6">
        <f>INDEX(Netzzeiten!$C$6:$C$29,HOUR(B1449)+1)</f>
        <v>1.64</v>
      </c>
      <c r="J1449" t="str">
        <f>IF(C1449="","FEHLT",IF(NOT(ISNUMBER(C1449)),"MESSWERT UNGUELTIG",IF(C1449&lt;0,"MESSWERT UNGUELTIG",IF(H1449="","TARIFPREIS FEHLT","OK"))))</f>
        <v>FEHLT</v>
      </c>
      <c r="K1449" s="7">
        <f>IF(J1449&lt;&gt;"OK","",C1449*I1449/100)</f>
        <v/>
      </c>
    </row>
    <row r="1450" spans="1:11">
      <c r="A1450" s="14">
        <v>46158</v>
      </c>
      <c r="B1450" s="15">
        <v>0.04166666666666666</v>
      </c>
      <c r="C1450" s="5">
        <f>IF('96 Werte'!F21="","",'96 Werte'!F21)</f>
        <v/>
      </c>
      <c r="D1450" t="str">
        <f>IF(IF(Eingaben!$B$21&lt;Eingaben!$B$22,AND(B1450&gt;=Eingaben!$B$21,B1450&lt;Eingaben!$B$22),OR(B1450&gt;=Eingaben!$B$21,B1450&lt;Eingaben!$B$22)),"GO",IF(AND(ISNUMBER(Eingaben!$B$23),ISNUMBER(Eingaben!$B$24),IF(Eingaben!$B$23&lt;Eingaben!$B$24,AND(B1450&gt;=Eingaben!$B$23,B1450&lt;Eingaben!$B$24),OR(B1450&gt;=Eingaben!$B$23,B1450&lt;Eingaben!$B$24))),"HEAT","STANDARD"))</f>
        <v>GO</v>
      </c>
      <c r="E1450" s="9"/>
      <c r="F1450" t="str">
        <f>IF(E1450="",D1450,E1450)</f>
        <v>GO</v>
      </c>
      <c r="G1450" t="str">
        <f>INDEX(Netzzeiten!$B$6:$B$29,HOUR(B1450)+1)</f>
        <v>NT</v>
      </c>
      <c r="H1450" s="6">
        <f>IF(F1450="GO",Eingaben!$B$11,IF(F1450="STANDARD",Eingaben!$B$12,IF(AND(F1450="HEAT",ISNUMBER(Eingaben!$B$13)),Eingaben!$B$13,"")))</f>
        <v>15.0654</v>
      </c>
      <c r="I1450" s="6">
        <f>INDEX(Netzzeiten!$C$6:$C$29,HOUR(B1450)+1)</f>
        <v>1.64</v>
      </c>
      <c r="J1450" t="str">
        <f>IF(C1450="","FEHLT",IF(NOT(ISNUMBER(C1450)),"MESSWERT UNGUELTIG",IF(C1450&lt;0,"MESSWERT UNGUELTIG",IF(H1450="","TARIFPREIS FEHLT","OK"))))</f>
        <v>FEHLT</v>
      </c>
      <c r="K1450" s="7">
        <f>IF(J1450&lt;&gt;"OK","",C1450*I1450/100)</f>
        <v/>
      </c>
    </row>
    <row r="1451" spans="1:11">
      <c r="A1451" s="14">
        <v>46158</v>
      </c>
      <c r="B1451" s="15">
        <v>0.05208333333333334</v>
      </c>
      <c r="C1451" s="5">
        <f>IF('96 Werte'!G21="","",'96 Werte'!G21)</f>
        <v/>
      </c>
      <c r="D1451" t="str">
        <f>IF(IF(Eingaben!$B$21&lt;Eingaben!$B$22,AND(B1451&gt;=Eingaben!$B$21,B1451&lt;Eingaben!$B$22),OR(B1451&gt;=Eingaben!$B$21,B1451&lt;Eingaben!$B$22)),"GO",IF(AND(ISNUMBER(Eingaben!$B$23),ISNUMBER(Eingaben!$B$24),IF(Eingaben!$B$23&lt;Eingaben!$B$24,AND(B1451&gt;=Eingaben!$B$23,B1451&lt;Eingaben!$B$24),OR(B1451&gt;=Eingaben!$B$23,B1451&lt;Eingaben!$B$24))),"HEAT","STANDARD"))</f>
        <v>GO</v>
      </c>
      <c r="E1451" s="9"/>
      <c r="F1451" t="str">
        <f>IF(E1451="",D1451,E1451)</f>
        <v>GO</v>
      </c>
      <c r="G1451" t="str">
        <f>INDEX(Netzzeiten!$B$6:$B$29,HOUR(B1451)+1)</f>
        <v>NT</v>
      </c>
      <c r="H1451" s="6">
        <f>IF(F1451="GO",Eingaben!$B$11,IF(F1451="STANDARD",Eingaben!$B$12,IF(AND(F1451="HEAT",ISNUMBER(Eingaben!$B$13)),Eingaben!$B$13,"")))</f>
        <v>15.0654</v>
      </c>
      <c r="I1451" s="6">
        <f>INDEX(Netzzeiten!$C$6:$C$29,HOUR(B1451)+1)</f>
        <v>1.64</v>
      </c>
      <c r="J1451" t="str">
        <f>IF(C1451="","FEHLT",IF(NOT(ISNUMBER(C1451)),"MESSWERT UNGUELTIG",IF(C1451&lt;0,"MESSWERT UNGUELTIG",IF(H1451="","TARIFPREIS FEHLT","OK"))))</f>
        <v>FEHLT</v>
      </c>
      <c r="K1451" s="7">
        <f>IF(J1451&lt;&gt;"OK","",C1451*I1451/100)</f>
        <v/>
      </c>
    </row>
    <row r="1452" spans="1:11">
      <c r="A1452" s="14">
        <v>46158</v>
      </c>
      <c r="B1452" s="15">
        <v>0.0625</v>
      </c>
      <c r="C1452" s="5">
        <f>IF('96 Werte'!H21="","",'96 Werte'!H21)</f>
        <v/>
      </c>
      <c r="D1452" t="str">
        <f>IF(IF(Eingaben!$B$21&lt;Eingaben!$B$22,AND(B1452&gt;=Eingaben!$B$21,B1452&lt;Eingaben!$B$22),OR(B1452&gt;=Eingaben!$B$21,B1452&lt;Eingaben!$B$22)),"GO",IF(AND(ISNUMBER(Eingaben!$B$23),ISNUMBER(Eingaben!$B$24),IF(Eingaben!$B$23&lt;Eingaben!$B$24,AND(B1452&gt;=Eingaben!$B$23,B1452&lt;Eingaben!$B$24),OR(B1452&gt;=Eingaben!$B$23,B1452&lt;Eingaben!$B$24))),"HEAT","STANDARD"))</f>
        <v>GO</v>
      </c>
      <c r="E1452" s="9"/>
      <c r="F1452" t="str">
        <f>IF(E1452="",D1452,E1452)</f>
        <v>GO</v>
      </c>
      <c r="G1452" t="str">
        <f>INDEX(Netzzeiten!$B$6:$B$29,HOUR(B1452)+1)</f>
        <v>NT</v>
      </c>
      <c r="H1452" s="6">
        <f>IF(F1452="GO",Eingaben!$B$11,IF(F1452="STANDARD",Eingaben!$B$12,IF(AND(F1452="HEAT",ISNUMBER(Eingaben!$B$13)),Eingaben!$B$13,"")))</f>
        <v>15.0654</v>
      </c>
      <c r="I1452" s="6">
        <f>INDEX(Netzzeiten!$C$6:$C$29,HOUR(B1452)+1)</f>
        <v>1.64</v>
      </c>
      <c r="J1452" t="str">
        <f>IF(C1452="","FEHLT",IF(NOT(ISNUMBER(C1452)),"MESSWERT UNGUELTIG",IF(C1452&lt;0,"MESSWERT UNGUELTIG",IF(H1452="","TARIFPREIS FEHLT","OK"))))</f>
        <v>FEHLT</v>
      </c>
      <c r="K1452" s="7">
        <f>IF(J1452&lt;&gt;"OK","",C1452*I1452/100)</f>
        <v/>
      </c>
    </row>
    <row r="1453" spans="1:11">
      <c r="A1453" s="14">
        <v>46158</v>
      </c>
      <c r="B1453" s="15">
        <v>0.07291666666666667</v>
      </c>
      <c r="C1453" s="5">
        <f>IF('96 Werte'!I21="","",'96 Werte'!I21)</f>
        <v/>
      </c>
      <c r="D1453" t="str">
        <f>IF(IF(Eingaben!$B$21&lt;Eingaben!$B$22,AND(B1453&gt;=Eingaben!$B$21,B1453&lt;Eingaben!$B$22),OR(B1453&gt;=Eingaben!$B$21,B1453&lt;Eingaben!$B$22)),"GO",IF(AND(ISNUMBER(Eingaben!$B$23),ISNUMBER(Eingaben!$B$24),IF(Eingaben!$B$23&lt;Eingaben!$B$24,AND(B1453&gt;=Eingaben!$B$23,B1453&lt;Eingaben!$B$24),OR(B1453&gt;=Eingaben!$B$23,B1453&lt;Eingaben!$B$24))),"HEAT","STANDARD"))</f>
        <v>GO</v>
      </c>
      <c r="E1453" s="9"/>
      <c r="F1453" t="str">
        <f>IF(E1453="",D1453,E1453)</f>
        <v>GO</v>
      </c>
      <c r="G1453" t="str">
        <f>INDEX(Netzzeiten!$B$6:$B$29,HOUR(B1453)+1)</f>
        <v>NT</v>
      </c>
      <c r="H1453" s="6">
        <f>IF(F1453="GO",Eingaben!$B$11,IF(F1453="STANDARD",Eingaben!$B$12,IF(AND(F1453="HEAT",ISNUMBER(Eingaben!$B$13)),Eingaben!$B$13,"")))</f>
        <v>15.0654</v>
      </c>
      <c r="I1453" s="6">
        <f>INDEX(Netzzeiten!$C$6:$C$29,HOUR(B1453)+1)</f>
        <v>1.64</v>
      </c>
      <c r="J1453" t="str">
        <f>IF(C1453="","FEHLT",IF(NOT(ISNUMBER(C1453)),"MESSWERT UNGUELTIG",IF(C1453&lt;0,"MESSWERT UNGUELTIG",IF(H1453="","TARIFPREIS FEHLT","OK"))))</f>
        <v>FEHLT</v>
      </c>
      <c r="K1453" s="7">
        <f>IF(J1453&lt;&gt;"OK","",C1453*I1453/100)</f>
        <v/>
      </c>
    </row>
    <row r="1454" spans="1:11">
      <c r="A1454" s="14">
        <v>46158</v>
      </c>
      <c r="B1454" s="15">
        <v>0.08333333333333333</v>
      </c>
      <c r="C1454" s="5">
        <f>IF('96 Werte'!J21="","",'96 Werte'!J21)</f>
        <v/>
      </c>
      <c r="D1454" t="str">
        <f>IF(IF(Eingaben!$B$21&lt;Eingaben!$B$22,AND(B1454&gt;=Eingaben!$B$21,B1454&lt;Eingaben!$B$22),OR(B1454&gt;=Eingaben!$B$21,B1454&lt;Eingaben!$B$22)),"GO",IF(AND(ISNUMBER(Eingaben!$B$23),ISNUMBER(Eingaben!$B$24),IF(Eingaben!$B$23&lt;Eingaben!$B$24,AND(B1454&gt;=Eingaben!$B$23,B1454&lt;Eingaben!$B$24),OR(B1454&gt;=Eingaben!$B$23,B1454&lt;Eingaben!$B$24))),"HEAT","STANDARD"))</f>
        <v>GO</v>
      </c>
      <c r="E1454" s="9"/>
      <c r="F1454" t="str">
        <f>IF(E1454="",D1454,E1454)</f>
        <v>GO</v>
      </c>
      <c r="G1454" t="str">
        <f>INDEX(Netzzeiten!$B$6:$B$29,HOUR(B1454)+1)</f>
        <v>NT</v>
      </c>
      <c r="H1454" s="6">
        <f>IF(F1454="GO",Eingaben!$B$11,IF(F1454="STANDARD",Eingaben!$B$12,IF(AND(F1454="HEAT",ISNUMBER(Eingaben!$B$13)),Eingaben!$B$13,"")))</f>
        <v>15.0654</v>
      </c>
      <c r="I1454" s="6">
        <f>INDEX(Netzzeiten!$C$6:$C$29,HOUR(B1454)+1)</f>
        <v>1.64</v>
      </c>
      <c r="J1454" t="str">
        <f>IF(C1454="","FEHLT",IF(NOT(ISNUMBER(C1454)),"MESSWERT UNGUELTIG",IF(C1454&lt;0,"MESSWERT UNGUELTIG",IF(H1454="","TARIFPREIS FEHLT","OK"))))</f>
        <v>FEHLT</v>
      </c>
      <c r="K1454" s="7">
        <f>IF(J1454&lt;&gt;"OK","",C1454*I1454/100)</f>
        <v/>
      </c>
    </row>
    <row r="1455" spans="1:11">
      <c r="A1455" s="14">
        <v>46158</v>
      </c>
      <c r="B1455" s="15">
        <v>0.09375</v>
      </c>
      <c r="C1455" s="5">
        <f>IF('96 Werte'!K21="","",'96 Werte'!K21)</f>
        <v/>
      </c>
      <c r="D1455" t="str">
        <f>IF(IF(Eingaben!$B$21&lt;Eingaben!$B$22,AND(B1455&gt;=Eingaben!$B$21,B1455&lt;Eingaben!$B$22),OR(B1455&gt;=Eingaben!$B$21,B1455&lt;Eingaben!$B$22)),"GO",IF(AND(ISNUMBER(Eingaben!$B$23),ISNUMBER(Eingaben!$B$24),IF(Eingaben!$B$23&lt;Eingaben!$B$24,AND(B1455&gt;=Eingaben!$B$23,B1455&lt;Eingaben!$B$24),OR(B1455&gt;=Eingaben!$B$23,B1455&lt;Eingaben!$B$24))),"HEAT","STANDARD"))</f>
        <v>GO</v>
      </c>
      <c r="E1455" s="9"/>
      <c r="F1455" t="str">
        <f>IF(E1455="",D1455,E1455)</f>
        <v>GO</v>
      </c>
      <c r="G1455" t="str">
        <f>INDEX(Netzzeiten!$B$6:$B$29,HOUR(B1455)+1)</f>
        <v>NT</v>
      </c>
      <c r="H1455" s="6">
        <f>IF(F1455="GO",Eingaben!$B$11,IF(F1455="STANDARD",Eingaben!$B$12,IF(AND(F1455="HEAT",ISNUMBER(Eingaben!$B$13)),Eingaben!$B$13,"")))</f>
        <v>15.0654</v>
      </c>
      <c r="I1455" s="6">
        <f>INDEX(Netzzeiten!$C$6:$C$29,HOUR(B1455)+1)</f>
        <v>1.64</v>
      </c>
      <c r="J1455" t="str">
        <f>IF(C1455="","FEHLT",IF(NOT(ISNUMBER(C1455)),"MESSWERT UNGUELTIG",IF(C1455&lt;0,"MESSWERT UNGUELTIG",IF(H1455="","TARIFPREIS FEHLT","OK"))))</f>
        <v>FEHLT</v>
      </c>
      <c r="K1455" s="7">
        <f>IF(J1455&lt;&gt;"OK","",C1455*I1455/100)</f>
        <v/>
      </c>
    </row>
    <row r="1456" spans="1:11">
      <c r="A1456" s="14">
        <v>46158</v>
      </c>
      <c r="B1456" s="15">
        <v>0.1041666666666667</v>
      </c>
      <c r="C1456" s="5">
        <f>IF('96 Werte'!L21="","",'96 Werte'!L21)</f>
        <v/>
      </c>
      <c r="D1456" t="str">
        <f>IF(IF(Eingaben!$B$21&lt;Eingaben!$B$22,AND(B1456&gt;=Eingaben!$B$21,B1456&lt;Eingaben!$B$22),OR(B1456&gt;=Eingaben!$B$21,B1456&lt;Eingaben!$B$22)),"GO",IF(AND(ISNUMBER(Eingaben!$B$23),ISNUMBER(Eingaben!$B$24),IF(Eingaben!$B$23&lt;Eingaben!$B$24,AND(B1456&gt;=Eingaben!$B$23,B1456&lt;Eingaben!$B$24),OR(B1456&gt;=Eingaben!$B$23,B1456&lt;Eingaben!$B$24))),"HEAT","STANDARD"))</f>
        <v>GO</v>
      </c>
      <c r="E1456" s="9"/>
      <c r="F1456" t="str">
        <f>IF(E1456="",D1456,E1456)</f>
        <v>GO</v>
      </c>
      <c r="G1456" t="str">
        <f>INDEX(Netzzeiten!$B$6:$B$29,HOUR(B1456)+1)</f>
        <v>NT</v>
      </c>
      <c r="H1456" s="6">
        <f>IF(F1456="GO",Eingaben!$B$11,IF(F1456="STANDARD",Eingaben!$B$12,IF(AND(F1456="HEAT",ISNUMBER(Eingaben!$B$13)),Eingaben!$B$13,"")))</f>
        <v>15.0654</v>
      </c>
      <c r="I1456" s="6">
        <f>INDEX(Netzzeiten!$C$6:$C$29,HOUR(B1456)+1)</f>
        <v>1.64</v>
      </c>
      <c r="J1456" t="str">
        <f>IF(C1456="","FEHLT",IF(NOT(ISNUMBER(C1456)),"MESSWERT UNGUELTIG",IF(C1456&lt;0,"MESSWERT UNGUELTIG",IF(H1456="","TARIFPREIS FEHLT","OK"))))</f>
        <v>FEHLT</v>
      </c>
      <c r="K1456" s="7">
        <f>IF(J1456&lt;&gt;"OK","",C1456*I1456/100)</f>
        <v/>
      </c>
    </row>
    <row r="1457" spans="1:11">
      <c r="A1457" s="14">
        <v>46158</v>
      </c>
      <c r="B1457" s="15">
        <v>0.1145833333333333</v>
      </c>
      <c r="C1457" s="5">
        <f>IF('96 Werte'!M21="","",'96 Werte'!M21)</f>
        <v/>
      </c>
      <c r="D1457" t="str">
        <f>IF(IF(Eingaben!$B$21&lt;Eingaben!$B$22,AND(B1457&gt;=Eingaben!$B$21,B1457&lt;Eingaben!$B$22),OR(B1457&gt;=Eingaben!$B$21,B1457&lt;Eingaben!$B$22)),"GO",IF(AND(ISNUMBER(Eingaben!$B$23),ISNUMBER(Eingaben!$B$24),IF(Eingaben!$B$23&lt;Eingaben!$B$24,AND(B1457&gt;=Eingaben!$B$23,B1457&lt;Eingaben!$B$24),OR(B1457&gt;=Eingaben!$B$23,B1457&lt;Eingaben!$B$24))),"HEAT","STANDARD"))</f>
        <v>GO</v>
      </c>
      <c r="E1457" s="9"/>
      <c r="F1457" t="str">
        <f>IF(E1457="",D1457,E1457)</f>
        <v>GO</v>
      </c>
      <c r="G1457" t="str">
        <f>INDEX(Netzzeiten!$B$6:$B$29,HOUR(B1457)+1)</f>
        <v>NT</v>
      </c>
      <c r="H1457" s="6">
        <f>IF(F1457="GO",Eingaben!$B$11,IF(F1457="STANDARD",Eingaben!$B$12,IF(AND(F1457="HEAT",ISNUMBER(Eingaben!$B$13)),Eingaben!$B$13,"")))</f>
        <v>15.0654</v>
      </c>
      <c r="I1457" s="6">
        <f>INDEX(Netzzeiten!$C$6:$C$29,HOUR(B1457)+1)</f>
        <v>1.64</v>
      </c>
      <c r="J1457" t="str">
        <f>IF(C1457="","FEHLT",IF(NOT(ISNUMBER(C1457)),"MESSWERT UNGUELTIG",IF(C1457&lt;0,"MESSWERT UNGUELTIG",IF(H1457="","TARIFPREIS FEHLT","OK"))))</f>
        <v>FEHLT</v>
      </c>
      <c r="K1457" s="7">
        <f>IF(J1457&lt;&gt;"OK","",C1457*I1457/100)</f>
        <v/>
      </c>
    </row>
    <row r="1458" spans="1:11">
      <c r="A1458" s="14">
        <v>46158</v>
      </c>
      <c r="B1458" s="15">
        <v>0.125</v>
      </c>
      <c r="C1458" s="5">
        <f>IF('96 Werte'!N21="","",'96 Werte'!N21)</f>
        <v/>
      </c>
      <c r="D1458" t="str">
        <f>IF(IF(Eingaben!$B$21&lt;Eingaben!$B$22,AND(B1458&gt;=Eingaben!$B$21,B1458&lt;Eingaben!$B$22),OR(B1458&gt;=Eingaben!$B$21,B1458&lt;Eingaben!$B$22)),"GO",IF(AND(ISNUMBER(Eingaben!$B$23),ISNUMBER(Eingaben!$B$24),IF(Eingaben!$B$23&lt;Eingaben!$B$24,AND(B1458&gt;=Eingaben!$B$23,B1458&lt;Eingaben!$B$24),OR(B1458&gt;=Eingaben!$B$23,B1458&lt;Eingaben!$B$24))),"HEAT","STANDARD"))</f>
        <v>GO</v>
      </c>
      <c r="E1458" s="9"/>
      <c r="F1458" t="str">
        <f>IF(E1458="",D1458,E1458)</f>
        <v>GO</v>
      </c>
      <c r="G1458" t="str">
        <f>INDEX(Netzzeiten!$B$6:$B$29,HOUR(B1458)+1)</f>
        <v>NT</v>
      </c>
      <c r="H1458" s="6">
        <f>IF(F1458="GO",Eingaben!$B$11,IF(F1458="STANDARD",Eingaben!$B$12,IF(AND(F1458="HEAT",ISNUMBER(Eingaben!$B$13)),Eingaben!$B$13,"")))</f>
        <v>15.0654</v>
      </c>
      <c r="I1458" s="6">
        <f>INDEX(Netzzeiten!$C$6:$C$29,HOUR(B1458)+1)</f>
        <v>1.64</v>
      </c>
      <c r="J1458" t="str">
        <f>IF(C1458="","FEHLT",IF(NOT(ISNUMBER(C1458)),"MESSWERT UNGUELTIG",IF(C1458&lt;0,"MESSWERT UNGUELTIG",IF(H1458="","TARIFPREIS FEHLT","OK"))))</f>
        <v>FEHLT</v>
      </c>
      <c r="K1458" s="7">
        <f>IF(J1458&lt;&gt;"OK","",C1458*I1458/100)</f>
        <v/>
      </c>
    </row>
    <row r="1459" spans="1:11">
      <c r="A1459" s="14">
        <v>46158</v>
      </c>
      <c r="B1459" s="15">
        <v>0.1354166666666667</v>
      </c>
      <c r="C1459" s="5">
        <f>IF('96 Werte'!O21="","",'96 Werte'!O21)</f>
        <v/>
      </c>
      <c r="D1459" t="str">
        <f>IF(IF(Eingaben!$B$21&lt;Eingaben!$B$22,AND(B1459&gt;=Eingaben!$B$21,B1459&lt;Eingaben!$B$22),OR(B1459&gt;=Eingaben!$B$21,B1459&lt;Eingaben!$B$22)),"GO",IF(AND(ISNUMBER(Eingaben!$B$23),ISNUMBER(Eingaben!$B$24),IF(Eingaben!$B$23&lt;Eingaben!$B$24,AND(B1459&gt;=Eingaben!$B$23,B1459&lt;Eingaben!$B$24),OR(B1459&gt;=Eingaben!$B$23,B1459&lt;Eingaben!$B$24))),"HEAT","STANDARD"))</f>
        <v>GO</v>
      </c>
      <c r="E1459" s="9"/>
      <c r="F1459" t="str">
        <f>IF(E1459="",D1459,E1459)</f>
        <v>GO</v>
      </c>
      <c r="G1459" t="str">
        <f>INDEX(Netzzeiten!$B$6:$B$29,HOUR(B1459)+1)</f>
        <v>NT</v>
      </c>
      <c r="H1459" s="6">
        <f>IF(F1459="GO",Eingaben!$B$11,IF(F1459="STANDARD",Eingaben!$B$12,IF(AND(F1459="HEAT",ISNUMBER(Eingaben!$B$13)),Eingaben!$B$13,"")))</f>
        <v>15.0654</v>
      </c>
      <c r="I1459" s="6">
        <f>INDEX(Netzzeiten!$C$6:$C$29,HOUR(B1459)+1)</f>
        <v>1.64</v>
      </c>
      <c r="J1459" t="str">
        <f>IF(C1459="","FEHLT",IF(NOT(ISNUMBER(C1459)),"MESSWERT UNGUELTIG",IF(C1459&lt;0,"MESSWERT UNGUELTIG",IF(H1459="","TARIFPREIS FEHLT","OK"))))</f>
        <v>FEHLT</v>
      </c>
      <c r="K1459" s="7">
        <f>IF(J1459&lt;&gt;"OK","",C1459*I1459/100)</f>
        <v/>
      </c>
    </row>
    <row r="1460" spans="1:11">
      <c r="A1460" s="14">
        <v>46158</v>
      </c>
      <c r="B1460" s="15">
        <v>0.1458333333333333</v>
      </c>
      <c r="C1460" s="5">
        <f>IF('96 Werte'!P21="","",'96 Werte'!P21)</f>
        <v/>
      </c>
      <c r="D1460" t="str">
        <f>IF(IF(Eingaben!$B$21&lt;Eingaben!$B$22,AND(B1460&gt;=Eingaben!$B$21,B1460&lt;Eingaben!$B$22),OR(B1460&gt;=Eingaben!$B$21,B1460&lt;Eingaben!$B$22)),"GO",IF(AND(ISNUMBER(Eingaben!$B$23),ISNUMBER(Eingaben!$B$24),IF(Eingaben!$B$23&lt;Eingaben!$B$24,AND(B1460&gt;=Eingaben!$B$23,B1460&lt;Eingaben!$B$24),OR(B1460&gt;=Eingaben!$B$23,B1460&lt;Eingaben!$B$24))),"HEAT","STANDARD"))</f>
        <v>GO</v>
      </c>
      <c r="E1460" s="9"/>
      <c r="F1460" t="str">
        <f>IF(E1460="",D1460,E1460)</f>
        <v>GO</v>
      </c>
      <c r="G1460" t="str">
        <f>INDEX(Netzzeiten!$B$6:$B$29,HOUR(B1460)+1)</f>
        <v>NT</v>
      </c>
      <c r="H1460" s="6">
        <f>IF(F1460="GO",Eingaben!$B$11,IF(F1460="STANDARD",Eingaben!$B$12,IF(AND(F1460="HEAT",ISNUMBER(Eingaben!$B$13)),Eingaben!$B$13,"")))</f>
        <v>15.0654</v>
      </c>
      <c r="I1460" s="6">
        <f>INDEX(Netzzeiten!$C$6:$C$29,HOUR(B1460)+1)</f>
        <v>1.64</v>
      </c>
      <c r="J1460" t="str">
        <f>IF(C1460="","FEHLT",IF(NOT(ISNUMBER(C1460)),"MESSWERT UNGUELTIG",IF(C1460&lt;0,"MESSWERT UNGUELTIG",IF(H1460="","TARIFPREIS FEHLT","OK"))))</f>
        <v>FEHLT</v>
      </c>
      <c r="K1460" s="7">
        <f>IF(J1460&lt;&gt;"OK","",C1460*I1460/100)</f>
        <v/>
      </c>
    </row>
    <row r="1461" spans="1:11">
      <c r="A1461" s="14">
        <v>46158</v>
      </c>
      <c r="B1461" s="15">
        <v>0.15625</v>
      </c>
      <c r="C1461" s="5">
        <f>IF('96 Werte'!Q21="","",'96 Werte'!Q21)</f>
        <v/>
      </c>
      <c r="D1461" t="str">
        <f>IF(IF(Eingaben!$B$21&lt;Eingaben!$B$22,AND(B1461&gt;=Eingaben!$B$21,B1461&lt;Eingaben!$B$22),OR(B1461&gt;=Eingaben!$B$21,B1461&lt;Eingaben!$B$22)),"GO",IF(AND(ISNUMBER(Eingaben!$B$23),ISNUMBER(Eingaben!$B$24),IF(Eingaben!$B$23&lt;Eingaben!$B$24,AND(B1461&gt;=Eingaben!$B$23,B1461&lt;Eingaben!$B$24),OR(B1461&gt;=Eingaben!$B$23,B1461&lt;Eingaben!$B$24))),"HEAT","STANDARD"))</f>
        <v>GO</v>
      </c>
      <c r="E1461" s="9"/>
      <c r="F1461" t="str">
        <f>IF(E1461="",D1461,E1461)</f>
        <v>GO</v>
      </c>
      <c r="G1461" t="str">
        <f>INDEX(Netzzeiten!$B$6:$B$29,HOUR(B1461)+1)</f>
        <v>NT</v>
      </c>
      <c r="H1461" s="6">
        <f>IF(F1461="GO",Eingaben!$B$11,IF(F1461="STANDARD",Eingaben!$B$12,IF(AND(F1461="HEAT",ISNUMBER(Eingaben!$B$13)),Eingaben!$B$13,"")))</f>
        <v>15.0654</v>
      </c>
      <c r="I1461" s="6">
        <f>INDEX(Netzzeiten!$C$6:$C$29,HOUR(B1461)+1)</f>
        <v>1.64</v>
      </c>
      <c r="J1461" t="str">
        <f>IF(C1461="","FEHLT",IF(NOT(ISNUMBER(C1461)),"MESSWERT UNGUELTIG",IF(C1461&lt;0,"MESSWERT UNGUELTIG",IF(H1461="","TARIFPREIS FEHLT","OK"))))</f>
        <v>FEHLT</v>
      </c>
      <c r="K1461" s="7">
        <f>IF(J1461&lt;&gt;"OK","",C1461*I1461/100)</f>
        <v/>
      </c>
    </row>
    <row r="1462" spans="1:11">
      <c r="A1462" s="14">
        <v>46158</v>
      </c>
      <c r="B1462" s="15">
        <v>0.1666666666666667</v>
      </c>
      <c r="C1462" s="5">
        <f>IF('96 Werte'!R21="","",'96 Werte'!R21)</f>
        <v/>
      </c>
      <c r="D1462" t="str">
        <f>IF(IF(Eingaben!$B$21&lt;Eingaben!$B$22,AND(B1462&gt;=Eingaben!$B$21,B1462&lt;Eingaben!$B$22),OR(B1462&gt;=Eingaben!$B$21,B1462&lt;Eingaben!$B$22)),"GO",IF(AND(ISNUMBER(Eingaben!$B$23),ISNUMBER(Eingaben!$B$24),IF(Eingaben!$B$23&lt;Eingaben!$B$24,AND(B1462&gt;=Eingaben!$B$23,B1462&lt;Eingaben!$B$24),OR(B1462&gt;=Eingaben!$B$23,B1462&lt;Eingaben!$B$24))),"HEAT","STANDARD"))</f>
        <v>GO</v>
      </c>
      <c r="E1462" s="9"/>
      <c r="F1462" t="str">
        <f>IF(E1462="",D1462,E1462)</f>
        <v>GO</v>
      </c>
      <c r="G1462" t="str">
        <f>INDEX(Netzzeiten!$B$6:$B$29,HOUR(B1462)+1)</f>
        <v>NT</v>
      </c>
      <c r="H1462" s="6">
        <f>IF(F1462="GO",Eingaben!$B$11,IF(F1462="STANDARD",Eingaben!$B$12,IF(AND(F1462="HEAT",ISNUMBER(Eingaben!$B$13)),Eingaben!$B$13,"")))</f>
        <v>15.0654</v>
      </c>
      <c r="I1462" s="6">
        <f>INDEX(Netzzeiten!$C$6:$C$29,HOUR(B1462)+1)</f>
        <v>1.64</v>
      </c>
      <c r="J1462" t="str">
        <f>IF(C1462="","FEHLT",IF(NOT(ISNUMBER(C1462)),"MESSWERT UNGUELTIG",IF(C1462&lt;0,"MESSWERT UNGUELTIG",IF(H1462="","TARIFPREIS FEHLT","OK"))))</f>
        <v>FEHLT</v>
      </c>
      <c r="K1462" s="7">
        <f>IF(J1462&lt;&gt;"OK","",C1462*I1462/100)</f>
        <v/>
      </c>
    </row>
    <row r="1463" spans="1:11">
      <c r="A1463" s="14">
        <v>46158</v>
      </c>
      <c r="B1463" s="15">
        <v>0.1770833333333333</v>
      </c>
      <c r="C1463" s="5">
        <f>IF('96 Werte'!S21="","",'96 Werte'!S21)</f>
        <v/>
      </c>
      <c r="D1463" t="str">
        <f>IF(IF(Eingaben!$B$21&lt;Eingaben!$B$22,AND(B1463&gt;=Eingaben!$B$21,B1463&lt;Eingaben!$B$22),OR(B1463&gt;=Eingaben!$B$21,B1463&lt;Eingaben!$B$22)),"GO",IF(AND(ISNUMBER(Eingaben!$B$23),ISNUMBER(Eingaben!$B$24),IF(Eingaben!$B$23&lt;Eingaben!$B$24,AND(B1463&gt;=Eingaben!$B$23,B1463&lt;Eingaben!$B$24),OR(B1463&gt;=Eingaben!$B$23,B1463&lt;Eingaben!$B$24))),"HEAT","STANDARD"))</f>
        <v>GO</v>
      </c>
      <c r="E1463" s="9"/>
      <c r="F1463" t="str">
        <f>IF(E1463="",D1463,E1463)</f>
        <v>GO</v>
      </c>
      <c r="G1463" t="str">
        <f>INDEX(Netzzeiten!$B$6:$B$29,HOUR(B1463)+1)</f>
        <v>NT</v>
      </c>
      <c r="H1463" s="6">
        <f>IF(F1463="GO",Eingaben!$B$11,IF(F1463="STANDARD",Eingaben!$B$12,IF(AND(F1463="HEAT",ISNUMBER(Eingaben!$B$13)),Eingaben!$B$13,"")))</f>
        <v>15.0654</v>
      </c>
      <c r="I1463" s="6">
        <f>INDEX(Netzzeiten!$C$6:$C$29,HOUR(B1463)+1)</f>
        <v>1.64</v>
      </c>
      <c r="J1463" t="str">
        <f>IF(C1463="","FEHLT",IF(NOT(ISNUMBER(C1463)),"MESSWERT UNGUELTIG",IF(C1463&lt;0,"MESSWERT UNGUELTIG",IF(H1463="","TARIFPREIS FEHLT","OK"))))</f>
        <v>FEHLT</v>
      </c>
      <c r="K1463" s="7">
        <f>IF(J1463&lt;&gt;"OK","",C1463*I1463/100)</f>
        <v/>
      </c>
    </row>
    <row r="1464" spans="1:11">
      <c r="A1464" s="14">
        <v>46158</v>
      </c>
      <c r="B1464" s="15">
        <v>0.1875</v>
      </c>
      <c r="C1464" s="5">
        <f>IF('96 Werte'!T21="","",'96 Werte'!T21)</f>
        <v/>
      </c>
      <c r="D1464" t="str">
        <f>IF(IF(Eingaben!$B$21&lt;Eingaben!$B$22,AND(B1464&gt;=Eingaben!$B$21,B1464&lt;Eingaben!$B$22),OR(B1464&gt;=Eingaben!$B$21,B1464&lt;Eingaben!$B$22)),"GO",IF(AND(ISNUMBER(Eingaben!$B$23),ISNUMBER(Eingaben!$B$24),IF(Eingaben!$B$23&lt;Eingaben!$B$24,AND(B1464&gt;=Eingaben!$B$23,B1464&lt;Eingaben!$B$24),OR(B1464&gt;=Eingaben!$B$23,B1464&lt;Eingaben!$B$24))),"HEAT","STANDARD"))</f>
        <v>GO</v>
      </c>
      <c r="E1464" s="9"/>
      <c r="F1464" t="str">
        <f>IF(E1464="",D1464,E1464)</f>
        <v>GO</v>
      </c>
      <c r="G1464" t="str">
        <f>INDEX(Netzzeiten!$B$6:$B$29,HOUR(B1464)+1)</f>
        <v>NT</v>
      </c>
      <c r="H1464" s="6">
        <f>IF(F1464="GO",Eingaben!$B$11,IF(F1464="STANDARD",Eingaben!$B$12,IF(AND(F1464="HEAT",ISNUMBER(Eingaben!$B$13)),Eingaben!$B$13,"")))</f>
        <v>15.0654</v>
      </c>
      <c r="I1464" s="6">
        <f>INDEX(Netzzeiten!$C$6:$C$29,HOUR(B1464)+1)</f>
        <v>1.64</v>
      </c>
      <c r="J1464" t="str">
        <f>IF(C1464="","FEHLT",IF(NOT(ISNUMBER(C1464)),"MESSWERT UNGUELTIG",IF(C1464&lt;0,"MESSWERT UNGUELTIG",IF(H1464="","TARIFPREIS FEHLT","OK"))))</f>
        <v>FEHLT</v>
      </c>
      <c r="K1464" s="7">
        <f>IF(J1464&lt;&gt;"OK","",C1464*I1464/100)</f>
        <v/>
      </c>
    </row>
    <row r="1465" spans="1:11">
      <c r="A1465" s="14">
        <v>46158</v>
      </c>
      <c r="B1465" s="15">
        <v>0.1979166666666667</v>
      </c>
      <c r="C1465" s="5">
        <f>IF('96 Werte'!U21="","",'96 Werte'!U21)</f>
        <v/>
      </c>
      <c r="D1465" t="str">
        <f>IF(IF(Eingaben!$B$21&lt;Eingaben!$B$22,AND(B1465&gt;=Eingaben!$B$21,B1465&lt;Eingaben!$B$22),OR(B1465&gt;=Eingaben!$B$21,B1465&lt;Eingaben!$B$22)),"GO",IF(AND(ISNUMBER(Eingaben!$B$23),ISNUMBER(Eingaben!$B$24),IF(Eingaben!$B$23&lt;Eingaben!$B$24,AND(B1465&gt;=Eingaben!$B$23,B1465&lt;Eingaben!$B$24),OR(B1465&gt;=Eingaben!$B$23,B1465&lt;Eingaben!$B$24))),"HEAT","STANDARD"))</f>
        <v>GO</v>
      </c>
      <c r="E1465" s="9"/>
      <c r="F1465" t="str">
        <f>IF(E1465="",D1465,E1465)</f>
        <v>GO</v>
      </c>
      <c r="G1465" t="str">
        <f>INDEX(Netzzeiten!$B$6:$B$29,HOUR(B1465)+1)</f>
        <v>NT</v>
      </c>
      <c r="H1465" s="6">
        <f>IF(F1465="GO",Eingaben!$B$11,IF(F1465="STANDARD",Eingaben!$B$12,IF(AND(F1465="HEAT",ISNUMBER(Eingaben!$B$13)),Eingaben!$B$13,"")))</f>
        <v>15.0654</v>
      </c>
      <c r="I1465" s="6">
        <f>INDEX(Netzzeiten!$C$6:$C$29,HOUR(B1465)+1)</f>
        <v>1.64</v>
      </c>
      <c r="J1465" t="str">
        <f>IF(C1465="","FEHLT",IF(NOT(ISNUMBER(C1465)),"MESSWERT UNGUELTIG",IF(C1465&lt;0,"MESSWERT UNGUELTIG",IF(H1465="","TARIFPREIS FEHLT","OK"))))</f>
        <v>FEHLT</v>
      </c>
      <c r="K1465" s="7">
        <f>IF(J1465&lt;&gt;"OK","",C1465*I1465/100)</f>
        <v/>
      </c>
    </row>
    <row r="1466" spans="1:11">
      <c r="A1466" s="14">
        <v>46158</v>
      </c>
      <c r="B1466" s="15">
        <v>0.2083333333333333</v>
      </c>
      <c r="C1466" s="5">
        <f>IF('96 Werte'!V21="","",'96 Werte'!V21)</f>
        <v/>
      </c>
      <c r="D1466" t="str">
        <f>IF(IF(Eingaben!$B$21&lt;Eingaben!$B$22,AND(B1466&gt;=Eingaben!$B$21,B1466&lt;Eingaben!$B$22),OR(B1466&gt;=Eingaben!$B$21,B1466&lt;Eingaben!$B$22)),"GO",IF(AND(ISNUMBER(Eingaben!$B$23),ISNUMBER(Eingaben!$B$24),IF(Eingaben!$B$23&lt;Eingaben!$B$24,AND(B1466&gt;=Eingaben!$B$23,B1466&lt;Eingaben!$B$24),OR(B1466&gt;=Eingaben!$B$23,B1466&lt;Eingaben!$B$24))),"HEAT","STANDARD"))</f>
        <v>STANDARD</v>
      </c>
      <c r="E1466" s="9"/>
      <c r="F1466" t="str">
        <f>IF(E1466="",D1466,E1466)</f>
        <v>STANDARD</v>
      </c>
      <c r="G1466" t="str">
        <f>INDEX(Netzzeiten!$B$6:$B$29,HOUR(B1466)+1)</f>
        <v>NT</v>
      </c>
      <c r="H1466" s="6">
        <f>IF(F1466="GO",Eingaben!$B$11,IF(F1466="STANDARD",Eingaben!$B$12,IF(AND(F1466="HEAT",ISNUMBER(Eingaben!$B$13)),Eingaben!$B$13,"")))</f>
        <v>28.2744</v>
      </c>
      <c r="I1466" s="6">
        <f>INDEX(Netzzeiten!$C$6:$C$29,HOUR(B1466)+1)</f>
        <v>1.64</v>
      </c>
      <c r="J1466" t="str">
        <f>IF(C1466="","FEHLT",IF(NOT(ISNUMBER(C1466)),"MESSWERT UNGUELTIG",IF(C1466&lt;0,"MESSWERT UNGUELTIG",IF(H1466="","TARIFPREIS FEHLT","OK"))))</f>
        <v>FEHLT</v>
      </c>
      <c r="K1466" s="7">
        <f>IF(J1466&lt;&gt;"OK","",C1466*I1466/100)</f>
        <v/>
      </c>
    </row>
    <row r="1467" spans="1:11">
      <c r="A1467" s="14">
        <v>46158</v>
      </c>
      <c r="B1467" s="15">
        <v>0.21875</v>
      </c>
      <c r="C1467" s="5">
        <f>IF('96 Werte'!W21="","",'96 Werte'!W21)</f>
        <v/>
      </c>
      <c r="D1467" t="str">
        <f>IF(IF(Eingaben!$B$21&lt;Eingaben!$B$22,AND(B1467&gt;=Eingaben!$B$21,B1467&lt;Eingaben!$B$22),OR(B1467&gt;=Eingaben!$B$21,B1467&lt;Eingaben!$B$22)),"GO",IF(AND(ISNUMBER(Eingaben!$B$23),ISNUMBER(Eingaben!$B$24),IF(Eingaben!$B$23&lt;Eingaben!$B$24,AND(B1467&gt;=Eingaben!$B$23,B1467&lt;Eingaben!$B$24),OR(B1467&gt;=Eingaben!$B$23,B1467&lt;Eingaben!$B$24))),"HEAT","STANDARD"))</f>
        <v>STANDARD</v>
      </c>
      <c r="E1467" s="9"/>
      <c r="F1467" t="str">
        <f>IF(E1467="",D1467,E1467)</f>
        <v>STANDARD</v>
      </c>
      <c r="G1467" t="str">
        <f>INDEX(Netzzeiten!$B$6:$B$29,HOUR(B1467)+1)</f>
        <v>NT</v>
      </c>
      <c r="H1467" s="6">
        <f>IF(F1467="GO",Eingaben!$B$11,IF(F1467="STANDARD",Eingaben!$B$12,IF(AND(F1467="HEAT",ISNUMBER(Eingaben!$B$13)),Eingaben!$B$13,"")))</f>
        <v>28.2744</v>
      </c>
      <c r="I1467" s="6">
        <f>INDEX(Netzzeiten!$C$6:$C$29,HOUR(B1467)+1)</f>
        <v>1.64</v>
      </c>
      <c r="J1467" t="str">
        <f>IF(C1467="","FEHLT",IF(NOT(ISNUMBER(C1467)),"MESSWERT UNGUELTIG",IF(C1467&lt;0,"MESSWERT UNGUELTIG",IF(H1467="","TARIFPREIS FEHLT","OK"))))</f>
        <v>FEHLT</v>
      </c>
      <c r="K1467" s="7">
        <f>IF(J1467&lt;&gt;"OK","",C1467*I1467/100)</f>
        <v/>
      </c>
    </row>
    <row r="1468" spans="1:11">
      <c r="A1468" s="14">
        <v>46158</v>
      </c>
      <c r="B1468" s="15">
        <v>0.2291666666666667</v>
      </c>
      <c r="C1468" s="5">
        <f>IF('96 Werte'!X21="","",'96 Werte'!X21)</f>
        <v/>
      </c>
      <c r="D1468" t="str">
        <f>IF(IF(Eingaben!$B$21&lt;Eingaben!$B$22,AND(B1468&gt;=Eingaben!$B$21,B1468&lt;Eingaben!$B$22),OR(B1468&gt;=Eingaben!$B$21,B1468&lt;Eingaben!$B$22)),"GO",IF(AND(ISNUMBER(Eingaben!$B$23),ISNUMBER(Eingaben!$B$24),IF(Eingaben!$B$23&lt;Eingaben!$B$24,AND(B1468&gt;=Eingaben!$B$23,B1468&lt;Eingaben!$B$24),OR(B1468&gt;=Eingaben!$B$23,B1468&lt;Eingaben!$B$24))),"HEAT","STANDARD"))</f>
        <v>STANDARD</v>
      </c>
      <c r="E1468" s="9"/>
      <c r="F1468" t="str">
        <f>IF(E1468="",D1468,E1468)</f>
        <v>STANDARD</v>
      </c>
      <c r="G1468" t="str">
        <f>INDEX(Netzzeiten!$B$6:$B$29,HOUR(B1468)+1)</f>
        <v>NT</v>
      </c>
      <c r="H1468" s="6">
        <f>IF(F1468="GO",Eingaben!$B$11,IF(F1468="STANDARD",Eingaben!$B$12,IF(AND(F1468="HEAT",ISNUMBER(Eingaben!$B$13)),Eingaben!$B$13,"")))</f>
        <v>28.2744</v>
      </c>
      <c r="I1468" s="6">
        <f>INDEX(Netzzeiten!$C$6:$C$29,HOUR(B1468)+1)</f>
        <v>1.64</v>
      </c>
      <c r="J1468" t="str">
        <f>IF(C1468="","FEHLT",IF(NOT(ISNUMBER(C1468)),"MESSWERT UNGUELTIG",IF(C1468&lt;0,"MESSWERT UNGUELTIG",IF(H1468="","TARIFPREIS FEHLT","OK"))))</f>
        <v>FEHLT</v>
      </c>
      <c r="K1468" s="7">
        <f>IF(J1468&lt;&gt;"OK","",C1468*I1468/100)</f>
        <v/>
      </c>
    </row>
    <row r="1469" spans="1:11">
      <c r="A1469" s="14">
        <v>46158</v>
      </c>
      <c r="B1469" s="15">
        <v>0.2395833333333333</v>
      </c>
      <c r="C1469" s="5">
        <f>IF('96 Werte'!Y21="","",'96 Werte'!Y21)</f>
        <v/>
      </c>
      <c r="D1469" t="str">
        <f>IF(IF(Eingaben!$B$21&lt;Eingaben!$B$22,AND(B1469&gt;=Eingaben!$B$21,B1469&lt;Eingaben!$B$22),OR(B1469&gt;=Eingaben!$B$21,B1469&lt;Eingaben!$B$22)),"GO",IF(AND(ISNUMBER(Eingaben!$B$23),ISNUMBER(Eingaben!$B$24),IF(Eingaben!$B$23&lt;Eingaben!$B$24,AND(B1469&gt;=Eingaben!$B$23,B1469&lt;Eingaben!$B$24),OR(B1469&gt;=Eingaben!$B$23,B1469&lt;Eingaben!$B$24))),"HEAT","STANDARD"))</f>
        <v>STANDARD</v>
      </c>
      <c r="E1469" s="9"/>
      <c r="F1469" t="str">
        <f>IF(E1469="",D1469,E1469)</f>
        <v>STANDARD</v>
      </c>
      <c r="G1469" t="str">
        <f>INDEX(Netzzeiten!$B$6:$B$29,HOUR(B1469)+1)</f>
        <v>NT</v>
      </c>
      <c r="H1469" s="6">
        <f>IF(F1469="GO",Eingaben!$B$11,IF(F1469="STANDARD",Eingaben!$B$12,IF(AND(F1469="HEAT",ISNUMBER(Eingaben!$B$13)),Eingaben!$B$13,"")))</f>
        <v>28.2744</v>
      </c>
      <c r="I1469" s="6">
        <f>INDEX(Netzzeiten!$C$6:$C$29,HOUR(B1469)+1)</f>
        <v>1.64</v>
      </c>
      <c r="J1469" t="str">
        <f>IF(C1469="","FEHLT",IF(NOT(ISNUMBER(C1469)),"MESSWERT UNGUELTIG",IF(C1469&lt;0,"MESSWERT UNGUELTIG",IF(H1469="","TARIFPREIS FEHLT","OK"))))</f>
        <v>FEHLT</v>
      </c>
      <c r="K1469" s="7">
        <f>IF(J1469&lt;&gt;"OK","",C1469*I1469/100)</f>
        <v/>
      </c>
    </row>
    <row r="1470" spans="1:11">
      <c r="A1470" s="14">
        <v>46158</v>
      </c>
      <c r="B1470" s="15">
        <v>0.25</v>
      </c>
      <c r="C1470" s="5">
        <f>IF('96 Werte'!Z21="","",'96 Werte'!Z21)</f>
        <v/>
      </c>
      <c r="D1470" t="str">
        <f>IF(IF(Eingaben!$B$21&lt;Eingaben!$B$22,AND(B1470&gt;=Eingaben!$B$21,B1470&lt;Eingaben!$B$22),OR(B1470&gt;=Eingaben!$B$21,B1470&lt;Eingaben!$B$22)),"GO",IF(AND(ISNUMBER(Eingaben!$B$23),ISNUMBER(Eingaben!$B$24),IF(Eingaben!$B$23&lt;Eingaben!$B$24,AND(B1470&gt;=Eingaben!$B$23,B1470&lt;Eingaben!$B$24),OR(B1470&gt;=Eingaben!$B$23,B1470&lt;Eingaben!$B$24))),"HEAT","STANDARD"))</f>
        <v>STANDARD</v>
      </c>
      <c r="E1470" s="9"/>
      <c r="F1470" t="str">
        <f>IF(E1470="",D1470,E1470)</f>
        <v>STANDARD</v>
      </c>
      <c r="G1470" t="str">
        <f>INDEX(Netzzeiten!$B$6:$B$29,HOUR(B1470)+1)</f>
        <v>ST</v>
      </c>
      <c r="H1470" s="6">
        <f>IF(F1470="GO",Eingaben!$B$11,IF(F1470="STANDARD",Eingaben!$B$12,IF(AND(F1470="HEAT",ISNUMBER(Eingaben!$B$13)),Eingaben!$B$13,"")))</f>
        <v>28.2744</v>
      </c>
      <c r="I1470" s="6">
        <f>INDEX(Netzzeiten!$C$6:$C$29,HOUR(B1470)+1)</f>
        <v>5.48</v>
      </c>
      <c r="J1470" t="str">
        <f>IF(C1470="","FEHLT",IF(NOT(ISNUMBER(C1470)),"MESSWERT UNGUELTIG",IF(C1470&lt;0,"MESSWERT UNGUELTIG",IF(H1470="","TARIFPREIS FEHLT","OK"))))</f>
        <v>FEHLT</v>
      </c>
      <c r="K1470" s="7">
        <f>IF(J1470&lt;&gt;"OK","",C1470*I1470/100)</f>
        <v/>
      </c>
    </row>
    <row r="1471" spans="1:11">
      <c r="A1471" s="14">
        <v>46158</v>
      </c>
      <c r="B1471" s="15">
        <v>0.2604166666666667</v>
      </c>
      <c r="C1471" s="5">
        <f>IF('96 Werte'!AA21="","",'96 Werte'!AA21)</f>
        <v/>
      </c>
      <c r="D1471" t="str">
        <f>IF(IF(Eingaben!$B$21&lt;Eingaben!$B$22,AND(B1471&gt;=Eingaben!$B$21,B1471&lt;Eingaben!$B$22),OR(B1471&gt;=Eingaben!$B$21,B1471&lt;Eingaben!$B$22)),"GO",IF(AND(ISNUMBER(Eingaben!$B$23),ISNUMBER(Eingaben!$B$24),IF(Eingaben!$B$23&lt;Eingaben!$B$24,AND(B1471&gt;=Eingaben!$B$23,B1471&lt;Eingaben!$B$24),OR(B1471&gt;=Eingaben!$B$23,B1471&lt;Eingaben!$B$24))),"HEAT","STANDARD"))</f>
        <v>STANDARD</v>
      </c>
      <c r="E1471" s="9"/>
      <c r="F1471" t="str">
        <f>IF(E1471="",D1471,E1471)</f>
        <v>STANDARD</v>
      </c>
      <c r="G1471" t="str">
        <f>INDEX(Netzzeiten!$B$6:$B$29,HOUR(B1471)+1)</f>
        <v>ST</v>
      </c>
      <c r="H1471" s="6">
        <f>IF(F1471="GO",Eingaben!$B$11,IF(F1471="STANDARD",Eingaben!$B$12,IF(AND(F1471="HEAT",ISNUMBER(Eingaben!$B$13)),Eingaben!$B$13,"")))</f>
        <v>28.2744</v>
      </c>
      <c r="I1471" s="6">
        <f>INDEX(Netzzeiten!$C$6:$C$29,HOUR(B1471)+1)</f>
        <v>5.48</v>
      </c>
      <c r="J1471" t="str">
        <f>IF(C1471="","FEHLT",IF(NOT(ISNUMBER(C1471)),"MESSWERT UNGUELTIG",IF(C1471&lt;0,"MESSWERT UNGUELTIG",IF(H1471="","TARIFPREIS FEHLT","OK"))))</f>
        <v>FEHLT</v>
      </c>
      <c r="K1471" s="7">
        <f>IF(J1471&lt;&gt;"OK","",C1471*I1471/100)</f>
        <v/>
      </c>
    </row>
    <row r="1472" spans="1:11">
      <c r="A1472" s="14">
        <v>46158</v>
      </c>
      <c r="B1472" s="15">
        <v>0.2708333333333333</v>
      </c>
      <c r="C1472" s="5">
        <f>IF('96 Werte'!AB21="","",'96 Werte'!AB21)</f>
        <v/>
      </c>
      <c r="D1472" t="str">
        <f>IF(IF(Eingaben!$B$21&lt;Eingaben!$B$22,AND(B1472&gt;=Eingaben!$B$21,B1472&lt;Eingaben!$B$22),OR(B1472&gt;=Eingaben!$B$21,B1472&lt;Eingaben!$B$22)),"GO",IF(AND(ISNUMBER(Eingaben!$B$23),ISNUMBER(Eingaben!$B$24),IF(Eingaben!$B$23&lt;Eingaben!$B$24,AND(B1472&gt;=Eingaben!$B$23,B1472&lt;Eingaben!$B$24),OR(B1472&gt;=Eingaben!$B$23,B1472&lt;Eingaben!$B$24))),"HEAT","STANDARD"))</f>
        <v>STANDARD</v>
      </c>
      <c r="E1472" s="9"/>
      <c r="F1472" t="str">
        <f>IF(E1472="",D1472,E1472)</f>
        <v>STANDARD</v>
      </c>
      <c r="G1472" t="str">
        <f>INDEX(Netzzeiten!$B$6:$B$29,HOUR(B1472)+1)</f>
        <v>ST</v>
      </c>
      <c r="H1472" s="6">
        <f>IF(F1472="GO",Eingaben!$B$11,IF(F1472="STANDARD",Eingaben!$B$12,IF(AND(F1472="HEAT",ISNUMBER(Eingaben!$B$13)),Eingaben!$B$13,"")))</f>
        <v>28.2744</v>
      </c>
      <c r="I1472" s="6">
        <f>INDEX(Netzzeiten!$C$6:$C$29,HOUR(B1472)+1)</f>
        <v>5.48</v>
      </c>
      <c r="J1472" t="str">
        <f>IF(C1472="","FEHLT",IF(NOT(ISNUMBER(C1472)),"MESSWERT UNGUELTIG",IF(C1472&lt;0,"MESSWERT UNGUELTIG",IF(H1472="","TARIFPREIS FEHLT","OK"))))</f>
        <v>FEHLT</v>
      </c>
      <c r="K1472" s="7">
        <f>IF(J1472&lt;&gt;"OK","",C1472*I1472/100)</f>
        <v/>
      </c>
    </row>
    <row r="1473" spans="1:11">
      <c r="A1473" s="14">
        <v>46158</v>
      </c>
      <c r="B1473" s="15">
        <v>0.28125</v>
      </c>
      <c r="C1473" s="5">
        <f>IF('96 Werte'!AC21="","",'96 Werte'!AC21)</f>
        <v/>
      </c>
      <c r="D1473" t="str">
        <f>IF(IF(Eingaben!$B$21&lt;Eingaben!$B$22,AND(B1473&gt;=Eingaben!$B$21,B1473&lt;Eingaben!$B$22),OR(B1473&gt;=Eingaben!$B$21,B1473&lt;Eingaben!$B$22)),"GO",IF(AND(ISNUMBER(Eingaben!$B$23),ISNUMBER(Eingaben!$B$24),IF(Eingaben!$B$23&lt;Eingaben!$B$24,AND(B1473&gt;=Eingaben!$B$23,B1473&lt;Eingaben!$B$24),OR(B1473&gt;=Eingaben!$B$23,B1473&lt;Eingaben!$B$24))),"HEAT","STANDARD"))</f>
        <v>STANDARD</v>
      </c>
      <c r="E1473" s="9"/>
      <c r="F1473" t="str">
        <f>IF(E1473="",D1473,E1473)</f>
        <v>STANDARD</v>
      </c>
      <c r="G1473" t="str">
        <f>INDEX(Netzzeiten!$B$6:$B$29,HOUR(B1473)+1)</f>
        <v>ST</v>
      </c>
      <c r="H1473" s="6">
        <f>IF(F1473="GO",Eingaben!$B$11,IF(F1473="STANDARD",Eingaben!$B$12,IF(AND(F1473="HEAT",ISNUMBER(Eingaben!$B$13)),Eingaben!$B$13,"")))</f>
        <v>28.2744</v>
      </c>
      <c r="I1473" s="6">
        <f>INDEX(Netzzeiten!$C$6:$C$29,HOUR(B1473)+1)</f>
        <v>5.48</v>
      </c>
      <c r="J1473" t="str">
        <f>IF(C1473="","FEHLT",IF(NOT(ISNUMBER(C1473)),"MESSWERT UNGUELTIG",IF(C1473&lt;0,"MESSWERT UNGUELTIG",IF(H1473="","TARIFPREIS FEHLT","OK"))))</f>
        <v>FEHLT</v>
      </c>
      <c r="K1473" s="7">
        <f>IF(J1473&lt;&gt;"OK","",C1473*I1473/100)</f>
        <v/>
      </c>
    </row>
    <row r="1474" spans="1:11">
      <c r="A1474" s="14">
        <v>46158</v>
      </c>
      <c r="B1474" s="15">
        <v>0.2916666666666667</v>
      </c>
      <c r="C1474" s="5">
        <f>IF('96 Werte'!AD21="","",'96 Werte'!AD21)</f>
        <v/>
      </c>
      <c r="D1474" t="str">
        <f>IF(IF(Eingaben!$B$21&lt;Eingaben!$B$22,AND(B1474&gt;=Eingaben!$B$21,B1474&lt;Eingaben!$B$22),OR(B1474&gt;=Eingaben!$B$21,B1474&lt;Eingaben!$B$22)),"GO",IF(AND(ISNUMBER(Eingaben!$B$23),ISNUMBER(Eingaben!$B$24),IF(Eingaben!$B$23&lt;Eingaben!$B$24,AND(B1474&gt;=Eingaben!$B$23,B1474&lt;Eingaben!$B$24),OR(B1474&gt;=Eingaben!$B$23,B1474&lt;Eingaben!$B$24))),"HEAT","STANDARD"))</f>
        <v>STANDARD</v>
      </c>
      <c r="E1474" s="9"/>
      <c r="F1474" t="str">
        <f>IF(E1474="",D1474,E1474)</f>
        <v>STANDARD</v>
      </c>
      <c r="G1474" t="str">
        <f>INDEX(Netzzeiten!$B$6:$B$29,HOUR(B1474)+1)</f>
        <v>ST</v>
      </c>
      <c r="H1474" s="6">
        <f>IF(F1474="GO",Eingaben!$B$11,IF(F1474="STANDARD",Eingaben!$B$12,IF(AND(F1474="HEAT",ISNUMBER(Eingaben!$B$13)),Eingaben!$B$13,"")))</f>
        <v>28.2744</v>
      </c>
      <c r="I1474" s="6">
        <f>INDEX(Netzzeiten!$C$6:$C$29,HOUR(B1474)+1)</f>
        <v>5.48</v>
      </c>
      <c r="J1474" t="str">
        <f>IF(C1474="","FEHLT",IF(NOT(ISNUMBER(C1474)),"MESSWERT UNGUELTIG",IF(C1474&lt;0,"MESSWERT UNGUELTIG",IF(H1474="","TARIFPREIS FEHLT","OK"))))</f>
        <v>FEHLT</v>
      </c>
      <c r="K1474" s="7">
        <f>IF(J1474&lt;&gt;"OK","",C1474*I1474/100)</f>
        <v/>
      </c>
    </row>
    <row r="1475" spans="1:11">
      <c r="A1475" s="14">
        <v>46158</v>
      </c>
      <c r="B1475" s="15">
        <v>0.3020833333333333</v>
      </c>
      <c r="C1475" s="5">
        <f>IF('96 Werte'!AE21="","",'96 Werte'!AE21)</f>
        <v/>
      </c>
      <c r="D1475" t="str">
        <f>IF(IF(Eingaben!$B$21&lt;Eingaben!$B$22,AND(B1475&gt;=Eingaben!$B$21,B1475&lt;Eingaben!$B$22),OR(B1475&gt;=Eingaben!$B$21,B1475&lt;Eingaben!$B$22)),"GO",IF(AND(ISNUMBER(Eingaben!$B$23),ISNUMBER(Eingaben!$B$24),IF(Eingaben!$B$23&lt;Eingaben!$B$24,AND(B1475&gt;=Eingaben!$B$23,B1475&lt;Eingaben!$B$24),OR(B1475&gt;=Eingaben!$B$23,B1475&lt;Eingaben!$B$24))),"HEAT","STANDARD"))</f>
        <v>STANDARD</v>
      </c>
      <c r="E1475" s="9"/>
      <c r="F1475" t="str">
        <f>IF(E1475="",D1475,E1475)</f>
        <v>STANDARD</v>
      </c>
      <c r="G1475" t="str">
        <f>INDEX(Netzzeiten!$B$6:$B$29,HOUR(B1475)+1)</f>
        <v>ST</v>
      </c>
      <c r="H1475" s="6">
        <f>IF(F1475="GO",Eingaben!$B$11,IF(F1475="STANDARD",Eingaben!$B$12,IF(AND(F1475="HEAT",ISNUMBER(Eingaben!$B$13)),Eingaben!$B$13,"")))</f>
        <v>28.2744</v>
      </c>
      <c r="I1475" s="6">
        <f>INDEX(Netzzeiten!$C$6:$C$29,HOUR(B1475)+1)</f>
        <v>5.48</v>
      </c>
      <c r="J1475" t="str">
        <f>IF(C1475="","FEHLT",IF(NOT(ISNUMBER(C1475)),"MESSWERT UNGUELTIG",IF(C1475&lt;0,"MESSWERT UNGUELTIG",IF(H1475="","TARIFPREIS FEHLT","OK"))))</f>
        <v>FEHLT</v>
      </c>
      <c r="K1475" s="7">
        <f>IF(J1475&lt;&gt;"OK","",C1475*I1475/100)</f>
        <v/>
      </c>
    </row>
    <row r="1476" spans="1:11">
      <c r="A1476" s="14">
        <v>46158</v>
      </c>
      <c r="B1476" s="15">
        <v>0.3125</v>
      </c>
      <c r="C1476" s="5">
        <f>IF('96 Werte'!AF21="","",'96 Werte'!AF21)</f>
        <v/>
      </c>
      <c r="D1476" t="str">
        <f>IF(IF(Eingaben!$B$21&lt;Eingaben!$B$22,AND(B1476&gt;=Eingaben!$B$21,B1476&lt;Eingaben!$B$22),OR(B1476&gt;=Eingaben!$B$21,B1476&lt;Eingaben!$B$22)),"GO",IF(AND(ISNUMBER(Eingaben!$B$23),ISNUMBER(Eingaben!$B$24),IF(Eingaben!$B$23&lt;Eingaben!$B$24,AND(B1476&gt;=Eingaben!$B$23,B1476&lt;Eingaben!$B$24),OR(B1476&gt;=Eingaben!$B$23,B1476&lt;Eingaben!$B$24))),"HEAT","STANDARD"))</f>
        <v>STANDARD</v>
      </c>
      <c r="E1476" s="9"/>
      <c r="F1476" t="str">
        <f>IF(E1476="",D1476,E1476)</f>
        <v>STANDARD</v>
      </c>
      <c r="G1476" t="str">
        <f>INDEX(Netzzeiten!$B$6:$B$29,HOUR(B1476)+1)</f>
        <v>ST</v>
      </c>
      <c r="H1476" s="6">
        <f>IF(F1476="GO",Eingaben!$B$11,IF(F1476="STANDARD",Eingaben!$B$12,IF(AND(F1476="HEAT",ISNUMBER(Eingaben!$B$13)),Eingaben!$B$13,"")))</f>
        <v>28.2744</v>
      </c>
      <c r="I1476" s="6">
        <f>INDEX(Netzzeiten!$C$6:$C$29,HOUR(B1476)+1)</f>
        <v>5.48</v>
      </c>
      <c r="J1476" t="str">
        <f>IF(C1476="","FEHLT",IF(NOT(ISNUMBER(C1476)),"MESSWERT UNGUELTIG",IF(C1476&lt;0,"MESSWERT UNGUELTIG",IF(H1476="","TARIFPREIS FEHLT","OK"))))</f>
        <v>FEHLT</v>
      </c>
      <c r="K1476" s="7">
        <f>IF(J1476&lt;&gt;"OK","",C1476*I1476/100)</f>
        <v/>
      </c>
    </row>
    <row r="1477" spans="1:11">
      <c r="A1477" s="14">
        <v>46158</v>
      </c>
      <c r="B1477" s="15">
        <v>0.3229166666666667</v>
      </c>
      <c r="C1477" s="5">
        <f>IF('96 Werte'!AG21="","",'96 Werte'!AG21)</f>
        <v/>
      </c>
      <c r="D1477" t="str">
        <f>IF(IF(Eingaben!$B$21&lt;Eingaben!$B$22,AND(B1477&gt;=Eingaben!$B$21,B1477&lt;Eingaben!$B$22),OR(B1477&gt;=Eingaben!$B$21,B1477&lt;Eingaben!$B$22)),"GO",IF(AND(ISNUMBER(Eingaben!$B$23),ISNUMBER(Eingaben!$B$24),IF(Eingaben!$B$23&lt;Eingaben!$B$24,AND(B1477&gt;=Eingaben!$B$23,B1477&lt;Eingaben!$B$24),OR(B1477&gt;=Eingaben!$B$23,B1477&lt;Eingaben!$B$24))),"HEAT","STANDARD"))</f>
        <v>STANDARD</v>
      </c>
      <c r="E1477" s="9"/>
      <c r="F1477" t="str">
        <f>IF(E1477="",D1477,E1477)</f>
        <v>STANDARD</v>
      </c>
      <c r="G1477" t="str">
        <f>INDEX(Netzzeiten!$B$6:$B$29,HOUR(B1477)+1)</f>
        <v>ST</v>
      </c>
      <c r="H1477" s="6">
        <f>IF(F1477="GO",Eingaben!$B$11,IF(F1477="STANDARD",Eingaben!$B$12,IF(AND(F1477="HEAT",ISNUMBER(Eingaben!$B$13)),Eingaben!$B$13,"")))</f>
        <v>28.2744</v>
      </c>
      <c r="I1477" s="6">
        <f>INDEX(Netzzeiten!$C$6:$C$29,HOUR(B1477)+1)</f>
        <v>5.48</v>
      </c>
      <c r="J1477" t="str">
        <f>IF(C1477="","FEHLT",IF(NOT(ISNUMBER(C1477)),"MESSWERT UNGUELTIG",IF(C1477&lt;0,"MESSWERT UNGUELTIG",IF(H1477="","TARIFPREIS FEHLT","OK"))))</f>
        <v>FEHLT</v>
      </c>
      <c r="K1477" s="7">
        <f>IF(J1477&lt;&gt;"OK","",C1477*I1477/100)</f>
        <v/>
      </c>
    </row>
    <row r="1478" spans="1:11">
      <c r="A1478" s="14">
        <v>46158</v>
      </c>
      <c r="B1478" s="15">
        <v>0.3333333333333333</v>
      </c>
      <c r="C1478" s="5">
        <f>IF('96 Werte'!AH21="","",'96 Werte'!AH21)</f>
        <v/>
      </c>
      <c r="D1478" t="str">
        <f>IF(IF(Eingaben!$B$21&lt;Eingaben!$B$22,AND(B1478&gt;=Eingaben!$B$21,B1478&lt;Eingaben!$B$22),OR(B1478&gt;=Eingaben!$B$21,B1478&lt;Eingaben!$B$22)),"GO",IF(AND(ISNUMBER(Eingaben!$B$23),ISNUMBER(Eingaben!$B$24),IF(Eingaben!$B$23&lt;Eingaben!$B$24,AND(B1478&gt;=Eingaben!$B$23,B1478&lt;Eingaben!$B$24),OR(B1478&gt;=Eingaben!$B$23,B1478&lt;Eingaben!$B$24))),"HEAT","STANDARD"))</f>
        <v>STANDARD</v>
      </c>
      <c r="E1478" s="9"/>
      <c r="F1478" t="str">
        <f>IF(E1478="",D1478,E1478)</f>
        <v>STANDARD</v>
      </c>
      <c r="G1478" t="str">
        <f>INDEX(Netzzeiten!$B$6:$B$29,HOUR(B1478)+1)</f>
        <v>ST</v>
      </c>
      <c r="H1478" s="6">
        <f>IF(F1478="GO",Eingaben!$B$11,IF(F1478="STANDARD",Eingaben!$B$12,IF(AND(F1478="HEAT",ISNUMBER(Eingaben!$B$13)),Eingaben!$B$13,"")))</f>
        <v>28.2744</v>
      </c>
      <c r="I1478" s="6">
        <f>INDEX(Netzzeiten!$C$6:$C$29,HOUR(B1478)+1)</f>
        <v>5.48</v>
      </c>
      <c r="J1478" t="str">
        <f>IF(C1478="","FEHLT",IF(NOT(ISNUMBER(C1478)),"MESSWERT UNGUELTIG",IF(C1478&lt;0,"MESSWERT UNGUELTIG",IF(H1478="","TARIFPREIS FEHLT","OK"))))</f>
        <v>FEHLT</v>
      </c>
      <c r="K1478" s="7">
        <f>IF(J1478&lt;&gt;"OK","",C1478*I1478/100)</f>
        <v/>
      </c>
    </row>
    <row r="1479" spans="1:11">
      <c r="A1479" s="14">
        <v>46158</v>
      </c>
      <c r="B1479" s="15">
        <v>0.34375</v>
      </c>
      <c r="C1479" s="5">
        <f>IF('96 Werte'!AI21="","",'96 Werte'!AI21)</f>
        <v/>
      </c>
      <c r="D1479" t="str">
        <f>IF(IF(Eingaben!$B$21&lt;Eingaben!$B$22,AND(B1479&gt;=Eingaben!$B$21,B1479&lt;Eingaben!$B$22),OR(B1479&gt;=Eingaben!$B$21,B1479&lt;Eingaben!$B$22)),"GO",IF(AND(ISNUMBER(Eingaben!$B$23),ISNUMBER(Eingaben!$B$24),IF(Eingaben!$B$23&lt;Eingaben!$B$24,AND(B1479&gt;=Eingaben!$B$23,B1479&lt;Eingaben!$B$24),OR(B1479&gt;=Eingaben!$B$23,B1479&lt;Eingaben!$B$24))),"HEAT","STANDARD"))</f>
        <v>STANDARD</v>
      </c>
      <c r="E1479" s="9"/>
      <c r="F1479" t="str">
        <f>IF(E1479="",D1479,E1479)</f>
        <v>STANDARD</v>
      </c>
      <c r="G1479" t="str">
        <f>INDEX(Netzzeiten!$B$6:$B$29,HOUR(B1479)+1)</f>
        <v>ST</v>
      </c>
      <c r="H1479" s="6">
        <f>IF(F1479="GO",Eingaben!$B$11,IF(F1479="STANDARD",Eingaben!$B$12,IF(AND(F1479="HEAT",ISNUMBER(Eingaben!$B$13)),Eingaben!$B$13,"")))</f>
        <v>28.2744</v>
      </c>
      <c r="I1479" s="6">
        <f>INDEX(Netzzeiten!$C$6:$C$29,HOUR(B1479)+1)</f>
        <v>5.48</v>
      </c>
      <c r="J1479" t="str">
        <f>IF(C1479="","FEHLT",IF(NOT(ISNUMBER(C1479)),"MESSWERT UNGUELTIG",IF(C1479&lt;0,"MESSWERT UNGUELTIG",IF(H1479="","TARIFPREIS FEHLT","OK"))))</f>
        <v>FEHLT</v>
      </c>
      <c r="K1479" s="7">
        <f>IF(J1479&lt;&gt;"OK","",C1479*I1479/100)</f>
        <v/>
      </c>
    </row>
    <row r="1480" spans="1:11">
      <c r="A1480" s="14">
        <v>46158</v>
      </c>
      <c r="B1480" s="15">
        <v>0.3541666666666667</v>
      </c>
      <c r="C1480" s="5">
        <f>IF('96 Werte'!AJ21="","",'96 Werte'!AJ21)</f>
        <v/>
      </c>
      <c r="D1480" t="str">
        <f>IF(IF(Eingaben!$B$21&lt;Eingaben!$B$22,AND(B1480&gt;=Eingaben!$B$21,B1480&lt;Eingaben!$B$22),OR(B1480&gt;=Eingaben!$B$21,B1480&lt;Eingaben!$B$22)),"GO",IF(AND(ISNUMBER(Eingaben!$B$23),ISNUMBER(Eingaben!$B$24),IF(Eingaben!$B$23&lt;Eingaben!$B$24,AND(B1480&gt;=Eingaben!$B$23,B1480&lt;Eingaben!$B$24),OR(B1480&gt;=Eingaben!$B$23,B1480&lt;Eingaben!$B$24))),"HEAT","STANDARD"))</f>
        <v>STANDARD</v>
      </c>
      <c r="E1480" s="9"/>
      <c r="F1480" t="str">
        <f>IF(E1480="",D1480,E1480)</f>
        <v>STANDARD</v>
      </c>
      <c r="G1480" t="str">
        <f>INDEX(Netzzeiten!$B$6:$B$29,HOUR(B1480)+1)</f>
        <v>ST</v>
      </c>
      <c r="H1480" s="6">
        <f>IF(F1480="GO",Eingaben!$B$11,IF(F1480="STANDARD",Eingaben!$B$12,IF(AND(F1480="HEAT",ISNUMBER(Eingaben!$B$13)),Eingaben!$B$13,"")))</f>
        <v>28.2744</v>
      </c>
      <c r="I1480" s="6">
        <f>INDEX(Netzzeiten!$C$6:$C$29,HOUR(B1480)+1)</f>
        <v>5.48</v>
      </c>
      <c r="J1480" t="str">
        <f>IF(C1480="","FEHLT",IF(NOT(ISNUMBER(C1480)),"MESSWERT UNGUELTIG",IF(C1480&lt;0,"MESSWERT UNGUELTIG",IF(H1480="","TARIFPREIS FEHLT","OK"))))</f>
        <v>FEHLT</v>
      </c>
      <c r="K1480" s="7">
        <f>IF(J1480&lt;&gt;"OK","",C1480*I1480/100)</f>
        <v/>
      </c>
    </row>
    <row r="1481" spans="1:11">
      <c r="A1481" s="14">
        <v>46158</v>
      </c>
      <c r="B1481" s="15">
        <v>0.3645833333333333</v>
      </c>
      <c r="C1481" s="5">
        <f>IF('96 Werte'!AK21="","",'96 Werte'!AK21)</f>
        <v/>
      </c>
      <c r="D1481" t="str">
        <f>IF(IF(Eingaben!$B$21&lt;Eingaben!$B$22,AND(B1481&gt;=Eingaben!$B$21,B1481&lt;Eingaben!$B$22),OR(B1481&gt;=Eingaben!$B$21,B1481&lt;Eingaben!$B$22)),"GO",IF(AND(ISNUMBER(Eingaben!$B$23),ISNUMBER(Eingaben!$B$24),IF(Eingaben!$B$23&lt;Eingaben!$B$24,AND(B1481&gt;=Eingaben!$B$23,B1481&lt;Eingaben!$B$24),OR(B1481&gt;=Eingaben!$B$23,B1481&lt;Eingaben!$B$24))),"HEAT","STANDARD"))</f>
        <v>STANDARD</v>
      </c>
      <c r="E1481" s="9"/>
      <c r="F1481" t="str">
        <f>IF(E1481="",D1481,E1481)</f>
        <v>STANDARD</v>
      </c>
      <c r="G1481" t="str">
        <f>INDEX(Netzzeiten!$B$6:$B$29,HOUR(B1481)+1)</f>
        <v>ST</v>
      </c>
      <c r="H1481" s="6">
        <f>IF(F1481="GO",Eingaben!$B$11,IF(F1481="STANDARD",Eingaben!$B$12,IF(AND(F1481="HEAT",ISNUMBER(Eingaben!$B$13)),Eingaben!$B$13,"")))</f>
        <v>28.2744</v>
      </c>
      <c r="I1481" s="6">
        <f>INDEX(Netzzeiten!$C$6:$C$29,HOUR(B1481)+1)</f>
        <v>5.48</v>
      </c>
      <c r="J1481" t="str">
        <f>IF(C1481="","FEHLT",IF(NOT(ISNUMBER(C1481)),"MESSWERT UNGUELTIG",IF(C1481&lt;0,"MESSWERT UNGUELTIG",IF(H1481="","TARIFPREIS FEHLT","OK"))))</f>
        <v>FEHLT</v>
      </c>
      <c r="K1481" s="7">
        <f>IF(J1481&lt;&gt;"OK","",C1481*I1481/100)</f>
        <v/>
      </c>
    </row>
    <row r="1482" spans="1:11">
      <c r="A1482" s="14">
        <v>46158</v>
      </c>
      <c r="B1482" s="15">
        <v>0.375</v>
      </c>
      <c r="C1482" s="5">
        <f>IF('96 Werte'!AL21="","",'96 Werte'!AL21)</f>
        <v/>
      </c>
      <c r="D1482" t="str">
        <f>IF(IF(Eingaben!$B$21&lt;Eingaben!$B$22,AND(B1482&gt;=Eingaben!$B$21,B1482&lt;Eingaben!$B$22),OR(B1482&gt;=Eingaben!$B$21,B1482&lt;Eingaben!$B$22)),"GO",IF(AND(ISNUMBER(Eingaben!$B$23),ISNUMBER(Eingaben!$B$24),IF(Eingaben!$B$23&lt;Eingaben!$B$24,AND(B1482&gt;=Eingaben!$B$23,B1482&lt;Eingaben!$B$24),OR(B1482&gt;=Eingaben!$B$23,B1482&lt;Eingaben!$B$24))),"HEAT","STANDARD"))</f>
        <v>STANDARD</v>
      </c>
      <c r="E1482" s="9"/>
      <c r="F1482" t="str">
        <f>IF(E1482="",D1482,E1482)</f>
        <v>STANDARD</v>
      </c>
      <c r="G1482" t="str">
        <f>INDEX(Netzzeiten!$B$6:$B$29,HOUR(B1482)+1)</f>
        <v>ST</v>
      </c>
      <c r="H1482" s="6">
        <f>IF(F1482="GO",Eingaben!$B$11,IF(F1482="STANDARD",Eingaben!$B$12,IF(AND(F1482="HEAT",ISNUMBER(Eingaben!$B$13)),Eingaben!$B$13,"")))</f>
        <v>28.2744</v>
      </c>
      <c r="I1482" s="6">
        <f>INDEX(Netzzeiten!$C$6:$C$29,HOUR(B1482)+1)</f>
        <v>5.48</v>
      </c>
      <c r="J1482" t="str">
        <f>IF(C1482="","FEHLT",IF(NOT(ISNUMBER(C1482)),"MESSWERT UNGUELTIG",IF(C1482&lt;0,"MESSWERT UNGUELTIG",IF(H1482="","TARIFPREIS FEHLT","OK"))))</f>
        <v>FEHLT</v>
      </c>
      <c r="K1482" s="7">
        <f>IF(J1482&lt;&gt;"OK","",C1482*I1482/100)</f>
        <v/>
      </c>
    </row>
    <row r="1483" spans="1:11">
      <c r="A1483" s="14">
        <v>46158</v>
      </c>
      <c r="B1483" s="15">
        <v>0.3854166666666667</v>
      </c>
      <c r="C1483" s="5">
        <f>IF('96 Werte'!AM21="","",'96 Werte'!AM21)</f>
        <v/>
      </c>
      <c r="D1483" t="str">
        <f>IF(IF(Eingaben!$B$21&lt;Eingaben!$B$22,AND(B1483&gt;=Eingaben!$B$21,B1483&lt;Eingaben!$B$22),OR(B1483&gt;=Eingaben!$B$21,B1483&lt;Eingaben!$B$22)),"GO",IF(AND(ISNUMBER(Eingaben!$B$23),ISNUMBER(Eingaben!$B$24),IF(Eingaben!$B$23&lt;Eingaben!$B$24,AND(B1483&gt;=Eingaben!$B$23,B1483&lt;Eingaben!$B$24),OR(B1483&gt;=Eingaben!$B$23,B1483&lt;Eingaben!$B$24))),"HEAT","STANDARD"))</f>
        <v>STANDARD</v>
      </c>
      <c r="E1483" s="9"/>
      <c r="F1483" t="str">
        <f>IF(E1483="",D1483,E1483)</f>
        <v>STANDARD</v>
      </c>
      <c r="G1483" t="str">
        <f>INDEX(Netzzeiten!$B$6:$B$29,HOUR(B1483)+1)</f>
        <v>ST</v>
      </c>
      <c r="H1483" s="6">
        <f>IF(F1483="GO",Eingaben!$B$11,IF(F1483="STANDARD",Eingaben!$B$12,IF(AND(F1483="HEAT",ISNUMBER(Eingaben!$B$13)),Eingaben!$B$13,"")))</f>
        <v>28.2744</v>
      </c>
      <c r="I1483" s="6">
        <f>INDEX(Netzzeiten!$C$6:$C$29,HOUR(B1483)+1)</f>
        <v>5.48</v>
      </c>
      <c r="J1483" t="str">
        <f>IF(C1483="","FEHLT",IF(NOT(ISNUMBER(C1483)),"MESSWERT UNGUELTIG",IF(C1483&lt;0,"MESSWERT UNGUELTIG",IF(H1483="","TARIFPREIS FEHLT","OK"))))</f>
        <v>FEHLT</v>
      </c>
      <c r="K1483" s="7">
        <f>IF(J1483&lt;&gt;"OK","",C1483*I1483/100)</f>
        <v/>
      </c>
    </row>
    <row r="1484" spans="1:11">
      <c r="A1484" s="14">
        <v>46158</v>
      </c>
      <c r="B1484" s="15">
        <v>0.3958333333333333</v>
      </c>
      <c r="C1484" s="5">
        <f>IF('96 Werte'!AN21="","",'96 Werte'!AN21)</f>
        <v/>
      </c>
      <c r="D1484" t="str">
        <f>IF(IF(Eingaben!$B$21&lt;Eingaben!$B$22,AND(B1484&gt;=Eingaben!$B$21,B1484&lt;Eingaben!$B$22),OR(B1484&gt;=Eingaben!$B$21,B1484&lt;Eingaben!$B$22)),"GO",IF(AND(ISNUMBER(Eingaben!$B$23),ISNUMBER(Eingaben!$B$24),IF(Eingaben!$B$23&lt;Eingaben!$B$24,AND(B1484&gt;=Eingaben!$B$23,B1484&lt;Eingaben!$B$24),OR(B1484&gt;=Eingaben!$B$23,B1484&lt;Eingaben!$B$24))),"HEAT","STANDARD"))</f>
        <v>STANDARD</v>
      </c>
      <c r="E1484" s="9"/>
      <c r="F1484" t="str">
        <f>IF(E1484="",D1484,E1484)</f>
        <v>STANDARD</v>
      </c>
      <c r="G1484" t="str">
        <f>INDEX(Netzzeiten!$B$6:$B$29,HOUR(B1484)+1)</f>
        <v>ST</v>
      </c>
      <c r="H1484" s="6">
        <f>IF(F1484="GO",Eingaben!$B$11,IF(F1484="STANDARD",Eingaben!$B$12,IF(AND(F1484="HEAT",ISNUMBER(Eingaben!$B$13)),Eingaben!$B$13,"")))</f>
        <v>28.2744</v>
      </c>
      <c r="I1484" s="6">
        <f>INDEX(Netzzeiten!$C$6:$C$29,HOUR(B1484)+1)</f>
        <v>5.48</v>
      </c>
      <c r="J1484" t="str">
        <f>IF(C1484="","FEHLT",IF(NOT(ISNUMBER(C1484)),"MESSWERT UNGUELTIG",IF(C1484&lt;0,"MESSWERT UNGUELTIG",IF(H1484="","TARIFPREIS FEHLT","OK"))))</f>
        <v>FEHLT</v>
      </c>
      <c r="K1484" s="7">
        <f>IF(J1484&lt;&gt;"OK","",C1484*I1484/100)</f>
        <v/>
      </c>
    </row>
    <row r="1485" spans="1:11">
      <c r="A1485" s="14">
        <v>46158</v>
      </c>
      <c r="B1485" s="15">
        <v>0.40625</v>
      </c>
      <c r="C1485" s="5">
        <f>IF('96 Werte'!AO21="","",'96 Werte'!AO21)</f>
        <v/>
      </c>
      <c r="D1485" t="str">
        <f>IF(IF(Eingaben!$B$21&lt;Eingaben!$B$22,AND(B1485&gt;=Eingaben!$B$21,B1485&lt;Eingaben!$B$22),OR(B1485&gt;=Eingaben!$B$21,B1485&lt;Eingaben!$B$22)),"GO",IF(AND(ISNUMBER(Eingaben!$B$23),ISNUMBER(Eingaben!$B$24),IF(Eingaben!$B$23&lt;Eingaben!$B$24,AND(B1485&gt;=Eingaben!$B$23,B1485&lt;Eingaben!$B$24),OR(B1485&gt;=Eingaben!$B$23,B1485&lt;Eingaben!$B$24))),"HEAT","STANDARD"))</f>
        <v>STANDARD</v>
      </c>
      <c r="E1485" s="9"/>
      <c r="F1485" t="str">
        <f>IF(E1485="",D1485,E1485)</f>
        <v>STANDARD</v>
      </c>
      <c r="G1485" t="str">
        <f>INDEX(Netzzeiten!$B$6:$B$29,HOUR(B1485)+1)</f>
        <v>ST</v>
      </c>
      <c r="H1485" s="6">
        <f>IF(F1485="GO",Eingaben!$B$11,IF(F1485="STANDARD",Eingaben!$B$12,IF(AND(F1485="HEAT",ISNUMBER(Eingaben!$B$13)),Eingaben!$B$13,"")))</f>
        <v>28.2744</v>
      </c>
      <c r="I1485" s="6">
        <f>INDEX(Netzzeiten!$C$6:$C$29,HOUR(B1485)+1)</f>
        <v>5.48</v>
      </c>
      <c r="J1485" t="str">
        <f>IF(C1485="","FEHLT",IF(NOT(ISNUMBER(C1485)),"MESSWERT UNGUELTIG",IF(C1485&lt;0,"MESSWERT UNGUELTIG",IF(H1485="","TARIFPREIS FEHLT","OK"))))</f>
        <v>FEHLT</v>
      </c>
      <c r="K1485" s="7">
        <f>IF(J1485&lt;&gt;"OK","",C1485*I1485/100)</f>
        <v/>
      </c>
    </row>
    <row r="1486" spans="1:11">
      <c r="A1486" s="14">
        <v>46158</v>
      </c>
      <c r="B1486" s="15">
        <v>0.4166666666666667</v>
      </c>
      <c r="C1486" s="5">
        <f>IF('96 Werte'!AP21="","",'96 Werte'!AP21)</f>
        <v/>
      </c>
      <c r="D1486" t="str">
        <f>IF(IF(Eingaben!$B$21&lt;Eingaben!$B$22,AND(B1486&gt;=Eingaben!$B$21,B1486&lt;Eingaben!$B$22),OR(B1486&gt;=Eingaben!$B$21,B1486&lt;Eingaben!$B$22)),"GO",IF(AND(ISNUMBER(Eingaben!$B$23),ISNUMBER(Eingaben!$B$24),IF(Eingaben!$B$23&lt;Eingaben!$B$24,AND(B1486&gt;=Eingaben!$B$23,B1486&lt;Eingaben!$B$24),OR(B1486&gt;=Eingaben!$B$23,B1486&lt;Eingaben!$B$24))),"HEAT","STANDARD"))</f>
        <v>STANDARD</v>
      </c>
      <c r="E1486" s="9"/>
      <c r="F1486" t="str">
        <f>IF(E1486="",D1486,E1486)</f>
        <v>STANDARD</v>
      </c>
      <c r="G1486" t="str">
        <f>INDEX(Netzzeiten!$B$6:$B$29,HOUR(B1486)+1)</f>
        <v>ST</v>
      </c>
      <c r="H1486" s="6">
        <f>IF(F1486="GO",Eingaben!$B$11,IF(F1486="STANDARD",Eingaben!$B$12,IF(AND(F1486="HEAT",ISNUMBER(Eingaben!$B$13)),Eingaben!$B$13,"")))</f>
        <v>28.2744</v>
      </c>
      <c r="I1486" s="6">
        <f>INDEX(Netzzeiten!$C$6:$C$29,HOUR(B1486)+1)</f>
        <v>5.48</v>
      </c>
      <c r="J1486" t="str">
        <f>IF(C1486="","FEHLT",IF(NOT(ISNUMBER(C1486)),"MESSWERT UNGUELTIG",IF(C1486&lt;0,"MESSWERT UNGUELTIG",IF(H1486="","TARIFPREIS FEHLT","OK"))))</f>
        <v>FEHLT</v>
      </c>
      <c r="K1486" s="7">
        <f>IF(J1486&lt;&gt;"OK","",C1486*I1486/100)</f>
        <v/>
      </c>
    </row>
    <row r="1487" spans="1:11">
      <c r="A1487" s="14">
        <v>46158</v>
      </c>
      <c r="B1487" s="15">
        <v>0.4270833333333333</v>
      </c>
      <c r="C1487" s="5">
        <f>IF('96 Werte'!AQ21="","",'96 Werte'!AQ21)</f>
        <v/>
      </c>
      <c r="D1487" t="str">
        <f>IF(IF(Eingaben!$B$21&lt;Eingaben!$B$22,AND(B1487&gt;=Eingaben!$B$21,B1487&lt;Eingaben!$B$22),OR(B1487&gt;=Eingaben!$B$21,B1487&lt;Eingaben!$B$22)),"GO",IF(AND(ISNUMBER(Eingaben!$B$23),ISNUMBER(Eingaben!$B$24),IF(Eingaben!$B$23&lt;Eingaben!$B$24,AND(B1487&gt;=Eingaben!$B$23,B1487&lt;Eingaben!$B$24),OR(B1487&gt;=Eingaben!$B$23,B1487&lt;Eingaben!$B$24))),"HEAT","STANDARD"))</f>
        <v>STANDARD</v>
      </c>
      <c r="E1487" s="9"/>
      <c r="F1487" t="str">
        <f>IF(E1487="",D1487,E1487)</f>
        <v>STANDARD</v>
      </c>
      <c r="G1487" t="str">
        <f>INDEX(Netzzeiten!$B$6:$B$29,HOUR(B1487)+1)</f>
        <v>ST</v>
      </c>
      <c r="H1487" s="6">
        <f>IF(F1487="GO",Eingaben!$B$11,IF(F1487="STANDARD",Eingaben!$B$12,IF(AND(F1487="HEAT",ISNUMBER(Eingaben!$B$13)),Eingaben!$B$13,"")))</f>
        <v>28.2744</v>
      </c>
      <c r="I1487" s="6">
        <f>INDEX(Netzzeiten!$C$6:$C$29,HOUR(B1487)+1)</f>
        <v>5.48</v>
      </c>
      <c r="J1487" t="str">
        <f>IF(C1487="","FEHLT",IF(NOT(ISNUMBER(C1487)),"MESSWERT UNGUELTIG",IF(C1487&lt;0,"MESSWERT UNGUELTIG",IF(H1487="","TARIFPREIS FEHLT","OK"))))</f>
        <v>FEHLT</v>
      </c>
      <c r="K1487" s="7">
        <f>IF(J1487&lt;&gt;"OK","",C1487*I1487/100)</f>
        <v/>
      </c>
    </row>
    <row r="1488" spans="1:11">
      <c r="A1488" s="14">
        <v>46158</v>
      </c>
      <c r="B1488" s="15">
        <v>0.4375</v>
      </c>
      <c r="C1488" s="5">
        <f>IF('96 Werte'!AR21="","",'96 Werte'!AR21)</f>
        <v/>
      </c>
      <c r="D1488" t="str">
        <f>IF(IF(Eingaben!$B$21&lt;Eingaben!$B$22,AND(B1488&gt;=Eingaben!$B$21,B1488&lt;Eingaben!$B$22),OR(B1488&gt;=Eingaben!$B$21,B1488&lt;Eingaben!$B$22)),"GO",IF(AND(ISNUMBER(Eingaben!$B$23),ISNUMBER(Eingaben!$B$24),IF(Eingaben!$B$23&lt;Eingaben!$B$24,AND(B1488&gt;=Eingaben!$B$23,B1488&lt;Eingaben!$B$24),OR(B1488&gt;=Eingaben!$B$23,B1488&lt;Eingaben!$B$24))),"HEAT","STANDARD"))</f>
        <v>STANDARD</v>
      </c>
      <c r="E1488" s="9"/>
      <c r="F1488" t="str">
        <f>IF(E1488="",D1488,E1488)</f>
        <v>STANDARD</v>
      </c>
      <c r="G1488" t="str">
        <f>INDEX(Netzzeiten!$B$6:$B$29,HOUR(B1488)+1)</f>
        <v>ST</v>
      </c>
      <c r="H1488" s="6">
        <f>IF(F1488="GO",Eingaben!$B$11,IF(F1488="STANDARD",Eingaben!$B$12,IF(AND(F1488="HEAT",ISNUMBER(Eingaben!$B$13)),Eingaben!$B$13,"")))</f>
        <v>28.2744</v>
      </c>
      <c r="I1488" s="6">
        <f>INDEX(Netzzeiten!$C$6:$C$29,HOUR(B1488)+1)</f>
        <v>5.48</v>
      </c>
      <c r="J1488" t="str">
        <f>IF(C1488="","FEHLT",IF(NOT(ISNUMBER(C1488)),"MESSWERT UNGUELTIG",IF(C1488&lt;0,"MESSWERT UNGUELTIG",IF(H1488="","TARIFPREIS FEHLT","OK"))))</f>
        <v>FEHLT</v>
      </c>
      <c r="K1488" s="7">
        <f>IF(J1488&lt;&gt;"OK","",C1488*I1488/100)</f>
        <v/>
      </c>
    </row>
    <row r="1489" spans="1:11">
      <c r="A1489" s="14">
        <v>46158</v>
      </c>
      <c r="B1489" s="15">
        <v>0.4479166666666667</v>
      </c>
      <c r="C1489" s="5">
        <f>IF('96 Werte'!AS21="","",'96 Werte'!AS21)</f>
        <v/>
      </c>
      <c r="D1489" t="str">
        <f>IF(IF(Eingaben!$B$21&lt;Eingaben!$B$22,AND(B1489&gt;=Eingaben!$B$21,B1489&lt;Eingaben!$B$22),OR(B1489&gt;=Eingaben!$B$21,B1489&lt;Eingaben!$B$22)),"GO",IF(AND(ISNUMBER(Eingaben!$B$23),ISNUMBER(Eingaben!$B$24),IF(Eingaben!$B$23&lt;Eingaben!$B$24,AND(B1489&gt;=Eingaben!$B$23,B1489&lt;Eingaben!$B$24),OR(B1489&gt;=Eingaben!$B$23,B1489&lt;Eingaben!$B$24))),"HEAT","STANDARD"))</f>
        <v>STANDARD</v>
      </c>
      <c r="E1489" s="9"/>
      <c r="F1489" t="str">
        <f>IF(E1489="",D1489,E1489)</f>
        <v>STANDARD</v>
      </c>
      <c r="G1489" t="str">
        <f>INDEX(Netzzeiten!$B$6:$B$29,HOUR(B1489)+1)</f>
        <v>ST</v>
      </c>
      <c r="H1489" s="6">
        <f>IF(F1489="GO",Eingaben!$B$11,IF(F1489="STANDARD",Eingaben!$B$12,IF(AND(F1489="HEAT",ISNUMBER(Eingaben!$B$13)),Eingaben!$B$13,"")))</f>
        <v>28.2744</v>
      </c>
      <c r="I1489" s="6">
        <f>INDEX(Netzzeiten!$C$6:$C$29,HOUR(B1489)+1)</f>
        <v>5.48</v>
      </c>
      <c r="J1489" t="str">
        <f>IF(C1489="","FEHLT",IF(NOT(ISNUMBER(C1489)),"MESSWERT UNGUELTIG",IF(C1489&lt;0,"MESSWERT UNGUELTIG",IF(H1489="","TARIFPREIS FEHLT","OK"))))</f>
        <v>FEHLT</v>
      </c>
      <c r="K1489" s="7">
        <f>IF(J1489&lt;&gt;"OK","",C1489*I1489/100)</f>
        <v/>
      </c>
    </row>
    <row r="1490" spans="1:11">
      <c r="A1490" s="14">
        <v>46158</v>
      </c>
      <c r="B1490" s="15">
        <v>0.4583333333333333</v>
      </c>
      <c r="C1490" s="5">
        <f>IF('96 Werte'!AT21="","",'96 Werte'!AT21)</f>
        <v/>
      </c>
      <c r="D1490" t="str">
        <f>IF(IF(Eingaben!$B$21&lt;Eingaben!$B$22,AND(B1490&gt;=Eingaben!$B$21,B1490&lt;Eingaben!$B$22),OR(B1490&gt;=Eingaben!$B$21,B1490&lt;Eingaben!$B$22)),"GO",IF(AND(ISNUMBER(Eingaben!$B$23),ISNUMBER(Eingaben!$B$24),IF(Eingaben!$B$23&lt;Eingaben!$B$24,AND(B1490&gt;=Eingaben!$B$23,B1490&lt;Eingaben!$B$24),OR(B1490&gt;=Eingaben!$B$23,B1490&lt;Eingaben!$B$24))),"HEAT","STANDARD"))</f>
        <v>STANDARD</v>
      </c>
      <c r="E1490" s="9"/>
      <c r="F1490" t="str">
        <f>IF(E1490="",D1490,E1490)</f>
        <v>STANDARD</v>
      </c>
      <c r="G1490" t="str">
        <f>INDEX(Netzzeiten!$B$6:$B$29,HOUR(B1490)+1)</f>
        <v>NT</v>
      </c>
      <c r="H1490" s="6">
        <f>IF(F1490="GO",Eingaben!$B$11,IF(F1490="STANDARD",Eingaben!$B$12,IF(AND(F1490="HEAT",ISNUMBER(Eingaben!$B$13)),Eingaben!$B$13,"")))</f>
        <v>28.2744</v>
      </c>
      <c r="I1490" s="6">
        <f>INDEX(Netzzeiten!$C$6:$C$29,HOUR(B1490)+1)</f>
        <v>1.64</v>
      </c>
      <c r="J1490" t="str">
        <f>IF(C1490="","FEHLT",IF(NOT(ISNUMBER(C1490)),"MESSWERT UNGUELTIG",IF(C1490&lt;0,"MESSWERT UNGUELTIG",IF(H1490="","TARIFPREIS FEHLT","OK"))))</f>
        <v>FEHLT</v>
      </c>
      <c r="K1490" s="7">
        <f>IF(J1490&lt;&gt;"OK","",C1490*I1490/100)</f>
        <v/>
      </c>
    </row>
    <row r="1491" spans="1:11">
      <c r="A1491" s="14">
        <v>46158</v>
      </c>
      <c r="B1491" s="15">
        <v>0.46875</v>
      </c>
      <c r="C1491" s="5">
        <f>IF('96 Werte'!AU21="","",'96 Werte'!AU21)</f>
        <v/>
      </c>
      <c r="D1491" t="str">
        <f>IF(IF(Eingaben!$B$21&lt;Eingaben!$B$22,AND(B1491&gt;=Eingaben!$B$21,B1491&lt;Eingaben!$B$22),OR(B1491&gt;=Eingaben!$B$21,B1491&lt;Eingaben!$B$22)),"GO",IF(AND(ISNUMBER(Eingaben!$B$23),ISNUMBER(Eingaben!$B$24),IF(Eingaben!$B$23&lt;Eingaben!$B$24,AND(B1491&gt;=Eingaben!$B$23,B1491&lt;Eingaben!$B$24),OR(B1491&gt;=Eingaben!$B$23,B1491&lt;Eingaben!$B$24))),"HEAT","STANDARD"))</f>
        <v>STANDARD</v>
      </c>
      <c r="E1491" s="9"/>
      <c r="F1491" t="str">
        <f>IF(E1491="",D1491,E1491)</f>
        <v>STANDARD</v>
      </c>
      <c r="G1491" t="str">
        <f>INDEX(Netzzeiten!$B$6:$B$29,HOUR(B1491)+1)</f>
        <v>NT</v>
      </c>
      <c r="H1491" s="6">
        <f>IF(F1491="GO",Eingaben!$B$11,IF(F1491="STANDARD",Eingaben!$B$12,IF(AND(F1491="HEAT",ISNUMBER(Eingaben!$B$13)),Eingaben!$B$13,"")))</f>
        <v>28.2744</v>
      </c>
      <c r="I1491" s="6">
        <f>INDEX(Netzzeiten!$C$6:$C$29,HOUR(B1491)+1)</f>
        <v>1.64</v>
      </c>
      <c r="J1491" t="str">
        <f>IF(C1491="","FEHLT",IF(NOT(ISNUMBER(C1491)),"MESSWERT UNGUELTIG",IF(C1491&lt;0,"MESSWERT UNGUELTIG",IF(H1491="","TARIFPREIS FEHLT","OK"))))</f>
        <v>FEHLT</v>
      </c>
      <c r="K1491" s="7">
        <f>IF(J1491&lt;&gt;"OK","",C1491*I1491/100)</f>
        <v/>
      </c>
    </row>
    <row r="1492" spans="1:11">
      <c r="A1492" s="14">
        <v>46158</v>
      </c>
      <c r="B1492" s="15">
        <v>0.4791666666666667</v>
      </c>
      <c r="C1492" s="5">
        <f>IF('96 Werte'!AV21="","",'96 Werte'!AV21)</f>
        <v/>
      </c>
      <c r="D1492" t="str">
        <f>IF(IF(Eingaben!$B$21&lt;Eingaben!$B$22,AND(B1492&gt;=Eingaben!$B$21,B1492&lt;Eingaben!$B$22),OR(B1492&gt;=Eingaben!$B$21,B1492&lt;Eingaben!$B$22)),"GO",IF(AND(ISNUMBER(Eingaben!$B$23),ISNUMBER(Eingaben!$B$24),IF(Eingaben!$B$23&lt;Eingaben!$B$24,AND(B1492&gt;=Eingaben!$B$23,B1492&lt;Eingaben!$B$24),OR(B1492&gt;=Eingaben!$B$23,B1492&lt;Eingaben!$B$24))),"HEAT","STANDARD"))</f>
        <v>STANDARD</v>
      </c>
      <c r="E1492" s="9"/>
      <c r="F1492" t="str">
        <f>IF(E1492="",D1492,E1492)</f>
        <v>STANDARD</v>
      </c>
      <c r="G1492" t="str">
        <f>INDEX(Netzzeiten!$B$6:$B$29,HOUR(B1492)+1)</f>
        <v>NT</v>
      </c>
      <c r="H1492" s="6">
        <f>IF(F1492="GO",Eingaben!$B$11,IF(F1492="STANDARD",Eingaben!$B$12,IF(AND(F1492="HEAT",ISNUMBER(Eingaben!$B$13)),Eingaben!$B$13,"")))</f>
        <v>28.2744</v>
      </c>
      <c r="I1492" s="6">
        <f>INDEX(Netzzeiten!$C$6:$C$29,HOUR(B1492)+1)</f>
        <v>1.64</v>
      </c>
      <c r="J1492" t="str">
        <f>IF(C1492="","FEHLT",IF(NOT(ISNUMBER(C1492)),"MESSWERT UNGUELTIG",IF(C1492&lt;0,"MESSWERT UNGUELTIG",IF(H1492="","TARIFPREIS FEHLT","OK"))))</f>
        <v>FEHLT</v>
      </c>
      <c r="K1492" s="7">
        <f>IF(J1492&lt;&gt;"OK","",C1492*I1492/100)</f>
        <v/>
      </c>
    </row>
    <row r="1493" spans="1:11">
      <c r="A1493" s="14">
        <v>46158</v>
      </c>
      <c r="B1493" s="15">
        <v>0.4895833333333333</v>
      </c>
      <c r="C1493" s="5">
        <f>IF('96 Werte'!AW21="","",'96 Werte'!AW21)</f>
        <v/>
      </c>
      <c r="D1493" t="str">
        <f>IF(IF(Eingaben!$B$21&lt;Eingaben!$B$22,AND(B1493&gt;=Eingaben!$B$21,B1493&lt;Eingaben!$B$22),OR(B1493&gt;=Eingaben!$B$21,B1493&lt;Eingaben!$B$22)),"GO",IF(AND(ISNUMBER(Eingaben!$B$23),ISNUMBER(Eingaben!$B$24),IF(Eingaben!$B$23&lt;Eingaben!$B$24,AND(B1493&gt;=Eingaben!$B$23,B1493&lt;Eingaben!$B$24),OR(B1493&gt;=Eingaben!$B$23,B1493&lt;Eingaben!$B$24))),"HEAT","STANDARD"))</f>
        <v>STANDARD</v>
      </c>
      <c r="E1493" s="9"/>
      <c r="F1493" t="str">
        <f>IF(E1493="",D1493,E1493)</f>
        <v>STANDARD</v>
      </c>
      <c r="G1493" t="str">
        <f>INDEX(Netzzeiten!$B$6:$B$29,HOUR(B1493)+1)</f>
        <v>NT</v>
      </c>
      <c r="H1493" s="6">
        <f>IF(F1493="GO",Eingaben!$B$11,IF(F1493="STANDARD",Eingaben!$B$12,IF(AND(F1493="HEAT",ISNUMBER(Eingaben!$B$13)),Eingaben!$B$13,"")))</f>
        <v>28.2744</v>
      </c>
      <c r="I1493" s="6">
        <f>INDEX(Netzzeiten!$C$6:$C$29,HOUR(B1493)+1)</f>
        <v>1.64</v>
      </c>
      <c r="J1493" t="str">
        <f>IF(C1493="","FEHLT",IF(NOT(ISNUMBER(C1493)),"MESSWERT UNGUELTIG",IF(C1493&lt;0,"MESSWERT UNGUELTIG",IF(H1493="","TARIFPREIS FEHLT","OK"))))</f>
        <v>FEHLT</v>
      </c>
      <c r="K1493" s="7">
        <f>IF(J1493&lt;&gt;"OK","",C1493*I1493/100)</f>
        <v/>
      </c>
    </row>
    <row r="1494" spans="1:11">
      <c r="A1494" s="14">
        <v>46158</v>
      </c>
      <c r="B1494" s="15">
        <v>0.5</v>
      </c>
      <c r="C1494" s="5">
        <f>IF('96 Werte'!AX21="","",'96 Werte'!AX21)</f>
        <v/>
      </c>
      <c r="D1494" t="str">
        <f>IF(IF(Eingaben!$B$21&lt;Eingaben!$B$22,AND(B1494&gt;=Eingaben!$B$21,B1494&lt;Eingaben!$B$22),OR(B1494&gt;=Eingaben!$B$21,B1494&lt;Eingaben!$B$22)),"GO",IF(AND(ISNUMBER(Eingaben!$B$23),ISNUMBER(Eingaben!$B$24),IF(Eingaben!$B$23&lt;Eingaben!$B$24,AND(B1494&gt;=Eingaben!$B$23,B1494&lt;Eingaben!$B$24),OR(B1494&gt;=Eingaben!$B$23,B1494&lt;Eingaben!$B$24))),"HEAT","STANDARD"))</f>
        <v>STANDARD</v>
      </c>
      <c r="E1494" s="9"/>
      <c r="F1494" t="str">
        <f>IF(E1494="",D1494,E1494)</f>
        <v>STANDARD</v>
      </c>
      <c r="G1494" t="str">
        <f>INDEX(Netzzeiten!$B$6:$B$29,HOUR(B1494)+1)</f>
        <v>NT</v>
      </c>
      <c r="H1494" s="6">
        <f>IF(F1494="GO",Eingaben!$B$11,IF(F1494="STANDARD",Eingaben!$B$12,IF(AND(F1494="HEAT",ISNUMBER(Eingaben!$B$13)),Eingaben!$B$13,"")))</f>
        <v>28.2744</v>
      </c>
      <c r="I1494" s="6">
        <f>INDEX(Netzzeiten!$C$6:$C$29,HOUR(B1494)+1)</f>
        <v>1.64</v>
      </c>
      <c r="J1494" t="str">
        <f>IF(C1494="","FEHLT",IF(NOT(ISNUMBER(C1494)),"MESSWERT UNGUELTIG",IF(C1494&lt;0,"MESSWERT UNGUELTIG",IF(H1494="","TARIFPREIS FEHLT","OK"))))</f>
        <v>FEHLT</v>
      </c>
      <c r="K1494" s="7">
        <f>IF(J1494&lt;&gt;"OK","",C1494*I1494/100)</f>
        <v/>
      </c>
    </row>
    <row r="1495" spans="1:11">
      <c r="A1495" s="14">
        <v>46158</v>
      </c>
      <c r="B1495" s="15">
        <v>0.5104166666666666</v>
      </c>
      <c r="C1495" s="5">
        <f>IF('96 Werte'!AY21="","",'96 Werte'!AY21)</f>
        <v/>
      </c>
      <c r="D1495" t="str">
        <f>IF(IF(Eingaben!$B$21&lt;Eingaben!$B$22,AND(B1495&gt;=Eingaben!$B$21,B1495&lt;Eingaben!$B$22),OR(B1495&gt;=Eingaben!$B$21,B1495&lt;Eingaben!$B$22)),"GO",IF(AND(ISNUMBER(Eingaben!$B$23),ISNUMBER(Eingaben!$B$24),IF(Eingaben!$B$23&lt;Eingaben!$B$24,AND(B1495&gt;=Eingaben!$B$23,B1495&lt;Eingaben!$B$24),OR(B1495&gt;=Eingaben!$B$23,B1495&lt;Eingaben!$B$24))),"HEAT","STANDARD"))</f>
        <v>STANDARD</v>
      </c>
      <c r="E1495" s="9"/>
      <c r="F1495" t="str">
        <f>IF(E1495="",D1495,E1495)</f>
        <v>STANDARD</v>
      </c>
      <c r="G1495" t="str">
        <f>INDEX(Netzzeiten!$B$6:$B$29,HOUR(B1495)+1)</f>
        <v>NT</v>
      </c>
      <c r="H1495" s="6">
        <f>IF(F1495="GO",Eingaben!$B$11,IF(F1495="STANDARD",Eingaben!$B$12,IF(AND(F1495="HEAT",ISNUMBER(Eingaben!$B$13)),Eingaben!$B$13,"")))</f>
        <v>28.2744</v>
      </c>
      <c r="I1495" s="6">
        <f>INDEX(Netzzeiten!$C$6:$C$29,HOUR(B1495)+1)</f>
        <v>1.64</v>
      </c>
      <c r="J1495" t="str">
        <f>IF(C1495="","FEHLT",IF(NOT(ISNUMBER(C1495)),"MESSWERT UNGUELTIG",IF(C1495&lt;0,"MESSWERT UNGUELTIG",IF(H1495="","TARIFPREIS FEHLT","OK"))))</f>
        <v>FEHLT</v>
      </c>
      <c r="K1495" s="7">
        <f>IF(J1495&lt;&gt;"OK","",C1495*I1495/100)</f>
        <v/>
      </c>
    </row>
    <row r="1496" spans="1:11">
      <c r="A1496" s="14">
        <v>46158</v>
      </c>
      <c r="B1496" s="15">
        <v>0.5208333333333334</v>
      </c>
      <c r="C1496" s="5">
        <f>IF('96 Werte'!AZ21="","",'96 Werte'!AZ21)</f>
        <v/>
      </c>
      <c r="D1496" t="str">
        <f>IF(IF(Eingaben!$B$21&lt;Eingaben!$B$22,AND(B1496&gt;=Eingaben!$B$21,B1496&lt;Eingaben!$B$22),OR(B1496&gt;=Eingaben!$B$21,B1496&lt;Eingaben!$B$22)),"GO",IF(AND(ISNUMBER(Eingaben!$B$23),ISNUMBER(Eingaben!$B$24),IF(Eingaben!$B$23&lt;Eingaben!$B$24,AND(B1496&gt;=Eingaben!$B$23,B1496&lt;Eingaben!$B$24),OR(B1496&gt;=Eingaben!$B$23,B1496&lt;Eingaben!$B$24))),"HEAT","STANDARD"))</f>
        <v>STANDARD</v>
      </c>
      <c r="E1496" s="9"/>
      <c r="F1496" t="str">
        <f>IF(E1496="",D1496,E1496)</f>
        <v>STANDARD</v>
      </c>
      <c r="G1496" t="str">
        <f>INDEX(Netzzeiten!$B$6:$B$29,HOUR(B1496)+1)</f>
        <v>NT</v>
      </c>
      <c r="H1496" s="6">
        <f>IF(F1496="GO",Eingaben!$B$11,IF(F1496="STANDARD",Eingaben!$B$12,IF(AND(F1496="HEAT",ISNUMBER(Eingaben!$B$13)),Eingaben!$B$13,"")))</f>
        <v>28.2744</v>
      </c>
      <c r="I1496" s="6">
        <f>INDEX(Netzzeiten!$C$6:$C$29,HOUR(B1496)+1)</f>
        <v>1.64</v>
      </c>
      <c r="J1496" t="str">
        <f>IF(C1496="","FEHLT",IF(NOT(ISNUMBER(C1496)),"MESSWERT UNGUELTIG",IF(C1496&lt;0,"MESSWERT UNGUELTIG",IF(H1496="","TARIFPREIS FEHLT","OK"))))</f>
        <v>FEHLT</v>
      </c>
      <c r="K1496" s="7">
        <f>IF(J1496&lt;&gt;"OK","",C1496*I1496/100)</f>
        <v/>
      </c>
    </row>
    <row r="1497" spans="1:11">
      <c r="A1497" s="14">
        <v>46158</v>
      </c>
      <c r="B1497" s="15">
        <v>0.53125</v>
      </c>
      <c r="C1497" s="5">
        <f>IF('96 Werte'!BA21="","",'96 Werte'!BA21)</f>
        <v/>
      </c>
      <c r="D1497" t="str">
        <f>IF(IF(Eingaben!$B$21&lt;Eingaben!$B$22,AND(B1497&gt;=Eingaben!$B$21,B1497&lt;Eingaben!$B$22),OR(B1497&gt;=Eingaben!$B$21,B1497&lt;Eingaben!$B$22)),"GO",IF(AND(ISNUMBER(Eingaben!$B$23),ISNUMBER(Eingaben!$B$24),IF(Eingaben!$B$23&lt;Eingaben!$B$24,AND(B1497&gt;=Eingaben!$B$23,B1497&lt;Eingaben!$B$24),OR(B1497&gt;=Eingaben!$B$23,B1497&lt;Eingaben!$B$24))),"HEAT","STANDARD"))</f>
        <v>STANDARD</v>
      </c>
      <c r="E1497" s="9"/>
      <c r="F1497" t="str">
        <f>IF(E1497="",D1497,E1497)</f>
        <v>STANDARD</v>
      </c>
      <c r="G1497" t="str">
        <f>INDEX(Netzzeiten!$B$6:$B$29,HOUR(B1497)+1)</f>
        <v>NT</v>
      </c>
      <c r="H1497" s="6">
        <f>IF(F1497="GO",Eingaben!$B$11,IF(F1497="STANDARD",Eingaben!$B$12,IF(AND(F1497="HEAT",ISNUMBER(Eingaben!$B$13)),Eingaben!$B$13,"")))</f>
        <v>28.2744</v>
      </c>
      <c r="I1497" s="6">
        <f>INDEX(Netzzeiten!$C$6:$C$29,HOUR(B1497)+1)</f>
        <v>1.64</v>
      </c>
      <c r="J1497" t="str">
        <f>IF(C1497="","FEHLT",IF(NOT(ISNUMBER(C1497)),"MESSWERT UNGUELTIG",IF(C1497&lt;0,"MESSWERT UNGUELTIG",IF(H1497="","TARIFPREIS FEHLT","OK"))))</f>
        <v>FEHLT</v>
      </c>
      <c r="K1497" s="7">
        <f>IF(J1497&lt;&gt;"OK","",C1497*I1497/100)</f>
        <v/>
      </c>
    </row>
    <row r="1498" spans="1:11">
      <c r="A1498" s="14">
        <v>46158</v>
      </c>
      <c r="B1498" s="15">
        <v>0.5416666666666666</v>
      </c>
      <c r="C1498" s="5">
        <f>IF('96 Werte'!BB21="","",'96 Werte'!BB21)</f>
        <v/>
      </c>
      <c r="D1498" t="str">
        <f>IF(IF(Eingaben!$B$21&lt;Eingaben!$B$22,AND(B1498&gt;=Eingaben!$B$21,B1498&lt;Eingaben!$B$22),OR(B1498&gt;=Eingaben!$B$21,B1498&lt;Eingaben!$B$22)),"GO",IF(AND(ISNUMBER(Eingaben!$B$23),ISNUMBER(Eingaben!$B$24),IF(Eingaben!$B$23&lt;Eingaben!$B$24,AND(B1498&gt;=Eingaben!$B$23,B1498&lt;Eingaben!$B$24),OR(B1498&gt;=Eingaben!$B$23,B1498&lt;Eingaben!$B$24))),"HEAT","STANDARD"))</f>
        <v>STANDARD</v>
      </c>
      <c r="E1498" s="9"/>
      <c r="F1498" t="str">
        <f>IF(E1498="",D1498,E1498)</f>
        <v>STANDARD</v>
      </c>
      <c r="G1498" t="str">
        <f>INDEX(Netzzeiten!$B$6:$B$29,HOUR(B1498)+1)</f>
        <v>NT</v>
      </c>
      <c r="H1498" s="6">
        <f>IF(F1498="GO",Eingaben!$B$11,IF(F1498="STANDARD",Eingaben!$B$12,IF(AND(F1498="HEAT",ISNUMBER(Eingaben!$B$13)),Eingaben!$B$13,"")))</f>
        <v>28.2744</v>
      </c>
      <c r="I1498" s="6">
        <f>INDEX(Netzzeiten!$C$6:$C$29,HOUR(B1498)+1)</f>
        <v>1.64</v>
      </c>
      <c r="J1498" t="str">
        <f>IF(C1498="","FEHLT",IF(NOT(ISNUMBER(C1498)),"MESSWERT UNGUELTIG",IF(C1498&lt;0,"MESSWERT UNGUELTIG",IF(H1498="","TARIFPREIS FEHLT","OK"))))</f>
        <v>FEHLT</v>
      </c>
      <c r="K1498" s="7">
        <f>IF(J1498&lt;&gt;"OK","",C1498*I1498/100)</f>
        <v/>
      </c>
    </row>
    <row r="1499" spans="1:11">
      <c r="A1499" s="14">
        <v>46158</v>
      </c>
      <c r="B1499" s="15">
        <v>0.5520833333333334</v>
      </c>
      <c r="C1499" s="5">
        <f>IF('96 Werte'!BC21="","",'96 Werte'!BC21)</f>
        <v/>
      </c>
      <c r="D1499" t="str">
        <f>IF(IF(Eingaben!$B$21&lt;Eingaben!$B$22,AND(B1499&gt;=Eingaben!$B$21,B1499&lt;Eingaben!$B$22),OR(B1499&gt;=Eingaben!$B$21,B1499&lt;Eingaben!$B$22)),"GO",IF(AND(ISNUMBER(Eingaben!$B$23),ISNUMBER(Eingaben!$B$24),IF(Eingaben!$B$23&lt;Eingaben!$B$24,AND(B1499&gt;=Eingaben!$B$23,B1499&lt;Eingaben!$B$24),OR(B1499&gt;=Eingaben!$B$23,B1499&lt;Eingaben!$B$24))),"HEAT","STANDARD"))</f>
        <v>STANDARD</v>
      </c>
      <c r="E1499" s="9"/>
      <c r="F1499" t="str">
        <f>IF(E1499="",D1499,E1499)</f>
        <v>STANDARD</v>
      </c>
      <c r="G1499" t="str">
        <f>INDEX(Netzzeiten!$B$6:$B$29,HOUR(B1499)+1)</f>
        <v>NT</v>
      </c>
      <c r="H1499" s="6">
        <f>IF(F1499="GO",Eingaben!$B$11,IF(F1499="STANDARD",Eingaben!$B$12,IF(AND(F1499="HEAT",ISNUMBER(Eingaben!$B$13)),Eingaben!$B$13,"")))</f>
        <v>28.2744</v>
      </c>
      <c r="I1499" s="6">
        <f>INDEX(Netzzeiten!$C$6:$C$29,HOUR(B1499)+1)</f>
        <v>1.64</v>
      </c>
      <c r="J1499" t="str">
        <f>IF(C1499="","FEHLT",IF(NOT(ISNUMBER(C1499)),"MESSWERT UNGUELTIG",IF(C1499&lt;0,"MESSWERT UNGUELTIG",IF(H1499="","TARIFPREIS FEHLT","OK"))))</f>
        <v>FEHLT</v>
      </c>
      <c r="K1499" s="7">
        <f>IF(J1499&lt;&gt;"OK","",C1499*I1499/100)</f>
        <v/>
      </c>
    </row>
    <row r="1500" spans="1:11">
      <c r="A1500" s="14">
        <v>46158</v>
      </c>
      <c r="B1500" s="15">
        <v>0.5625</v>
      </c>
      <c r="C1500" s="5">
        <f>IF('96 Werte'!BD21="","",'96 Werte'!BD21)</f>
        <v/>
      </c>
      <c r="D1500" t="str">
        <f>IF(IF(Eingaben!$B$21&lt;Eingaben!$B$22,AND(B1500&gt;=Eingaben!$B$21,B1500&lt;Eingaben!$B$22),OR(B1500&gt;=Eingaben!$B$21,B1500&lt;Eingaben!$B$22)),"GO",IF(AND(ISNUMBER(Eingaben!$B$23),ISNUMBER(Eingaben!$B$24),IF(Eingaben!$B$23&lt;Eingaben!$B$24,AND(B1500&gt;=Eingaben!$B$23,B1500&lt;Eingaben!$B$24),OR(B1500&gt;=Eingaben!$B$23,B1500&lt;Eingaben!$B$24))),"HEAT","STANDARD"))</f>
        <v>STANDARD</v>
      </c>
      <c r="E1500" s="9"/>
      <c r="F1500" t="str">
        <f>IF(E1500="",D1500,E1500)</f>
        <v>STANDARD</v>
      </c>
      <c r="G1500" t="str">
        <f>INDEX(Netzzeiten!$B$6:$B$29,HOUR(B1500)+1)</f>
        <v>NT</v>
      </c>
      <c r="H1500" s="6">
        <f>IF(F1500="GO",Eingaben!$B$11,IF(F1500="STANDARD",Eingaben!$B$12,IF(AND(F1500="HEAT",ISNUMBER(Eingaben!$B$13)),Eingaben!$B$13,"")))</f>
        <v>28.2744</v>
      </c>
      <c r="I1500" s="6">
        <f>INDEX(Netzzeiten!$C$6:$C$29,HOUR(B1500)+1)</f>
        <v>1.64</v>
      </c>
      <c r="J1500" t="str">
        <f>IF(C1500="","FEHLT",IF(NOT(ISNUMBER(C1500)),"MESSWERT UNGUELTIG",IF(C1500&lt;0,"MESSWERT UNGUELTIG",IF(H1500="","TARIFPREIS FEHLT","OK"))))</f>
        <v>FEHLT</v>
      </c>
      <c r="K1500" s="7">
        <f>IF(J1500&lt;&gt;"OK","",C1500*I1500/100)</f>
        <v/>
      </c>
    </row>
    <row r="1501" spans="1:11">
      <c r="A1501" s="14">
        <v>46158</v>
      </c>
      <c r="B1501" s="15">
        <v>0.5729166666666666</v>
      </c>
      <c r="C1501" s="5">
        <f>IF('96 Werte'!BE21="","",'96 Werte'!BE21)</f>
        <v/>
      </c>
      <c r="D1501" t="str">
        <f>IF(IF(Eingaben!$B$21&lt;Eingaben!$B$22,AND(B1501&gt;=Eingaben!$B$21,B1501&lt;Eingaben!$B$22),OR(B1501&gt;=Eingaben!$B$21,B1501&lt;Eingaben!$B$22)),"GO",IF(AND(ISNUMBER(Eingaben!$B$23),ISNUMBER(Eingaben!$B$24),IF(Eingaben!$B$23&lt;Eingaben!$B$24,AND(B1501&gt;=Eingaben!$B$23,B1501&lt;Eingaben!$B$24),OR(B1501&gt;=Eingaben!$B$23,B1501&lt;Eingaben!$B$24))),"HEAT","STANDARD"))</f>
        <v>STANDARD</v>
      </c>
      <c r="E1501" s="9"/>
      <c r="F1501" t="str">
        <f>IF(E1501="",D1501,E1501)</f>
        <v>STANDARD</v>
      </c>
      <c r="G1501" t="str">
        <f>INDEX(Netzzeiten!$B$6:$B$29,HOUR(B1501)+1)</f>
        <v>NT</v>
      </c>
      <c r="H1501" s="6">
        <f>IF(F1501="GO",Eingaben!$B$11,IF(F1501="STANDARD",Eingaben!$B$12,IF(AND(F1501="HEAT",ISNUMBER(Eingaben!$B$13)),Eingaben!$B$13,"")))</f>
        <v>28.2744</v>
      </c>
      <c r="I1501" s="6">
        <f>INDEX(Netzzeiten!$C$6:$C$29,HOUR(B1501)+1)</f>
        <v>1.64</v>
      </c>
      <c r="J1501" t="str">
        <f>IF(C1501="","FEHLT",IF(NOT(ISNUMBER(C1501)),"MESSWERT UNGUELTIG",IF(C1501&lt;0,"MESSWERT UNGUELTIG",IF(H1501="","TARIFPREIS FEHLT","OK"))))</f>
        <v>FEHLT</v>
      </c>
      <c r="K1501" s="7">
        <f>IF(J1501&lt;&gt;"OK","",C1501*I1501/100)</f>
        <v/>
      </c>
    </row>
    <row r="1502" spans="1:11">
      <c r="A1502" s="14">
        <v>46158</v>
      </c>
      <c r="B1502" s="15">
        <v>0.5833333333333334</v>
      </c>
      <c r="C1502" s="5">
        <f>IF('96 Werte'!BF21="","",'96 Werte'!BF21)</f>
        <v/>
      </c>
      <c r="D1502" t="str">
        <f>IF(IF(Eingaben!$B$21&lt;Eingaben!$B$22,AND(B1502&gt;=Eingaben!$B$21,B1502&lt;Eingaben!$B$22),OR(B1502&gt;=Eingaben!$B$21,B1502&lt;Eingaben!$B$22)),"GO",IF(AND(ISNUMBER(Eingaben!$B$23),ISNUMBER(Eingaben!$B$24),IF(Eingaben!$B$23&lt;Eingaben!$B$24,AND(B1502&gt;=Eingaben!$B$23,B1502&lt;Eingaben!$B$24),OR(B1502&gt;=Eingaben!$B$23,B1502&lt;Eingaben!$B$24))),"HEAT","STANDARD"))</f>
        <v>STANDARD</v>
      </c>
      <c r="E1502" s="9"/>
      <c r="F1502" t="str">
        <f>IF(E1502="",D1502,E1502)</f>
        <v>STANDARD</v>
      </c>
      <c r="G1502" t="str">
        <f>INDEX(Netzzeiten!$B$6:$B$29,HOUR(B1502)+1)</f>
        <v>NT</v>
      </c>
      <c r="H1502" s="6">
        <f>IF(F1502="GO",Eingaben!$B$11,IF(F1502="STANDARD",Eingaben!$B$12,IF(AND(F1502="HEAT",ISNUMBER(Eingaben!$B$13)),Eingaben!$B$13,"")))</f>
        <v>28.2744</v>
      </c>
      <c r="I1502" s="6">
        <f>INDEX(Netzzeiten!$C$6:$C$29,HOUR(B1502)+1)</f>
        <v>1.64</v>
      </c>
      <c r="J1502" t="str">
        <f>IF(C1502="","FEHLT",IF(NOT(ISNUMBER(C1502)),"MESSWERT UNGUELTIG",IF(C1502&lt;0,"MESSWERT UNGUELTIG",IF(H1502="","TARIFPREIS FEHLT","OK"))))</f>
        <v>FEHLT</v>
      </c>
      <c r="K1502" s="7">
        <f>IF(J1502&lt;&gt;"OK","",C1502*I1502/100)</f>
        <v/>
      </c>
    </row>
    <row r="1503" spans="1:11">
      <c r="A1503" s="14">
        <v>46158</v>
      </c>
      <c r="B1503" s="15">
        <v>0.59375</v>
      </c>
      <c r="C1503" s="5">
        <f>IF('96 Werte'!BG21="","",'96 Werte'!BG21)</f>
        <v/>
      </c>
      <c r="D1503" t="str">
        <f>IF(IF(Eingaben!$B$21&lt;Eingaben!$B$22,AND(B1503&gt;=Eingaben!$B$21,B1503&lt;Eingaben!$B$22),OR(B1503&gt;=Eingaben!$B$21,B1503&lt;Eingaben!$B$22)),"GO",IF(AND(ISNUMBER(Eingaben!$B$23),ISNUMBER(Eingaben!$B$24),IF(Eingaben!$B$23&lt;Eingaben!$B$24,AND(B1503&gt;=Eingaben!$B$23,B1503&lt;Eingaben!$B$24),OR(B1503&gt;=Eingaben!$B$23,B1503&lt;Eingaben!$B$24))),"HEAT","STANDARD"))</f>
        <v>STANDARD</v>
      </c>
      <c r="E1503" s="9"/>
      <c r="F1503" t="str">
        <f>IF(E1503="",D1503,E1503)</f>
        <v>STANDARD</v>
      </c>
      <c r="G1503" t="str">
        <f>INDEX(Netzzeiten!$B$6:$B$29,HOUR(B1503)+1)</f>
        <v>NT</v>
      </c>
      <c r="H1503" s="6">
        <f>IF(F1503="GO",Eingaben!$B$11,IF(F1503="STANDARD",Eingaben!$B$12,IF(AND(F1503="HEAT",ISNUMBER(Eingaben!$B$13)),Eingaben!$B$13,"")))</f>
        <v>28.2744</v>
      </c>
      <c r="I1503" s="6">
        <f>INDEX(Netzzeiten!$C$6:$C$29,HOUR(B1503)+1)</f>
        <v>1.64</v>
      </c>
      <c r="J1503" t="str">
        <f>IF(C1503="","FEHLT",IF(NOT(ISNUMBER(C1503)),"MESSWERT UNGUELTIG",IF(C1503&lt;0,"MESSWERT UNGUELTIG",IF(H1503="","TARIFPREIS FEHLT","OK"))))</f>
        <v>FEHLT</v>
      </c>
      <c r="K1503" s="7">
        <f>IF(J1503&lt;&gt;"OK","",C1503*I1503/100)</f>
        <v/>
      </c>
    </row>
    <row r="1504" spans="1:11">
      <c r="A1504" s="14">
        <v>46158</v>
      </c>
      <c r="B1504" s="15">
        <v>0.6041666666666666</v>
      </c>
      <c r="C1504" s="5">
        <f>IF('96 Werte'!BH21="","",'96 Werte'!BH21)</f>
        <v/>
      </c>
      <c r="D1504" t="str">
        <f>IF(IF(Eingaben!$B$21&lt;Eingaben!$B$22,AND(B1504&gt;=Eingaben!$B$21,B1504&lt;Eingaben!$B$22),OR(B1504&gt;=Eingaben!$B$21,B1504&lt;Eingaben!$B$22)),"GO",IF(AND(ISNUMBER(Eingaben!$B$23),ISNUMBER(Eingaben!$B$24),IF(Eingaben!$B$23&lt;Eingaben!$B$24,AND(B1504&gt;=Eingaben!$B$23,B1504&lt;Eingaben!$B$24),OR(B1504&gt;=Eingaben!$B$23,B1504&lt;Eingaben!$B$24))),"HEAT","STANDARD"))</f>
        <v>STANDARD</v>
      </c>
      <c r="E1504" s="9"/>
      <c r="F1504" t="str">
        <f>IF(E1504="",D1504,E1504)</f>
        <v>STANDARD</v>
      </c>
      <c r="G1504" t="str">
        <f>INDEX(Netzzeiten!$B$6:$B$29,HOUR(B1504)+1)</f>
        <v>NT</v>
      </c>
      <c r="H1504" s="6">
        <f>IF(F1504="GO",Eingaben!$B$11,IF(F1504="STANDARD",Eingaben!$B$12,IF(AND(F1504="HEAT",ISNUMBER(Eingaben!$B$13)),Eingaben!$B$13,"")))</f>
        <v>28.2744</v>
      </c>
      <c r="I1504" s="6">
        <f>INDEX(Netzzeiten!$C$6:$C$29,HOUR(B1504)+1)</f>
        <v>1.64</v>
      </c>
      <c r="J1504" t="str">
        <f>IF(C1504="","FEHLT",IF(NOT(ISNUMBER(C1504)),"MESSWERT UNGUELTIG",IF(C1504&lt;0,"MESSWERT UNGUELTIG",IF(H1504="","TARIFPREIS FEHLT","OK"))))</f>
        <v>FEHLT</v>
      </c>
      <c r="K1504" s="7">
        <f>IF(J1504&lt;&gt;"OK","",C1504*I1504/100)</f>
        <v/>
      </c>
    </row>
    <row r="1505" spans="1:11">
      <c r="A1505" s="14">
        <v>46158</v>
      </c>
      <c r="B1505" s="15">
        <v>0.6145833333333334</v>
      </c>
      <c r="C1505" s="5">
        <f>IF('96 Werte'!BI21="","",'96 Werte'!BI21)</f>
        <v/>
      </c>
      <c r="D1505" t="str">
        <f>IF(IF(Eingaben!$B$21&lt;Eingaben!$B$22,AND(B1505&gt;=Eingaben!$B$21,B1505&lt;Eingaben!$B$22),OR(B1505&gt;=Eingaben!$B$21,B1505&lt;Eingaben!$B$22)),"GO",IF(AND(ISNUMBER(Eingaben!$B$23),ISNUMBER(Eingaben!$B$24),IF(Eingaben!$B$23&lt;Eingaben!$B$24,AND(B1505&gt;=Eingaben!$B$23,B1505&lt;Eingaben!$B$24),OR(B1505&gt;=Eingaben!$B$23,B1505&lt;Eingaben!$B$24))),"HEAT","STANDARD"))</f>
        <v>STANDARD</v>
      </c>
      <c r="E1505" s="9"/>
      <c r="F1505" t="str">
        <f>IF(E1505="",D1505,E1505)</f>
        <v>STANDARD</v>
      </c>
      <c r="G1505" t="str">
        <f>INDEX(Netzzeiten!$B$6:$B$29,HOUR(B1505)+1)</f>
        <v>NT</v>
      </c>
      <c r="H1505" s="6">
        <f>IF(F1505="GO",Eingaben!$B$11,IF(F1505="STANDARD",Eingaben!$B$12,IF(AND(F1505="HEAT",ISNUMBER(Eingaben!$B$13)),Eingaben!$B$13,"")))</f>
        <v>28.2744</v>
      </c>
      <c r="I1505" s="6">
        <f>INDEX(Netzzeiten!$C$6:$C$29,HOUR(B1505)+1)</f>
        <v>1.64</v>
      </c>
      <c r="J1505" t="str">
        <f>IF(C1505="","FEHLT",IF(NOT(ISNUMBER(C1505)),"MESSWERT UNGUELTIG",IF(C1505&lt;0,"MESSWERT UNGUELTIG",IF(H1505="","TARIFPREIS FEHLT","OK"))))</f>
        <v>FEHLT</v>
      </c>
      <c r="K1505" s="7">
        <f>IF(J1505&lt;&gt;"OK","",C1505*I1505/100)</f>
        <v/>
      </c>
    </row>
    <row r="1506" spans="1:11">
      <c r="A1506" s="14">
        <v>46158</v>
      </c>
      <c r="B1506" s="15">
        <v>0.625</v>
      </c>
      <c r="C1506" s="5">
        <f>IF('96 Werte'!BJ21="","",'96 Werte'!BJ21)</f>
        <v/>
      </c>
      <c r="D1506" t="str">
        <f>IF(IF(Eingaben!$B$21&lt;Eingaben!$B$22,AND(B1506&gt;=Eingaben!$B$21,B1506&lt;Eingaben!$B$22),OR(B1506&gt;=Eingaben!$B$21,B1506&lt;Eingaben!$B$22)),"GO",IF(AND(ISNUMBER(Eingaben!$B$23),ISNUMBER(Eingaben!$B$24),IF(Eingaben!$B$23&lt;Eingaben!$B$24,AND(B1506&gt;=Eingaben!$B$23,B1506&lt;Eingaben!$B$24),OR(B1506&gt;=Eingaben!$B$23,B1506&lt;Eingaben!$B$24))),"HEAT","STANDARD"))</f>
        <v>STANDARD</v>
      </c>
      <c r="E1506" s="9"/>
      <c r="F1506" t="str">
        <f>IF(E1506="",D1506,E1506)</f>
        <v>STANDARD</v>
      </c>
      <c r="G1506" t="str">
        <f>INDEX(Netzzeiten!$B$6:$B$29,HOUR(B1506)+1)</f>
        <v>ST</v>
      </c>
      <c r="H1506" s="6">
        <f>IF(F1506="GO",Eingaben!$B$11,IF(F1506="STANDARD",Eingaben!$B$12,IF(AND(F1506="HEAT",ISNUMBER(Eingaben!$B$13)),Eingaben!$B$13,"")))</f>
        <v>28.2744</v>
      </c>
      <c r="I1506" s="6">
        <f>INDEX(Netzzeiten!$C$6:$C$29,HOUR(B1506)+1)</f>
        <v>5.48</v>
      </c>
      <c r="J1506" t="str">
        <f>IF(C1506="","FEHLT",IF(NOT(ISNUMBER(C1506)),"MESSWERT UNGUELTIG",IF(C1506&lt;0,"MESSWERT UNGUELTIG",IF(H1506="","TARIFPREIS FEHLT","OK"))))</f>
        <v>FEHLT</v>
      </c>
      <c r="K1506" s="7">
        <f>IF(J1506&lt;&gt;"OK","",C1506*I1506/100)</f>
        <v/>
      </c>
    </row>
    <row r="1507" spans="1:11">
      <c r="A1507" s="14">
        <v>46158</v>
      </c>
      <c r="B1507" s="15">
        <v>0.6354166666666666</v>
      </c>
      <c r="C1507" s="5">
        <f>IF('96 Werte'!BK21="","",'96 Werte'!BK21)</f>
        <v/>
      </c>
      <c r="D1507" t="str">
        <f>IF(IF(Eingaben!$B$21&lt;Eingaben!$B$22,AND(B1507&gt;=Eingaben!$B$21,B1507&lt;Eingaben!$B$22),OR(B1507&gt;=Eingaben!$B$21,B1507&lt;Eingaben!$B$22)),"GO",IF(AND(ISNUMBER(Eingaben!$B$23),ISNUMBER(Eingaben!$B$24),IF(Eingaben!$B$23&lt;Eingaben!$B$24,AND(B1507&gt;=Eingaben!$B$23,B1507&lt;Eingaben!$B$24),OR(B1507&gt;=Eingaben!$B$23,B1507&lt;Eingaben!$B$24))),"HEAT","STANDARD"))</f>
        <v>STANDARD</v>
      </c>
      <c r="E1507" s="9"/>
      <c r="F1507" t="str">
        <f>IF(E1507="",D1507,E1507)</f>
        <v>STANDARD</v>
      </c>
      <c r="G1507" t="str">
        <f>INDEX(Netzzeiten!$B$6:$B$29,HOUR(B1507)+1)</f>
        <v>ST</v>
      </c>
      <c r="H1507" s="6">
        <f>IF(F1507="GO",Eingaben!$B$11,IF(F1507="STANDARD",Eingaben!$B$12,IF(AND(F1507="HEAT",ISNUMBER(Eingaben!$B$13)),Eingaben!$B$13,"")))</f>
        <v>28.2744</v>
      </c>
      <c r="I1507" s="6">
        <f>INDEX(Netzzeiten!$C$6:$C$29,HOUR(B1507)+1)</f>
        <v>5.48</v>
      </c>
      <c r="J1507" t="str">
        <f>IF(C1507="","FEHLT",IF(NOT(ISNUMBER(C1507)),"MESSWERT UNGUELTIG",IF(C1507&lt;0,"MESSWERT UNGUELTIG",IF(H1507="","TARIFPREIS FEHLT","OK"))))</f>
        <v>FEHLT</v>
      </c>
      <c r="K1507" s="7">
        <f>IF(J1507&lt;&gt;"OK","",C1507*I1507/100)</f>
        <v/>
      </c>
    </row>
    <row r="1508" spans="1:11">
      <c r="A1508" s="14">
        <v>46158</v>
      </c>
      <c r="B1508" s="15">
        <v>0.6458333333333334</v>
      </c>
      <c r="C1508" s="5">
        <f>IF('96 Werte'!BL21="","",'96 Werte'!BL21)</f>
        <v/>
      </c>
      <c r="D1508" t="str">
        <f>IF(IF(Eingaben!$B$21&lt;Eingaben!$B$22,AND(B1508&gt;=Eingaben!$B$21,B1508&lt;Eingaben!$B$22),OR(B1508&gt;=Eingaben!$B$21,B1508&lt;Eingaben!$B$22)),"GO",IF(AND(ISNUMBER(Eingaben!$B$23),ISNUMBER(Eingaben!$B$24),IF(Eingaben!$B$23&lt;Eingaben!$B$24,AND(B1508&gt;=Eingaben!$B$23,B1508&lt;Eingaben!$B$24),OR(B1508&gt;=Eingaben!$B$23,B1508&lt;Eingaben!$B$24))),"HEAT","STANDARD"))</f>
        <v>STANDARD</v>
      </c>
      <c r="E1508" s="9"/>
      <c r="F1508" t="str">
        <f>IF(E1508="",D1508,E1508)</f>
        <v>STANDARD</v>
      </c>
      <c r="G1508" t="str">
        <f>INDEX(Netzzeiten!$B$6:$B$29,HOUR(B1508)+1)</f>
        <v>ST</v>
      </c>
      <c r="H1508" s="6">
        <f>IF(F1508="GO",Eingaben!$B$11,IF(F1508="STANDARD",Eingaben!$B$12,IF(AND(F1508="HEAT",ISNUMBER(Eingaben!$B$13)),Eingaben!$B$13,"")))</f>
        <v>28.2744</v>
      </c>
      <c r="I1508" s="6">
        <f>INDEX(Netzzeiten!$C$6:$C$29,HOUR(B1508)+1)</f>
        <v>5.48</v>
      </c>
      <c r="J1508" t="str">
        <f>IF(C1508="","FEHLT",IF(NOT(ISNUMBER(C1508)),"MESSWERT UNGUELTIG",IF(C1508&lt;0,"MESSWERT UNGUELTIG",IF(H1508="","TARIFPREIS FEHLT","OK"))))</f>
        <v>FEHLT</v>
      </c>
      <c r="K1508" s="7">
        <f>IF(J1508&lt;&gt;"OK","",C1508*I1508/100)</f>
        <v/>
      </c>
    </row>
    <row r="1509" spans="1:11">
      <c r="A1509" s="14">
        <v>46158</v>
      </c>
      <c r="B1509" s="15">
        <v>0.65625</v>
      </c>
      <c r="C1509" s="5">
        <f>IF('96 Werte'!BM21="","",'96 Werte'!BM21)</f>
        <v/>
      </c>
      <c r="D1509" t="str">
        <f>IF(IF(Eingaben!$B$21&lt;Eingaben!$B$22,AND(B1509&gt;=Eingaben!$B$21,B1509&lt;Eingaben!$B$22),OR(B1509&gt;=Eingaben!$B$21,B1509&lt;Eingaben!$B$22)),"GO",IF(AND(ISNUMBER(Eingaben!$B$23),ISNUMBER(Eingaben!$B$24),IF(Eingaben!$B$23&lt;Eingaben!$B$24,AND(B1509&gt;=Eingaben!$B$23,B1509&lt;Eingaben!$B$24),OR(B1509&gt;=Eingaben!$B$23,B1509&lt;Eingaben!$B$24))),"HEAT","STANDARD"))</f>
        <v>STANDARD</v>
      </c>
      <c r="E1509" s="9"/>
      <c r="F1509" t="str">
        <f>IF(E1509="",D1509,E1509)</f>
        <v>STANDARD</v>
      </c>
      <c r="G1509" t="str">
        <f>INDEX(Netzzeiten!$B$6:$B$29,HOUR(B1509)+1)</f>
        <v>ST</v>
      </c>
      <c r="H1509" s="6">
        <f>IF(F1509="GO",Eingaben!$B$11,IF(F1509="STANDARD",Eingaben!$B$12,IF(AND(F1509="HEAT",ISNUMBER(Eingaben!$B$13)),Eingaben!$B$13,"")))</f>
        <v>28.2744</v>
      </c>
      <c r="I1509" s="6">
        <f>INDEX(Netzzeiten!$C$6:$C$29,HOUR(B1509)+1)</f>
        <v>5.48</v>
      </c>
      <c r="J1509" t="str">
        <f>IF(C1509="","FEHLT",IF(NOT(ISNUMBER(C1509)),"MESSWERT UNGUELTIG",IF(C1509&lt;0,"MESSWERT UNGUELTIG",IF(H1509="","TARIFPREIS FEHLT","OK"))))</f>
        <v>FEHLT</v>
      </c>
      <c r="K1509" s="7">
        <f>IF(J1509&lt;&gt;"OK","",C1509*I1509/100)</f>
        <v/>
      </c>
    </row>
    <row r="1510" spans="1:11">
      <c r="A1510" s="14">
        <v>46158</v>
      </c>
      <c r="B1510" s="15">
        <v>0.6666666666666666</v>
      </c>
      <c r="C1510" s="5">
        <f>IF('96 Werte'!BN21="","",'96 Werte'!BN21)</f>
        <v/>
      </c>
      <c r="D1510" t="str">
        <f>IF(IF(Eingaben!$B$21&lt;Eingaben!$B$22,AND(B1510&gt;=Eingaben!$B$21,B1510&lt;Eingaben!$B$22),OR(B1510&gt;=Eingaben!$B$21,B1510&lt;Eingaben!$B$22)),"GO",IF(AND(ISNUMBER(Eingaben!$B$23),ISNUMBER(Eingaben!$B$24),IF(Eingaben!$B$23&lt;Eingaben!$B$24,AND(B1510&gt;=Eingaben!$B$23,B1510&lt;Eingaben!$B$24),OR(B1510&gt;=Eingaben!$B$23,B1510&lt;Eingaben!$B$24))),"HEAT","STANDARD"))</f>
        <v>STANDARD</v>
      </c>
      <c r="E1510" s="9"/>
      <c r="F1510" t="str">
        <f>IF(E1510="",D1510,E1510)</f>
        <v>STANDARD</v>
      </c>
      <c r="G1510" t="str">
        <f>INDEX(Netzzeiten!$B$6:$B$29,HOUR(B1510)+1)</f>
        <v>ST</v>
      </c>
      <c r="H1510" s="6">
        <f>IF(F1510="GO",Eingaben!$B$11,IF(F1510="STANDARD",Eingaben!$B$12,IF(AND(F1510="HEAT",ISNUMBER(Eingaben!$B$13)),Eingaben!$B$13,"")))</f>
        <v>28.2744</v>
      </c>
      <c r="I1510" s="6">
        <f>INDEX(Netzzeiten!$C$6:$C$29,HOUR(B1510)+1)</f>
        <v>5.48</v>
      </c>
      <c r="J1510" t="str">
        <f>IF(C1510="","FEHLT",IF(NOT(ISNUMBER(C1510)),"MESSWERT UNGUELTIG",IF(C1510&lt;0,"MESSWERT UNGUELTIG",IF(H1510="","TARIFPREIS FEHLT","OK"))))</f>
        <v>FEHLT</v>
      </c>
      <c r="K1510" s="7">
        <f>IF(J1510&lt;&gt;"OK","",C1510*I1510/100)</f>
        <v/>
      </c>
    </row>
    <row r="1511" spans="1:11">
      <c r="A1511" s="14">
        <v>46158</v>
      </c>
      <c r="B1511" s="15">
        <v>0.6770833333333334</v>
      </c>
      <c r="C1511" s="5">
        <f>IF('96 Werte'!BO21="","",'96 Werte'!BO21)</f>
        <v/>
      </c>
      <c r="D1511" t="str">
        <f>IF(IF(Eingaben!$B$21&lt;Eingaben!$B$22,AND(B1511&gt;=Eingaben!$B$21,B1511&lt;Eingaben!$B$22),OR(B1511&gt;=Eingaben!$B$21,B1511&lt;Eingaben!$B$22)),"GO",IF(AND(ISNUMBER(Eingaben!$B$23),ISNUMBER(Eingaben!$B$24),IF(Eingaben!$B$23&lt;Eingaben!$B$24,AND(B1511&gt;=Eingaben!$B$23,B1511&lt;Eingaben!$B$24),OR(B1511&gt;=Eingaben!$B$23,B1511&lt;Eingaben!$B$24))),"HEAT","STANDARD"))</f>
        <v>STANDARD</v>
      </c>
      <c r="E1511" s="9"/>
      <c r="F1511" t="str">
        <f>IF(E1511="",D1511,E1511)</f>
        <v>STANDARD</v>
      </c>
      <c r="G1511" t="str">
        <f>INDEX(Netzzeiten!$B$6:$B$29,HOUR(B1511)+1)</f>
        <v>ST</v>
      </c>
      <c r="H1511" s="6">
        <f>IF(F1511="GO",Eingaben!$B$11,IF(F1511="STANDARD",Eingaben!$B$12,IF(AND(F1511="HEAT",ISNUMBER(Eingaben!$B$13)),Eingaben!$B$13,"")))</f>
        <v>28.2744</v>
      </c>
      <c r="I1511" s="6">
        <f>INDEX(Netzzeiten!$C$6:$C$29,HOUR(B1511)+1)</f>
        <v>5.48</v>
      </c>
      <c r="J1511" t="str">
        <f>IF(C1511="","FEHLT",IF(NOT(ISNUMBER(C1511)),"MESSWERT UNGUELTIG",IF(C1511&lt;0,"MESSWERT UNGUELTIG",IF(H1511="","TARIFPREIS FEHLT","OK"))))</f>
        <v>FEHLT</v>
      </c>
      <c r="K1511" s="7">
        <f>IF(J1511&lt;&gt;"OK","",C1511*I1511/100)</f>
        <v/>
      </c>
    </row>
    <row r="1512" spans="1:11">
      <c r="A1512" s="14">
        <v>46158</v>
      </c>
      <c r="B1512" s="15">
        <v>0.6875</v>
      </c>
      <c r="C1512" s="5">
        <f>IF('96 Werte'!BP21="","",'96 Werte'!BP21)</f>
        <v/>
      </c>
      <c r="D1512" t="str">
        <f>IF(IF(Eingaben!$B$21&lt;Eingaben!$B$22,AND(B1512&gt;=Eingaben!$B$21,B1512&lt;Eingaben!$B$22),OR(B1512&gt;=Eingaben!$B$21,B1512&lt;Eingaben!$B$22)),"GO",IF(AND(ISNUMBER(Eingaben!$B$23),ISNUMBER(Eingaben!$B$24),IF(Eingaben!$B$23&lt;Eingaben!$B$24,AND(B1512&gt;=Eingaben!$B$23,B1512&lt;Eingaben!$B$24),OR(B1512&gt;=Eingaben!$B$23,B1512&lt;Eingaben!$B$24))),"HEAT","STANDARD"))</f>
        <v>STANDARD</v>
      </c>
      <c r="E1512" s="9"/>
      <c r="F1512" t="str">
        <f>IF(E1512="",D1512,E1512)</f>
        <v>STANDARD</v>
      </c>
      <c r="G1512" t="str">
        <f>INDEX(Netzzeiten!$B$6:$B$29,HOUR(B1512)+1)</f>
        <v>ST</v>
      </c>
      <c r="H1512" s="6">
        <f>IF(F1512="GO",Eingaben!$B$11,IF(F1512="STANDARD",Eingaben!$B$12,IF(AND(F1512="HEAT",ISNUMBER(Eingaben!$B$13)),Eingaben!$B$13,"")))</f>
        <v>28.2744</v>
      </c>
      <c r="I1512" s="6">
        <f>INDEX(Netzzeiten!$C$6:$C$29,HOUR(B1512)+1)</f>
        <v>5.48</v>
      </c>
      <c r="J1512" t="str">
        <f>IF(C1512="","FEHLT",IF(NOT(ISNUMBER(C1512)),"MESSWERT UNGUELTIG",IF(C1512&lt;0,"MESSWERT UNGUELTIG",IF(H1512="","TARIFPREIS FEHLT","OK"))))</f>
        <v>FEHLT</v>
      </c>
      <c r="K1512" s="7">
        <f>IF(J1512&lt;&gt;"OK","",C1512*I1512/100)</f>
        <v/>
      </c>
    </row>
    <row r="1513" spans="1:11">
      <c r="A1513" s="14">
        <v>46158</v>
      </c>
      <c r="B1513" s="15">
        <v>0.6979166666666666</v>
      </c>
      <c r="C1513" s="5">
        <f>IF('96 Werte'!BQ21="","",'96 Werte'!BQ21)</f>
        <v/>
      </c>
      <c r="D1513" t="str">
        <f>IF(IF(Eingaben!$B$21&lt;Eingaben!$B$22,AND(B1513&gt;=Eingaben!$B$21,B1513&lt;Eingaben!$B$22),OR(B1513&gt;=Eingaben!$B$21,B1513&lt;Eingaben!$B$22)),"GO",IF(AND(ISNUMBER(Eingaben!$B$23),ISNUMBER(Eingaben!$B$24),IF(Eingaben!$B$23&lt;Eingaben!$B$24,AND(B1513&gt;=Eingaben!$B$23,B1513&lt;Eingaben!$B$24),OR(B1513&gt;=Eingaben!$B$23,B1513&lt;Eingaben!$B$24))),"HEAT","STANDARD"))</f>
        <v>STANDARD</v>
      </c>
      <c r="E1513" s="9"/>
      <c r="F1513" t="str">
        <f>IF(E1513="",D1513,E1513)</f>
        <v>STANDARD</v>
      </c>
      <c r="G1513" t="str">
        <f>INDEX(Netzzeiten!$B$6:$B$29,HOUR(B1513)+1)</f>
        <v>ST</v>
      </c>
      <c r="H1513" s="6">
        <f>IF(F1513="GO",Eingaben!$B$11,IF(F1513="STANDARD",Eingaben!$B$12,IF(AND(F1513="HEAT",ISNUMBER(Eingaben!$B$13)),Eingaben!$B$13,"")))</f>
        <v>28.2744</v>
      </c>
      <c r="I1513" s="6">
        <f>INDEX(Netzzeiten!$C$6:$C$29,HOUR(B1513)+1)</f>
        <v>5.48</v>
      </c>
      <c r="J1513" t="str">
        <f>IF(C1513="","FEHLT",IF(NOT(ISNUMBER(C1513)),"MESSWERT UNGUELTIG",IF(C1513&lt;0,"MESSWERT UNGUELTIG",IF(H1513="","TARIFPREIS FEHLT","OK"))))</f>
        <v>FEHLT</v>
      </c>
      <c r="K1513" s="7">
        <f>IF(J1513&lt;&gt;"OK","",C1513*I1513/100)</f>
        <v/>
      </c>
    </row>
    <row r="1514" spans="1:11">
      <c r="A1514" s="14">
        <v>46158</v>
      </c>
      <c r="B1514" s="15">
        <v>0.7083333333333334</v>
      </c>
      <c r="C1514" s="5">
        <f>IF('96 Werte'!BR21="","",'96 Werte'!BR21)</f>
        <v/>
      </c>
      <c r="D1514" t="str">
        <f>IF(IF(Eingaben!$B$21&lt;Eingaben!$B$22,AND(B1514&gt;=Eingaben!$B$21,B1514&lt;Eingaben!$B$22),OR(B1514&gt;=Eingaben!$B$21,B1514&lt;Eingaben!$B$22)),"GO",IF(AND(ISNUMBER(Eingaben!$B$23),ISNUMBER(Eingaben!$B$24),IF(Eingaben!$B$23&lt;Eingaben!$B$24,AND(B1514&gt;=Eingaben!$B$23,B1514&lt;Eingaben!$B$24),OR(B1514&gt;=Eingaben!$B$23,B1514&lt;Eingaben!$B$24))),"HEAT","STANDARD"))</f>
        <v>STANDARD</v>
      </c>
      <c r="E1514" s="9"/>
      <c r="F1514" t="str">
        <f>IF(E1514="",D1514,E1514)</f>
        <v>STANDARD</v>
      </c>
      <c r="G1514" t="str">
        <f>INDEX(Netzzeiten!$B$6:$B$29,HOUR(B1514)+1)</f>
        <v>HT</v>
      </c>
      <c r="H1514" s="6">
        <f>IF(F1514="GO",Eingaben!$B$11,IF(F1514="STANDARD",Eingaben!$B$12,IF(AND(F1514="HEAT",ISNUMBER(Eingaben!$B$13)),Eingaben!$B$13,"")))</f>
        <v>28.2744</v>
      </c>
      <c r="I1514" s="6">
        <f>INDEX(Netzzeiten!$C$6:$C$29,HOUR(B1514)+1)</f>
        <v>10.52</v>
      </c>
      <c r="J1514" t="str">
        <f>IF(C1514="","FEHLT",IF(NOT(ISNUMBER(C1514)),"MESSWERT UNGUELTIG",IF(C1514&lt;0,"MESSWERT UNGUELTIG",IF(H1514="","TARIFPREIS FEHLT","OK"))))</f>
        <v>FEHLT</v>
      </c>
      <c r="K1514" s="7">
        <f>IF(J1514&lt;&gt;"OK","",C1514*I1514/100)</f>
        <v/>
      </c>
    </row>
    <row r="1515" spans="1:11">
      <c r="A1515" s="14">
        <v>46158</v>
      </c>
      <c r="B1515" s="15">
        <v>0.71875</v>
      </c>
      <c r="C1515" s="5">
        <f>IF('96 Werte'!BS21="","",'96 Werte'!BS21)</f>
        <v/>
      </c>
      <c r="D1515" t="str">
        <f>IF(IF(Eingaben!$B$21&lt;Eingaben!$B$22,AND(B1515&gt;=Eingaben!$B$21,B1515&lt;Eingaben!$B$22),OR(B1515&gt;=Eingaben!$B$21,B1515&lt;Eingaben!$B$22)),"GO",IF(AND(ISNUMBER(Eingaben!$B$23),ISNUMBER(Eingaben!$B$24),IF(Eingaben!$B$23&lt;Eingaben!$B$24,AND(B1515&gt;=Eingaben!$B$23,B1515&lt;Eingaben!$B$24),OR(B1515&gt;=Eingaben!$B$23,B1515&lt;Eingaben!$B$24))),"HEAT","STANDARD"))</f>
        <v>STANDARD</v>
      </c>
      <c r="E1515" s="9"/>
      <c r="F1515" t="str">
        <f>IF(E1515="",D1515,E1515)</f>
        <v>STANDARD</v>
      </c>
      <c r="G1515" t="str">
        <f>INDEX(Netzzeiten!$B$6:$B$29,HOUR(B1515)+1)</f>
        <v>HT</v>
      </c>
      <c r="H1515" s="6">
        <f>IF(F1515="GO",Eingaben!$B$11,IF(F1515="STANDARD",Eingaben!$B$12,IF(AND(F1515="HEAT",ISNUMBER(Eingaben!$B$13)),Eingaben!$B$13,"")))</f>
        <v>28.2744</v>
      </c>
      <c r="I1515" s="6">
        <f>INDEX(Netzzeiten!$C$6:$C$29,HOUR(B1515)+1)</f>
        <v>10.52</v>
      </c>
      <c r="J1515" t="str">
        <f>IF(C1515="","FEHLT",IF(NOT(ISNUMBER(C1515)),"MESSWERT UNGUELTIG",IF(C1515&lt;0,"MESSWERT UNGUELTIG",IF(H1515="","TARIFPREIS FEHLT","OK"))))</f>
        <v>FEHLT</v>
      </c>
      <c r="K1515" s="7">
        <f>IF(J1515&lt;&gt;"OK","",C1515*I1515/100)</f>
        <v/>
      </c>
    </row>
    <row r="1516" spans="1:11">
      <c r="A1516" s="14">
        <v>46158</v>
      </c>
      <c r="B1516" s="15">
        <v>0.7291666666666666</v>
      </c>
      <c r="C1516" s="5">
        <f>IF('96 Werte'!BT21="","",'96 Werte'!BT21)</f>
        <v/>
      </c>
      <c r="D1516" t="str">
        <f>IF(IF(Eingaben!$B$21&lt;Eingaben!$B$22,AND(B1516&gt;=Eingaben!$B$21,B1516&lt;Eingaben!$B$22),OR(B1516&gt;=Eingaben!$B$21,B1516&lt;Eingaben!$B$22)),"GO",IF(AND(ISNUMBER(Eingaben!$B$23),ISNUMBER(Eingaben!$B$24),IF(Eingaben!$B$23&lt;Eingaben!$B$24,AND(B1516&gt;=Eingaben!$B$23,B1516&lt;Eingaben!$B$24),OR(B1516&gt;=Eingaben!$B$23,B1516&lt;Eingaben!$B$24))),"HEAT","STANDARD"))</f>
        <v>STANDARD</v>
      </c>
      <c r="E1516" s="9"/>
      <c r="F1516" t="str">
        <f>IF(E1516="",D1516,E1516)</f>
        <v>STANDARD</v>
      </c>
      <c r="G1516" t="str">
        <f>INDEX(Netzzeiten!$B$6:$B$29,HOUR(B1516)+1)</f>
        <v>HT</v>
      </c>
      <c r="H1516" s="6">
        <f>IF(F1516="GO",Eingaben!$B$11,IF(F1516="STANDARD",Eingaben!$B$12,IF(AND(F1516="HEAT",ISNUMBER(Eingaben!$B$13)),Eingaben!$B$13,"")))</f>
        <v>28.2744</v>
      </c>
      <c r="I1516" s="6">
        <f>INDEX(Netzzeiten!$C$6:$C$29,HOUR(B1516)+1)</f>
        <v>10.52</v>
      </c>
      <c r="J1516" t="str">
        <f>IF(C1516="","FEHLT",IF(NOT(ISNUMBER(C1516)),"MESSWERT UNGUELTIG",IF(C1516&lt;0,"MESSWERT UNGUELTIG",IF(H1516="","TARIFPREIS FEHLT","OK"))))</f>
        <v>FEHLT</v>
      </c>
      <c r="K1516" s="7">
        <f>IF(J1516&lt;&gt;"OK","",C1516*I1516/100)</f>
        <v/>
      </c>
    </row>
    <row r="1517" spans="1:11">
      <c r="A1517" s="14">
        <v>46158</v>
      </c>
      <c r="B1517" s="15">
        <v>0.7395833333333334</v>
      </c>
      <c r="C1517" s="5">
        <f>IF('96 Werte'!BU21="","",'96 Werte'!BU21)</f>
        <v/>
      </c>
      <c r="D1517" t="str">
        <f>IF(IF(Eingaben!$B$21&lt;Eingaben!$B$22,AND(B1517&gt;=Eingaben!$B$21,B1517&lt;Eingaben!$B$22),OR(B1517&gt;=Eingaben!$B$21,B1517&lt;Eingaben!$B$22)),"GO",IF(AND(ISNUMBER(Eingaben!$B$23),ISNUMBER(Eingaben!$B$24),IF(Eingaben!$B$23&lt;Eingaben!$B$24,AND(B1517&gt;=Eingaben!$B$23,B1517&lt;Eingaben!$B$24),OR(B1517&gt;=Eingaben!$B$23,B1517&lt;Eingaben!$B$24))),"HEAT","STANDARD"))</f>
        <v>STANDARD</v>
      </c>
      <c r="E1517" s="9"/>
      <c r="F1517" t="str">
        <f>IF(E1517="",D1517,E1517)</f>
        <v>STANDARD</v>
      </c>
      <c r="G1517" t="str">
        <f>INDEX(Netzzeiten!$B$6:$B$29,HOUR(B1517)+1)</f>
        <v>HT</v>
      </c>
      <c r="H1517" s="6">
        <f>IF(F1517="GO",Eingaben!$B$11,IF(F1517="STANDARD",Eingaben!$B$12,IF(AND(F1517="HEAT",ISNUMBER(Eingaben!$B$13)),Eingaben!$B$13,"")))</f>
        <v>28.2744</v>
      </c>
      <c r="I1517" s="6">
        <f>INDEX(Netzzeiten!$C$6:$C$29,HOUR(B1517)+1)</f>
        <v>10.52</v>
      </c>
      <c r="J1517" t="str">
        <f>IF(C1517="","FEHLT",IF(NOT(ISNUMBER(C1517)),"MESSWERT UNGUELTIG",IF(C1517&lt;0,"MESSWERT UNGUELTIG",IF(H1517="","TARIFPREIS FEHLT","OK"))))</f>
        <v>FEHLT</v>
      </c>
      <c r="K1517" s="7">
        <f>IF(J1517&lt;&gt;"OK","",C1517*I1517/100)</f>
        <v/>
      </c>
    </row>
    <row r="1518" spans="1:11">
      <c r="A1518" s="14">
        <v>46158</v>
      </c>
      <c r="B1518" s="15">
        <v>0.75</v>
      </c>
      <c r="C1518" s="5">
        <f>IF('96 Werte'!BV21="","",'96 Werte'!BV21)</f>
        <v/>
      </c>
      <c r="D1518" t="str">
        <f>IF(IF(Eingaben!$B$21&lt;Eingaben!$B$22,AND(B1518&gt;=Eingaben!$B$21,B1518&lt;Eingaben!$B$22),OR(B1518&gt;=Eingaben!$B$21,B1518&lt;Eingaben!$B$22)),"GO",IF(AND(ISNUMBER(Eingaben!$B$23),ISNUMBER(Eingaben!$B$24),IF(Eingaben!$B$23&lt;Eingaben!$B$24,AND(B1518&gt;=Eingaben!$B$23,B1518&lt;Eingaben!$B$24),OR(B1518&gt;=Eingaben!$B$23,B1518&lt;Eingaben!$B$24))),"HEAT","STANDARD"))</f>
        <v>STANDARD</v>
      </c>
      <c r="E1518" s="9"/>
      <c r="F1518" t="str">
        <f>IF(E1518="",D1518,E1518)</f>
        <v>STANDARD</v>
      </c>
      <c r="G1518" t="str">
        <f>INDEX(Netzzeiten!$B$6:$B$29,HOUR(B1518)+1)</f>
        <v>HT</v>
      </c>
      <c r="H1518" s="6">
        <f>IF(F1518="GO",Eingaben!$B$11,IF(F1518="STANDARD",Eingaben!$B$12,IF(AND(F1518="HEAT",ISNUMBER(Eingaben!$B$13)),Eingaben!$B$13,"")))</f>
        <v>28.2744</v>
      </c>
      <c r="I1518" s="6">
        <f>INDEX(Netzzeiten!$C$6:$C$29,HOUR(B1518)+1)</f>
        <v>10.52</v>
      </c>
      <c r="J1518" t="str">
        <f>IF(C1518="","FEHLT",IF(NOT(ISNUMBER(C1518)),"MESSWERT UNGUELTIG",IF(C1518&lt;0,"MESSWERT UNGUELTIG",IF(H1518="","TARIFPREIS FEHLT","OK"))))</f>
        <v>FEHLT</v>
      </c>
      <c r="K1518" s="7">
        <f>IF(J1518&lt;&gt;"OK","",C1518*I1518/100)</f>
        <v/>
      </c>
    </row>
    <row r="1519" spans="1:11">
      <c r="A1519" s="14">
        <v>46158</v>
      </c>
      <c r="B1519" s="15">
        <v>0.7604166666666666</v>
      </c>
      <c r="C1519" s="5">
        <f>IF('96 Werte'!BW21="","",'96 Werte'!BW21)</f>
        <v/>
      </c>
      <c r="D1519" t="str">
        <f>IF(IF(Eingaben!$B$21&lt;Eingaben!$B$22,AND(B1519&gt;=Eingaben!$B$21,B1519&lt;Eingaben!$B$22),OR(B1519&gt;=Eingaben!$B$21,B1519&lt;Eingaben!$B$22)),"GO",IF(AND(ISNUMBER(Eingaben!$B$23),ISNUMBER(Eingaben!$B$24),IF(Eingaben!$B$23&lt;Eingaben!$B$24,AND(B1519&gt;=Eingaben!$B$23,B1519&lt;Eingaben!$B$24),OR(B1519&gt;=Eingaben!$B$23,B1519&lt;Eingaben!$B$24))),"HEAT","STANDARD"))</f>
        <v>STANDARD</v>
      </c>
      <c r="E1519" s="9"/>
      <c r="F1519" t="str">
        <f>IF(E1519="",D1519,E1519)</f>
        <v>STANDARD</v>
      </c>
      <c r="G1519" t="str">
        <f>INDEX(Netzzeiten!$B$6:$B$29,HOUR(B1519)+1)</f>
        <v>HT</v>
      </c>
      <c r="H1519" s="6">
        <f>IF(F1519="GO",Eingaben!$B$11,IF(F1519="STANDARD",Eingaben!$B$12,IF(AND(F1519="HEAT",ISNUMBER(Eingaben!$B$13)),Eingaben!$B$13,"")))</f>
        <v>28.2744</v>
      </c>
      <c r="I1519" s="6">
        <f>INDEX(Netzzeiten!$C$6:$C$29,HOUR(B1519)+1)</f>
        <v>10.52</v>
      </c>
      <c r="J1519" t="str">
        <f>IF(C1519="","FEHLT",IF(NOT(ISNUMBER(C1519)),"MESSWERT UNGUELTIG",IF(C1519&lt;0,"MESSWERT UNGUELTIG",IF(H1519="","TARIFPREIS FEHLT","OK"))))</f>
        <v>FEHLT</v>
      </c>
      <c r="K1519" s="7">
        <f>IF(J1519&lt;&gt;"OK","",C1519*I1519/100)</f>
        <v/>
      </c>
    </row>
    <row r="1520" spans="1:11">
      <c r="A1520" s="14">
        <v>46158</v>
      </c>
      <c r="B1520" s="15">
        <v>0.7708333333333334</v>
      </c>
      <c r="C1520" s="5">
        <f>IF('96 Werte'!BX21="","",'96 Werte'!BX21)</f>
        <v/>
      </c>
      <c r="D1520" t="str">
        <f>IF(IF(Eingaben!$B$21&lt;Eingaben!$B$22,AND(B1520&gt;=Eingaben!$B$21,B1520&lt;Eingaben!$B$22),OR(B1520&gt;=Eingaben!$B$21,B1520&lt;Eingaben!$B$22)),"GO",IF(AND(ISNUMBER(Eingaben!$B$23),ISNUMBER(Eingaben!$B$24),IF(Eingaben!$B$23&lt;Eingaben!$B$24,AND(B1520&gt;=Eingaben!$B$23,B1520&lt;Eingaben!$B$24),OR(B1520&gt;=Eingaben!$B$23,B1520&lt;Eingaben!$B$24))),"HEAT","STANDARD"))</f>
        <v>STANDARD</v>
      </c>
      <c r="E1520" s="9"/>
      <c r="F1520" t="str">
        <f>IF(E1520="",D1520,E1520)</f>
        <v>STANDARD</v>
      </c>
      <c r="G1520" t="str">
        <f>INDEX(Netzzeiten!$B$6:$B$29,HOUR(B1520)+1)</f>
        <v>HT</v>
      </c>
      <c r="H1520" s="6">
        <f>IF(F1520="GO",Eingaben!$B$11,IF(F1520="STANDARD",Eingaben!$B$12,IF(AND(F1520="HEAT",ISNUMBER(Eingaben!$B$13)),Eingaben!$B$13,"")))</f>
        <v>28.2744</v>
      </c>
      <c r="I1520" s="6">
        <f>INDEX(Netzzeiten!$C$6:$C$29,HOUR(B1520)+1)</f>
        <v>10.52</v>
      </c>
      <c r="J1520" t="str">
        <f>IF(C1520="","FEHLT",IF(NOT(ISNUMBER(C1520)),"MESSWERT UNGUELTIG",IF(C1520&lt;0,"MESSWERT UNGUELTIG",IF(H1520="","TARIFPREIS FEHLT","OK"))))</f>
        <v>FEHLT</v>
      </c>
      <c r="K1520" s="7">
        <f>IF(J1520&lt;&gt;"OK","",C1520*I1520/100)</f>
        <v/>
      </c>
    </row>
    <row r="1521" spans="1:11">
      <c r="A1521" s="14">
        <v>46158</v>
      </c>
      <c r="B1521" s="15">
        <v>0.78125</v>
      </c>
      <c r="C1521" s="5">
        <f>IF('96 Werte'!BY21="","",'96 Werte'!BY21)</f>
        <v/>
      </c>
      <c r="D1521" t="str">
        <f>IF(IF(Eingaben!$B$21&lt;Eingaben!$B$22,AND(B1521&gt;=Eingaben!$B$21,B1521&lt;Eingaben!$B$22),OR(B1521&gt;=Eingaben!$B$21,B1521&lt;Eingaben!$B$22)),"GO",IF(AND(ISNUMBER(Eingaben!$B$23),ISNUMBER(Eingaben!$B$24),IF(Eingaben!$B$23&lt;Eingaben!$B$24,AND(B1521&gt;=Eingaben!$B$23,B1521&lt;Eingaben!$B$24),OR(B1521&gt;=Eingaben!$B$23,B1521&lt;Eingaben!$B$24))),"HEAT","STANDARD"))</f>
        <v>STANDARD</v>
      </c>
      <c r="E1521" s="9"/>
      <c r="F1521" t="str">
        <f>IF(E1521="",D1521,E1521)</f>
        <v>STANDARD</v>
      </c>
      <c r="G1521" t="str">
        <f>INDEX(Netzzeiten!$B$6:$B$29,HOUR(B1521)+1)</f>
        <v>HT</v>
      </c>
      <c r="H1521" s="6">
        <f>IF(F1521="GO",Eingaben!$B$11,IF(F1521="STANDARD",Eingaben!$B$12,IF(AND(F1521="HEAT",ISNUMBER(Eingaben!$B$13)),Eingaben!$B$13,"")))</f>
        <v>28.2744</v>
      </c>
      <c r="I1521" s="6">
        <f>INDEX(Netzzeiten!$C$6:$C$29,HOUR(B1521)+1)</f>
        <v>10.52</v>
      </c>
      <c r="J1521" t="str">
        <f>IF(C1521="","FEHLT",IF(NOT(ISNUMBER(C1521)),"MESSWERT UNGUELTIG",IF(C1521&lt;0,"MESSWERT UNGUELTIG",IF(H1521="","TARIFPREIS FEHLT","OK"))))</f>
        <v>FEHLT</v>
      </c>
      <c r="K1521" s="7">
        <f>IF(J1521&lt;&gt;"OK","",C1521*I1521/100)</f>
        <v/>
      </c>
    </row>
    <row r="1522" spans="1:11">
      <c r="A1522" s="14">
        <v>46158</v>
      </c>
      <c r="B1522" s="15">
        <v>0.7916666666666666</v>
      </c>
      <c r="C1522" s="5">
        <f>IF('96 Werte'!BZ21="","",'96 Werte'!BZ21)</f>
        <v/>
      </c>
      <c r="D1522" t="str">
        <f>IF(IF(Eingaben!$B$21&lt;Eingaben!$B$22,AND(B1522&gt;=Eingaben!$B$21,B1522&lt;Eingaben!$B$22),OR(B1522&gt;=Eingaben!$B$21,B1522&lt;Eingaben!$B$22)),"GO",IF(AND(ISNUMBER(Eingaben!$B$23),ISNUMBER(Eingaben!$B$24),IF(Eingaben!$B$23&lt;Eingaben!$B$24,AND(B1522&gt;=Eingaben!$B$23,B1522&lt;Eingaben!$B$24),OR(B1522&gt;=Eingaben!$B$23,B1522&lt;Eingaben!$B$24))),"HEAT","STANDARD"))</f>
        <v>STANDARD</v>
      </c>
      <c r="E1522" s="9"/>
      <c r="F1522" t="str">
        <f>IF(E1522="",D1522,E1522)</f>
        <v>STANDARD</v>
      </c>
      <c r="G1522" t="str">
        <f>INDEX(Netzzeiten!$B$6:$B$29,HOUR(B1522)+1)</f>
        <v>HT</v>
      </c>
      <c r="H1522" s="6">
        <f>IF(F1522="GO",Eingaben!$B$11,IF(F1522="STANDARD",Eingaben!$B$12,IF(AND(F1522="HEAT",ISNUMBER(Eingaben!$B$13)),Eingaben!$B$13,"")))</f>
        <v>28.2744</v>
      </c>
      <c r="I1522" s="6">
        <f>INDEX(Netzzeiten!$C$6:$C$29,HOUR(B1522)+1)</f>
        <v>10.52</v>
      </c>
      <c r="J1522" t="str">
        <f>IF(C1522="","FEHLT",IF(NOT(ISNUMBER(C1522)),"MESSWERT UNGUELTIG",IF(C1522&lt;0,"MESSWERT UNGUELTIG",IF(H1522="","TARIFPREIS FEHLT","OK"))))</f>
        <v>FEHLT</v>
      </c>
      <c r="K1522" s="7">
        <f>IF(J1522&lt;&gt;"OK","",C1522*I1522/100)</f>
        <v/>
      </c>
    </row>
    <row r="1523" spans="1:11">
      <c r="A1523" s="14">
        <v>46158</v>
      </c>
      <c r="B1523" s="15">
        <v>0.8020833333333334</v>
      </c>
      <c r="C1523" s="5">
        <f>IF('96 Werte'!CA21="","",'96 Werte'!CA21)</f>
        <v/>
      </c>
      <c r="D1523" t="str">
        <f>IF(IF(Eingaben!$B$21&lt;Eingaben!$B$22,AND(B1523&gt;=Eingaben!$B$21,B1523&lt;Eingaben!$B$22),OR(B1523&gt;=Eingaben!$B$21,B1523&lt;Eingaben!$B$22)),"GO",IF(AND(ISNUMBER(Eingaben!$B$23),ISNUMBER(Eingaben!$B$24),IF(Eingaben!$B$23&lt;Eingaben!$B$24,AND(B1523&gt;=Eingaben!$B$23,B1523&lt;Eingaben!$B$24),OR(B1523&gt;=Eingaben!$B$23,B1523&lt;Eingaben!$B$24))),"HEAT","STANDARD"))</f>
        <v>STANDARD</v>
      </c>
      <c r="E1523" s="9"/>
      <c r="F1523" t="str">
        <f>IF(E1523="",D1523,E1523)</f>
        <v>STANDARD</v>
      </c>
      <c r="G1523" t="str">
        <f>INDEX(Netzzeiten!$B$6:$B$29,HOUR(B1523)+1)</f>
        <v>HT</v>
      </c>
      <c r="H1523" s="6">
        <f>IF(F1523="GO",Eingaben!$B$11,IF(F1523="STANDARD",Eingaben!$B$12,IF(AND(F1523="HEAT",ISNUMBER(Eingaben!$B$13)),Eingaben!$B$13,"")))</f>
        <v>28.2744</v>
      </c>
      <c r="I1523" s="6">
        <f>INDEX(Netzzeiten!$C$6:$C$29,HOUR(B1523)+1)</f>
        <v>10.52</v>
      </c>
      <c r="J1523" t="str">
        <f>IF(C1523="","FEHLT",IF(NOT(ISNUMBER(C1523)),"MESSWERT UNGUELTIG",IF(C1523&lt;0,"MESSWERT UNGUELTIG",IF(H1523="","TARIFPREIS FEHLT","OK"))))</f>
        <v>FEHLT</v>
      </c>
      <c r="K1523" s="7">
        <f>IF(J1523&lt;&gt;"OK","",C1523*I1523/100)</f>
        <v/>
      </c>
    </row>
    <row r="1524" spans="1:11">
      <c r="A1524" s="14">
        <v>46158</v>
      </c>
      <c r="B1524" s="15">
        <v>0.8125</v>
      </c>
      <c r="C1524" s="5">
        <f>IF('96 Werte'!CB21="","",'96 Werte'!CB21)</f>
        <v/>
      </c>
      <c r="D1524" t="str">
        <f>IF(IF(Eingaben!$B$21&lt;Eingaben!$B$22,AND(B1524&gt;=Eingaben!$B$21,B1524&lt;Eingaben!$B$22),OR(B1524&gt;=Eingaben!$B$21,B1524&lt;Eingaben!$B$22)),"GO",IF(AND(ISNUMBER(Eingaben!$B$23),ISNUMBER(Eingaben!$B$24),IF(Eingaben!$B$23&lt;Eingaben!$B$24,AND(B1524&gt;=Eingaben!$B$23,B1524&lt;Eingaben!$B$24),OR(B1524&gt;=Eingaben!$B$23,B1524&lt;Eingaben!$B$24))),"HEAT","STANDARD"))</f>
        <v>STANDARD</v>
      </c>
      <c r="E1524" s="9"/>
      <c r="F1524" t="str">
        <f>IF(E1524="",D1524,E1524)</f>
        <v>STANDARD</v>
      </c>
      <c r="G1524" t="str">
        <f>INDEX(Netzzeiten!$B$6:$B$29,HOUR(B1524)+1)</f>
        <v>HT</v>
      </c>
      <c r="H1524" s="6">
        <f>IF(F1524="GO",Eingaben!$B$11,IF(F1524="STANDARD",Eingaben!$B$12,IF(AND(F1524="HEAT",ISNUMBER(Eingaben!$B$13)),Eingaben!$B$13,"")))</f>
        <v>28.2744</v>
      </c>
      <c r="I1524" s="6">
        <f>INDEX(Netzzeiten!$C$6:$C$29,HOUR(B1524)+1)</f>
        <v>10.52</v>
      </c>
      <c r="J1524" t="str">
        <f>IF(C1524="","FEHLT",IF(NOT(ISNUMBER(C1524)),"MESSWERT UNGUELTIG",IF(C1524&lt;0,"MESSWERT UNGUELTIG",IF(H1524="","TARIFPREIS FEHLT","OK"))))</f>
        <v>FEHLT</v>
      </c>
      <c r="K1524" s="7">
        <f>IF(J1524&lt;&gt;"OK","",C1524*I1524/100)</f>
        <v/>
      </c>
    </row>
    <row r="1525" spans="1:11">
      <c r="A1525" s="14">
        <v>46158</v>
      </c>
      <c r="B1525" s="15">
        <v>0.8229166666666666</v>
      </c>
      <c r="C1525" s="5">
        <f>IF('96 Werte'!CC21="","",'96 Werte'!CC21)</f>
        <v/>
      </c>
      <c r="D1525" t="str">
        <f>IF(IF(Eingaben!$B$21&lt;Eingaben!$B$22,AND(B1525&gt;=Eingaben!$B$21,B1525&lt;Eingaben!$B$22),OR(B1525&gt;=Eingaben!$B$21,B1525&lt;Eingaben!$B$22)),"GO",IF(AND(ISNUMBER(Eingaben!$B$23),ISNUMBER(Eingaben!$B$24),IF(Eingaben!$B$23&lt;Eingaben!$B$24,AND(B1525&gt;=Eingaben!$B$23,B1525&lt;Eingaben!$B$24),OR(B1525&gt;=Eingaben!$B$23,B1525&lt;Eingaben!$B$24))),"HEAT","STANDARD"))</f>
        <v>STANDARD</v>
      </c>
      <c r="E1525" s="9"/>
      <c r="F1525" t="str">
        <f>IF(E1525="",D1525,E1525)</f>
        <v>STANDARD</v>
      </c>
      <c r="G1525" t="str">
        <f>INDEX(Netzzeiten!$B$6:$B$29,HOUR(B1525)+1)</f>
        <v>HT</v>
      </c>
      <c r="H1525" s="6">
        <f>IF(F1525="GO",Eingaben!$B$11,IF(F1525="STANDARD",Eingaben!$B$12,IF(AND(F1525="HEAT",ISNUMBER(Eingaben!$B$13)),Eingaben!$B$13,"")))</f>
        <v>28.2744</v>
      </c>
      <c r="I1525" s="6">
        <f>INDEX(Netzzeiten!$C$6:$C$29,HOUR(B1525)+1)</f>
        <v>10.52</v>
      </c>
      <c r="J1525" t="str">
        <f>IF(C1525="","FEHLT",IF(NOT(ISNUMBER(C1525)),"MESSWERT UNGUELTIG",IF(C1525&lt;0,"MESSWERT UNGUELTIG",IF(H1525="","TARIFPREIS FEHLT","OK"))))</f>
        <v>FEHLT</v>
      </c>
      <c r="K1525" s="7">
        <f>IF(J1525&lt;&gt;"OK","",C1525*I1525/100)</f>
        <v/>
      </c>
    </row>
    <row r="1526" spans="1:11">
      <c r="A1526" s="14">
        <v>46158</v>
      </c>
      <c r="B1526" s="15">
        <v>0.8333333333333334</v>
      </c>
      <c r="C1526" s="5">
        <f>IF('96 Werte'!CD21="","",'96 Werte'!CD21)</f>
        <v/>
      </c>
      <c r="D1526" t="str">
        <f>IF(IF(Eingaben!$B$21&lt;Eingaben!$B$22,AND(B1526&gt;=Eingaben!$B$21,B1526&lt;Eingaben!$B$22),OR(B1526&gt;=Eingaben!$B$21,B1526&lt;Eingaben!$B$22)),"GO",IF(AND(ISNUMBER(Eingaben!$B$23),ISNUMBER(Eingaben!$B$24),IF(Eingaben!$B$23&lt;Eingaben!$B$24,AND(B1526&gt;=Eingaben!$B$23,B1526&lt;Eingaben!$B$24),OR(B1526&gt;=Eingaben!$B$23,B1526&lt;Eingaben!$B$24))),"HEAT","STANDARD"))</f>
        <v>STANDARD</v>
      </c>
      <c r="E1526" s="9"/>
      <c r="F1526" t="str">
        <f>IF(E1526="",D1526,E1526)</f>
        <v>STANDARD</v>
      </c>
      <c r="G1526" t="str">
        <f>INDEX(Netzzeiten!$B$6:$B$29,HOUR(B1526)+1)</f>
        <v>HT</v>
      </c>
      <c r="H1526" s="6">
        <f>IF(F1526="GO",Eingaben!$B$11,IF(F1526="STANDARD",Eingaben!$B$12,IF(AND(F1526="HEAT",ISNUMBER(Eingaben!$B$13)),Eingaben!$B$13,"")))</f>
        <v>28.2744</v>
      </c>
      <c r="I1526" s="6">
        <f>INDEX(Netzzeiten!$C$6:$C$29,HOUR(B1526)+1)</f>
        <v>10.52</v>
      </c>
      <c r="J1526" t="str">
        <f>IF(C1526="","FEHLT",IF(NOT(ISNUMBER(C1526)),"MESSWERT UNGUELTIG",IF(C1526&lt;0,"MESSWERT UNGUELTIG",IF(H1526="","TARIFPREIS FEHLT","OK"))))</f>
        <v>FEHLT</v>
      </c>
      <c r="K1526" s="7">
        <f>IF(J1526&lt;&gt;"OK","",C1526*I1526/100)</f>
        <v/>
      </c>
    </row>
    <row r="1527" spans="1:11">
      <c r="A1527" s="14">
        <v>46158</v>
      </c>
      <c r="B1527" s="15">
        <v>0.84375</v>
      </c>
      <c r="C1527" s="5">
        <f>IF('96 Werte'!CE21="","",'96 Werte'!CE21)</f>
        <v/>
      </c>
      <c r="D1527" t="str">
        <f>IF(IF(Eingaben!$B$21&lt;Eingaben!$B$22,AND(B1527&gt;=Eingaben!$B$21,B1527&lt;Eingaben!$B$22),OR(B1527&gt;=Eingaben!$B$21,B1527&lt;Eingaben!$B$22)),"GO",IF(AND(ISNUMBER(Eingaben!$B$23),ISNUMBER(Eingaben!$B$24),IF(Eingaben!$B$23&lt;Eingaben!$B$24,AND(B1527&gt;=Eingaben!$B$23,B1527&lt;Eingaben!$B$24),OR(B1527&gt;=Eingaben!$B$23,B1527&lt;Eingaben!$B$24))),"HEAT","STANDARD"))</f>
        <v>STANDARD</v>
      </c>
      <c r="E1527" s="9"/>
      <c r="F1527" t="str">
        <f>IF(E1527="",D1527,E1527)</f>
        <v>STANDARD</v>
      </c>
      <c r="G1527" t="str">
        <f>INDEX(Netzzeiten!$B$6:$B$29,HOUR(B1527)+1)</f>
        <v>HT</v>
      </c>
      <c r="H1527" s="6">
        <f>IF(F1527="GO",Eingaben!$B$11,IF(F1527="STANDARD",Eingaben!$B$12,IF(AND(F1527="HEAT",ISNUMBER(Eingaben!$B$13)),Eingaben!$B$13,"")))</f>
        <v>28.2744</v>
      </c>
      <c r="I1527" s="6">
        <f>INDEX(Netzzeiten!$C$6:$C$29,HOUR(B1527)+1)</f>
        <v>10.52</v>
      </c>
      <c r="J1527" t="str">
        <f>IF(C1527="","FEHLT",IF(NOT(ISNUMBER(C1527)),"MESSWERT UNGUELTIG",IF(C1527&lt;0,"MESSWERT UNGUELTIG",IF(H1527="","TARIFPREIS FEHLT","OK"))))</f>
        <v>FEHLT</v>
      </c>
      <c r="K1527" s="7">
        <f>IF(J1527&lt;&gt;"OK","",C1527*I1527/100)</f>
        <v/>
      </c>
    </row>
    <row r="1528" spans="1:11">
      <c r="A1528" s="14">
        <v>46158</v>
      </c>
      <c r="B1528" s="15">
        <v>0.8541666666666666</v>
      </c>
      <c r="C1528" s="5">
        <f>IF('96 Werte'!CF21="","",'96 Werte'!CF21)</f>
        <v/>
      </c>
      <c r="D1528" t="str">
        <f>IF(IF(Eingaben!$B$21&lt;Eingaben!$B$22,AND(B1528&gt;=Eingaben!$B$21,B1528&lt;Eingaben!$B$22),OR(B1528&gt;=Eingaben!$B$21,B1528&lt;Eingaben!$B$22)),"GO",IF(AND(ISNUMBER(Eingaben!$B$23),ISNUMBER(Eingaben!$B$24),IF(Eingaben!$B$23&lt;Eingaben!$B$24,AND(B1528&gt;=Eingaben!$B$23,B1528&lt;Eingaben!$B$24),OR(B1528&gt;=Eingaben!$B$23,B1528&lt;Eingaben!$B$24))),"HEAT","STANDARD"))</f>
        <v>STANDARD</v>
      </c>
      <c r="E1528" s="9"/>
      <c r="F1528" t="str">
        <f>IF(E1528="",D1528,E1528)</f>
        <v>STANDARD</v>
      </c>
      <c r="G1528" t="str">
        <f>INDEX(Netzzeiten!$B$6:$B$29,HOUR(B1528)+1)</f>
        <v>HT</v>
      </c>
      <c r="H1528" s="6">
        <f>IF(F1528="GO",Eingaben!$B$11,IF(F1528="STANDARD",Eingaben!$B$12,IF(AND(F1528="HEAT",ISNUMBER(Eingaben!$B$13)),Eingaben!$B$13,"")))</f>
        <v>28.2744</v>
      </c>
      <c r="I1528" s="6">
        <f>INDEX(Netzzeiten!$C$6:$C$29,HOUR(B1528)+1)</f>
        <v>10.52</v>
      </c>
      <c r="J1528" t="str">
        <f>IF(C1528="","FEHLT",IF(NOT(ISNUMBER(C1528)),"MESSWERT UNGUELTIG",IF(C1528&lt;0,"MESSWERT UNGUELTIG",IF(H1528="","TARIFPREIS FEHLT","OK"))))</f>
        <v>FEHLT</v>
      </c>
      <c r="K1528" s="7">
        <f>IF(J1528&lt;&gt;"OK","",C1528*I1528/100)</f>
        <v/>
      </c>
    </row>
    <row r="1529" spans="1:11">
      <c r="A1529" s="14">
        <v>46158</v>
      </c>
      <c r="B1529" s="15">
        <v>0.8645833333333334</v>
      </c>
      <c r="C1529" s="5">
        <f>IF('96 Werte'!CG21="","",'96 Werte'!CG21)</f>
        <v/>
      </c>
      <c r="D1529" t="str">
        <f>IF(IF(Eingaben!$B$21&lt;Eingaben!$B$22,AND(B1529&gt;=Eingaben!$B$21,B1529&lt;Eingaben!$B$22),OR(B1529&gt;=Eingaben!$B$21,B1529&lt;Eingaben!$B$22)),"GO",IF(AND(ISNUMBER(Eingaben!$B$23),ISNUMBER(Eingaben!$B$24),IF(Eingaben!$B$23&lt;Eingaben!$B$24,AND(B1529&gt;=Eingaben!$B$23,B1529&lt;Eingaben!$B$24),OR(B1529&gt;=Eingaben!$B$23,B1529&lt;Eingaben!$B$24))),"HEAT","STANDARD"))</f>
        <v>STANDARD</v>
      </c>
      <c r="E1529" s="9"/>
      <c r="F1529" t="str">
        <f>IF(E1529="",D1529,E1529)</f>
        <v>STANDARD</v>
      </c>
      <c r="G1529" t="str">
        <f>INDEX(Netzzeiten!$B$6:$B$29,HOUR(B1529)+1)</f>
        <v>HT</v>
      </c>
      <c r="H1529" s="6">
        <f>IF(F1529="GO",Eingaben!$B$11,IF(F1529="STANDARD",Eingaben!$B$12,IF(AND(F1529="HEAT",ISNUMBER(Eingaben!$B$13)),Eingaben!$B$13,"")))</f>
        <v>28.2744</v>
      </c>
      <c r="I1529" s="6">
        <f>INDEX(Netzzeiten!$C$6:$C$29,HOUR(B1529)+1)</f>
        <v>10.52</v>
      </c>
      <c r="J1529" t="str">
        <f>IF(C1529="","FEHLT",IF(NOT(ISNUMBER(C1529)),"MESSWERT UNGUELTIG",IF(C1529&lt;0,"MESSWERT UNGUELTIG",IF(H1529="","TARIFPREIS FEHLT","OK"))))</f>
        <v>FEHLT</v>
      </c>
      <c r="K1529" s="7">
        <f>IF(J1529&lt;&gt;"OK","",C1529*I1529/100)</f>
        <v/>
      </c>
    </row>
    <row r="1530" spans="1:11">
      <c r="A1530" s="14">
        <v>46158</v>
      </c>
      <c r="B1530" s="15">
        <v>0.875</v>
      </c>
      <c r="C1530" s="5">
        <f>IF('96 Werte'!CH21="","",'96 Werte'!CH21)</f>
        <v/>
      </c>
      <c r="D1530" t="str">
        <f>IF(IF(Eingaben!$B$21&lt;Eingaben!$B$22,AND(B1530&gt;=Eingaben!$B$21,B1530&lt;Eingaben!$B$22),OR(B1530&gt;=Eingaben!$B$21,B1530&lt;Eingaben!$B$22)),"GO",IF(AND(ISNUMBER(Eingaben!$B$23),ISNUMBER(Eingaben!$B$24),IF(Eingaben!$B$23&lt;Eingaben!$B$24,AND(B1530&gt;=Eingaben!$B$23,B1530&lt;Eingaben!$B$24),OR(B1530&gt;=Eingaben!$B$23,B1530&lt;Eingaben!$B$24))),"HEAT","STANDARD"))</f>
        <v>STANDARD</v>
      </c>
      <c r="E1530" s="9"/>
      <c r="F1530" t="str">
        <f>IF(E1530="",D1530,E1530)</f>
        <v>STANDARD</v>
      </c>
      <c r="G1530" t="str">
        <f>INDEX(Netzzeiten!$B$6:$B$29,HOUR(B1530)+1)</f>
        <v>HT</v>
      </c>
      <c r="H1530" s="6">
        <f>IF(F1530="GO",Eingaben!$B$11,IF(F1530="STANDARD",Eingaben!$B$12,IF(AND(F1530="HEAT",ISNUMBER(Eingaben!$B$13)),Eingaben!$B$13,"")))</f>
        <v>28.2744</v>
      </c>
      <c r="I1530" s="6">
        <f>INDEX(Netzzeiten!$C$6:$C$29,HOUR(B1530)+1)</f>
        <v>10.52</v>
      </c>
      <c r="J1530" t="str">
        <f>IF(C1530="","FEHLT",IF(NOT(ISNUMBER(C1530)),"MESSWERT UNGUELTIG",IF(C1530&lt;0,"MESSWERT UNGUELTIG",IF(H1530="","TARIFPREIS FEHLT","OK"))))</f>
        <v>FEHLT</v>
      </c>
      <c r="K1530" s="7">
        <f>IF(J1530&lt;&gt;"OK","",C1530*I1530/100)</f>
        <v/>
      </c>
    </row>
    <row r="1531" spans="1:11">
      <c r="A1531" s="14">
        <v>46158</v>
      </c>
      <c r="B1531" s="15">
        <v>0.8854166666666666</v>
      </c>
      <c r="C1531" s="5">
        <f>IF('96 Werte'!CI21="","",'96 Werte'!CI21)</f>
        <v/>
      </c>
      <c r="D1531" t="str">
        <f>IF(IF(Eingaben!$B$21&lt;Eingaben!$B$22,AND(B1531&gt;=Eingaben!$B$21,B1531&lt;Eingaben!$B$22),OR(B1531&gt;=Eingaben!$B$21,B1531&lt;Eingaben!$B$22)),"GO",IF(AND(ISNUMBER(Eingaben!$B$23),ISNUMBER(Eingaben!$B$24),IF(Eingaben!$B$23&lt;Eingaben!$B$24,AND(B1531&gt;=Eingaben!$B$23,B1531&lt;Eingaben!$B$24),OR(B1531&gt;=Eingaben!$B$23,B1531&lt;Eingaben!$B$24))),"HEAT","STANDARD"))</f>
        <v>STANDARD</v>
      </c>
      <c r="E1531" s="9"/>
      <c r="F1531" t="str">
        <f>IF(E1531="",D1531,E1531)</f>
        <v>STANDARD</v>
      </c>
      <c r="G1531" t="str">
        <f>INDEX(Netzzeiten!$B$6:$B$29,HOUR(B1531)+1)</f>
        <v>HT</v>
      </c>
      <c r="H1531" s="6">
        <f>IF(F1531="GO",Eingaben!$B$11,IF(F1531="STANDARD",Eingaben!$B$12,IF(AND(F1531="HEAT",ISNUMBER(Eingaben!$B$13)),Eingaben!$B$13,"")))</f>
        <v>28.2744</v>
      </c>
      <c r="I1531" s="6">
        <f>INDEX(Netzzeiten!$C$6:$C$29,HOUR(B1531)+1)</f>
        <v>10.52</v>
      </c>
      <c r="J1531" t="str">
        <f>IF(C1531="","FEHLT",IF(NOT(ISNUMBER(C1531)),"MESSWERT UNGUELTIG",IF(C1531&lt;0,"MESSWERT UNGUELTIG",IF(H1531="","TARIFPREIS FEHLT","OK"))))</f>
        <v>FEHLT</v>
      </c>
      <c r="K1531" s="7">
        <f>IF(J1531&lt;&gt;"OK","",C1531*I1531/100)</f>
        <v/>
      </c>
    </row>
    <row r="1532" spans="1:11">
      <c r="A1532" s="14">
        <v>46158</v>
      </c>
      <c r="B1532" s="15">
        <v>0.8958333333333334</v>
      </c>
      <c r="C1532" s="5">
        <f>IF('96 Werte'!CJ21="","",'96 Werte'!CJ21)</f>
        <v/>
      </c>
      <c r="D1532" t="str">
        <f>IF(IF(Eingaben!$B$21&lt;Eingaben!$B$22,AND(B1532&gt;=Eingaben!$B$21,B1532&lt;Eingaben!$B$22),OR(B1532&gt;=Eingaben!$B$21,B1532&lt;Eingaben!$B$22)),"GO",IF(AND(ISNUMBER(Eingaben!$B$23),ISNUMBER(Eingaben!$B$24),IF(Eingaben!$B$23&lt;Eingaben!$B$24,AND(B1532&gt;=Eingaben!$B$23,B1532&lt;Eingaben!$B$24),OR(B1532&gt;=Eingaben!$B$23,B1532&lt;Eingaben!$B$24))),"HEAT","STANDARD"))</f>
        <v>STANDARD</v>
      </c>
      <c r="E1532" s="9"/>
      <c r="F1532" t="str">
        <f>IF(E1532="",D1532,E1532)</f>
        <v>STANDARD</v>
      </c>
      <c r="G1532" t="str">
        <f>INDEX(Netzzeiten!$B$6:$B$29,HOUR(B1532)+1)</f>
        <v>HT</v>
      </c>
      <c r="H1532" s="6">
        <f>IF(F1532="GO",Eingaben!$B$11,IF(F1532="STANDARD",Eingaben!$B$12,IF(AND(F1532="HEAT",ISNUMBER(Eingaben!$B$13)),Eingaben!$B$13,"")))</f>
        <v>28.2744</v>
      </c>
      <c r="I1532" s="6">
        <f>INDEX(Netzzeiten!$C$6:$C$29,HOUR(B1532)+1)</f>
        <v>10.52</v>
      </c>
      <c r="J1532" t="str">
        <f>IF(C1532="","FEHLT",IF(NOT(ISNUMBER(C1532)),"MESSWERT UNGUELTIG",IF(C1532&lt;0,"MESSWERT UNGUELTIG",IF(H1532="","TARIFPREIS FEHLT","OK"))))</f>
        <v>FEHLT</v>
      </c>
      <c r="K1532" s="7">
        <f>IF(J1532&lt;&gt;"OK","",C1532*I1532/100)</f>
        <v/>
      </c>
    </row>
    <row r="1533" spans="1:11">
      <c r="A1533" s="14">
        <v>46158</v>
      </c>
      <c r="B1533" s="15">
        <v>0.90625</v>
      </c>
      <c r="C1533" s="5">
        <f>IF('96 Werte'!CK21="","",'96 Werte'!CK21)</f>
        <v/>
      </c>
      <c r="D1533" t="str">
        <f>IF(IF(Eingaben!$B$21&lt;Eingaben!$B$22,AND(B1533&gt;=Eingaben!$B$21,B1533&lt;Eingaben!$B$22),OR(B1533&gt;=Eingaben!$B$21,B1533&lt;Eingaben!$B$22)),"GO",IF(AND(ISNUMBER(Eingaben!$B$23),ISNUMBER(Eingaben!$B$24),IF(Eingaben!$B$23&lt;Eingaben!$B$24,AND(B1533&gt;=Eingaben!$B$23,B1533&lt;Eingaben!$B$24),OR(B1533&gt;=Eingaben!$B$23,B1533&lt;Eingaben!$B$24))),"HEAT","STANDARD"))</f>
        <v>STANDARD</v>
      </c>
      <c r="E1533" s="9"/>
      <c r="F1533" t="str">
        <f>IF(E1533="",D1533,E1533)</f>
        <v>STANDARD</v>
      </c>
      <c r="G1533" t="str">
        <f>INDEX(Netzzeiten!$B$6:$B$29,HOUR(B1533)+1)</f>
        <v>HT</v>
      </c>
      <c r="H1533" s="6">
        <f>IF(F1533="GO",Eingaben!$B$11,IF(F1533="STANDARD",Eingaben!$B$12,IF(AND(F1533="HEAT",ISNUMBER(Eingaben!$B$13)),Eingaben!$B$13,"")))</f>
        <v>28.2744</v>
      </c>
      <c r="I1533" s="6">
        <f>INDEX(Netzzeiten!$C$6:$C$29,HOUR(B1533)+1)</f>
        <v>10.52</v>
      </c>
      <c r="J1533" t="str">
        <f>IF(C1533="","FEHLT",IF(NOT(ISNUMBER(C1533)),"MESSWERT UNGUELTIG",IF(C1533&lt;0,"MESSWERT UNGUELTIG",IF(H1533="","TARIFPREIS FEHLT","OK"))))</f>
        <v>FEHLT</v>
      </c>
      <c r="K1533" s="7">
        <f>IF(J1533&lt;&gt;"OK","",C1533*I1533/100)</f>
        <v/>
      </c>
    </row>
    <row r="1534" spans="1:11">
      <c r="A1534" s="14">
        <v>46158</v>
      </c>
      <c r="B1534" s="15">
        <v>0.9166666666666666</v>
      </c>
      <c r="C1534" s="5">
        <f>IF('96 Werte'!CL21="","",'96 Werte'!CL21)</f>
        <v/>
      </c>
      <c r="D1534" t="str">
        <f>IF(IF(Eingaben!$B$21&lt;Eingaben!$B$22,AND(B1534&gt;=Eingaben!$B$21,B1534&lt;Eingaben!$B$22),OR(B1534&gt;=Eingaben!$B$21,B1534&lt;Eingaben!$B$22)),"GO",IF(AND(ISNUMBER(Eingaben!$B$23),ISNUMBER(Eingaben!$B$24),IF(Eingaben!$B$23&lt;Eingaben!$B$24,AND(B1534&gt;=Eingaben!$B$23,B1534&lt;Eingaben!$B$24),OR(B1534&gt;=Eingaben!$B$23,B1534&lt;Eingaben!$B$24))),"HEAT","STANDARD"))</f>
        <v>STANDARD</v>
      </c>
      <c r="E1534" s="9"/>
      <c r="F1534" t="str">
        <f>IF(E1534="",D1534,E1534)</f>
        <v>STANDARD</v>
      </c>
      <c r="G1534" t="str">
        <f>INDEX(Netzzeiten!$B$6:$B$29,HOUR(B1534)+1)</f>
        <v>ST</v>
      </c>
      <c r="H1534" s="6">
        <f>IF(F1534="GO",Eingaben!$B$11,IF(F1534="STANDARD",Eingaben!$B$12,IF(AND(F1534="HEAT",ISNUMBER(Eingaben!$B$13)),Eingaben!$B$13,"")))</f>
        <v>28.2744</v>
      </c>
      <c r="I1534" s="6">
        <f>INDEX(Netzzeiten!$C$6:$C$29,HOUR(B1534)+1)</f>
        <v>5.48</v>
      </c>
      <c r="J1534" t="str">
        <f>IF(C1534="","FEHLT",IF(NOT(ISNUMBER(C1534)),"MESSWERT UNGUELTIG",IF(C1534&lt;0,"MESSWERT UNGUELTIG",IF(H1534="","TARIFPREIS FEHLT","OK"))))</f>
        <v>FEHLT</v>
      </c>
      <c r="K1534" s="7">
        <f>IF(J1534&lt;&gt;"OK","",C1534*I1534/100)</f>
        <v/>
      </c>
    </row>
    <row r="1535" spans="1:11">
      <c r="A1535" s="14">
        <v>46158</v>
      </c>
      <c r="B1535" s="15">
        <v>0.9270833333333334</v>
      </c>
      <c r="C1535" s="5">
        <f>IF('96 Werte'!CM21="","",'96 Werte'!CM21)</f>
        <v/>
      </c>
      <c r="D1535" t="str">
        <f>IF(IF(Eingaben!$B$21&lt;Eingaben!$B$22,AND(B1535&gt;=Eingaben!$B$21,B1535&lt;Eingaben!$B$22),OR(B1535&gt;=Eingaben!$B$21,B1535&lt;Eingaben!$B$22)),"GO",IF(AND(ISNUMBER(Eingaben!$B$23),ISNUMBER(Eingaben!$B$24),IF(Eingaben!$B$23&lt;Eingaben!$B$24,AND(B1535&gt;=Eingaben!$B$23,B1535&lt;Eingaben!$B$24),OR(B1535&gt;=Eingaben!$B$23,B1535&lt;Eingaben!$B$24))),"HEAT","STANDARD"))</f>
        <v>STANDARD</v>
      </c>
      <c r="E1535" s="9"/>
      <c r="F1535" t="str">
        <f>IF(E1535="",D1535,E1535)</f>
        <v>STANDARD</v>
      </c>
      <c r="G1535" t="str">
        <f>INDEX(Netzzeiten!$B$6:$B$29,HOUR(B1535)+1)</f>
        <v>ST</v>
      </c>
      <c r="H1535" s="6">
        <f>IF(F1535="GO",Eingaben!$B$11,IF(F1535="STANDARD",Eingaben!$B$12,IF(AND(F1535="HEAT",ISNUMBER(Eingaben!$B$13)),Eingaben!$B$13,"")))</f>
        <v>28.2744</v>
      </c>
      <c r="I1535" s="6">
        <f>INDEX(Netzzeiten!$C$6:$C$29,HOUR(B1535)+1)</f>
        <v>5.48</v>
      </c>
      <c r="J1535" t="str">
        <f>IF(C1535="","FEHLT",IF(NOT(ISNUMBER(C1535)),"MESSWERT UNGUELTIG",IF(C1535&lt;0,"MESSWERT UNGUELTIG",IF(H1535="","TARIFPREIS FEHLT","OK"))))</f>
        <v>FEHLT</v>
      </c>
      <c r="K1535" s="7">
        <f>IF(J1535&lt;&gt;"OK","",C1535*I1535/100)</f>
        <v/>
      </c>
    </row>
    <row r="1536" spans="1:11">
      <c r="A1536" s="14">
        <v>46158</v>
      </c>
      <c r="B1536" s="15">
        <v>0.9375</v>
      </c>
      <c r="C1536" s="5">
        <f>IF('96 Werte'!CN21="","",'96 Werte'!CN21)</f>
        <v/>
      </c>
      <c r="D1536" t="str">
        <f>IF(IF(Eingaben!$B$21&lt;Eingaben!$B$22,AND(B1536&gt;=Eingaben!$B$21,B1536&lt;Eingaben!$B$22),OR(B1536&gt;=Eingaben!$B$21,B1536&lt;Eingaben!$B$22)),"GO",IF(AND(ISNUMBER(Eingaben!$B$23),ISNUMBER(Eingaben!$B$24),IF(Eingaben!$B$23&lt;Eingaben!$B$24,AND(B1536&gt;=Eingaben!$B$23,B1536&lt;Eingaben!$B$24),OR(B1536&gt;=Eingaben!$B$23,B1536&lt;Eingaben!$B$24))),"HEAT","STANDARD"))</f>
        <v>STANDARD</v>
      </c>
      <c r="E1536" s="9"/>
      <c r="F1536" t="str">
        <f>IF(E1536="",D1536,E1536)</f>
        <v>STANDARD</v>
      </c>
      <c r="G1536" t="str">
        <f>INDEX(Netzzeiten!$B$6:$B$29,HOUR(B1536)+1)</f>
        <v>ST</v>
      </c>
      <c r="H1536" s="6">
        <f>IF(F1536="GO",Eingaben!$B$11,IF(F1536="STANDARD",Eingaben!$B$12,IF(AND(F1536="HEAT",ISNUMBER(Eingaben!$B$13)),Eingaben!$B$13,"")))</f>
        <v>28.2744</v>
      </c>
      <c r="I1536" s="6">
        <f>INDEX(Netzzeiten!$C$6:$C$29,HOUR(B1536)+1)</f>
        <v>5.48</v>
      </c>
      <c r="J1536" t="str">
        <f>IF(C1536="","FEHLT",IF(NOT(ISNUMBER(C1536)),"MESSWERT UNGUELTIG",IF(C1536&lt;0,"MESSWERT UNGUELTIG",IF(H1536="","TARIFPREIS FEHLT","OK"))))</f>
        <v>FEHLT</v>
      </c>
      <c r="K1536" s="7">
        <f>IF(J1536&lt;&gt;"OK","",C1536*I1536/100)</f>
        <v/>
      </c>
    </row>
    <row r="1537" spans="1:11">
      <c r="A1537" s="14">
        <v>46158</v>
      </c>
      <c r="B1537" s="15">
        <v>0.9479166666666666</v>
      </c>
      <c r="C1537" s="5">
        <f>IF('96 Werte'!CO21="","",'96 Werte'!CO21)</f>
        <v/>
      </c>
      <c r="D1537" t="str">
        <f>IF(IF(Eingaben!$B$21&lt;Eingaben!$B$22,AND(B1537&gt;=Eingaben!$B$21,B1537&lt;Eingaben!$B$22),OR(B1537&gt;=Eingaben!$B$21,B1537&lt;Eingaben!$B$22)),"GO",IF(AND(ISNUMBER(Eingaben!$B$23),ISNUMBER(Eingaben!$B$24),IF(Eingaben!$B$23&lt;Eingaben!$B$24,AND(B1537&gt;=Eingaben!$B$23,B1537&lt;Eingaben!$B$24),OR(B1537&gt;=Eingaben!$B$23,B1537&lt;Eingaben!$B$24))),"HEAT","STANDARD"))</f>
        <v>STANDARD</v>
      </c>
      <c r="E1537" s="9"/>
      <c r="F1537" t="str">
        <f>IF(E1537="",D1537,E1537)</f>
        <v>STANDARD</v>
      </c>
      <c r="G1537" t="str">
        <f>INDEX(Netzzeiten!$B$6:$B$29,HOUR(B1537)+1)</f>
        <v>ST</v>
      </c>
      <c r="H1537" s="6">
        <f>IF(F1537="GO",Eingaben!$B$11,IF(F1537="STANDARD",Eingaben!$B$12,IF(AND(F1537="HEAT",ISNUMBER(Eingaben!$B$13)),Eingaben!$B$13,"")))</f>
        <v>28.2744</v>
      </c>
      <c r="I1537" s="6">
        <f>INDEX(Netzzeiten!$C$6:$C$29,HOUR(B1537)+1)</f>
        <v>5.48</v>
      </c>
      <c r="J1537" t="str">
        <f>IF(C1537="","FEHLT",IF(NOT(ISNUMBER(C1537)),"MESSWERT UNGUELTIG",IF(C1537&lt;0,"MESSWERT UNGUELTIG",IF(H1537="","TARIFPREIS FEHLT","OK"))))</f>
        <v>FEHLT</v>
      </c>
      <c r="K1537" s="7">
        <f>IF(J1537&lt;&gt;"OK","",C1537*I1537/100)</f>
        <v/>
      </c>
    </row>
    <row r="1538" spans="1:11">
      <c r="A1538" s="14">
        <v>46158</v>
      </c>
      <c r="B1538" s="15">
        <v>0.9583333333333334</v>
      </c>
      <c r="C1538" s="5">
        <f>IF('96 Werte'!CP21="","",'96 Werte'!CP21)</f>
        <v/>
      </c>
      <c r="D1538" t="str">
        <f>IF(IF(Eingaben!$B$21&lt;Eingaben!$B$22,AND(B1538&gt;=Eingaben!$B$21,B1538&lt;Eingaben!$B$22),OR(B1538&gt;=Eingaben!$B$21,B1538&lt;Eingaben!$B$22)),"GO",IF(AND(ISNUMBER(Eingaben!$B$23),ISNUMBER(Eingaben!$B$24),IF(Eingaben!$B$23&lt;Eingaben!$B$24,AND(B1538&gt;=Eingaben!$B$23,B1538&lt;Eingaben!$B$24),OR(B1538&gt;=Eingaben!$B$23,B1538&lt;Eingaben!$B$24))),"HEAT","STANDARD"))</f>
        <v>STANDARD</v>
      </c>
      <c r="E1538" s="9"/>
      <c r="F1538" t="str">
        <f>IF(E1538="",D1538,E1538)</f>
        <v>STANDARD</v>
      </c>
      <c r="G1538" t="str">
        <f>INDEX(Netzzeiten!$B$6:$B$29,HOUR(B1538)+1)</f>
        <v>NT</v>
      </c>
      <c r="H1538" s="6">
        <f>IF(F1538="GO",Eingaben!$B$11,IF(F1538="STANDARD",Eingaben!$B$12,IF(AND(F1538="HEAT",ISNUMBER(Eingaben!$B$13)),Eingaben!$B$13,"")))</f>
        <v>28.2744</v>
      </c>
      <c r="I1538" s="6">
        <f>INDEX(Netzzeiten!$C$6:$C$29,HOUR(B1538)+1)</f>
        <v>1.64</v>
      </c>
      <c r="J1538" t="str">
        <f>IF(C1538="","FEHLT",IF(NOT(ISNUMBER(C1538)),"MESSWERT UNGUELTIG",IF(C1538&lt;0,"MESSWERT UNGUELTIG",IF(H1538="","TARIFPREIS FEHLT","OK"))))</f>
        <v>FEHLT</v>
      </c>
      <c r="K1538" s="7">
        <f>IF(J1538&lt;&gt;"OK","",C1538*I1538/100)</f>
        <v/>
      </c>
    </row>
    <row r="1539" spans="1:11">
      <c r="A1539" s="14">
        <v>46158</v>
      </c>
      <c r="B1539" s="15">
        <v>0.96875</v>
      </c>
      <c r="C1539" s="5">
        <f>IF('96 Werte'!CQ21="","",'96 Werte'!CQ21)</f>
        <v/>
      </c>
      <c r="D1539" t="str">
        <f>IF(IF(Eingaben!$B$21&lt;Eingaben!$B$22,AND(B1539&gt;=Eingaben!$B$21,B1539&lt;Eingaben!$B$22),OR(B1539&gt;=Eingaben!$B$21,B1539&lt;Eingaben!$B$22)),"GO",IF(AND(ISNUMBER(Eingaben!$B$23),ISNUMBER(Eingaben!$B$24),IF(Eingaben!$B$23&lt;Eingaben!$B$24,AND(B1539&gt;=Eingaben!$B$23,B1539&lt;Eingaben!$B$24),OR(B1539&gt;=Eingaben!$B$23,B1539&lt;Eingaben!$B$24))),"HEAT","STANDARD"))</f>
        <v>STANDARD</v>
      </c>
      <c r="E1539" s="9"/>
      <c r="F1539" t="str">
        <f>IF(E1539="",D1539,E1539)</f>
        <v>STANDARD</v>
      </c>
      <c r="G1539" t="str">
        <f>INDEX(Netzzeiten!$B$6:$B$29,HOUR(B1539)+1)</f>
        <v>NT</v>
      </c>
      <c r="H1539" s="6">
        <f>IF(F1539="GO",Eingaben!$B$11,IF(F1539="STANDARD",Eingaben!$B$12,IF(AND(F1539="HEAT",ISNUMBER(Eingaben!$B$13)),Eingaben!$B$13,"")))</f>
        <v>28.2744</v>
      </c>
      <c r="I1539" s="6">
        <f>INDEX(Netzzeiten!$C$6:$C$29,HOUR(B1539)+1)</f>
        <v>1.64</v>
      </c>
      <c r="J1539" t="str">
        <f>IF(C1539="","FEHLT",IF(NOT(ISNUMBER(C1539)),"MESSWERT UNGUELTIG",IF(C1539&lt;0,"MESSWERT UNGUELTIG",IF(H1539="","TARIFPREIS FEHLT","OK"))))</f>
        <v>FEHLT</v>
      </c>
      <c r="K1539" s="7">
        <f>IF(J1539&lt;&gt;"OK","",C1539*I1539/100)</f>
        <v/>
      </c>
    </row>
    <row r="1540" spans="1:11">
      <c r="A1540" s="14">
        <v>46158</v>
      </c>
      <c r="B1540" s="15">
        <v>0.9791666666666666</v>
      </c>
      <c r="C1540" s="5">
        <f>IF('96 Werte'!CR21="","",'96 Werte'!CR21)</f>
        <v/>
      </c>
      <c r="D1540" t="str">
        <f>IF(IF(Eingaben!$B$21&lt;Eingaben!$B$22,AND(B1540&gt;=Eingaben!$B$21,B1540&lt;Eingaben!$B$22),OR(B1540&gt;=Eingaben!$B$21,B1540&lt;Eingaben!$B$22)),"GO",IF(AND(ISNUMBER(Eingaben!$B$23),ISNUMBER(Eingaben!$B$24),IF(Eingaben!$B$23&lt;Eingaben!$B$24,AND(B1540&gt;=Eingaben!$B$23,B1540&lt;Eingaben!$B$24),OR(B1540&gt;=Eingaben!$B$23,B1540&lt;Eingaben!$B$24))),"HEAT","STANDARD"))</f>
        <v>STANDARD</v>
      </c>
      <c r="E1540" s="9"/>
      <c r="F1540" t="str">
        <f>IF(E1540="",D1540,E1540)</f>
        <v>STANDARD</v>
      </c>
      <c r="G1540" t="str">
        <f>INDEX(Netzzeiten!$B$6:$B$29,HOUR(B1540)+1)</f>
        <v>NT</v>
      </c>
      <c r="H1540" s="6">
        <f>IF(F1540="GO",Eingaben!$B$11,IF(F1540="STANDARD",Eingaben!$B$12,IF(AND(F1540="HEAT",ISNUMBER(Eingaben!$B$13)),Eingaben!$B$13,"")))</f>
        <v>28.2744</v>
      </c>
      <c r="I1540" s="6">
        <f>INDEX(Netzzeiten!$C$6:$C$29,HOUR(B1540)+1)</f>
        <v>1.64</v>
      </c>
      <c r="J1540" t="str">
        <f>IF(C1540="","FEHLT",IF(NOT(ISNUMBER(C1540)),"MESSWERT UNGUELTIG",IF(C1540&lt;0,"MESSWERT UNGUELTIG",IF(H1540="","TARIFPREIS FEHLT","OK"))))</f>
        <v>FEHLT</v>
      </c>
      <c r="K1540" s="7">
        <f>IF(J1540&lt;&gt;"OK","",C1540*I1540/100)</f>
        <v/>
      </c>
    </row>
    <row r="1541" spans="1:11">
      <c r="A1541" s="14">
        <v>46158</v>
      </c>
      <c r="B1541" s="15">
        <v>0.9895833333333334</v>
      </c>
      <c r="C1541" s="5">
        <f>IF('96 Werte'!CS21="","",'96 Werte'!CS21)</f>
        <v/>
      </c>
      <c r="D1541" t="str">
        <f>IF(IF(Eingaben!$B$21&lt;Eingaben!$B$22,AND(B1541&gt;=Eingaben!$B$21,B1541&lt;Eingaben!$B$22),OR(B1541&gt;=Eingaben!$B$21,B1541&lt;Eingaben!$B$22)),"GO",IF(AND(ISNUMBER(Eingaben!$B$23),ISNUMBER(Eingaben!$B$24),IF(Eingaben!$B$23&lt;Eingaben!$B$24,AND(B1541&gt;=Eingaben!$B$23,B1541&lt;Eingaben!$B$24),OR(B1541&gt;=Eingaben!$B$23,B1541&lt;Eingaben!$B$24))),"HEAT","STANDARD"))</f>
        <v>STANDARD</v>
      </c>
      <c r="E1541" s="9"/>
      <c r="F1541" t="str">
        <f>IF(E1541="",D1541,E1541)</f>
        <v>STANDARD</v>
      </c>
      <c r="G1541" t="str">
        <f>INDEX(Netzzeiten!$B$6:$B$29,HOUR(B1541)+1)</f>
        <v>NT</v>
      </c>
      <c r="H1541" s="6">
        <f>IF(F1541="GO",Eingaben!$B$11,IF(F1541="STANDARD",Eingaben!$B$12,IF(AND(F1541="HEAT",ISNUMBER(Eingaben!$B$13)),Eingaben!$B$13,"")))</f>
        <v>28.2744</v>
      </c>
      <c r="I1541" s="6">
        <f>INDEX(Netzzeiten!$C$6:$C$29,HOUR(B1541)+1)</f>
        <v>1.64</v>
      </c>
      <c r="J1541" t="str">
        <f>IF(C1541="","FEHLT",IF(NOT(ISNUMBER(C1541)),"MESSWERT UNGUELTIG",IF(C1541&lt;0,"MESSWERT UNGUELTIG",IF(H1541="","TARIFPREIS FEHLT","OK"))))</f>
        <v>FEHLT</v>
      </c>
      <c r="K1541" s="7">
        <f>IF(J1541&lt;&gt;"OK","",C1541*I1541/100)</f>
        <v/>
      </c>
    </row>
    <row r="1542" spans="1:11">
      <c r="A1542" s="14">
        <v>46159</v>
      </c>
      <c r="B1542" s="15">
        <v>0</v>
      </c>
      <c r="C1542" s="5">
        <f>IF('96 Werte'!B22="","",'96 Werte'!B22)</f>
        <v/>
      </c>
      <c r="D1542" t="str">
        <f>IF(IF(Eingaben!$B$21&lt;Eingaben!$B$22,AND(B1542&gt;=Eingaben!$B$21,B1542&lt;Eingaben!$B$22),OR(B1542&gt;=Eingaben!$B$21,B1542&lt;Eingaben!$B$22)),"GO",IF(AND(ISNUMBER(Eingaben!$B$23),ISNUMBER(Eingaben!$B$24),IF(Eingaben!$B$23&lt;Eingaben!$B$24,AND(B1542&gt;=Eingaben!$B$23,B1542&lt;Eingaben!$B$24),OR(B1542&gt;=Eingaben!$B$23,B1542&lt;Eingaben!$B$24))),"HEAT","STANDARD"))</f>
        <v>GO</v>
      </c>
      <c r="E1542" s="9"/>
      <c r="F1542" t="str">
        <f>IF(E1542="",D1542,E1542)</f>
        <v>GO</v>
      </c>
      <c r="G1542" t="str">
        <f>INDEX(Netzzeiten!$B$6:$B$29,HOUR(B1542)+1)</f>
        <v>NT</v>
      </c>
      <c r="H1542" s="6">
        <f>IF(F1542="GO",Eingaben!$B$11,IF(F1542="STANDARD",Eingaben!$B$12,IF(AND(F1542="HEAT",ISNUMBER(Eingaben!$B$13)),Eingaben!$B$13,"")))</f>
        <v>15.0654</v>
      </c>
      <c r="I1542" s="6">
        <f>INDEX(Netzzeiten!$C$6:$C$29,HOUR(B1542)+1)</f>
        <v>1.64</v>
      </c>
      <c r="J1542" t="str">
        <f>IF(C1542="","FEHLT",IF(NOT(ISNUMBER(C1542)),"MESSWERT UNGUELTIG",IF(C1542&lt;0,"MESSWERT UNGUELTIG",IF(H1542="","TARIFPREIS FEHLT","OK"))))</f>
        <v>FEHLT</v>
      </c>
      <c r="K1542" s="7">
        <f>IF(J1542&lt;&gt;"OK","",C1542*I1542/100)</f>
        <v/>
      </c>
    </row>
    <row r="1543" spans="1:11">
      <c r="A1543" s="14">
        <v>46159</v>
      </c>
      <c r="B1543" s="15">
        <v>0.01041666666666667</v>
      </c>
      <c r="C1543" s="5">
        <f>IF('96 Werte'!C22="","",'96 Werte'!C22)</f>
        <v/>
      </c>
      <c r="D1543" t="str">
        <f>IF(IF(Eingaben!$B$21&lt;Eingaben!$B$22,AND(B1543&gt;=Eingaben!$B$21,B1543&lt;Eingaben!$B$22),OR(B1543&gt;=Eingaben!$B$21,B1543&lt;Eingaben!$B$22)),"GO",IF(AND(ISNUMBER(Eingaben!$B$23),ISNUMBER(Eingaben!$B$24),IF(Eingaben!$B$23&lt;Eingaben!$B$24,AND(B1543&gt;=Eingaben!$B$23,B1543&lt;Eingaben!$B$24),OR(B1543&gt;=Eingaben!$B$23,B1543&lt;Eingaben!$B$24))),"HEAT","STANDARD"))</f>
        <v>GO</v>
      </c>
      <c r="E1543" s="9"/>
      <c r="F1543" t="str">
        <f>IF(E1543="",D1543,E1543)</f>
        <v>GO</v>
      </c>
      <c r="G1543" t="str">
        <f>INDEX(Netzzeiten!$B$6:$B$29,HOUR(B1543)+1)</f>
        <v>NT</v>
      </c>
      <c r="H1543" s="6">
        <f>IF(F1543="GO",Eingaben!$B$11,IF(F1543="STANDARD",Eingaben!$B$12,IF(AND(F1543="HEAT",ISNUMBER(Eingaben!$B$13)),Eingaben!$B$13,"")))</f>
        <v>15.0654</v>
      </c>
      <c r="I1543" s="6">
        <f>INDEX(Netzzeiten!$C$6:$C$29,HOUR(B1543)+1)</f>
        <v>1.64</v>
      </c>
      <c r="J1543" t="str">
        <f>IF(C1543="","FEHLT",IF(NOT(ISNUMBER(C1543)),"MESSWERT UNGUELTIG",IF(C1543&lt;0,"MESSWERT UNGUELTIG",IF(H1543="","TARIFPREIS FEHLT","OK"))))</f>
        <v>FEHLT</v>
      </c>
      <c r="K1543" s="7">
        <f>IF(J1543&lt;&gt;"OK","",C1543*I1543/100)</f>
        <v/>
      </c>
    </row>
    <row r="1544" spans="1:11">
      <c r="A1544" s="14">
        <v>46159</v>
      </c>
      <c r="B1544" s="15">
        <v>0.02083333333333333</v>
      </c>
      <c r="C1544" s="5">
        <f>IF('96 Werte'!D22="","",'96 Werte'!D22)</f>
        <v/>
      </c>
      <c r="D1544" t="str">
        <f>IF(IF(Eingaben!$B$21&lt;Eingaben!$B$22,AND(B1544&gt;=Eingaben!$B$21,B1544&lt;Eingaben!$B$22),OR(B1544&gt;=Eingaben!$B$21,B1544&lt;Eingaben!$B$22)),"GO",IF(AND(ISNUMBER(Eingaben!$B$23),ISNUMBER(Eingaben!$B$24),IF(Eingaben!$B$23&lt;Eingaben!$B$24,AND(B1544&gt;=Eingaben!$B$23,B1544&lt;Eingaben!$B$24),OR(B1544&gt;=Eingaben!$B$23,B1544&lt;Eingaben!$B$24))),"HEAT","STANDARD"))</f>
        <v>GO</v>
      </c>
      <c r="E1544" s="9"/>
      <c r="F1544" t="str">
        <f>IF(E1544="",D1544,E1544)</f>
        <v>GO</v>
      </c>
      <c r="G1544" t="str">
        <f>INDEX(Netzzeiten!$B$6:$B$29,HOUR(B1544)+1)</f>
        <v>NT</v>
      </c>
      <c r="H1544" s="6">
        <f>IF(F1544="GO",Eingaben!$B$11,IF(F1544="STANDARD",Eingaben!$B$12,IF(AND(F1544="HEAT",ISNUMBER(Eingaben!$B$13)),Eingaben!$B$13,"")))</f>
        <v>15.0654</v>
      </c>
      <c r="I1544" s="6">
        <f>INDEX(Netzzeiten!$C$6:$C$29,HOUR(B1544)+1)</f>
        <v>1.64</v>
      </c>
      <c r="J1544" t="str">
        <f>IF(C1544="","FEHLT",IF(NOT(ISNUMBER(C1544)),"MESSWERT UNGUELTIG",IF(C1544&lt;0,"MESSWERT UNGUELTIG",IF(H1544="","TARIFPREIS FEHLT","OK"))))</f>
        <v>FEHLT</v>
      </c>
      <c r="K1544" s="7">
        <f>IF(J1544&lt;&gt;"OK","",C1544*I1544/100)</f>
        <v/>
      </c>
    </row>
    <row r="1545" spans="1:11">
      <c r="A1545" s="14">
        <v>46159</v>
      </c>
      <c r="B1545" s="15">
        <v>0.03125</v>
      </c>
      <c r="C1545" s="5">
        <f>IF('96 Werte'!E22="","",'96 Werte'!E22)</f>
        <v/>
      </c>
      <c r="D1545" t="str">
        <f>IF(IF(Eingaben!$B$21&lt;Eingaben!$B$22,AND(B1545&gt;=Eingaben!$B$21,B1545&lt;Eingaben!$B$22),OR(B1545&gt;=Eingaben!$B$21,B1545&lt;Eingaben!$B$22)),"GO",IF(AND(ISNUMBER(Eingaben!$B$23),ISNUMBER(Eingaben!$B$24),IF(Eingaben!$B$23&lt;Eingaben!$B$24,AND(B1545&gt;=Eingaben!$B$23,B1545&lt;Eingaben!$B$24),OR(B1545&gt;=Eingaben!$B$23,B1545&lt;Eingaben!$B$24))),"HEAT","STANDARD"))</f>
        <v>GO</v>
      </c>
      <c r="E1545" s="9"/>
      <c r="F1545" t="str">
        <f>IF(E1545="",D1545,E1545)</f>
        <v>GO</v>
      </c>
      <c r="G1545" t="str">
        <f>INDEX(Netzzeiten!$B$6:$B$29,HOUR(B1545)+1)</f>
        <v>NT</v>
      </c>
      <c r="H1545" s="6">
        <f>IF(F1545="GO",Eingaben!$B$11,IF(F1545="STANDARD",Eingaben!$B$12,IF(AND(F1545="HEAT",ISNUMBER(Eingaben!$B$13)),Eingaben!$B$13,"")))</f>
        <v>15.0654</v>
      </c>
      <c r="I1545" s="6">
        <f>INDEX(Netzzeiten!$C$6:$C$29,HOUR(B1545)+1)</f>
        <v>1.64</v>
      </c>
      <c r="J1545" t="str">
        <f>IF(C1545="","FEHLT",IF(NOT(ISNUMBER(C1545)),"MESSWERT UNGUELTIG",IF(C1545&lt;0,"MESSWERT UNGUELTIG",IF(H1545="","TARIFPREIS FEHLT","OK"))))</f>
        <v>FEHLT</v>
      </c>
      <c r="K1545" s="7">
        <f>IF(J1545&lt;&gt;"OK","",C1545*I1545/100)</f>
        <v/>
      </c>
    </row>
    <row r="1546" spans="1:11">
      <c r="A1546" s="14">
        <v>46159</v>
      </c>
      <c r="B1546" s="15">
        <v>0.04166666666666666</v>
      </c>
      <c r="C1546" s="5">
        <f>IF('96 Werte'!F22="","",'96 Werte'!F22)</f>
        <v/>
      </c>
      <c r="D1546" t="str">
        <f>IF(IF(Eingaben!$B$21&lt;Eingaben!$B$22,AND(B1546&gt;=Eingaben!$B$21,B1546&lt;Eingaben!$B$22),OR(B1546&gt;=Eingaben!$B$21,B1546&lt;Eingaben!$B$22)),"GO",IF(AND(ISNUMBER(Eingaben!$B$23),ISNUMBER(Eingaben!$B$24),IF(Eingaben!$B$23&lt;Eingaben!$B$24,AND(B1546&gt;=Eingaben!$B$23,B1546&lt;Eingaben!$B$24),OR(B1546&gt;=Eingaben!$B$23,B1546&lt;Eingaben!$B$24))),"HEAT","STANDARD"))</f>
        <v>GO</v>
      </c>
      <c r="E1546" s="9"/>
      <c r="F1546" t="str">
        <f>IF(E1546="",D1546,E1546)</f>
        <v>GO</v>
      </c>
      <c r="G1546" t="str">
        <f>INDEX(Netzzeiten!$B$6:$B$29,HOUR(B1546)+1)</f>
        <v>NT</v>
      </c>
      <c r="H1546" s="6">
        <f>IF(F1546="GO",Eingaben!$B$11,IF(F1546="STANDARD",Eingaben!$B$12,IF(AND(F1546="HEAT",ISNUMBER(Eingaben!$B$13)),Eingaben!$B$13,"")))</f>
        <v>15.0654</v>
      </c>
      <c r="I1546" s="6">
        <f>INDEX(Netzzeiten!$C$6:$C$29,HOUR(B1546)+1)</f>
        <v>1.64</v>
      </c>
      <c r="J1546" t="str">
        <f>IF(C1546="","FEHLT",IF(NOT(ISNUMBER(C1546)),"MESSWERT UNGUELTIG",IF(C1546&lt;0,"MESSWERT UNGUELTIG",IF(H1546="","TARIFPREIS FEHLT","OK"))))</f>
        <v>FEHLT</v>
      </c>
      <c r="K1546" s="7">
        <f>IF(J1546&lt;&gt;"OK","",C1546*I1546/100)</f>
        <v/>
      </c>
    </row>
    <row r="1547" spans="1:11">
      <c r="A1547" s="14">
        <v>46159</v>
      </c>
      <c r="B1547" s="15">
        <v>0.05208333333333334</v>
      </c>
      <c r="C1547" s="5">
        <f>IF('96 Werte'!G22="","",'96 Werte'!G22)</f>
        <v/>
      </c>
      <c r="D1547" t="str">
        <f>IF(IF(Eingaben!$B$21&lt;Eingaben!$B$22,AND(B1547&gt;=Eingaben!$B$21,B1547&lt;Eingaben!$B$22),OR(B1547&gt;=Eingaben!$B$21,B1547&lt;Eingaben!$B$22)),"GO",IF(AND(ISNUMBER(Eingaben!$B$23),ISNUMBER(Eingaben!$B$24),IF(Eingaben!$B$23&lt;Eingaben!$B$24,AND(B1547&gt;=Eingaben!$B$23,B1547&lt;Eingaben!$B$24),OR(B1547&gt;=Eingaben!$B$23,B1547&lt;Eingaben!$B$24))),"HEAT","STANDARD"))</f>
        <v>GO</v>
      </c>
      <c r="E1547" s="9"/>
      <c r="F1547" t="str">
        <f>IF(E1547="",D1547,E1547)</f>
        <v>GO</v>
      </c>
      <c r="G1547" t="str">
        <f>INDEX(Netzzeiten!$B$6:$B$29,HOUR(B1547)+1)</f>
        <v>NT</v>
      </c>
      <c r="H1547" s="6">
        <f>IF(F1547="GO",Eingaben!$B$11,IF(F1547="STANDARD",Eingaben!$B$12,IF(AND(F1547="HEAT",ISNUMBER(Eingaben!$B$13)),Eingaben!$B$13,"")))</f>
        <v>15.0654</v>
      </c>
      <c r="I1547" s="6">
        <f>INDEX(Netzzeiten!$C$6:$C$29,HOUR(B1547)+1)</f>
        <v>1.64</v>
      </c>
      <c r="J1547" t="str">
        <f>IF(C1547="","FEHLT",IF(NOT(ISNUMBER(C1547)),"MESSWERT UNGUELTIG",IF(C1547&lt;0,"MESSWERT UNGUELTIG",IF(H1547="","TARIFPREIS FEHLT","OK"))))</f>
        <v>FEHLT</v>
      </c>
      <c r="K1547" s="7">
        <f>IF(J1547&lt;&gt;"OK","",C1547*I1547/100)</f>
        <v/>
      </c>
    </row>
    <row r="1548" spans="1:11">
      <c r="A1548" s="14">
        <v>46159</v>
      </c>
      <c r="B1548" s="15">
        <v>0.0625</v>
      </c>
      <c r="C1548" s="5">
        <f>IF('96 Werte'!H22="","",'96 Werte'!H22)</f>
        <v/>
      </c>
      <c r="D1548" t="str">
        <f>IF(IF(Eingaben!$B$21&lt;Eingaben!$B$22,AND(B1548&gt;=Eingaben!$B$21,B1548&lt;Eingaben!$B$22),OR(B1548&gt;=Eingaben!$B$21,B1548&lt;Eingaben!$B$22)),"GO",IF(AND(ISNUMBER(Eingaben!$B$23),ISNUMBER(Eingaben!$B$24),IF(Eingaben!$B$23&lt;Eingaben!$B$24,AND(B1548&gt;=Eingaben!$B$23,B1548&lt;Eingaben!$B$24),OR(B1548&gt;=Eingaben!$B$23,B1548&lt;Eingaben!$B$24))),"HEAT","STANDARD"))</f>
        <v>GO</v>
      </c>
      <c r="E1548" s="9"/>
      <c r="F1548" t="str">
        <f>IF(E1548="",D1548,E1548)</f>
        <v>GO</v>
      </c>
      <c r="G1548" t="str">
        <f>INDEX(Netzzeiten!$B$6:$B$29,HOUR(B1548)+1)</f>
        <v>NT</v>
      </c>
      <c r="H1548" s="6">
        <f>IF(F1548="GO",Eingaben!$B$11,IF(F1548="STANDARD",Eingaben!$B$12,IF(AND(F1548="HEAT",ISNUMBER(Eingaben!$B$13)),Eingaben!$B$13,"")))</f>
        <v>15.0654</v>
      </c>
      <c r="I1548" s="6">
        <f>INDEX(Netzzeiten!$C$6:$C$29,HOUR(B1548)+1)</f>
        <v>1.64</v>
      </c>
      <c r="J1548" t="str">
        <f>IF(C1548="","FEHLT",IF(NOT(ISNUMBER(C1548)),"MESSWERT UNGUELTIG",IF(C1548&lt;0,"MESSWERT UNGUELTIG",IF(H1548="","TARIFPREIS FEHLT","OK"))))</f>
        <v>FEHLT</v>
      </c>
      <c r="K1548" s="7">
        <f>IF(J1548&lt;&gt;"OK","",C1548*I1548/100)</f>
        <v/>
      </c>
    </row>
    <row r="1549" spans="1:11">
      <c r="A1549" s="14">
        <v>46159</v>
      </c>
      <c r="B1549" s="15">
        <v>0.07291666666666667</v>
      </c>
      <c r="C1549" s="5">
        <f>IF('96 Werte'!I22="","",'96 Werte'!I22)</f>
        <v/>
      </c>
      <c r="D1549" t="str">
        <f>IF(IF(Eingaben!$B$21&lt;Eingaben!$B$22,AND(B1549&gt;=Eingaben!$B$21,B1549&lt;Eingaben!$B$22),OR(B1549&gt;=Eingaben!$B$21,B1549&lt;Eingaben!$B$22)),"GO",IF(AND(ISNUMBER(Eingaben!$B$23),ISNUMBER(Eingaben!$B$24),IF(Eingaben!$B$23&lt;Eingaben!$B$24,AND(B1549&gt;=Eingaben!$B$23,B1549&lt;Eingaben!$B$24),OR(B1549&gt;=Eingaben!$B$23,B1549&lt;Eingaben!$B$24))),"HEAT","STANDARD"))</f>
        <v>GO</v>
      </c>
      <c r="E1549" s="9"/>
      <c r="F1549" t="str">
        <f>IF(E1549="",D1549,E1549)</f>
        <v>GO</v>
      </c>
      <c r="G1549" t="str">
        <f>INDEX(Netzzeiten!$B$6:$B$29,HOUR(B1549)+1)</f>
        <v>NT</v>
      </c>
      <c r="H1549" s="6">
        <f>IF(F1549="GO",Eingaben!$B$11,IF(F1549="STANDARD",Eingaben!$B$12,IF(AND(F1549="HEAT",ISNUMBER(Eingaben!$B$13)),Eingaben!$B$13,"")))</f>
        <v>15.0654</v>
      </c>
      <c r="I1549" s="6">
        <f>INDEX(Netzzeiten!$C$6:$C$29,HOUR(B1549)+1)</f>
        <v>1.64</v>
      </c>
      <c r="J1549" t="str">
        <f>IF(C1549="","FEHLT",IF(NOT(ISNUMBER(C1549)),"MESSWERT UNGUELTIG",IF(C1549&lt;0,"MESSWERT UNGUELTIG",IF(H1549="","TARIFPREIS FEHLT","OK"))))</f>
        <v>FEHLT</v>
      </c>
      <c r="K1549" s="7">
        <f>IF(J1549&lt;&gt;"OK","",C1549*I1549/100)</f>
        <v/>
      </c>
    </row>
    <row r="1550" spans="1:11">
      <c r="A1550" s="14">
        <v>46159</v>
      </c>
      <c r="B1550" s="15">
        <v>0.08333333333333333</v>
      </c>
      <c r="C1550" s="5">
        <f>IF('96 Werte'!J22="","",'96 Werte'!J22)</f>
        <v/>
      </c>
      <c r="D1550" t="str">
        <f>IF(IF(Eingaben!$B$21&lt;Eingaben!$B$22,AND(B1550&gt;=Eingaben!$B$21,B1550&lt;Eingaben!$B$22),OR(B1550&gt;=Eingaben!$B$21,B1550&lt;Eingaben!$B$22)),"GO",IF(AND(ISNUMBER(Eingaben!$B$23),ISNUMBER(Eingaben!$B$24),IF(Eingaben!$B$23&lt;Eingaben!$B$24,AND(B1550&gt;=Eingaben!$B$23,B1550&lt;Eingaben!$B$24),OR(B1550&gt;=Eingaben!$B$23,B1550&lt;Eingaben!$B$24))),"HEAT","STANDARD"))</f>
        <v>GO</v>
      </c>
      <c r="E1550" s="9"/>
      <c r="F1550" t="str">
        <f>IF(E1550="",D1550,E1550)</f>
        <v>GO</v>
      </c>
      <c r="G1550" t="str">
        <f>INDEX(Netzzeiten!$B$6:$B$29,HOUR(B1550)+1)</f>
        <v>NT</v>
      </c>
      <c r="H1550" s="6">
        <f>IF(F1550="GO",Eingaben!$B$11,IF(F1550="STANDARD",Eingaben!$B$12,IF(AND(F1550="HEAT",ISNUMBER(Eingaben!$B$13)),Eingaben!$B$13,"")))</f>
        <v>15.0654</v>
      </c>
      <c r="I1550" s="6">
        <f>INDEX(Netzzeiten!$C$6:$C$29,HOUR(B1550)+1)</f>
        <v>1.64</v>
      </c>
      <c r="J1550" t="str">
        <f>IF(C1550="","FEHLT",IF(NOT(ISNUMBER(C1550)),"MESSWERT UNGUELTIG",IF(C1550&lt;0,"MESSWERT UNGUELTIG",IF(H1550="","TARIFPREIS FEHLT","OK"))))</f>
        <v>FEHLT</v>
      </c>
      <c r="K1550" s="7">
        <f>IF(J1550&lt;&gt;"OK","",C1550*I1550/100)</f>
        <v/>
      </c>
    </row>
    <row r="1551" spans="1:11">
      <c r="A1551" s="14">
        <v>46159</v>
      </c>
      <c r="B1551" s="15">
        <v>0.09375</v>
      </c>
      <c r="C1551" s="5">
        <f>IF('96 Werte'!K22="","",'96 Werte'!K22)</f>
        <v/>
      </c>
      <c r="D1551" t="str">
        <f>IF(IF(Eingaben!$B$21&lt;Eingaben!$B$22,AND(B1551&gt;=Eingaben!$B$21,B1551&lt;Eingaben!$B$22),OR(B1551&gt;=Eingaben!$B$21,B1551&lt;Eingaben!$B$22)),"GO",IF(AND(ISNUMBER(Eingaben!$B$23),ISNUMBER(Eingaben!$B$24),IF(Eingaben!$B$23&lt;Eingaben!$B$24,AND(B1551&gt;=Eingaben!$B$23,B1551&lt;Eingaben!$B$24),OR(B1551&gt;=Eingaben!$B$23,B1551&lt;Eingaben!$B$24))),"HEAT","STANDARD"))</f>
        <v>GO</v>
      </c>
      <c r="E1551" s="9"/>
      <c r="F1551" t="str">
        <f>IF(E1551="",D1551,E1551)</f>
        <v>GO</v>
      </c>
      <c r="G1551" t="str">
        <f>INDEX(Netzzeiten!$B$6:$B$29,HOUR(B1551)+1)</f>
        <v>NT</v>
      </c>
      <c r="H1551" s="6">
        <f>IF(F1551="GO",Eingaben!$B$11,IF(F1551="STANDARD",Eingaben!$B$12,IF(AND(F1551="HEAT",ISNUMBER(Eingaben!$B$13)),Eingaben!$B$13,"")))</f>
        <v>15.0654</v>
      </c>
      <c r="I1551" s="6">
        <f>INDEX(Netzzeiten!$C$6:$C$29,HOUR(B1551)+1)</f>
        <v>1.64</v>
      </c>
      <c r="J1551" t="str">
        <f>IF(C1551="","FEHLT",IF(NOT(ISNUMBER(C1551)),"MESSWERT UNGUELTIG",IF(C1551&lt;0,"MESSWERT UNGUELTIG",IF(H1551="","TARIFPREIS FEHLT","OK"))))</f>
        <v>FEHLT</v>
      </c>
      <c r="K1551" s="7">
        <f>IF(J1551&lt;&gt;"OK","",C1551*I1551/100)</f>
        <v/>
      </c>
    </row>
    <row r="1552" spans="1:11">
      <c r="A1552" s="14">
        <v>46159</v>
      </c>
      <c r="B1552" s="15">
        <v>0.1041666666666667</v>
      </c>
      <c r="C1552" s="5">
        <f>IF('96 Werte'!L22="","",'96 Werte'!L22)</f>
        <v/>
      </c>
      <c r="D1552" t="str">
        <f>IF(IF(Eingaben!$B$21&lt;Eingaben!$B$22,AND(B1552&gt;=Eingaben!$B$21,B1552&lt;Eingaben!$B$22),OR(B1552&gt;=Eingaben!$B$21,B1552&lt;Eingaben!$B$22)),"GO",IF(AND(ISNUMBER(Eingaben!$B$23),ISNUMBER(Eingaben!$B$24),IF(Eingaben!$B$23&lt;Eingaben!$B$24,AND(B1552&gt;=Eingaben!$B$23,B1552&lt;Eingaben!$B$24),OR(B1552&gt;=Eingaben!$B$23,B1552&lt;Eingaben!$B$24))),"HEAT","STANDARD"))</f>
        <v>GO</v>
      </c>
      <c r="E1552" s="9"/>
      <c r="F1552" t="str">
        <f>IF(E1552="",D1552,E1552)</f>
        <v>GO</v>
      </c>
      <c r="G1552" t="str">
        <f>INDEX(Netzzeiten!$B$6:$B$29,HOUR(B1552)+1)</f>
        <v>NT</v>
      </c>
      <c r="H1552" s="6">
        <f>IF(F1552="GO",Eingaben!$B$11,IF(F1552="STANDARD",Eingaben!$B$12,IF(AND(F1552="HEAT",ISNUMBER(Eingaben!$B$13)),Eingaben!$B$13,"")))</f>
        <v>15.0654</v>
      </c>
      <c r="I1552" s="6">
        <f>INDEX(Netzzeiten!$C$6:$C$29,HOUR(B1552)+1)</f>
        <v>1.64</v>
      </c>
      <c r="J1552" t="str">
        <f>IF(C1552="","FEHLT",IF(NOT(ISNUMBER(C1552)),"MESSWERT UNGUELTIG",IF(C1552&lt;0,"MESSWERT UNGUELTIG",IF(H1552="","TARIFPREIS FEHLT","OK"))))</f>
        <v>FEHLT</v>
      </c>
      <c r="K1552" s="7">
        <f>IF(J1552&lt;&gt;"OK","",C1552*I1552/100)</f>
        <v/>
      </c>
    </row>
    <row r="1553" spans="1:11">
      <c r="A1553" s="14">
        <v>46159</v>
      </c>
      <c r="B1553" s="15">
        <v>0.1145833333333333</v>
      </c>
      <c r="C1553" s="5">
        <f>IF('96 Werte'!M22="","",'96 Werte'!M22)</f>
        <v/>
      </c>
      <c r="D1553" t="str">
        <f>IF(IF(Eingaben!$B$21&lt;Eingaben!$B$22,AND(B1553&gt;=Eingaben!$B$21,B1553&lt;Eingaben!$B$22),OR(B1553&gt;=Eingaben!$B$21,B1553&lt;Eingaben!$B$22)),"GO",IF(AND(ISNUMBER(Eingaben!$B$23),ISNUMBER(Eingaben!$B$24),IF(Eingaben!$B$23&lt;Eingaben!$B$24,AND(B1553&gt;=Eingaben!$B$23,B1553&lt;Eingaben!$B$24),OR(B1553&gt;=Eingaben!$B$23,B1553&lt;Eingaben!$B$24))),"HEAT","STANDARD"))</f>
        <v>GO</v>
      </c>
      <c r="E1553" s="9"/>
      <c r="F1553" t="str">
        <f>IF(E1553="",D1553,E1553)</f>
        <v>GO</v>
      </c>
      <c r="G1553" t="str">
        <f>INDEX(Netzzeiten!$B$6:$B$29,HOUR(B1553)+1)</f>
        <v>NT</v>
      </c>
      <c r="H1553" s="6">
        <f>IF(F1553="GO",Eingaben!$B$11,IF(F1553="STANDARD",Eingaben!$B$12,IF(AND(F1553="HEAT",ISNUMBER(Eingaben!$B$13)),Eingaben!$B$13,"")))</f>
        <v>15.0654</v>
      </c>
      <c r="I1553" s="6">
        <f>INDEX(Netzzeiten!$C$6:$C$29,HOUR(B1553)+1)</f>
        <v>1.64</v>
      </c>
      <c r="J1553" t="str">
        <f>IF(C1553="","FEHLT",IF(NOT(ISNUMBER(C1553)),"MESSWERT UNGUELTIG",IF(C1553&lt;0,"MESSWERT UNGUELTIG",IF(H1553="","TARIFPREIS FEHLT","OK"))))</f>
        <v>FEHLT</v>
      </c>
      <c r="K1553" s="7">
        <f>IF(J1553&lt;&gt;"OK","",C1553*I1553/100)</f>
        <v/>
      </c>
    </row>
    <row r="1554" spans="1:11">
      <c r="A1554" s="14">
        <v>46159</v>
      </c>
      <c r="B1554" s="15">
        <v>0.125</v>
      </c>
      <c r="C1554" s="5">
        <f>IF('96 Werte'!N22="","",'96 Werte'!N22)</f>
        <v/>
      </c>
      <c r="D1554" t="str">
        <f>IF(IF(Eingaben!$B$21&lt;Eingaben!$B$22,AND(B1554&gt;=Eingaben!$B$21,B1554&lt;Eingaben!$B$22),OR(B1554&gt;=Eingaben!$B$21,B1554&lt;Eingaben!$B$22)),"GO",IF(AND(ISNUMBER(Eingaben!$B$23),ISNUMBER(Eingaben!$B$24),IF(Eingaben!$B$23&lt;Eingaben!$B$24,AND(B1554&gt;=Eingaben!$B$23,B1554&lt;Eingaben!$B$24),OR(B1554&gt;=Eingaben!$B$23,B1554&lt;Eingaben!$B$24))),"HEAT","STANDARD"))</f>
        <v>GO</v>
      </c>
      <c r="E1554" s="9"/>
      <c r="F1554" t="str">
        <f>IF(E1554="",D1554,E1554)</f>
        <v>GO</v>
      </c>
      <c r="G1554" t="str">
        <f>INDEX(Netzzeiten!$B$6:$B$29,HOUR(B1554)+1)</f>
        <v>NT</v>
      </c>
      <c r="H1554" s="6">
        <f>IF(F1554="GO",Eingaben!$B$11,IF(F1554="STANDARD",Eingaben!$B$12,IF(AND(F1554="HEAT",ISNUMBER(Eingaben!$B$13)),Eingaben!$B$13,"")))</f>
        <v>15.0654</v>
      </c>
      <c r="I1554" s="6">
        <f>INDEX(Netzzeiten!$C$6:$C$29,HOUR(B1554)+1)</f>
        <v>1.64</v>
      </c>
      <c r="J1554" t="str">
        <f>IF(C1554="","FEHLT",IF(NOT(ISNUMBER(C1554)),"MESSWERT UNGUELTIG",IF(C1554&lt;0,"MESSWERT UNGUELTIG",IF(H1554="","TARIFPREIS FEHLT","OK"))))</f>
        <v>FEHLT</v>
      </c>
      <c r="K1554" s="7">
        <f>IF(J1554&lt;&gt;"OK","",C1554*I1554/100)</f>
        <v/>
      </c>
    </row>
    <row r="1555" spans="1:11">
      <c r="A1555" s="14">
        <v>46159</v>
      </c>
      <c r="B1555" s="15">
        <v>0.1354166666666667</v>
      </c>
      <c r="C1555" s="5">
        <f>IF('96 Werte'!O22="","",'96 Werte'!O22)</f>
        <v/>
      </c>
      <c r="D1555" t="str">
        <f>IF(IF(Eingaben!$B$21&lt;Eingaben!$B$22,AND(B1555&gt;=Eingaben!$B$21,B1555&lt;Eingaben!$B$22),OR(B1555&gt;=Eingaben!$B$21,B1555&lt;Eingaben!$B$22)),"GO",IF(AND(ISNUMBER(Eingaben!$B$23),ISNUMBER(Eingaben!$B$24),IF(Eingaben!$B$23&lt;Eingaben!$B$24,AND(B1555&gt;=Eingaben!$B$23,B1555&lt;Eingaben!$B$24),OR(B1555&gt;=Eingaben!$B$23,B1555&lt;Eingaben!$B$24))),"HEAT","STANDARD"))</f>
        <v>GO</v>
      </c>
      <c r="E1555" s="9"/>
      <c r="F1555" t="str">
        <f>IF(E1555="",D1555,E1555)</f>
        <v>GO</v>
      </c>
      <c r="G1555" t="str">
        <f>INDEX(Netzzeiten!$B$6:$B$29,HOUR(B1555)+1)</f>
        <v>NT</v>
      </c>
      <c r="H1555" s="6">
        <f>IF(F1555="GO",Eingaben!$B$11,IF(F1555="STANDARD",Eingaben!$B$12,IF(AND(F1555="HEAT",ISNUMBER(Eingaben!$B$13)),Eingaben!$B$13,"")))</f>
        <v>15.0654</v>
      </c>
      <c r="I1555" s="6">
        <f>INDEX(Netzzeiten!$C$6:$C$29,HOUR(B1555)+1)</f>
        <v>1.64</v>
      </c>
      <c r="J1555" t="str">
        <f>IF(C1555="","FEHLT",IF(NOT(ISNUMBER(C1555)),"MESSWERT UNGUELTIG",IF(C1555&lt;0,"MESSWERT UNGUELTIG",IF(H1555="","TARIFPREIS FEHLT","OK"))))</f>
        <v>FEHLT</v>
      </c>
      <c r="K1555" s="7">
        <f>IF(J1555&lt;&gt;"OK","",C1555*I1555/100)</f>
        <v/>
      </c>
    </row>
    <row r="1556" spans="1:11">
      <c r="A1556" s="14">
        <v>46159</v>
      </c>
      <c r="B1556" s="15">
        <v>0.1458333333333333</v>
      </c>
      <c r="C1556" s="5">
        <f>IF('96 Werte'!P22="","",'96 Werte'!P22)</f>
        <v/>
      </c>
      <c r="D1556" t="str">
        <f>IF(IF(Eingaben!$B$21&lt;Eingaben!$B$22,AND(B1556&gt;=Eingaben!$B$21,B1556&lt;Eingaben!$B$22),OR(B1556&gt;=Eingaben!$B$21,B1556&lt;Eingaben!$B$22)),"GO",IF(AND(ISNUMBER(Eingaben!$B$23),ISNUMBER(Eingaben!$B$24),IF(Eingaben!$B$23&lt;Eingaben!$B$24,AND(B1556&gt;=Eingaben!$B$23,B1556&lt;Eingaben!$B$24),OR(B1556&gt;=Eingaben!$B$23,B1556&lt;Eingaben!$B$24))),"HEAT","STANDARD"))</f>
        <v>GO</v>
      </c>
      <c r="E1556" s="9"/>
      <c r="F1556" t="str">
        <f>IF(E1556="",D1556,E1556)</f>
        <v>GO</v>
      </c>
      <c r="G1556" t="str">
        <f>INDEX(Netzzeiten!$B$6:$B$29,HOUR(B1556)+1)</f>
        <v>NT</v>
      </c>
      <c r="H1556" s="6">
        <f>IF(F1556="GO",Eingaben!$B$11,IF(F1556="STANDARD",Eingaben!$B$12,IF(AND(F1556="HEAT",ISNUMBER(Eingaben!$B$13)),Eingaben!$B$13,"")))</f>
        <v>15.0654</v>
      </c>
      <c r="I1556" s="6">
        <f>INDEX(Netzzeiten!$C$6:$C$29,HOUR(B1556)+1)</f>
        <v>1.64</v>
      </c>
      <c r="J1556" t="str">
        <f>IF(C1556="","FEHLT",IF(NOT(ISNUMBER(C1556)),"MESSWERT UNGUELTIG",IF(C1556&lt;0,"MESSWERT UNGUELTIG",IF(H1556="","TARIFPREIS FEHLT","OK"))))</f>
        <v>FEHLT</v>
      </c>
      <c r="K1556" s="7">
        <f>IF(J1556&lt;&gt;"OK","",C1556*I1556/100)</f>
        <v/>
      </c>
    </row>
    <row r="1557" spans="1:11">
      <c r="A1557" s="14">
        <v>46159</v>
      </c>
      <c r="B1557" s="15">
        <v>0.15625</v>
      </c>
      <c r="C1557" s="5">
        <f>IF('96 Werte'!Q22="","",'96 Werte'!Q22)</f>
        <v/>
      </c>
      <c r="D1557" t="str">
        <f>IF(IF(Eingaben!$B$21&lt;Eingaben!$B$22,AND(B1557&gt;=Eingaben!$B$21,B1557&lt;Eingaben!$B$22),OR(B1557&gt;=Eingaben!$B$21,B1557&lt;Eingaben!$B$22)),"GO",IF(AND(ISNUMBER(Eingaben!$B$23),ISNUMBER(Eingaben!$B$24),IF(Eingaben!$B$23&lt;Eingaben!$B$24,AND(B1557&gt;=Eingaben!$B$23,B1557&lt;Eingaben!$B$24),OR(B1557&gt;=Eingaben!$B$23,B1557&lt;Eingaben!$B$24))),"HEAT","STANDARD"))</f>
        <v>GO</v>
      </c>
      <c r="E1557" s="9"/>
      <c r="F1557" t="str">
        <f>IF(E1557="",D1557,E1557)</f>
        <v>GO</v>
      </c>
      <c r="G1557" t="str">
        <f>INDEX(Netzzeiten!$B$6:$B$29,HOUR(B1557)+1)</f>
        <v>NT</v>
      </c>
      <c r="H1557" s="6">
        <f>IF(F1557="GO",Eingaben!$B$11,IF(F1557="STANDARD",Eingaben!$B$12,IF(AND(F1557="HEAT",ISNUMBER(Eingaben!$B$13)),Eingaben!$B$13,"")))</f>
        <v>15.0654</v>
      </c>
      <c r="I1557" s="6">
        <f>INDEX(Netzzeiten!$C$6:$C$29,HOUR(B1557)+1)</f>
        <v>1.64</v>
      </c>
      <c r="J1557" t="str">
        <f>IF(C1557="","FEHLT",IF(NOT(ISNUMBER(C1557)),"MESSWERT UNGUELTIG",IF(C1557&lt;0,"MESSWERT UNGUELTIG",IF(H1557="","TARIFPREIS FEHLT","OK"))))</f>
        <v>FEHLT</v>
      </c>
      <c r="K1557" s="7">
        <f>IF(J1557&lt;&gt;"OK","",C1557*I1557/100)</f>
        <v/>
      </c>
    </row>
    <row r="1558" spans="1:11">
      <c r="A1558" s="14">
        <v>46159</v>
      </c>
      <c r="B1558" s="15">
        <v>0.1666666666666667</v>
      </c>
      <c r="C1558" s="5">
        <f>IF('96 Werte'!R22="","",'96 Werte'!R22)</f>
        <v/>
      </c>
      <c r="D1558" t="str">
        <f>IF(IF(Eingaben!$B$21&lt;Eingaben!$B$22,AND(B1558&gt;=Eingaben!$B$21,B1558&lt;Eingaben!$B$22),OR(B1558&gt;=Eingaben!$B$21,B1558&lt;Eingaben!$B$22)),"GO",IF(AND(ISNUMBER(Eingaben!$B$23),ISNUMBER(Eingaben!$B$24),IF(Eingaben!$B$23&lt;Eingaben!$B$24,AND(B1558&gt;=Eingaben!$B$23,B1558&lt;Eingaben!$B$24),OR(B1558&gt;=Eingaben!$B$23,B1558&lt;Eingaben!$B$24))),"HEAT","STANDARD"))</f>
        <v>GO</v>
      </c>
      <c r="E1558" s="9"/>
      <c r="F1558" t="str">
        <f>IF(E1558="",D1558,E1558)</f>
        <v>GO</v>
      </c>
      <c r="G1558" t="str">
        <f>INDEX(Netzzeiten!$B$6:$B$29,HOUR(B1558)+1)</f>
        <v>NT</v>
      </c>
      <c r="H1558" s="6">
        <f>IF(F1558="GO",Eingaben!$B$11,IF(F1558="STANDARD",Eingaben!$B$12,IF(AND(F1558="HEAT",ISNUMBER(Eingaben!$B$13)),Eingaben!$B$13,"")))</f>
        <v>15.0654</v>
      </c>
      <c r="I1558" s="6">
        <f>INDEX(Netzzeiten!$C$6:$C$29,HOUR(B1558)+1)</f>
        <v>1.64</v>
      </c>
      <c r="J1558" t="str">
        <f>IF(C1558="","FEHLT",IF(NOT(ISNUMBER(C1558)),"MESSWERT UNGUELTIG",IF(C1558&lt;0,"MESSWERT UNGUELTIG",IF(H1558="","TARIFPREIS FEHLT","OK"))))</f>
        <v>FEHLT</v>
      </c>
      <c r="K1558" s="7">
        <f>IF(J1558&lt;&gt;"OK","",C1558*I1558/100)</f>
        <v/>
      </c>
    </row>
    <row r="1559" spans="1:11">
      <c r="A1559" s="14">
        <v>46159</v>
      </c>
      <c r="B1559" s="15">
        <v>0.1770833333333333</v>
      </c>
      <c r="C1559" s="5">
        <f>IF('96 Werte'!S22="","",'96 Werte'!S22)</f>
        <v/>
      </c>
      <c r="D1559" t="str">
        <f>IF(IF(Eingaben!$B$21&lt;Eingaben!$B$22,AND(B1559&gt;=Eingaben!$B$21,B1559&lt;Eingaben!$B$22),OR(B1559&gt;=Eingaben!$B$21,B1559&lt;Eingaben!$B$22)),"GO",IF(AND(ISNUMBER(Eingaben!$B$23),ISNUMBER(Eingaben!$B$24),IF(Eingaben!$B$23&lt;Eingaben!$B$24,AND(B1559&gt;=Eingaben!$B$23,B1559&lt;Eingaben!$B$24),OR(B1559&gt;=Eingaben!$B$23,B1559&lt;Eingaben!$B$24))),"HEAT","STANDARD"))</f>
        <v>GO</v>
      </c>
      <c r="E1559" s="9"/>
      <c r="F1559" t="str">
        <f>IF(E1559="",D1559,E1559)</f>
        <v>GO</v>
      </c>
      <c r="G1559" t="str">
        <f>INDEX(Netzzeiten!$B$6:$B$29,HOUR(B1559)+1)</f>
        <v>NT</v>
      </c>
      <c r="H1559" s="6">
        <f>IF(F1559="GO",Eingaben!$B$11,IF(F1559="STANDARD",Eingaben!$B$12,IF(AND(F1559="HEAT",ISNUMBER(Eingaben!$B$13)),Eingaben!$B$13,"")))</f>
        <v>15.0654</v>
      </c>
      <c r="I1559" s="6">
        <f>INDEX(Netzzeiten!$C$6:$C$29,HOUR(B1559)+1)</f>
        <v>1.64</v>
      </c>
      <c r="J1559" t="str">
        <f>IF(C1559="","FEHLT",IF(NOT(ISNUMBER(C1559)),"MESSWERT UNGUELTIG",IF(C1559&lt;0,"MESSWERT UNGUELTIG",IF(H1559="","TARIFPREIS FEHLT","OK"))))</f>
        <v>FEHLT</v>
      </c>
      <c r="K1559" s="7">
        <f>IF(J1559&lt;&gt;"OK","",C1559*I1559/100)</f>
        <v/>
      </c>
    </row>
    <row r="1560" spans="1:11">
      <c r="A1560" s="14">
        <v>46159</v>
      </c>
      <c r="B1560" s="15">
        <v>0.1875</v>
      </c>
      <c r="C1560" s="5">
        <f>IF('96 Werte'!T22="","",'96 Werte'!T22)</f>
        <v/>
      </c>
      <c r="D1560" t="str">
        <f>IF(IF(Eingaben!$B$21&lt;Eingaben!$B$22,AND(B1560&gt;=Eingaben!$B$21,B1560&lt;Eingaben!$B$22),OR(B1560&gt;=Eingaben!$B$21,B1560&lt;Eingaben!$B$22)),"GO",IF(AND(ISNUMBER(Eingaben!$B$23),ISNUMBER(Eingaben!$B$24),IF(Eingaben!$B$23&lt;Eingaben!$B$24,AND(B1560&gt;=Eingaben!$B$23,B1560&lt;Eingaben!$B$24),OR(B1560&gt;=Eingaben!$B$23,B1560&lt;Eingaben!$B$24))),"HEAT","STANDARD"))</f>
        <v>GO</v>
      </c>
      <c r="E1560" s="9"/>
      <c r="F1560" t="str">
        <f>IF(E1560="",D1560,E1560)</f>
        <v>GO</v>
      </c>
      <c r="G1560" t="str">
        <f>INDEX(Netzzeiten!$B$6:$B$29,HOUR(B1560)+1)</f>
        <v>NT</v>
      </c>
      <c r="H1560" s="6">
        <f>IF(F1560="GO",Eingaben!$B$11,IF(F1560="STANDARD",Eingaben!$B$12,IF(AND(F1560="HEAT",ISNUMBER(Eingaben!$B$13)),Eingaben!$B$13,"")))</f>
        <v>15.0654</v>
      </c>
      <c r="I1560" s="6">
        <f>INDEX(Netzzeiten!$C$6:$C$29,HOUR(B1560)+1)</f>
        <v>1.64</v>
      </c>
      <c r="J1560" t="str">
        <f>IF(C1560="","FEHLT",IF(NOT(ISNUMBER(C1560)),"MESSWERT UNGUELTIG",IF(C1560&lt;0,"MESSWERT UNGUELTIG",IF(H1560="","TARIFPREIS FEHLT","OK"))))</f>
        <v>FEHLT</v>
      </c>
      <c r="K1560" s="7">
        <f>IF(J1560&lt;&gt;"OK","",C1560*I1560/100)</f>
        <v/>
      </c>
    </row>
    <row r="1561" spans="1:11">
      <c r="A1561" s="14">
        <v>46159</v>
      </c>
      <c r="B1561" s="15">
        <v>0.1979166666666667</v>
      </c>
      <c r="C1561" s="5">
        <f>IF('96 Werte'!U22="","",'96 Werte'!U22)</f>
        <v/>
      </c>
      <c r="D1561" t="str">
        <f>IF(IF(Eingaben!$B$21&lt;Eingaben!$B$22,AND(B1561&gt;=Eingaben!$B$21,B1561&lt;Eingaben!$B$22),OR(B1561&gt;=Eingaben!$B$21,B1561&lt;Eingaben!$B$22)),"GO",IF(AND(ISNUMBER(Eingaben!$B$23),ISNUMBER(Eingaben!$B$24),IF(Eingaben!$B$23&lt;Eingaben!$B$24,AND(B1561&gt;=Eingaben!$B$23,B1561&lt;Eingaben!$B$24),OR(B1561&gt;=Eingaben!$B$23,B1561&lt;Eingaben!$B$24))),"HEAT","STANDARD"))</f>
        <v>GO</v>
      </c>
      <c r="E1561" s="9"/>
      <c r="F1561" t="str">
        <f>IF(E1561="",D1561,E1561)</f>
        <v>GO</v>
      </c>
      <c r="G1561" t="str">
        <f>INDEX(Netzzeiten!$B$6:$B$29,HOUR(B1561)+1)</f>
        <v>NT</v>
      </c>
      <c r="H1561" s="6">
        <f>IF(F1561="GO",Eingaben!$B$11,IF(F1561="STANDARD",Eingaben!$B$12,IF(AND(F1561="HEAT",ISNUMBER(Eingaben!$B$13)),Eingaben!$B$13,"")))</f>
        <v>15.0654</v>
      </c>
      <c r="I1561" s="6">
        <f>INDEX(Netzzeiten!$C$6:$C$29,HOUR(B1561)+1)</f>
        <v>1.64</v>
      </c>
      <c r="J1561" t="str">
        <f>IF(C1561="","FEHLT",IF(NOT(ISNUMBER(C1561)),"MESSWERT UNGUELTIG",IF(C1561&lt;0,"MESSWERT UNGUELTIG",IF(H1561="","TARIFPREIS FEHLT","OK"))))</f>
        <v>FEHLT</v>
      </c>
      <c r="K1561" s="7">
        <f>IF(J1561&lt;&gt;"OK","",C1561*I1561/100)</f>
        <v/>
      </c>
    </row>
    <row r="1562" spans="1:11">
      <c r="A1562" s="14">
        <v>46159</v>
      </c>
      <c r="B1562" s="15">
        <v>0.2083333333333333</v>
      </c>
      <c r="C1562" s="5">
        <f>IF('96 Werte'!V22="","",'96 Werte'!V22)</f>
        <v/>
      </c>
      <c r="D1562" t="str">
        <f>IF(IF(Eingaben!$B$21&lt;Eingaben!$B$22,AND(B1562&gt;=Eingaben!$B$21,B1562&lt;Eingaben!$B$22),OR(B1562&gt;=Eingaben!$B$21,B1562&lt;Eingaben!$B$22)),"GO",IF(AND(ISNUMBER(Eingaben!$B$23),ISNUMBER(Eingaben!$B$24),IF(Eingaben!$B$23&lt;Eingaben!$B$24,AND(B1562&gt;=Eingaben!$B$23,B1562&lt;Eingaben!$B$24),OR(B1562&gt;=Eingaben!$B$23,B1562&lt;Eingaben!$B$24))),"HEAT","STANDARD"))</f>
        <v>STANDARD</v>
      </c>
      <c r="E1562" s="9"/>
      <c r="F1562" t="str">
        <f>IF(E1562="",D1562,E1562)</f>
        <v>STANDARD</v>
      </c>
      <c r="G1562" t="str">
        <f>INDEX(Netzzeiten!$B$6:$B$29,HOUR(B1562)+1)</f>
        <v>NT</v>
      </c>
      <c r="H1562" s="6">
        <f>IF(F1562="GO",Eingaben!$B$11,IF(F1562="STANDARD",Eingaben!$B$12,IF(AND(F1562="HEAT",ISNUMBER(Eingaben!$B$13)),Eingaben!$B$13,"")))</f>
        <v>28.2744</v>
      </c>
      <c r="I1562" s="6">
        <f>INDEX(Netzzeiten!$C$6:$C$29,HOUR(B1562)+1)</f>
        <v>1.64</v>
      </c>
      <c r="J1562" t="str">
        <f>IF(C1562="","FEHLT",IF(NOT(ISNUMBER(C1562)),"MESSWERT UNGUELTIG",IF(C1562&lt;0,"MESSWERT UNGUELTIG",IF(H1562="","TARIFPREIS FEHLT","OK"))))</f>
        <v>FEHLT</v>
      </c>
      <c r="K1562" s="7">
        <f>IF(J1562&lt;&gt;"OK","",C1562*I1562/100)</f>
        <v/>
      </c>
    </row>
    <row r="1563" spans="1:11">
      <c r="A1563" s="14">
        <v>46159</v>
      </c>
      <c r="B1563" s="15">
        <v>0.21875</v>
      </c>
      <c r="C1563" s="5">
        <f>IF('96 Werte'!W22="","",'96 Werte'!W22)</f>
        <v/>
      </c>
      <c r="D1563" t="str">
        <f>IF(IF(Eingaben!$B$21&lt;Eingaben!$B$22,AND(B1563&gt;=Eingaben!$B$21,B1563&lt;Eingaben!$B$22),OR(B1563&gt;=Eingaben!$B$21,B1563&lt;Eingaben!$B$22)),"GO",IF(AND(ISNUMBER(Eingaben!$B$23),ISNUMBER(Eingaben!$B$24),IF(Eingaben!$B$23&lt;Eingaben!$B$24,AND(B1563&gt;=Eingaben!$B$23,B1563&lt;Eingaben!$B$24),OR(B1563&gt;=Eingaben!$B$23,B1563&lt;Eingaben!$B$24))),"HEAT","STANDARD"))</f>
        <v>STANDARD</v>
      </c>
      <c r="E1563" s="9"/>
      <c r="F1563" t="str">
        <f>IF(E1563="",D1563,E1563)</f>
        <v>STANDARD</v>
      </c>
      <c r="G1563" t="str">
        <f>INDEX(Netzzeiten!$B$6:$B$29,HOUR(B1563)+1)</f>
        <v>NT</v>
      </c>
      <c r="H1563" s="6">
        <f>IF(F1563="GO",Eingaben!$B$11,IF(F1563="STANDARD",Eingaben!$B$12,IF(AND(F1563="HEAT",ISNUMBER(Eingaben!$B$13)),Eingaben!$B$13,"")))</f>
        <v>28.2744</v>
      </c>
      <c r="I1563" s="6">
        <f>INDEX(Netzzeiten!$C$6:$C$29,HOUR(B1563)+1)</f>
        <v>1.64</v>
      </c>
      <c r="J1563" t="str">
        <f>IF(C1563="","FEHLT",IF(NOT(ISNUMBER(C1563)),"MESSWERT UNGUELTIG",IF(C1563&lt;0,"MESSWERT UNGUELTIG",IF(H1563="","TARIFPREIS FEHLT","OK"))))</f>
        <v>FEHLT</v>
      </c>
      <c r="K1563" s="7">
        <f>IF(J1563&lt;&gt;"OK","",C1563*I1563/100)</f>
        <v/>
      </c>
    </row>
    <row r="1564" spans="1:11">
      <c r="A1564" s="14">
        <v>46159</v>
      </c>
      <c r="B1564" s="15">
        <v>0.2291666666666667</v>
      </c>
      <c r="C1564" s="5">
        <f>IF('96 Werte'!X22="","",'96 Werte'!X22)</f>
        <v/>
      </c>
      <c r="D1564" t="str">
        <f>IF(IF(Eingaben!$B$21&lt;Eingaben!$B$22,AND(B1564&gt;=Eingaben!$B$21,B1564&lt;Eingaben!$B$22),OR(B1564&gt;=Eingaben!$B$21,B1564&lt;Eingaben!$B$22)),"GO",IF(AND(ISNUMBER(Eingaben!$B$23),ISNUMBER(Eingaben!$B$24),IF(Eingaben!$B$23&lt;Eingaben!$B$24,AND(B1564&gt;=Eingaben!$B$23,B1564&lt;Eingaben!$B$24),OR(B1564&gt;=Eingaben!$B$23,B1564&lt;Eingaben!$B$24))),"HEAT","STANDARD"))</f>
        <v>STANDARD</v>
      </c>
      <c r="E1564" s="9"/>
      <c r="F1564" t="str">
        <f>IF(E1564="",D1564,E1564)</f>
        <v>STANDARD</v>
      </c>
      <c r="G1564" t="str">
        <f>INDEX(Netzzeiten!$B$6:$B$29,HOUR(B1564)+1)</f>
        <v>NT</v>
      </c>
      <c r="H1564" s="6">
        <f>IF(F1564="GO",Eingaben!$B$11,IF(F1564="STANDARD",Eingaben!$B$12,IF(AND(F1564="HEAT",ISNUMBER(Eingaben!$B$13)),Eingaben!$B$13,"")))</f>
        <v>28.2744</v>
      </c>
      <c r="I1564" s="6">
        <f>INDEX(Netzzeiten!$C$6:$C$29,HOUR(B1564)+1)</f>
        <v>1.64</v>
      </c>
      <c r="J1564" t="str">
        <f>IF(C1564="","FEHLT",IF(NOT(ISNUMBER(C1564)),"MESSWERT UNGUELTIG",IF(C1564&lt;0,"MESSWERT UNGUELTIG",IF(H1564="","TARIFPREIS FEHLT","OK"))))</f>
        <v>FEHLT</v>
      </c>
      <c r="K1564" s="7">
        <f>IF(J1564&lt;&gt;"OK","",C1564*I1564/100)</f>
        <v/>
      </c>
    </row>
    <row r="1565" spans="1:11">
      <c r="A1565" s="14">
        <v>46159</v>
      </c>
      <c r="B1565" s="15">
        <v>0.2395833333333333</v>
      </c>
      <c r="C1565" s="5">
        <f>IF('96 Werte'!Y22="","",'96 Werte'!Y22)</f>
        <v/>
      </c>
      <c r="D1565" t="str">
        <f>IF(IF(Eingaben!$B$21&lt;Eingaben!$B$22,AND(B1565&gt;=Eingaben!$B$21,B1565&lt;Eingaben!$B$22),OR(B1565&gt;=Eingaben!$B$21,B1565&lt;Eingaben!$B$22)),"GO",IF(AND(ISNUMBER(Eingaben!$B$23),ISNUMBER(Eingaben!$B$24),IF(Eingaben!$B$23&lt;Eingaben!$B$24,AND(B1565&gt;=Eingaben!$B$23,B1565&lt;Eingaben!$B$24),OR(B1565&gt;=Eingaben!$B$23,B1565&lt;Eingaben!$B$24))),"HEAT","STANDARD"))</f>
        <v>STANDARD</v>
      </c>
      <c r="E1565" s="9"/>
      <c r="F1565" t="str">
        <f>IF(E1565="",D1565,E1565)</f>
        <v>STANDARD</v>
      </c>
      <c r="G1565" t="str">
        <f>INDEX(Netzzeiten!$B$6:$B$29,HOUR(B1565)+1)</f>
        <v>NT</v>
      </c>
      <c r="H1565" s="6">
        <f>IF(F1565="GO",Eingaben!$B$11,IF(F1565="STANDARD",Eingaben!$B$12,IF(AND(F1565="HEAT",ISNUMBER(Eingaben!$B$13)),Eingaben!$B$13,"")))</f>
        <v>28.2744</v>
      </c>
      <c r="I1565" s="6">
        <f>INDEX(Netzzeiten!$C$6:$C$29,HOUR(B1565)+1)</f>
        <v>1.64</v>
      </c>
      <c r="J1565" t="str">
        <f>IF(C1565="","FEHLT",IF(NOT(ISNUMBER(C1565)),"MESSWERT UNGUELTIG",IF(C1565&lt;0,"MESSWERT UNGUELTIG",IF(H1565="","TARIFPREIS FEHLT","OK"))))</f>
        <v>FEHLT</v>
      </c>
      <c r="K1565" s="7">
        <f>IF(J1565&lt;&gt;"OK","",C1565*I1565/100)</f>
        <v/>
      </c>
    </row>
    <row r="1566" spans="1:11">
      <c r="A1566" s="14">
        <v>46159</v>
      </c>
      <c r="B1566" s="15">
        <v>0.25</v>
      </c>
      <c r="C1566" s="5">
        <f>IF('96 Werte'!Z22="","",'96 Werte'!Z22)</f>
        <v/>
      </c>
      <c r="D1566" t="str">
        <f>IF(IF(Eingaben!$B$21&lt;Eingaben!$B$22,AND(B1566&gt;=Eingaben!$B$21,B1566&lt;Eingaben!$B$22),OR(B1566&gt;=Eingaben!$B$21,B1566&lt;Eingaben!$B$22)),"GO",IF(AND(ISNUMBER(Eingaben!$B$23),ISNUMBER(Eingaben!$B$24),IF(Eingaben!$B$23&lt;Eingaben!$B$24,AND(B1566&gt;=Eingaben!$B$23,B1566&lt;Eingaben!$B$24),OR(B1566&gt;=Eingaben!$B$23,B1566&lt;Eingaben!$B$24))),"HEAT","STANDARD"))</f>
        <v>STANDARD</v>
      </c>
      <c r="E1566" s="9"/>
      <c r="F1566" t="str">
        <f>IF(E1566="",D1566,E1566)</f>
        <v>STANDARD</v>
      </c>
      <c r="G1566" t="str">
        <f>INDEX(Netzzeiten!$B$6:$B$29,HOUR(B1566)+1)</f>
        <v>ST</v>
      </c>
      <c r="H1566" s="6">
        <f>IF(F1566="GO",Eingaben!$B$11,IF(F1566="STANDARD",Eingaben!$B$12,IF(AND(F1566="HEAT",ISNUMBER(Eingaben!$B$13)),Eingaben!$B$13,"")))</f>
        <v>28.2744</v>
      </c>
      <c r="I1566" s="6">
        <f>INDEX(Netzzeiten!$C$6:$C$29,HOUR(B1566)+1)</f>
        <v>5.48</v>
      </c>
      <c r="J1566" t="str">
        <f>IF(C1566="","FEHLT",IF(NOT(ISNUMBER(C1566)),"MESSWERT UNGUELTIG",IF(C1566&lt;0,"MESSWERT UNGUELTIG",IF(H1566="","TARIFPREIS FEHLT","OK"))))</f>
        <v>FEHLT</v>
      </c>
      <c r="K1566" s="7">
        <f>IF(J1566&lt;&gt;"OK","",C1566*I1566/100)</f>
        <v/>
      </c>
    </row>
    <row r="1567" spans="1:11">
      <c r="A1567" s="14">
        <v>46159</v>
      </c>
      <c r="B1567" s="15">
        <v>0.2604166666666667</v>
      </c>
      <c r="C1567" s="5">
        <f>IF('96 Werte'!AA22="","",'96 Werte'!AA22)</f>
        <v/>
      </c>
      <c r="D1567" t="str">
        <f>IF(IF(Eingaben!$B$21&lt;Eingaben!$B$22,AND(B1567&gt;=Eingaben!$B$21,B1567&lt;Eingaben!$B$22),OR(B1567&gt;=Eingaben!$B$21,B1567&lt;Eingaben!$B$22)),"GO",IF(AND(ISNUMBER(Eingaben!$B$23),ISNUMBER(Eingaben!$B$24),IF(Eingaben!$B$23&lt;Eingaben!$B$24,AND(B1567&gt;=Eingaben!$B$23,B1567&lt;Eingaben!$B$24),OR(B1567&gt;=Eingaben!$B$23,B1567&lt;Eingaben!$B$24))),"HEAT","STANDARD"))</f>
        <v>STANDARD</v>
      </c>
      <c r="E1567" s="9"/>
      <c r="F1567" t="str">
        <f>IF(E1567="",D1567,E1567)</f>
        <v>STANDARD</v>
      </c>
      <c r="G1567" t="str">
        <f>INDEX(Netzzeiten!$B$6:$B$29,HOUR(B1567)+1)</f>
        <v>ST</v>
      </c>
      <c r="H1567" s="6">
        <f>IF(F1567="GO",Eingaben!$B$11,IF(F1567="STANDARD",Eingaben!$B$12,IF(AND(F1567="HEAT",ISNUMBER(Eingaben!$B$13)),Eingaben!$B$13,"")))</f>
        <v>28.2744</v>
      </c>
      <c r="I1567" s="6">
        <f>INDEX(Netzzeiten!$C$6:$C$29,HOUR(B1567)+1)</f>
        <v>5.48</v>
      </c>
      <c r="J1567" t="str">
        <f>IF(C1567="","FEHLT",IF(NOT(ISNUMBER(C1567)),"MESSWERT UNGUELTIG",IF(C1567&lt;0,"MESSWERT UNGUELTIG",IF(H1567="","TARIFPREIS FEHLT","OK"))))</f>
        <v>FEHLT</v>
      </c>
      <c r="K1567" s="7">
        <f>IF(J1567&lt;&gt;"OK","",C1567*I1567/100)</f>
        <v/>
      </c>
    </row>
    <row r="1568" spans="1:11">
      <c r="A1568" s="14">
        <v>46159</v>
      </c>
      <c r="B1568" s="15">
        <v>0.2708333333333333</v>
      </c>
      <c r="C1568" s="5">
        <f>IF('96 Werte'!AB22="","",'96 Werte'!AB22)</f>
        <v/>
      </c>
      <c r="D1568" t="str">
        <f>IF(IF(Eingaben!$B$21&lt;Eingaben!$B$22,AND(B1568&gt;=Eingaben!$B$21,B1568&lt;Eingaben!$B$22),OR(B1568&gt;=Eingaben!$B$21,B1568&lt;Eingaben!$B$22)),"GO",IF(AND(ISNUMBER(Eingaben!$B$23),ISNUMBER(Eingaben!$B$24),IF(Eingaben!$B$23&lt;Eingaben!$B$24,AND(B1568&gt;=Eingaben!$B$23,B1568&lt;Eingaben!$B$24),OR(B1568&gt;=Eingaben!$B$23,B1568&lt;Eingaben!$B$24))),"HEAT","STANDARD"))</f>
        <v>STANDARD</v>
      </c>
      <c r="E1568" s="9"/>
      <c r="F1568" t="str">
        <f>IF(E1568="",D1568,E1568)</f>
        <v>STANDARD</v>
      </c>
      <c r="G1568" t="str">
        <f>INDEX(Netzzeiten!$B$6:$B$29,HOUR(B1568)+1)</f>
        <v>ST</v>
      </c>
      <c r="H1568" s="6">
        <f>IF(F1568="GO",Eingaben!$B$11,IF(F1568="STANDARD",Eingaben!$B$12,IF(AND(F1568="HEAT",ISNUMBER(Eingaben!$B$13)),Eingaben!$B$13,"")))</f>
        <v>28.2744</v>
      </c>
      <c r="I1568" s="6">
        <f>INDEX(Netzzeiten!$C$6:$C$29,HOUR(B1568)+1)</f>
        <v>5.48</v>
      </c>
      <c r="J1568" t="str">
        <f>IF(C1568="","FEHLT",IF(NOT(ISNUMBER(C1568)),"MESSWERT UNGUELTIG",IF(C1568&lt;0,"MESSWERT UNGUELTIG",IF(H1568="","TARIFPREIS FEHLT","OK"))))</f>
        <v>FEHLT</v>
      </c>
      <c r="K1568" s="7">
        <f>IF(J1568&lt;&gt;"OK","",C1568*I1568/100)</f>
        <v/>
      </c>
    </row>
    <row r="1569" spans="1:11">
      <c r="A1569" s="14">
        <v>46159</v>
      </c>
      <c r="B1569" s="15">
        <v>0.28125</v>
      </c>
      <c r="C1569" s="5">
        <f>IF('96 Werte'!AC22="","",'96 Werte'!AC22)</f>
        <v/>
      </c>
      <c r="D1569" t="str">
        <f>IF(IF(Eingaben!$B$21&lt;Eingaben!$B$22,AND(B1569&gt;=Eingaben!$B$21,B1569&lt;Eingaben!$B$22),OR(B1569&gt;=Eingaben!$B$21,B1569&lt;Eingaben!$B$22)),"GO",IF(AND(ISNUMBER(Eingaben!$B$23),ISNUMBER(Eingaben!$B$24),IF(Eingaben!$B$23&lt;Eingaben!$B$24,AND(B1569&gt;=Eingaben!$B$23,B1569&lt;Eingaben!$B$24),OR(B1569&gt;=Eingaben!$B$23,B1569&lt;Eingaben!$B$24))),"HEAT","STANDARD"))</f>
        <v>STANDARD</v>
      </c>
      <c r="E1569" s="9"/>
      <c r="F1569" t="str">
        <f>IF(E1569="",D1569,E1569)</f>
        <v>STANDARD</v>
      </c>
      <c r="G1569" t="str">
        <f>INDEX(Netzzeiten!$B$6:$B$29,HOUR(B1569)+1)</f>
        <v>ST</v>
      </c>
      <c r="H1569" s="6">
        <f>IF(F1569="GO",Eingaben!$B$11,IF(F1569="STANDARD",Eingaben!$B$12,IF(AND(F1569="HEAT",ISNUMBER(Eingaben!$B$13)),Eingaben!$B$13,"")))</f>
        <v>28.2744</v>
      </c>
      <c r="I1569" s="6">
        <f>INDEX(Netzzeiten!$C$6:$C$29,HOUR(B1569)+1)</f>
        <v>5.48</v>
      </c>
      <c r="J1569" t="str">
        <f>IF(C1569="","FEHLT",IF(NOT(ISNUMBER(C1569)),"MESSWERT UNGUELTIG",IF(C1569&lt;0,"MESSWERT UNGUELTIG",IF(H1569="","TARIFPREIS FEHLT","OK"))))</f>
        <v>FEHLT</v>
      </c>
      <c r="K1569" s="7">
        <f>IF(J1569&lt;&gt;"OK","",C1569*I1569/100)</f>
        <v/>
      </c>
    </row>
    <row r="1570" spans="1:11">
      <c r="A1570" s="14">
        <v>46159</v>
      </c>
      <c r="B1570" s="15">
        <v>0.2916666666666667</v>
      </c>
      <c r="C1570" s="5">
        <f>IF('96 Werte'!AD22="","",'96 Werte'!AD22)</f>
        <v/>
      </c>
      <c r="D1570" t="str">
        <f>IF(IF(Eingaben!$B$21&lt;Eingaben!$B$22,AND(B1570&gt;=Eingaben!$B$21,B1570&lt;Eingaben!$B$22),OR(B1570&gt;=Eingaben!$B$21,B1570&lt;Eingaben!$B$22)),"GO",IF(AND(ISNUMBER(Eingaben!$B$23),ISNUMBER(Eingaben!$B$24),IF(Eingaben!$B$23&lt;Eingaben!$B$24,AND(B1570&gt;=Eingaben!$B$23,B1570&lt;Eingaben!$B$24),OR(B1570&gt;=Eingaben!$B$23,B1570&lt;Eingaben!$B$24))),"HEAT","STANDARD"))</f>
        <v>STANDARD</v>
      </c>
      <c r="E1570" s="9"/>
      <c r="F1570" t="str">
        <f>IF(E1570="",D1570,E1570)</f>
        <v>STANDARD</v>
      </c>
      <c r="G1570" t="str">
        <f>INDEX(Netzzeiten!$B$6:$B$29,HOUR(B1570)+1)</f>
        <v>ST</v>
      </c>
      <c r="H1570" s="6">
        <f>IF(F1570="GO",Eingaben!$B$11,IF(F1570="STANDARD",Eingaben!$B$12,IF(AND(F1570="HEAT",ISNUMBER(Eingaben!$B$13)),Eingaben!$B$13,"")))</f>
        <v>28.2744</v>
      </c>
      <c r="I1570" s="6">
        <f>INDEX(Netzzeiten!$C$6:$C$29,HOUR(B1570)+1)</f>
        <v>5.48</v>
      </c>
      <c r="J1570" t="str">
        <f>IF(C1570="","FEHLT",IF(NOT(ISNUMBER(C1570)),"MESSWERT UNGUELTIG",IF(C1570&lt;0,"MESSWERT UNGUELTIG",IF(H1570="","TARIFPREIS FEHLT","OK"))))</f>
        <v>FEHLT</v>
      </c>
      <c r="K1570" s="7">
        <f>IF(J1570&lt;&gt;"OK","",C1570*I1570/100)</f>
        <v/>
      </c>
    </row>
    <row r="1571" spans="1:11">
      <c r="A1571" s="14">
        <v>46159</v>
      </c>
      <c r="B1571" s="15">
        <v>0.3020833333333333</v>
      </c>
      <c r="C1571" s="5">
        <f>IF('96 Werte'!AE22="","",'96 Werte'!AE22)</f>
        <v/>
      </c>
      <c r="D1571" t="str">
        <f>IF(IF(Eingaben!$B$21&lt;Eingaben!$B$22,AND(B1571&gt;=Eingaben!$B$21,B1571&lt;Eingaben!$B$22),OR(B1571&gt;=Eingaben!$B$21,B1571&lt;Eingaben!$B$22)),"GO",IF(AND(ISNUMBER(Eingaben!$B$23),ISNUMBER(Eingaben!$B$24),IF(Eingaben!$B$23&lt;Eingaben!$B$24,AND(B1571&gt;=Eingaben!$B$23,B1571&lt;Eingaben!$B$24),OR(B1571&gt;=Eingaben!$B$23,B1571&lt;Eingaben!$B$24))),"HEAT","STANDARD"))</f>
        <v>STANDARD</v>
      </c>
      <c r="E1571" s="9"/>
      <c r="F1571" t="str">
        <f>IF(E1571="",D1571,E1571)</f>
        <v>STANDARD</v>
      </c>
      <c r="G1571" t="str">
        <f>INDEX(Netzzeiten!$B$6:$B$29,HOUR(B1571)+1)</f>
        <v>ST</v>
      </c>
      <c r="H1571" s="6">
        <f>IF(F1571="GO",Eingaben!$B$11,IF(F1571="STANDARD",Eingaben!$B$12,IF(AND(F1571="HEAT",ISNUMBER(Eingaben!$B$13)),Eingaben!$B$13,"")))</f>
        <v>28.2744</v>
      </c>
      <c r="I1571" s="6">
        <f>INDEX(Netzzeiten!$C$6:$C$29,HOUR(B1571)+1)</f>
        <v>5.48</v>
      </c>
      <c r="J1571" t="str">
        <f>IF(C1571="","FEHLT",IF(NOT(ISNUMBER(C1571)),"MESSWERT UNGUELTIG",IF(C1571&lt;0,"MESSWERT UNGUELTIG",IF(H1571="","TARIFPREIS FEHLT","OK"))))</f>
        <v>FEHLT</v>
      </c>
      <c r="K1571" s="7">
        <f>IF(J1571&lt;&gt;"OK","",C1571*I1571/100)</f>
        <v/>
      </c>
    </row>
    <row r="1572" spans="1:11">
      <c r="A1572" s="14">
        <v>46159</v>
      </c>
      <c r="B1572" s="15">
        <v>0.3125</v>
      </c>
      <c r="C1572" s="5">
        <f>IF('96 Werte'!AF22="","",'96 Werte'!AF22)</f>
        <v/>
      </c>
      <c r="D1572" t="str">
        <f>IF(IF(Eingaben!$B$21&lt;Eingaben!$B$22,AND(B1572&gt;=Eingaben!$B$21,B1572&lt;Eingaben!$B$22),OR(B1572&gt;=Eingaben!$B$21,B1572&lt;Eingaben!$B$22)),"GO",IF(AND(ISNUMBER(Eingaben!$B$23),ISNUMBER(Eingaben!$B$24),IF(Eingaben!$B$23&lt;Eingaben!$B$24,AND(B1572&gt;=Eingaben!$B$23,B1572&lt;Eingaben!$B$24),OR(B1572&gt;=Eingaben!$B$23,B1572&lt;Eingaben!$B$24))),"HEAT","STANDARD"))</f>
        <v>STANDARD</v>
      </c>
      <c r="E1572" s="9"/>
      <c r="F1572" t="str">
        <f>IF(E1572="",D1572,E1572)</f>
        <v>STANDARD</v>
      </c>
      <c r="G1572" t="str">
        <f>INDEX(Netzzeiten!$B$6:$B$29,HOUR(B1572)+1)</f>
        <v>ST</v>
      </c>
      <c r="H1572" s="6">
        <f>IF(F1572="GO",Eingaben!$B$11,IF(F1572="STANDARD",Eingaben!$B$12,IF(AND(F1572="HEAT",ISNUMBER(Eingaben!$B$13)),Eingaben!$B$13,"")))</f>
        <v>28.2744</v>
      </c>
      <c r="I1572" s="6">
        <f>INDEX(Netzzeiten!$C$6:$C$29,HOUR(B1572)+1)</f>
        <v>5.48</v>
      </c>
      <c r="J1572" t="str">
        <f>IF(C1572="","FEHLT",IF(NOT(ISNUMBER(C1572)),"MESSWERT UNGUELTIG",IF(C1572&lt;0,"MESSWERT UNGUELTIG",IF(H1572="","TARIFPREIS FEHLT","OK"))))</f>
        <v>FEHLT</v>
      </c>
      <c r="K1572" s="7">
        <f>IF(J1572&lt;&gt;"OK","",C1572*I1572/100)</f>
        <v/>
      </c>
    </row>
    <row r="1573" spans="1:11">
      <c r="A1573" s="14">
        <v>46159</v>
      </c>
      <c r="B1573" s="15">
        <v>0.3229166666666667</v>
      </c>
      <c r="C1573" s="5">
        <f>IF('96 Werte'!AG22="","",'96 Werte'!AG22)</f>
        <v/>
      </c>
      <c r="D1573" t="str">
        <f>IF(IF(Eingaben!$B$21&lt;Eingaben!$B$22,AND(B1573&gt;=Eingaben!$B$21,B1573&lt;Eingaben!$B$22),OR(B1573&gt;=Eingaben!$B$21,B1573&lt;Eingaben!$B$22)),"GO",IF(AND(ISNUMBER(Eingaben!$B$23),ISNUMBER(Eingaben!$B$24),IF(Eingaben!$B$23&lt;Eingaben!$B$24,AND(B1573&gt;=Eingaben!$B$23,B1573&lt;Eingaben!$B$24),OR(B1573&gt;=Eingaben!$B$23,B1573&lt;Eingaben!$B$24))),"HEAT","STANDARD"))</f>
        <v>STANDARD</v>
      </c>
      <c r="E1573" s="9"/>
      <c r="F1573" t="str">
        <f>IF(E1573="",D1573,E1573)</f>
        <v>STANDARD</v>
      </c>
      <c r="G1573" t="str">
        <f>INDEX(Netzzeiten!$B$6:$B$29,HOUR(B1573)+1)</f>
        <v>ST</v>
      </c>
      <c r="H1573" s="6">
        <f>IF(F1573="GO",Eingaben!$B$11,IF(F1573="STANDARD",Eingaben!$B$12,IF(AND(F1573="HEAT",ISNUMBER(Eingaben!$B$13)),Eingaben!$B$13,"")))</f>
        <v>28.2744</v>
      </c>
      <c r="I1573" s="6">
        <f>INDEX(Netzzeiten!$C$6:$C$29,HOUR(B1573)+1)</f>
        <v>5.48</v>
      </c>
      <c r="J1573" t="str">
        <f>IF(C1573="","FEHLT",IF(NOT(ISNUMBER(C1573)),"MESSWERT UNGUELTIG",IF(C1573&lt;0,"MESSWERT UNGUELTIG",IF(H1573="","TARIFPREIS FEHLT","OK"))))</f>
        <v>FEHLT</v>
      </c>
      <c r="K1573" s="7">
        <f>IF(J1573&lt;&gt;"OK","",C1573*I1573/100)</f>
        <v/>
      </c>
    </row>
    <row r="1574" spans="1:11">
      <c r="A1574" s="14">
        <v>46159</v>
      </c>
      <c r="B1574" s="15">
        <v>0.3333333333333333</v>
      </c>
      <c r="C1574" s="5">
        <f>IF('96 Werte'!AH22="","",'96 Werte'!AH22)</f>
        <v/>
      </c>
      <c r="D1574" t="str">
        <f>IF(IF(Eingaben!$B$21&lt;Eingaben!$B$22,AND(B1574&gt;=Eingaben!$B$21,B1574&lt;Eingaben!$B$22),OR(B1574&gt;=Eingaben!$B$21,B1574&lt;Eingaben!$B$22)),"GO",IF(AND(ISNUMBER(Eingaben!$B$23),ISNUMBER(Eingaben!$B$24),IF(Eingaben!$B$23&lt;Eingaben!$B$24,AND(B1574&gt;=Eingaben!$B$23,B1574&lt;Eingaben!$B$24),OR(B1574&gt;=Eingaben!$B$23,B1574&lt;Eingaben!$B$24))),"HEAT","STANDARD"))</f>
        <v>STANDARD</v>
      </c>
      <c r="E1574" s="9"/>
      <c r="F1574" t="str">
        <f>IF(E1574="",D1574,E1574)</f>
        <v>STANDARD</v>
      </c>
      <c r="G1574" t="str">
        <f>INDEX(Netzzeiten!$B$6:$B$29,HOUR(B1574)+1)</f>
        <v>ST</v>
      </c>
      <c r="H1574" s="6">
        <f>IF(F1574="GO",Eingaben!$B$11,IF(F1574="STANDARD",Eingaben!$B$12,IF(AND(F1574="HEAT",ISNUMBER(Eingaben!$B$13)),Eingaben!$B$13,"")))</f>
        <v>28.2744</v>
      </c>
      <c r="I1574" s="6">
        <f>INDEX(Netzzeiten!$C$6:$C$29,HOUR(B1574)+1)</f>
        <v>5.48</v>
      </c>
      <c r="J1574" t="str">
        <f>IF(C1574="","FEHLT",IF(NOT(ISNUMBER(C1574)),"MESSWERT UNGUELTIG",IF(C1574&lt;0,"MESSWERT UNGUELTIG",IF(H1574="","TARIFPREIS FEHLT","OK"))))</f>
        <v>FEHLT</v>
      </c>
      <c r="K1574" s="7">
        <f>IF(J1574&lt;&gt;"OK","",C1574*I1574/100)</f>
        <v/>
      </c>
    </row>
    <row r="1575" spans="1:11">
      <c r="A1575" s="14">
        <v>46159</v>
      </c>
      <c r="B1575" s="15">
        <v>0.34375</v>
      </c>
      <c r="C1575" s="5">
        <f>IF('96 Werte'!AI22="","",'96 Werte'!AI22)</f>
        <v/>
      </c>
      <c r="D1575" t="str">
        <f>IF(IF(Eingaben!$B$21&lt;Eingaben!$B$22,AND(B1575&gt;=Eingaben!$B$21,B1575&lt;Eingaben!$B$22),OR(B1575&gt;=Eingaben!$B$21,B1575&lt;Eingaben!$B$22)),"GO",IF(AND(ISNUMBER(Eingaben!$B$23),ISNUMBER(Eingaben!$B$24),IF(Eingaben!$B$23&lt;Eingaben!$B$24,AND(B1575&gt;=Eingaben!$B$23,B1575&lt;Eingaben!$B$24),OR(B1575&gt;=Eingaben!$B$23,B1575&lt;Eingaben!$B$24))),"HEAT","STANDARD"))</f>
        <v>STANDARD</v>
      </c>
      <c r="E1575" s="9"/>
      <c r="F1575" t="str">
        <f>IF(E1575="",D1575,E1575)</f>
        <v>STANDARD</v>
      </c>
      <c r="G1575" t="str">
        <f>INDEX(Netzzeiten!$B$6:$B$29,HOUR(B1575)+1)</f>
        <v>ST</v>
      </c>
      <c r="H1575" s="6">
        <f>IF(F1575="GO",Eingaben!$B$11,IF(F1575="STANDARD",Eingaben!$B$12,IF(AND(F1575="HEAT",ISNUMBER(Eingaben!$B$13)),Eingaben!$B$13,"")))</f>
        <v>28.2744</v>
      </c>
      <c r="I1575" s="6">
        <f>INDEX(Netzzeiten!$C$6:$C$29,HOUR(B1575)+1)</f>
        <v>5.48</v>
      </c>
      <c r="J1575" t="str">
        <f>IF(C1575="","FEHLT",IF(NOT(ISNUMBER(C1575)),"MESSWERT UNGUELTIG",IF(C1575&lt;0,"MESSWERT UNGUELTIG",IF(H1575="","TARIFPREIS FEHLT","OK"))))</f>
        <v>FEHLT</v>
      </c>
      <c r="K1575" s="7">
        <f>IF(J1575&lt;&gt;"OK","",C1575*I1575/100)</f>
        <v/>
      </c>
    </row>
    <row r="1576" spans="1:11">
      <c r="A1576" s="14">
        <v>46159</v>
      </c>
      <c r="B1576" s="15">
        <v>0.3541666666666667</v>
      </c>
      <c r="C1576" s="5">
        <f>IF('96 Werte'!AJ22="","",'96 Werte'!AJ22)</f>
        <v/>
      </c>
      <c r="D1576" t="str">
        <f>IF(IF(Eingaben!$B$21&lt;Eingaben!$B$22,AND(B1576&gt;=Eingaben!$B$21,B1576&lt;Eingaben!$B$22),OR(B1576&gt;=Eingaben!$B$21,B1576&lt;Eingaben!$B$22)),"GO",IF(AND(ISNUMBER(Eingaben!$B$23),ISNUMBER(Eingaben!$B$24),IF(Eingaben!$B$23&lt;Eingaben!$B$24,AND(B1576&gt;=Eingaben!$B$23,B1576&lt;Eingaben!$B$24),OR(B1576&gt;=Eingaben!$B$23,B1576&lt;Eingaben!$B$24))),"HEAT","STANDARD"))</f>
        <v>STANDARD</v>
      </c>
      <c r="E1576" s="9"/>
      <c r="F1576" t="str">
        <f>IF(E1576="",D1576,E1576)</f>
        <v>STANDARD</v>
      </c>
      <c r="G1576" t="str">
        <f>INDEX(Netzzeiten!$B$6:$B$29,HOUR(B1576)+1)</f>
        <v>ST</v>
      </c>
      <c r="H1576" s="6">
        <f>IF(F1576="GO",Eingaben!$B$11,IF(F1576="STANDARD",Eingaben!$B$12,IF(AND(F1576="HEAT",ISNUMBER(Eingaben!$B$13)),Eingaben!$B$13,"")))</f>
        <v>28.2744</v>
      </c>
      <c r="I1576" s="6">
        <f>INDEX(Netzzeiten!$C$6:$C$29,HOUR(B1576)+1)</f>
        <v>5.48</v>
      </c>
      <c r="J1576" t="str">
        <f>IF(C1576="","FEHLT",IF(NOT(ISNUMBER(C1576)),"MESSWERT UNGUELTIG",IF(C1576&lt;0,"MESSWERT UNGUELTIG",IF(H1576="","TARIFPREIS FEHLT","OK"))))</f>
        <v>FEHLT</v>
      </c>
      <c r="K1576" s="7">
        <f>IF(J1576&lt;&gt;"OK","",C1576*I1576/100)</f>
        <v/>
      </c>
    </row>
    <row r="1577" spans="1:11">
      <c r="A1577" s="14">
        <v>46159</v>
      </c>
      <c r="B1577" s="15">
        <v>0.3645833333333333</v>
      </c>
      <c r="C1577" s="5">
        <f>IF('96 Werte'!AK22="","",'96 Werte'!AK22)</f>
        <v/>
      </c>
      <c r="D1577" t="str">
        <f>IF(IF(Eingaben!$B$21&lt;Eingaben!$B$22,AND(B1577&gt;=Eingaben!$B$21,B1577&lt;Eingaben!$B$22),OR(B1577&gt;=Eingaben!$B$21,B1577&lt;Eingaben!$B$22)),"GO",IF(AND(ISNUMBER(Eingaben!$B$23),ISNUMBER(Eingaben!$B$24),IF(Eingaben!$B$23&lt;Eingaben!$B$24,AND(B1577&gt;=Eingaben!$B$23,B1577&lt;Eingaben!$B$24),OR(B1577&gt;=Eingaben!$B$23,B1577&lt;Eingaben!$B$24))),"HEAT","STANDARD"))</f>
        <v>STANDARD</v>
      </c>
      <c r="E1577" s="9"/>
      <c r="F1577" t="str">
        <f>IF(E1577="",D1577,E1577)</f>
        <v>STANDARD</v>
      </c>
      <c r="G1577" t="str">
        <f>INDEX(Netzzeiten!$B$6:$B$29,HOUR(B1577)+1)</f>
        <v>ST</v>
      </c>
      <c r="H1577" s="6">
        <f>IF(F1577="GO",Eingaben!$B$11,IF(F1577="STANDARD",Eingaben!$B$12,IF(AND(F1577="HEAT",ISNUMBER(Eingaben!$B$13)),Eingaben!$B$13,"")))</f>
        <v>28.2744</v>
      </c>
      <c r="I1577" s="6">
        <f>INDEX(Netzzeiten!$C$6:$C$29,HOUR(B1577)+1)</f>
        <v>5.48</v>
      </c>
      <c r="J1577" t="str">
        <f>IF(C1577="","FEHLT",IF(NOT(ISNUMBER(C1577)),"MESSWERT UNGUELTIG",IF(C1577&lt;0,"MESSWERT UNGUELTIG",IF(H1577="","TARIFPREIS FEHLT","OK"))))</f>
        <v>FEHLT</v>
      </c>
      <c r="K1577" s="7">
        <f>IF(J1577&lt;&gt;"OK","",C1577*I1577/100)</f>
        <v/>
      </c>
    </row>
    <row r="1578" spans="1:11">
      <c r="A1578" s="14">
        <v>46159</v>
      </c>
      <c r="B1578" s="15">
        <v>0.375</v>
      </c>
      <c r="C1578" s="5">
        <f>IF('96 Werte'!AL22="","",'96 Werte'!AL22)</f>
        <v/>
      </c>
      <c r="D1578" t="str">
        <f>IF(IF(Eingaben!$B$21&lt;Eingaben!$B$22,AND(B1578&gt;=Eingaben!$B$21,B1578&lt;Eingaben!$B$22),OR(B1578&gt;=Eingaben!$B$21,B1578&lt;Eingaben!$B$22)),"GO",IF(AND(ISNUMBER(Eingaben!$B$23),ISNUMBER(Eingaben!$B$24),IF(Eingaben!$B$23&lt;Eingaben!$B$24,AND(B1578&gt;=Eingaben!$B$23,B1578&lt;Eingaben!$B$24),OR(B1578&gt;=Eingaben!$B$23,B1578&lt;Eingaben!$B$24))),"HEAT","STANDARD"))</f>
        <v>STANDARD</v>
      </c>
      <c r="E1578" s="9"/>
      <c r="F1578" t="str">
        <f>IF(E1578="",D1578,E1578)</f>
        <v>STANDARD</v>
      </c>
      <c r="G1578" t="str">
        <f>INDEX(Netzzeiten!$B$6:$B$29,HOUR(B1578)+1)</f>
        <v>ST</v>
      </c>
      <c r="H1578" s="6">
        <f>IF(F1578="GO",Eingaben!$B$11,IF(F1578="STANDARD",Eingaben!$B$12,IF(AND(F1578="HEAT",ISNUMBER(Eingaben!$B$13)),Eingaben!$B$13,"")))</f>
        <v>28.2744</v>
      </c>
      <c r="I1578" s="6">
        <f>INDEX(Netzzeiten!$C$6:$C$29,HOUR(B1578)+1)</f>
        <v>5.48</v>
      </c>
      <c r="J1578" t="str">
        <f>IF(C1578="","FEHLT",IF(NOT(ISNUMBER(C1578)),"MESSWERT UNGUELTIG",IF(C1578&lt;0,"MESSWERT UNGUELTIG",IF(H1578="","TARIFPREIS FEHLT","OK"))))</f>
        <v>FEHLT</v>
      </c>
      <c r="K1578" s="7">
        <f>IF(J1578&lt;&gt;"OK","",C1578*I1578/100)</f>
        <v/>
      </c>
    </row>
    <row r="1579" spans="1:11">
      <c r="A1579" s="14">
        <v>46159</v>
      </c>
      <c r="B1579" s="15">
        <v>0.3854166666666667</v>
      </c>
      <c r="C1579" s="5">
        <f>IF('96 Werte'!AM22="","",'96 Werte'!AM22)</f>
        <v/>
      </c>
      <c r="D1579" t="str">
        <f>IF(IF(Eingaben!$B$21&lt;Eingaben!$B$22,AND(B1579&gt;=Eingaben!$B$21,B1579&lt;Eingaben!$B$22),OR(B1579&gt;=Eingaben!$B$21,B1579&lt;Eingaben!$B$22)),"GO",IF(AND(ISNUMBER(Eingaben!$B$23),ISNUMBER(Eingaben!$B$24),IF(Eingaben!$B$23&lt;Eingaben!$B$24,AND(B1579&gt;=Eingaben!$B$23,B1579&lt;Eingaben!$B$24),OR(B1579&gt;=Eingaben!$B$23,B1579&lt;Eingaben!$B$24))),"HEAT","STANDARD"))</f>
        <v>STANDARD</v>
      </c>
      <c r="E1579" s="9"/>
      <c r="F1579" t="str">
        <f>IF(E1579="",D1579,E1579)</f>
        <v>STANDARD</v>
      </c>
      <c r="G1579" t="str">
        <f>INDEX(Netzzeiten!$B$6:$B$29,HOUR(B1579)+1)</f>
        <v>ST</v>
      </c>
      <c r="H1579" s="6">
        <f>IF(F1579="GO",Eingaben!$B$11,IF(F1579="STANDARD",Eingaben!$B$12,IF(AND(F1579="HEAT",ISNUMBER(Eingaben!$B$13)),Eingaben!$B$13,"")))</f>
        <v>28.2744</v>
      </c>
      <c r="I1579" s="6">
        <f>INDEX(Netzzeiten!$C$6:$C$29,HOUR(B1579)+1)</f>
        <v>5.48</v>
      </c>
      <c r="J1579" t="str">
        <f>IF(C1579="","FEHLT",IF(NOT(ISNUMBER(C1579)),"MESSWERT UNGUELTIG",IF(C1579&lt;0,"MESSWERT UNGUELTIG",IF(H1579="","TARIFPREIS FEHLT","OK"))))</f>
        <v>FEHLT</v>
      </c>
      <c r="K1579" s="7">
        <f>IF(J1579&lt;&gt;"OK","",C1579*I1579/100)</f>
        <v/>
      </c>
    </row>
    <row r="1580" spans="1:11">
      <c r="A1580" s="14">
        <v>46159</v>
      </c>
      <c r="B1580" s="15">
        <v>0.3958333333333333</v>
      </c>
      <c r="C1580" s="5">
        <f>IF('96 Werte'!AN22="","",'96 Werte'!AN22)</f>
        <v/>
      </c>
      <c r="D1580" t="str">
        <f>IF(IF(Eingaben!$B$21&lt;Eingaben!$B$22,AND(B1580&gt;=Eingaben!$B$21,B1580&lt;Eingaben!$B$22),OR(B1580&gt;=Eingaben!$B$21,B1580&lt;Eingaben!$B$22)),"GO",IF(AND(ISNUMBER(Eingaben!$B$23),ISNUMBER(Eingaben!$B$24),IF(Eingaben!$B$23&lt;Eingaben!$B$24,AND(B1580&gt;=Eingaben!$B$23,B1580&lt;Eingaben!$B$24),OR(B1580&gt;=Eingaben!$B$23,B1580&lt;Eingaben!$B$24))),"HEAT","STANDARD"))</f>
        <v>STANDARD</v>
      </c>
      <c r="E1580" s="9"/>
      <c r="F1580" t="str">
        <f>IF(E1580="",D1580,E1580)</f>
        <v>STANDARD</v>
      </c>
      <c r="G1580" t="str">
        <f>INDEX(Netzzeiten!$B$6:$B$29,HOUR(B1580)+1)</f>
        <v>ST</v>
      </c>
      <c r="H1580" s="6">
        <f>IF(F1580="GO",Eingaben!$B$11,IF(F1580="STANDARD",Eingaben!$B$12,IF(AND(F1580="HEAT",ISNUMBER(Eingaben!$B$13)),Eingaben!$B$13,"")))</f>
        <v>28.2744</v>
      </c>
      <c r="I1580" s="6">
        <f>INDEX(Netzzeiten!$C$6:$C$29,HOUR(B1580)+1)</f>
        <v>5.48</v>
      </c>
      <c r="J1580" t="str">
        <f>IF(C1580="","FEHLT",IF(NOT(ISNUMBER(C1580)),"MESSWERT UNGUELTIG",IF(C1580&lt;0,"MESSWERT UNGUELTIG",IF(H1580="","TARIFPREIS FEHLT","OK"))))</f>
        <v>FEHLT</v>
      </c>
      <c r="K1580" s="7">
        <f>IF(J1580&lt;&gt;"OK","",C1580*I1580/100)</f>
        <v/>
      </c>
    </row>
    <row r="1581" spans="1:11">
      <c r="A1581" s="14">
        <v>46159</v>
      </c>
      <c r="B1581" s="15">
        <v>0.40625</v>
      </c>
      <c r="C1581" s="5">
        <f>IF('96 Werte'!AO22="","",'96 Werte'!AO22)</f>
        <v/>
      </c>
      <c r="D1581" t="str">
        <f>IF(IF(Eingaben!$B$21&lt;Eingaben!$B$22,AND(B1581&gt;=Eingaben!$B$21,B1581&lt;Eingaben!$B$22),OR(B1581&gt;=Eingaben!$B$21,B1581&lt;Eingaben!$B$22)),"GO",IF(AND(ISNUMBER(Eingaben!$B$23),ISNUMBER(Eingaben!$B$24),IF(Eingaben!$B$23&lt;Eingaben!$B$24,AND(B1581&gt;=Eingaben!$B$23,B1581&lt;Eingaben!$B$24),OR(B1581&gt;=Eingaben!$B$23,B1581&lt;Eingaben!$B$24))),"HEAT","STANDARD"))</f>
        <v>STANDARD</v>
      </c>
      <c r="E1581" s="9"/>
      <c r="F1581" t="str">
        <f>IF(E1581="",D1581,E1581)</f>
        <v>STANDARD</v>
      </c>
      <c r="G1581" t="str">
        <f>INDEX(Netzzeiten!$B$6:$B$29,HOUR(B1581)+1)</f>
        <v>ST</v>
      </c>
      <c r="H1581" s="6">
        <f>IF(F1581="GO",Eingaben!$B$11,IF(F1581="STANDARD",Eingaben!$B$12,IF(AND(F1581="HEAT",ISNUMBER(Eingaben!$B$13)),Eingaben!$B$13,"")))</f>
        <v>28.2744</v>
      </c>
      <c r="I1581" s="6">
        <f>INDEX(Netzzeiten!$C$6:$C$29,HOUR(B1581)+1)</f>
        <v>5.48</v>
      </c>
      <c r="J1581" t="str">
        <f>IF(C1581="","FEHLT",IF(NOT(ISNUMBER(C1581)),"MESSWERT UNGUELTIG",IF(C1581&lt;0,"MESSWERT UNGUELTIG",IF(H1581="","TARIFPREIS FEHLT","OK"))))</f>
        <v>FEHLT</v>
      </c>
      <c r="K1581" s="7">
        <f>IF(J1581&lt;&gt;"OK","",C1581*I1581/100)</f>
        <v/>
      </c>
    </row>
    <row r="1582" spans="1:11">
      <c r="A1582" s="14">
        <v>46159</v>
      </c>
      <c r="B1582" s="15">
        <v>0.4166666666666667</v>
      </c>
      <c r="C1582" s="5">
        <f>IF('96 Werte'!AP22="","",'96 Werte'!AP22)</f>
        <v/>
      </c>
      <c r="D1582" t="str">
        <f>IF(IF(Eingaben!$B$21&lt;Eingaben!$B$22,AND(B1582&gt;=Eingaben!$B$21,B1582&lt;Eingaben!$B$22),OR(B1582&gt;=Eingaben!$B$21,B1582&lt;Eingaben!$B$22)),"GO",IF(AND(ISNUMBER(Eingaben!$B$23),ISNUMBER(Eingaben!$B$24),IF(Eingaben!$B$23&lt;Eingaben!$B$24,AND(B1582&gt;=Eingaben!$B$23,B1582&lt;Eingaben!$B$24),OR(B1582&gt;=Eingaben!$B$23,B1582&lt;Eingaben!$B$24))),"HEAT","STANDARD"))</f>
        <v>STANDARD</v>
      </c>
      <c r="E1582" s="9"/>
      <c r="F1582" t="str">
        <f>IF(E1582="",D1582,E1582)</f>
        <v>STANDARD</v>
      </c>
      <c r="G1582" t="str">
        <f>INDEX(Netzzeiten!$B$6:$B$29,HOUR(B1582)+1)</f>
        <v>ST</v>
      </c>
      <c r="H1582" s="6">
        <f>IF(F1582="GO",Eingaben!$B$11,IF(F1582="STANDARD",Eingaben!$B$12,IF(AND(F1582="HEAT",ISNUMBER(Eingaben!$B$13)),Eingaben!$B$13,"")))</f>
        <v>28.2744</v>
      </c>
      <c r="I1582" s="6">
        <f>INDEX(Netzzeiten!$C$6:$C$29,HOUR(B1582)+1)</f>
        <v>5.48</v>
      </c>
      <c r="J1582" t="str">
        <f>IF(C1582="","FEHLT",IF(NOT(ISNUMBER(C1582)),"MESSWERT UNGUELTIG",IF(C1582&lt;0,"MESSWERT UNGUELTIG",IF(H1582="","TARIFPREIS FEHLT","OK"))))</f>
        <v>FEHLT</v>
      </c>
      <c r="K1582" s="7">
        <f>IF(J1582&lt;&gt;"OK","",C1582*I1582/100)</f>
        <v/>
      </c>
    </row>
    <row r="1583" spans="1:11">
      <c r="A1583" s="14">
        <v>46159</v>
      </c>
      <c r="B1583" s="15">
        <v>0.4270833333333333</v>
      </c>
      <c r="C1583" s="5">
        <f>IF('96 Werte'!AQ22="","",'96 Werte'!AQ22)</f>
        <v/>
      </c>
      <c r="D1583" t="str">
        <f>IF(IF(Eingaben!$B$21&lt;Eingaben!$B$22,AND(B1583&gt;=Eingaben!$B$21,B1583&lt;Eingaben!$B$22),OR(B1583&gt;=Eingaben!$B$21,B1583&lt;Eingaben!$B$22)),"GO",IF(AND(ISNUMBER(Eingaben!$B$23),ISNUMBER(Eingaben!$B$24),IF(Eingaben!$B$23&lt;Eingaben!$B$24,AND(B1583&gt;=Eingaben!$B$23,B1583&lt;Eingaben!$B$24),OR(B1583&gt;=Eingaben!$B$23,B1583&lt;Eingaben!$B$24))),"HEAT","STANDARD"))</f>
        <v>STANDARD</v>
      </c>
      <c r="E1583" s="9"/>
      <c r="F1583" t="str">
        <f>IF(E1583="",D1583,E1583)</f>
        <v>STANDARD</v>
      </c>
      <c r="G1583" t="str">
        <f>INDEX(Netzzeiten!$B$6:$B$29,HOUR(B1583)+1)</f>
        <v>ST</v>
      </c>
      <c r="H1583" s="6">
        <f>IF(F1583="GO",Eingaben!$B$11,IF(F1583="STANDARD",Eingaben!$B$12,IF(AND(F1583="HEAT",ISNUMBER(Eingaben!$B$13)),Eingaben!$B$13,"")))</f>
        <v>28.2744</v>
      </c>
      <c r="I1583" s="6">
        <f>INDEX(Netzzeiten!$C$6:$C$29,HOUR(B1583)+1)</f>
        <v>5.48</v>
      </c>
      <c r="J1583" t="str">
        <f>IF(C1583="","FEHLT",IF(NOT(ISNUMBER(C1583)),"MESSWERT UNGUELTIG",IF(C1583&lt;0,"MESSWERT UNGUELTIG",IF(H1583="","TARIFPREIS FEHLT","OK"))))</f>
        <v>FEHLT</v>
      </c>
      <c r="K1583" s="7">
        <f>IF(J1583&lt;&gt;"OK","",C1583*I1583/100)</f>
        <v/>
      </c>
    </row>
    <row r="1584" spans="1:11">
      <c r="A1584" s="14">
        <v>46159</v>
      </c>
      <c r="B1584" s="15">
        <v>0.4375</v>
      </c>
      <c r="C1584" s="5">
        <f>IF('96 Werte'!AR22="","",'96 Werte'!AR22)</f>
        <v/>
      </c>
      <c r="D1584" t="str">
        <f>IF(IF(Eingaben!$B$21&lt;Eingaben!$B$22,AND(B1584&gt;=Eingaben!$B$21,B1584&lt;Eingaben!$B$22),OR(B1584&gt;=Eingaben!$B$21,B1584&lt;Eingaben!$B$22)),"GO",IF(AND(ISNUMBER(Eingaben!$B$23),ISNUMBER(Eingaben!$B$24),IF(Eingaben!$B$23&lt;Eingaben!$B$24,AND(B1584&gt;=Eingaben!$B$23,B1584&lt;Eingaben!$B$24),OR(B1584&gt;=Eingaben!$B$23,B1584&lt;Eingaben!$B$24))),"HEAT","STANDARD"))</f>
        <v>STANDARD</v>
      </c>
      <c r="E1584" s="9"/>
      <c r="F1584" t="str">
        <f>IF(E1584="",D1584,E1584)</f>
        <v>STANDARD</v>
      </c>
      <c r="G1584" t="str">
        <f>INDEX(Netzzeiten!$B$6:$B$29,HOUR(B1584)+1)</f>
        <v>ST</v>
      </c>
      <c r="H1584" s="6">
        <f>IF(F1584="GO",Eingaben!$B$11,IF(F1584="STANDARD",Eingaben!$B$12,IF(AND(F1584="HEAT",ISNUMBER(Eingaben!$B$13)),Eingaben!$B$13,"")))</f>
        <v>28.2744</v>
      </c>
      <c r="I1584" s="6">
        <f>INDEX(Netzzeiten!$C$6:$C$29,HOUR(B1584)+1)</f>
        <v>5.48</v>
      </c>
      <c r="J1584" t="str">
        <f>IF(C1584="","FEHLT",IF(NOT(ISNUMBER(C1584)),"MESSWERT UNGUELTIG",IF(C1584&lt;0,"MESSWERT UNGUELTIG",IF(H1584="","TARIFPREIS FEHLT","OK"))))</f>
        <v>FEHLT</v>
      </c>
      <c r="K1584" s="7">
        <f>IF(J1584&lt;&gt;"OK","",C1584*I1584/100)</f>
        <v/>
      </c>
    </row>
    <row r="1585" spans="1:11">
      <c r="A1585" s="14">
        <v>46159</v>
      </c>
      <c r="B1585" s="15">
        <v>0.4479166666666667</v>
      </c>
      <c r="C1585" s="5">
        <f>IF('96 Werte'!AS22="","",'96 Werte'!AS22)</f>
        <v/>
      </c>
      <c r="D1585" t="str">
        <f>IF(IF(Eingaben!$B$21&lt;Eingaben!$B$22,AND(B1585&gt;=Eingaben!$B$21,B1585&lt;Eingaben!$B$22),OR(B1585&gt;=Eingaben!$B$21,B1585&lt;Eingaben!$B$22)),"GO",IF(AND(ISNUMBER(Eingaben!$B$23),ISNUMBER(Eingaben!$B$24),IF(Eingaben!$B$23&lt;Eingaben!$B$24,AND(B1585&gt;=Eingaben!$B$23,B1585&lt;Eingaben!$B$24),OR(B1585&gt;=Eingaben!$B$23,B1585&lt;Eingaben!$B$24))),"HEAT","STANDARD"))</f>
        <v>STANDARD</v>
      </c>
      <c r="E1585" s="9"/>
      <c r="F1585" t="str">
        <f>IF(E1585="",D1585,E1585)</f>
        <v>STANDARD</v>
      </c>
      <c r="G1585" t="str">
        <f>INDEX(Netzzeiten!$B$6:$B$29,HOUR(B1585)+1)</f>
        <v>ST</v>
      </c>
      <c r="H1585" s="6">
        <f>IF(F1585="GO",Eingaben!$B$11,IF(F1585="STANDARD",Eingaben!$B$12,IF(AND(F1585="HEAT",ISNUMBER(Eingaben!$B$13)),Eingaben!$B$13,"")))</f>
        <v>28.2744</v>
      </c>
      <c r="I1585" s="6">
        <f>INDEX(Netzzeiten!$C$6:$C$29,HOUR(B1585)+1)</f>
        <v>5.48</v>
      </c>
      <c r="J1585" t="str">
        <f>IF(C1585="","FEHLT",IF(NOT(ISNUMBER(C1585)),"MESSWERT UNGUELTIG",IF(C1585&lt;0,"MESSWERT UNGUELTIG",IF(H1585="","TARIFPREIS FEHLT","OK"))))</f>
        <v>FEHLT</v>
      </c>
      <c r="K1585" s="7">
        <f>IF(J1585&lt;&gt;"OK","",C1585*I1585/100)</f>
        <v/>
      </c>
    </row>
    <row r="1586" spans="1:11">
      <c r="A1586" s="14">
        <v>46159</v>
      </c>
      <c r="B1586" s="15">
        <v>0.4583333333333333</v>
      </c>
      <c r="C1586" s="5">
        <f>IF('96 Werte'!AT22="","",'96 Werte'!AT22)</f>
        <v/>
      </c>
      <c r="D1586" t="str">
        <f>IF(IF(Eingaben!$B$21&lt;Eingaben!$B$22,AND(B1586&gt;=Eingaben!$B$21,B1586&lt;Eingaben!$B$22),OR(B1586&gt;=Eingaben!$B$21,B1586&lt;Eingaben!$B$22)),"GO",IF(AND(ISNUMBER(Eingaben!$B$23),ISNUMBER(Eingaben!$B$24),IF(Eingaben!$B$23&lt;Eingaben!$B$24,AND(B1586&gt;=Eingaben!$B$23,B1586&lt;Eingaben!$B$24),OR(B1586&gt;=Eingaben!$B$23,B1586&lt;Eingaben!$B$24))),"HEAT","STANDARD"))</f>
        <v>STANDARD</v>
      </c>
      <c r="E1586" s="9"/>
      <c r="F1586" t="str">
        <f>IF(E1586="",D1586,E1586)</f>
        <v>STANDARD</v>
      </c>
      <c r="G1586" t="str">
        <f>INDEX(Netzzeiten!$B$6:$B$29,HOUR(B1586)+1)</f>
        <v>NT</v>
      </c>
      <c r="H1586" s="6">
        <f>IF(F1586="GO",Eingaben!$B$11,IF(F1586="STANDARD",Eingaben!$B$12,IF(AND(F1586="HEAT",ISNUMBER(Eingaben!$B$13)),Eingaben!$B$13,"")))</f>
        <v>28.2744</v>
      </c>
      <c r="I1586" s="6">
        <f>INDEX(Netzzeiten!$C$6:$C$29,HOUR(B1586)+1)</f>
        <v>1.64</v>
      </c>
      <c r="J1586" t="str">
        <f>IF(C1586="","FEHLT",IF(NOT(ISNUMBER(C1586)),"MESSWERT UNGUELTIG",IF(C1586&lt;0,"MESSWERT UNGUELTIG",IF(H1586="","TARIFPREIS FEHLT","OK"))))</f>
        <v>FEHLT</v>
      </c>
      <c r="K1586" s="7">
        <f>IF(J1586&lt;&gt;"OK","",C1586*I1586/100)</f>
        <v/>
      </c>
    </row>
    <row r="1587" spans="1:11">
      <c r="A1587" s="14">
        <v>46159</v>
      </c>
      <c r="B1587" s="15">
        <v>0.46875</v>
      </c>
      <c r="C1587" s="5">
        <f>IF('96 Werte'!AU22="","",'96 Werte'!AU22)</f>
        <v/>
      </c>
      <c r="D1587" t="str">
        <f>IF(IF(Eingaben!$B$21&lt;Eingaben!$B$22,AND(B1587&gt;=Eingaben!$B$21,B1587&lt;Eingaben!$B$22),OR(B1587&gt;=Eingaben!$B$21,B1587&lt;Eingaben!$B$22)),"GO",IF(AND(ISNUMBER(Eingaben!$B$23),ISNUMBER(Eingaben!$B$24),IF(Eingaben!$B$23&lt;Eingaben!$B$24,AND(B1587&gt;=Eingaben!$B$23,B1587&lt;Eingaben!$B$24),OR(B1587&gt;=Eingaben!$B$23,B1587&lt;Eingaben!$B$24))),"HEAT","STANDARD"))</f>
        <v>STANDARD</v>
      </c>
      <c r="E1587" s="9"/>
      <c r="F1587" t="str">
        <f>IF(E1587="",D1587,E1587)</f>
        <v>STANDARD</v>
      </c>
      <c r="G1587" t="str">
        <f>INDEX(Netzzeiten!$B$6:$B$29,HOUR(B1587)+1)</f>
        <v>NT</v>
      </c>
      <c r="H1587" s="6">
        <f>IF(F1587="GO",Eingaben!$B$11,IF(F1587="STANDARD",Eingaben!$B$12,IF(AND(F1587="HEAT",ISNUMBER(Eingaben!$B$13)),Eingaben!$B$13,"")))</f>
        <v>28.2744</v>
      </c>
      <c r="I1587" s="6">
        <f>INDEX(Netzzeiten!$C$6:$C$29,HOUR(B1587)+1)</f>
        <v>1.64</v>
      </c>
      <c r="J1587" t="str">
        <f>IF(C1587="","FEHLT",IF(NOT(ISNUMBER(C1587)),"MESSWERT UNGUELTIG",IF(C1587&lt;0,"MESSWERT UNGUELTIG",IF(H1587="","TARIFPREIS FEHLT","OK"))))</f>
        <v>FEHLT</v>
      </c>
      <c r="K1587" s="7">
        <f>IF(J1587&lt;&gt;"OK","",C1587*I1587/100)</f>
        <v/>
      </c>
    </row>
    <row r="1588" spans="1:11">
      <c r="A1588" s="14">
        <v>46159</v>
      </c>
      <c r="B1588" s="15">
        <v>0.4791666666666667</v>
      </c>
      <c r="C1588" s="5">
        <f>IF('96 Werte'!AV22="","",'96 Werte'!AV22)</f>
        <v/>
      </c>
      <c r="D1588" t="str">
        <f>IF(IF(Eingaben!$B$21&lt;Eingaben!$B$22,AND(B1588&gt;=Eingaben!$B$21,B1588&lt;Eingaben!$B$22),OR(B1588&gt;=Eingaben!$B$21,B1588&lt;Eingaben!$B$22)),"GO",IF(AND(ISNUMBER(Eingaben!$B$23),ISNUMBER(Eingaben!$B$24),IF(Eingaben!$B$23&lt;Eingaben!$B$24,AND(B1588&gt;=Eingaben!$B$23,B1588&lt;Eingaben!$B$24),OR(B1588&gt;=Eingaben!$B$23,B1588&lt;Eingaben!$B$24))),"HEAT","STANDARD"))</f>
        <v>STANDARD</v>
      </c>
      <c r="E1588" s="9"/>
      <c r="F1588" t="str">
        <f>IF(E1588="",D1588,E1588)</f>
        <v>STANDARD</v>
      </c>
      <c r="G1588" t="str">
        <f>INDEX(Netzzeiten!$B$6:$B$29,HOUR(B1588)+1)</f>
        <v>NT</v>
      </c>
      <c r="H1588" s="6">
        <f>IF(F1588="GO",Eingaben!$B$11,IF(F1588="STANDARD",Eingaben!$B$12,IF(AND(F1588="HEAT",ISNUMBER(Eingaben!$B$13)),Eingaben!$B$13,"")))</f>
        <v>28.2744</v>
      </c>
      <c r="I1588" s="6">
        <f>INDEX(Netzzeiten!$C$6:$C$29,HOUR(B1588)+1)</f>
        <v>1.64</v>
      </c>
      <c r="J1588" t="str">
        <f>IF(C1588="","FEHLT",IF(NOT(ISNUMBER(C1588)),"MESSWERT UNGUELTIG",IF(C1588&lt;0,"MESSWERT UNGUELTIG",IF(H1588="","TARIFPREIS FEHLT","OK"))))</f>
        <v>FEHLT</v>
      </c>
      <c r="K1588" s="7">
        <f>IF(J1588&lt;&gt;"OK","",C1588*I1588/100)</f>
        <v/>
      </c>
    </row>
    <row r="1589" spans="1:11">
      <c r="A1589" s="14">
        <v>46159</v>
      </c>
      <c r="B1589" s="15">
        <v>0.4895833333333333</v>
      </c>
      <c r="C1589" s="5">
        <f>IF('96 Werte'!AW22="","",'96 Werte'!AW22)</f>
        <v/>
      </c>
      <c r="D1589" t="str">
        <f>IF(IF(Eingaben!$B$21&lt;Eingaben!$B$22,AND(B1589&gt;=Eingaben!$B$21,B1589&lt;Eingaben!$B$22),OR(B1589&gt;=Eingaben!$B$21,B1589&lt;Eingaben!$B$22)),"GO",IF(AND(ISNUMBER(Eingaben!$B$23),ISNUMBER(Eingaben!$B$24),IF(Eingaben!$B$23&lt;Eingaben!$B$24,AND(B1589&gt;=Eingaben!$B$23,B1589&lt;Eingaben!$B$24),OR(B1589&gt;=Eingaben!$B$23,B1589&lt;Eingaben!$B$24))),"HEAT","STANDARD"))</f>
        <v>STANDARD</v>
      </c>
      <c r="E1589" s="9"/>
      <c r="F1589" t="str">
        <f>IF(E1589="",D1589,E1589)</f>
        <v>STANDARD</v>
      </c>
      <c r="G1589" t="str">
        <f>INDEX(Netzzeiten!$B$6:$B$29,HOUR(B1589)+1)</f>
        <v>NT</v>
      </c>
      <c r="H1589" s="6">
        <f>IF(F1589="GO",Eingaben!$B$11,IF(F1589="STANDARD",Eingaben!$B$12,IF(AND(F1589="HEAT",ISNUMBER(Eingaben!$B$13)),Eingaben!$B$13,"")))</f>
        <v>28.2744</v>
      </c>
      <c r="I1589" s="6">
        <f>INDEX(Netzzeiten!$C$6:$C$29,HOUR(B1589)+1)</f>
        <v>1.64</v>
      </c>
      <c r="J1589" t="str">
        <f>IF(C1589="","FEHLT",IF(NOT(ISNUMBER(C1589)),"MESSWERT UNGUELTIG",IF(C1589&lt;0,"MESSWERT UNGUELTIG",IF(H1589="","TARIFPREIS FEHLT","OK"))))</f>
        <v>FEHLT</v>
      </c>
      <c r="K1589" s="7">
        <f>IF(J1589&lt;&gt;"OK","",C1589*I1589/100)</f>
        <v/>
      </c>
    </row>
    <row r="1590" spans="1:11">
      <c r="A1590" s="14">
        <v>46159</v>
      </c>
      <c r="B1590" s="15">
        <v>0.5</v>
      </c>
      <c r="C1590" s="5">
        <f>IF('96 Werte'!AX22="","",'96 Werte'!AX22)</f>
        <v/>
      </c>
      <c r="D1590" t="str">
        <f>IF(IF(Eingaben!$B$21&lt;Eingaben!$B$22,AND(B1590&gt;=Eingaben!$B$21,B1590&lt;Eingaben!$B$22),OR(B1590&gt;=Eingaben!$B$21,B1590&lt;Eingaben!$B$22)),"GO",IF(AND(ISNUMBER(Eingaben!$B$23),ISNUMBER(Eingaben!$B$24),IF(Eingaben!$B$23&lt;Eingaben!$B$24,AND(B1590&gt;=Eingaben!$B$23,B1590&lt;Eingaben!$B$24),OR(B1590&gt;=Eingaben!$B$23,B1590&lt;Eingaben!$B$24))),"HEAT","STANDARD"))</f>
        <v>STANDARD</v>
      </c>
      <c r="E1590" s="9"/>
      <c r="F1590" t="str">
        <f>IF(E1590="",D1590,E1590)</f>
        <v>STANDARD</v>
      </c>
      <c r="G1590" t="str">
        <f>INDEX(Netzzeiten!$B$6:$B$29,HOUR(B1590)+1)</f>
        <v>NT</v>
      </c>
      <c r="H1590" s="6">
        <f>IF(F1590="GO",Eingaben!$B$11,IF(F1590="STANDARD",Eingaben!$B$12,IF(AND(F1590="HEAT",ISNUMBER(Eingaben!$B$13)),Eingaben!$B$13,"")))</f>
        <v>28.2744</v>
      </c>
      <c r="I1590" s="6">
        <f>INDEX(Netzzeiten!$C$6:$C$29,HOUR(B1590)+1)</f>
        <v>1.64</v>
      </c>
      <c r="J1590" t="str">
        <f>IF(C1590="","FEHLT",IF(NOT(ISNUMBER(C1590)),"MESSWERT UNGUELTIG",IF(C1590&lt;0,"MESSWERT UNGUELTIG",IF(H1590="","TARIFPREIS FEHLT","OK"))))</f>
        <v>FEHLT</v>
      </c>
      <c r="K1590" s="7">
        <f>IF(J1590&lt;&gt;"OK","",C1590*I1590/100)</f>
        <v/>
      </c>
    </row>
    <row r="1591" spans="1:11">
      <c r="A1591" s="14">
        <v>46159</v>
      </c>
      <c r="B1591" s="15">
        <v>0.5104166666666666</v>
      </c>
      <c r="C1591" s="5">
        <f>IF('96 Werte'!AY22="","",'96 Werte'!AY22)</f>
        <v/>
      </c>
      <c r="D1591" t="str">
        <f>IF(IF(Eingaben!$B$21&lt;Eingaben!$B$22,AND(B1591&gt;=Eingaben!$B$21,B1591&lt;Eingaben!$B$22),OR(B1591&gt;=Eingaben!$B$21,B1591&lt;Eingaben!$B$22)),"GO",IF(AND(ISNUMBER(Eingaben!$B$23),ISNUMBER(Eingaben!$B$24),IF(Eingaben!$B$23&lt;Eingaben!$B$24,AND(B1591&gt;=Eingaben!$B$23,B1591&lt;Eingaben!$B$24),OR(B1591&gt;=Eingaben!$B$23,B1591&lt;Eingaben!$B$24))),"HEAT","STANDARD"))</f>
        <v>STANDARD</v>
      </c>
      <c r="E1591" s="9"/>
      <c r="F1591" t="str">
        <f>IF(E1591="",D1591,E1591)</f>
        <v>STANDARD</v>
      </c>
      <c r="G1591" t="str">
        <f>INDEX(Netzzeiten!$B$6:$B$29,HOUR(B1591)+1)</f>
        <v>NT</v>
      </c>
      <c r="H1591" s="6">
        <f>IF(F1591="GO",Eingaben!$B$11,IF(F1591="STANDARD",Eingaben!$B$12,IF(AND(F1591="HEAT",ISNUMBER(Eingaben!$B$13)),Eingaben!$B$13,"")))</f>
        <v>28.2744</v>
      </c>
      <c r="I1591" s="6">
        <f>INDEX(Netzzeiten!$C$6:$C$29,HOUR(B1591)+1)</f>
        <v>1.64</v>
      </c>
      <c r="J1591" t="str">
        <f>IF(C1591="","FEHLT",IF(NOT(ISNUMBER(C1591)),"MESSWERT UNGUELTIG",IF(C1591&lt;0,"MESSWERT UNGUELTIG",IF(H1591="","TARIFPREIS FEHLT","OK"))))</f>
        <v>FEHLT</v>
      </c>
      <c r="K1591" s="7">
        <f>IF(J1591&lt;&gt;"OK","",C1591*I1591/100)</f>
        <v/>
      </c>
    </row>
    <row r="1592" spans="1:11">
      <c r="A1592" s="14">
        <v>46159</v>
      </c>
      <c r="B1592" s="15">
        <v>0.5208333333333334</v>
      </c>
      <c r="C1592" s="5">
        <f>IF('96 Werte'!AZ22="","",'96 Werte'!AZ22)</f>
        <v/>
      </c>
      <c r="D1592" t="str">
        <f>IF(IF(Eingaben!$B$21&lt;Eingaben!$B$22,AND(B1592&gt;=Eingaben!$B$21,B1592&lt;Eingaben!$B$22),OR(B1592&gt;=Eingaben!$B$21,B1592&lt;Eingaben!$B$22)),"GO",IF(AND(ISNUMBER(Eingaben!$B$23),ISNUMBER(Eingaben!$B$24),IF(Eingaben!$B$23&lt;Eingaben!$B$24,AND(B1592&gt;=Eingaben!$B$23,B1592&lt;Eingaben!$B$24),OR(B1592&gt;=Eingaben!$B$23,B1592&lt;Eingaben!$B$24))),"HEAT","STANDARD"))</f>
        <v>STANDARD</v>
      </c>
      <c r="E1592" s="9"/>
      <c r="F1592" t="str">
        <f>IF(E1592="",D1592,E1592)</f>
        <v>STANDARD</v>
      </c>
      <c r="G1592" t="str">
        <f>INDEX(Netzzeiten!$B$6:$B$29,HOUR(B1592)+1)</f>
        <v>NT</v>
      </c>
      <c r="H1592" s="6">
        <f>IF(F1592="GO",Eingaben!$B$11,IF(F1592="STANDARD",Eingaben!$B$12,IF(AND(F1592="HEAT",ISNUMBER(Eingaben!$B$13)),Eingaben!$B$13,"")))</f>
        <v>28.2744</v>
      </c>
      <c r="I1592" s="6">
        <f>INDEX(Netzzeiten!$C$6:$C$29,HOUR(B1592)+1)</f>
        <v>1.64</v>
      </c>
      <c r="J1592" t="str">
        <f>IF(C1592="","FEHLT",IF(NOT(ISNUMBER(C1592)),"MESSWERT UNGUELTIG",IF(C1592&lt;0,"MESSWERT UNGUELTIG",IF(H1592="","TARIFPREIS FEHLT","OK"))))</f>
        <v>FEHLT</v>
      </c>
      <c r="K1592" s="7">
        <f>IF(J1592&lt;&gt;"OK","",C1592*I1592/100)</f>
        <v/>
      </c>
    </row>
    <row r="1593" spans="1:11">
      <c r="A1593" s="14">
        <v>46159</v>
      </c>
      <c r="B1593" s="15">
        <v>0.53125</v>
      </c>
      <c r="C1593" s="5">
        <f>IF('96 Werte'!BA22="","",'96 Werte'!BA22)</f>
        <v/>
      </c>
      <c r="D1593" t="str">
        <f>IF(IF(Eingaben!$B$21&lt;Eingaben!$B$22,AND(B1593&gt;=Eingaben!$B$21,B1593&lt;Eingaben!$B$22),OR(B1593&gt;=Eingaben!$B$21,B1593&lt;Eingaben!$B$22)),"GO",IF(AND(ISNUMBER(Eingaben!$B$23),ISNUMBER(Eingaben!$B$24),IF(Eingaben!$B$23&lt;Eingaben!$B$24,AND(B1593&gt;=Eingaben!$B$23,B1593&lt;Eingaben!$B$24),OR(B1593&gt;=Eingaben!$B$23,B1593&lt;Eingaben!$B$24))),"HEAT","STANDARD"))</f>
        <v>STANDARD</v>
      </c>
      <c r="E1593" s="9"/>
      <c r="F1593" t="str">
        <f>IF(E1593="",D1593,E1593)</f>
        <v>STANDARD</v>
      </c>
      <c r="G1593" t="str">
        <f>INDEX(Netzzeiten!$B$6:$B$29,HOUR(B1593)+1)</f>
        <v>NT</v>
      </c>
      <c r="H1593" s="6">
        <f>IF(F1593="GO",Eingaben!$B$11,IF(F1593="STANDARD",Eingaben!$B$12,IF(AND(F1593="HEAT",ISNUMBER(Eingaben!$B$13)),Eingaben!$B$13,"")))</f>
        <v>28.2744</v>
      </c>
      <c r="I1593" s="6">
        <f>INDEX(Netzzeiten!$C$6:$C$29,HOUR(B1593)+1)</f>
        <v>1.64</v>
      </c>
      <c r="J1593" t="str">
        <f>IF(C1593="","FEHLT",IF(NOT(ISNUMBER(C1593)),"MESSWERT UNGUELTIG",IF(C1593&lt;0,"MESSWERT UNGUELTIG",IF(H1593="","TARIFPREIS FEHLT","OK"))))</f>
        <v>FEHLT</v>
      </c>
      <c r="K1593" s="7">
        <f>IF(J1593&lt;&gt;"OK","",C1593*I1593/100)</f>
        <v/>
      </c>
    </row>
    <row r="1594" spans="1:11">
      <c r="A1594" s="14">
        <v>46159</v>
      </c>
      <c r="B1594" s="15">
        <v>0.5416666666666666</v>
      </c>
      <c r="C1594" s="5">
        <f>IF('96 Werte'!BB22="","",'96 Werte'!BB22)</f>
        <v/>
      </c>
      <c r="D1594" t="str">
        <f>IF(IF(Eingaben!$B$21&lt;Eingaben!$B$22,AND(B1594&gt;=Eingaben!$B$21,B1594&lt;Eingaben!$B$22),OR(B1594&gt;=Eingaben!$B$21,B1594&lt;Eingaben!$B$22)),"GO",IF(AND(ISNUMBER(Eingaben!$B$23),ISNUMBER(Eingaben!$B$24),IF(Eingaben!$B$23&lt;Eingaben!$B$24,AND(B1594&gt;=Eingaben!$B$23,B1594&lt;Eingaben!$B$24),OR(B1594&gt;=Eingaben!$B$23,B1594&lt;Eingaben!$B$24))),"HEAT","STANDARD"))</f>
        <v>STANDARD</v>
      </c>
      <c r="E1594" s="9"/>
      <c r="F1594" t="str">
        <f>IF(E1594="",D1594,E1594)</f>
        <v>STANDARD</v>
      </c>
      <c r="G1594" t="str">
        <f>INDEX(Netzzeiten!$B$6:$B$29,HOUR(B1594)+1)</f>
        <v>NT</v>
      </c>
      <c r="H1594" s="6">
        <f>IF(F1594="GO",Eingaben!$B$11,IF(F1594="STANDARD",Eingaben!$B$12,IF(AND(F1594="HEAT",ISNUMBER(Eingaben!$B$13)),Eingaben!$B$13,"")))</f>
        <v>28.2744</v>
      </c>
      <c r="I1594" s="6">
        <f>INDEX(Netzzeiten!$C$6:$C$29,HOUR(B1594)+1)</f>
        <v>1.64</v>
      </c>
      <c r="J1594" t="str">
        <f>IF(C1594="","FEHLT",IF(NOT(ISNUMBER(C1594)),"MESSWERT UNGUELTIG",IF(C1594&lt;0,"MESSWERT UNGUELTIG",IF(H1594="","TARIFPREIS FEHLT","OK"))))</f>
        <v>FEHLT</v>
      </c>
      <c r="K1594" s="7">
        <f>IF(J1594&lt;&gt;"OK","",C1594*I1594/100)</f>
        <v/>
      </c>
    </row>
    <row r="1595" spans="1:11">
      <c r="A1595" s="14">
        <v>46159</v>
      </c>
      <c r="B1595" s="15">
        <v>0.5520833333333334</v>
      </c>
      <c r="C1595" s="5">
        <f>IF('96 Werte'!BC22="","",'96 Werte'!BC22)</f>
        <v/>
      </c>
      <c r="D1595" t="str">
        <f>IF(IF(Eingaben!$B$21&lt;Eingaben!$B$22,AND(B1595&gt;=Eingaben!$B$21,B1595&lt;Eingaben!$B$22),OR(B1595&gt;=Eingaben!$B$21,B1595&lt;Eingaben!$B$22)),"GO",IF(AND(ISNUMBER(Eingaben!$B$23),ISNUMBER(Eingaben!$B$24),IF(Eingaben!$B$23&lt;Eingaben!$B$24,AND(B1595&gt;=Eingaben!$B$23,B1595&lt;Eingaben!$B$24),OR(B1595&gt;=Eingaben!$B$23,B1595&lt;Eingaben!$B$24))),"HEAT","STANDARD"))</f>
        <v>STANDARD</v>
      </c>
      <c r="E1595" s="9"/>
      <c r="F1595" t="str">
        <f>IF(E1595="",D1595,E1595)</f>
        <v>STANDARD</v>
      </c>
      <c r="G1595" t="str">
        <f>INDEX(Netzzeiten!$B$6:$B$29,HOUR(B1595)+1)</f>
        <v>NT</v>
      </c>
      <c r="H1595" s="6">
        <f>IF(F1595="GO",Eingaben!$B$11,IF(F1595="STANDARD",Eingaben!$B$12,IF(AND(F1595="HEAT",ISNUMBER(Eingaben!$B$13)),Eingaben!$B$13,"")))</f>
        <v>28.2744</v>
      </c>
      <c r="I1595" s="6">
        <f>INDEX(Netzzeiten!$C$6:$C$29,HOUR(B1595)+1)</f>
        <v>1.64</v>
      </c>
      <c r="J1595" t="str">
        <f>IF(C1595="","FEHLT",IF(NOT(ISNUMBER(C1595)),"MESSWERT UNGUELTIG",IF(C1595&lt;0,"MESSWERT UNGUELTIG",IF(H1595="","TARIFPREIS FEHLT","OK"))))</f>
        <v>FEHLT</v>
      </c>
      <c r="K1595" s="7">
        <f>IF(J1595&lt;&gt;"OK","",C1595*I1595/100)</f>
        <v/>
      </c>
    </row>
    <row r="1596" spans="1:11">
      <c r="A1596" s="14">
        <v>46159</v>
      </c>
      <c r="B1596" s="15">
        <v>0.5625</v>
      </c>
      <c r="C1596" s="5">
        <f>IF('96 Werte'!BD22="","",'96 Werte'!BD22)</f>
        <v/>
      </c>
      <c r="D1596" t="str">
        <f>IF(IF(Eingaben!$B$21&lt;Eingaben!$B$22,AND(B1596&gt;=Eingaben!$B$21,B1596&lt;Eingaben!$B$22),OR(B1596&gt;=Eingaben!$B$21,B1596&lt;Eingaben!$B$22)),"GO",IF(AND(ISNUMBER(Eingaben!$B$23),ISNUMBER(Eingaben!$B$24),IF(Eingaben!$B$23&lt;Eingaben!$B$24,AND(B1596&gt;=Eingaben!$B$23,B1596&lt;Eingaben!$B$24),OR(B1596&gt;=Eingaben!$B$23,B1596&lt;Eingaben!$B$24))),"HEAT","STANDARD"))</f>
        <v>STANDARD</v>
      </c>
      <c r="E1596" s="9"/>
      <c r="F1596" t="str">
        <f>IF(E1596="",D1596,E1596)</f>
        <v>STANDARD</v>
      </c>
      <c r="G1596" t="str">
        <f>INDEX(Netzzeiten!$B$6:$B$29,HOUR(B1596)+1)</f>
        <v>NT</v>
      </c>
      <c r="H1596" s="6">
        <f>IF(F1596="GO",Eingaben!$B$11,IF(F1596="STANDARD",Eingaben!$B$12,IF(AND(F1596="HEAT",ISNUMBER(Eingaben!$B$13)),Eingaben!$B$13,"")))</f>
        <v>28.2744</v>
      </c>
      <c r="I1596" s="6">
        <f>INDEX(Netzzeiten!$C$6:$C$29,HOUR(B1596)+1)</f>
        <v>1.64</v>
      </c>
      <c r="J1596" t="str">
        <f>IF(C1596="","FEHLT",IF(NOT(ISNUMBER(C1596)),"MESSWERT UNGUELTIG",IF(C1596&lt;0,"MESSWERT UNGUELTIG",IF(H1596="","TARIFPREIS FEHLT","OK"))))</f>
        <v>FEHLT</v>
      </c>
      <c r="K1596" s="7">
        <f>IF(J1596&lt;&gt;"OK","",C1596*I1596/100)</f>
        <v/>
      </c>
    </row>
    <row r="1597" spans="1:11">
      <c r="A1597" s="14">
        <v>46159</v>
      </c>
      <c r="B1597" s="15">
        <v>0.5729166666666666</v>
      </c>
      <c r="C1597" s="5">
        <f>IF('96 Werte'!BE22="","",'96 Werte'!BE22)</f>
        <v/>
      </c>
      <c r="D1597" t="str">
        <f>IF(IF(Eingaben!$B$21&lt;Eingaben!$B$22,AND(B1597&gt;=Eingaben!$B$21,B1597&lt;Eingaben!$B$22),OR(B1597&gt;=Eingaben!$B$21,B1597&lt;Eingaben!$B$22)),"GO",IF(AND(ISNUMBER(Eingaben!$B$23),ISNUMBER(Eingaben!$B$24),IF(Eingaben!$B$23&lt;Eingaben!$B$24,AND(B1597&gt;=Eingaben!$B$23,B1597&lt;Eingaben!$B$24),OR(B1597&gt;=Eingaben!$B$23,B1597&lt;Eingaben!$B$24))),"HEAT","STANDARD"))</f>
        <v>STANDARD</v>
      </c>
      <c r="E1597" s="9"/>
      <c r="F1597" t="str">
        <f>IF(E1597="",D1597,E1597)</f>
        <v>STANDARD</v>
      </c>
      <c r="G1597" t="str">
        <f>INDEX(Netzzeiten!$B$6:$B$29,HOUR(B1597)+1)</f>
        <v>NT</v>
      </c>
      <c r="H1597" s="6">
        <f>IF(F1597="GO",Eingaben!$B$11,IF(F1597="STANDARD",Eingaben!$B$12,IF(AND(F1597="HEAT",ISNUMBER(Eingaben!$B$13)),Eingaben!$B$13,"")))</f>
        <v>28.2744</v>
      </c>
      <c r="I1597" s="6">
        <f>INDEX(Netzzeiten!$C$6:$C$29,HOUR(B1597)+1)</f>
        <v>1.64</v>
      </c>
      <c r="J1597" t="str">
        <f>IF(C1597="","FEHLT",IF(NOT(ISNUMBER(C1597)),"MESSWERT UNGUELTIG",IF(C1597&lt;0,"MESSWERT UNGUELTIG",IF(H1597="","TARIFPREIS FEHLT","OK"))))</f>
        <v>FEHLT</v>
      </c>
      <c r="K1597" s="7">
        <f>IF(J1597&lt;&gt;"OK","",C1597*I1597/100)</f>
        <v/>
      </c>
    </row>
    <row r="1598" spans="1:11">
      <c r="A1598" s="14">
        <v>46159</v>
      </c>
      <c r="B1598" s="15">
        <v>0.5833333333333334</v>
      </c>
      <c r="C1598" s="5">
        <f>IF('96 Werte'!BF22="","",'96 Werte'!BF22)</f>
        <v/>
      </c>
      <c r="D1598" t="str">
        <f>IF(IF(Eingaben!$B$21&lt;Eingaben!$B$22,AND(B1598&gt;=Eingaben!$B$21,B1598&lt;Eingaben!$B$22),OR(B1598&gt;=Eingaben!$B$21,B1598&lt;Eingaben!$B$22)),"GO",IF(AND(ISNUMBER(Eingaben!$B$23),ISNUMBER(Eingaben!$B$24),IF(Eingaben!$B$23&lt;Eingaben!$B$24,AND(B1598&gt;=Eingaben!$B$23,B1598&lt;Eingaben!$B$24),OR(B1598&gt;=Eingaben!$B$23,B1598&lt;Eingaben!$B$24))),"HEAT","STANDARD"))</f>
        <v>STANDARD</v>
      </c>
      <c r="E1598" s="9"/>
      <c r="F1598" t="str">
        <f>IF(E1598="",D1598,E1598)</f>
        <v>STANDARD</v>
      </c>
      <c r="G1598" t="str">
        <f>INDEX(Netzzeiten!$B$6:$B$29,HOUR(B1598)+1)</f>
        <v>NT</v>
      </c>
      <c r="H1598" s="6">
        <f>IF(F1598="GO",Eingaben!$B$11,IF(F1598="STANDARD",Eingaben!$B$12,IF(AND(F1598="HEAT",ISNUMBER(Eingaben!$B$13)),Eingaben!$B$13,"")))</f>
        <v>28.2744</v>
      </c>
      <c r="I1598" s="6">
        <f>INDEX(Netzzeiten!$C$6:$C$29,HOUR(B1598)+1)</f>
        <v>1.64</v>
      </c>
      <c r="J1598" t="str">
        <f>IF(C1598="","FEHLT",IF(NOT(ISNUMBER(C1598)),"MESSWERT UNGUELTIG",IF(C1598&lt;0,"MESSWERT UNGUELTIG",IF(H1598="","TARIFPREIS FEHLT","OK"))))</f>
        <v>FEHLT</v>
      </c>
      <c r="K1598" s="7">
        <f>IF(J1598&lt;&gt;"OK","",C1598*I1598/100)</f>
        <v/>
      </c>
    </row>
    <row r="1599" spans="1:11">
      <c r="A1599" s="14">
        <v>46159</v>
      </c>
      <c r="B1599" s="15">
        <v>0.59375</v>
      </c>
      <c r="C1599" s="5">
        <f>IF('96 Werte'!BG22="","",'96 Werte'!BG22)</f>
        <v/>
      </c>
      <c r="D1599" t="str">
        <f>IF(IF(Eingaben!$B$21&lt;Eingaben!$B$22,AND(B1599&gt;=Eingaben!$B$21,B1599&lt;Eingaben!$B$22),OR(B1599&gt;=Eingaben!$B$21,B1599&lt;Eingaben!$B$22)),"GO",IF(AND(ISNUMBER(Eingaben!$B$23),ISNUMBER(Eingaben!$B$24),IF(Eingaben!$B$23&lt;Eingaben!$B$24,AND(B1599&gt;=Eingaben!$B$23,B1599&lt;Eingaben!$B$24),OR(B1599&gt;=Eingaben!$B$23,B1599&lt;Eingaben!$B$24))),"HEAT","STANDARD"))</f>
        <v>STANDARD</v>
      </c>
      <c r="E1599" s="9"/>
      <c r="F1599" t="str">
        <f>IF(E1599="",D1599,E1599)</f>
        <v>STANDARD</v>
      </c>
      <c r="G1599" t="str">
        <f>INDEX(Netzzeiten!$B$6:$B$29,HOUR(B1599)+1)</f>
        <v>NT</v>
      </c>
      <c r="H1599" s="6">
        <f>IF(F1599="GO",Eingaben!$B$11,IF(F1599="STANDARD",Eingaben!$B$12,IF(AND(F1599="HEAT",ISNUMBER(Eingaben!$B$13)),Eingaben!$B$13,"")))</f>
        <v>28.2744</v>
      </c>
      <c r="I1599" s="6">
        <f>INDEX(Netzzeiten!$C$6:$C$29,HOUR(B1599)+1)</f>
        <v>1.64</v>
      </c>
      <c r="J1599" t="str">
        <f>IF(C1599="","FEHLT",IF(NOT(ISNUMBER(C1599)),"MESSWERT UNGUELTIG",IF(C1599&lt;0,"MESSWERT UNGUELTIG",IF(H1599="","TARIFPREIS FEHLT","OK"))))</f>
        <v>FEHLT</v>
      </c>
      <c r="K1599" s="7">
        <f>IF(J1599&lt;&gt;"OK","",C1599*I1599/100)</f>
        <v/>
      </c>
    </row>
    <row r="1600" spans="1:11">
      <c r="A1600" s="14">
        <v>46159</v>
      </c>
      <c r="B1600" s="15">
        <v>0.6041666666666666</v>
      </c>
      <c r="C1600" s="5">
        <f>IF('96 Werte'!BH22="","",'96 Werte'!BH22)</f>
        <v/>
      </c>
      <c r="D1600" t="str">
        <f>IF(IF(Eingaben!$B$21&lt;Eingaben!$B$22,AND(B1600&gt;=Eingaben!$B$21,B1600&lt;Eingaben!$B$22),OR(B1600&gt;=Eingaben!$B$21,B1600&lt;Eingaben!$B$22)),"GO",IF(AND(ISNUMBER(Eingaben!$B$23),ISNUMBER(Eingaben!$B$24),IF(Eingaben!$B$23&lt;Eingaben!$B$24,AND(B1600&gt;=Eingaben!$B$23,B1600&lt;Eingaben!$B$24),OR(B1600&gt;=Eingaben!$B$23,B1600&lt;Eingaben!$B$24))),"HEAT","STANDARD"))</f>
        <v>STANDARD</v>
      </c>
      <c r="E1600" s="9"/>
      <c r="F1600" t="str">
        <f>IF(E1600="",D1600,E1600)</f>
        <v>STANDARD</v>
      </c>
      <c r="G1600" t="str">
        <f>INDEX(Netzzeiten!$B$6:$B$29,HOUR(B1600)+1)</f>
        <v>NT</v>
      </c>
      <c r="H1600" s="6">
        <f>IF(F1600="GO",Eingaben!$B$11,IF(F1600="STANDARD",Eingaben!$B$12,IF(AND(F1600="HEAT",ISNUMBER(Eingaben!$B$13)),Eingaben!$B$13,"")))</f>
        <v>28.2744</v>
      </c>
      <c r="I1600" s="6">
        <f>INDEX(Netzzeiten!$C$6:$C$29,HOUR(B1600)+1)</f>
        <v>1.64</v>
      </c>
      <c r="J1600" t="str">
        <f>IF(C1600="","FEHLT",IF(NOT(ISNUMBER(C1600)),"MESSWERT UNGUELTIG",IF(C1600&lt;0,"MESSWERT UNGUELTIG",IF(H1600="","TARIFPREIS FEHLT","OK"))))</f>
        <v>FEHLT</v>
      </c>
      <c r="K1600" s="7">
        <f>IF(J1600&lt;&gt;"OK","",C1600*I1600/100)</f>
        <v/>
      </c>
    </row>
    <row r="1601" spans="1:11">
      <c r="A1601" s="14">
        <v>46159</v>
      </c>
      <c r="B1601" s="15">
        <v>0.6145833333333334</v>
      </c>
      <c r="C1601" s="5">
        <f>IF('96 Werte'!BI22="","",'96 Werte'!BI22)</f>
        <v/>
      </c>
      <c r="D1601" t="str">
        <f>IF(IF(Eingaben!$B$21&lt;Eingaben!$B$22,AND(B1601&gt;=Eingaben!$B$21,B1601&lt;Eingaben!$B$22),OR(B1601&gt;=Eingaben!$B$21,B1601&lt;Eingaben!$B$22)),"GO",IF(AND(ISNUMBER(Eingaben!$B$23),ISNUMBER(Eingaben!$B$24),IF(Eingaben!$B$23&lt;Eingaben!$B$24,AND(B1601&gt;=Eingaben!$B$23,B1601&lt;Eingaben!$B$24),OR(B1601&gt;=Eingaben!$B$23,B1601&lt;Eingaben!$B$24))),"HEAT","STANDARD"))</f>
        <v>STANDARD</v>
      </c>
      <c r="E1601" s="9"/>
      <c r="F1601" t="str">
        <f>IF(E1601="",D1601,E1601)</f>
        <v>STANDARD</v>
      </c>
      <c r="G1601" t="str">
        <f>INDEX(Netzzeiten!$B$6:$B$29,HOUR(B1601)+1)</f>
        <v>NT</v>
      </c>
      <c r="H1601" s="6">
        <f>IF(F1601="GO",Eingaben!$B$11,IF(F1601="STANDARD",Eingaben!$B$12,IF(AND(F1601="HEAT",ISNUMBER(Eingaben!$B$13)),Eingaben!$B$13,"")))</f>
        <v>28.2744</v>
      </c>
      <c r="I1601" s="6">
        <f>INDEX(Netzzeiten!$C$6:$C$29,HOUR(B1601)+1)</f>
        <v>1.64</v>
      </c>
      <c r="J1601" t="str">
        <f>IF(C1601="","FEHLT",IF(NOT(ISNUMBER(C1601)),"MESSWERT UNGUELTIG",IF(C1601&lt;0,"MESSWERT UNGUELTIG",IF(H1601="","TARIFPREIS FEHLT","OK"))))</f>
        <v>FEHLT</v>
      </c>
      <c r="K1601" s="7">
        <f>IF(J1601&lt;&gt;"OK","",C1601*I1601/100)</f>
        <v/>
      </c>
    </row>
    <row r="1602" spans="1:11">
      <c r="A1602" s="14">
        <v>46159</v>
      </c>
      <c r="B1602" s="15">
        <v>0.625</v>
      </c>
      <c r="C1602" s="5">
        <f>IF('96 Werte'!BJ22="","",'96 Werte'!BJ22)</f>
        <v/>
      </c>
      <c r="D1602" t="str">
        <f>IF(IF(Eingaben!$B$21&lt;Eingaben!$B$22,AND(B1602&gt;=Eingaben!$B$21,B1602&lt;Eingaben!$B$22),OR(B1602&gt;=Eingaben!$B$21,B1602&lt;Eingaben!$B$22)),"GO",IF(AND(ISNUMBER(Eingaben!$B$23),ISNUMBER(Eingaben!$B$24),IF(Eingaben!$B$23&lt;Eingaben!$B$24,AND(B1602&gt;=Eingaben!$B$23,B1602&lt;Eingaben!$B$24),OR(B1602&gt;=Eingaben!$B$23,B1602&lt;Eingaben!$B$24))),"HEAT","STANDARD"))</f>
        <v>STANDARD</v>
      </c>
      <c r="E1602" s="9"/>
      <c r="F1602" t="str">
        <f>IF(E1602="",D1602,E1602)</f>
        <v>STANDARD</v>
      </c>
      <c r="G1602" t="str">
        <f>INDEX(Netzzeiten!$B$6:$B$29,HOUR(B1602)+1)</f>
        <v>ST</v>
      </c>
      <c r="H1602" s="6">
        <f>IF(F1602="GO",Eingaben!$B$11,IF(F1602="STANDARD",Eingaben!$B$12,IF(AND(F1602="HEAT",ISNUMBER(Eingaben!$B$13)),Eingaben!$B$13,"")))</f>
        <v>28.2744</v>
      </c>
      <c r="I1602" s="6">
        <f>INDEX(Netzzeiten!$C$6:$C$29,HOUR(B1602)+1)</f>
        <v>5.48</v>
      </c>
      <c r="J1602" t="str">
        <f>IF(C1602="","FEHLT",IF(NOT(ISNUMBER(C1602)),"MESSWERT UNGUELTIG",IF(C1602&lt;0,"MESSWERT UNGUELTIG",IF(H1602="","TARIFPREIS FEHLT","OK"))))</f>
        <v>FEHLT</v>
      </c>
      <c r="K1602" s="7">
        <f>IF(J1602&lt;&gt;"OK","",C1602*I1602/100)</f>
        <v/>
      </c>
    </row>
    <row r="1603" spans="1:11">
      <c r="A1603" s="14">
        <v>46159</v>
      </c>
      <c r="B1603" s="15">
        <v>0.6354166666666666</v>
      </c>
      <c r="C1603" s="5">
        <f>IF('96 Werte'!BK22="","",'96 Werte'!BK22)</f>
        <v/>
      </c>
      <c r="D1603" t="str">
        <f>IF(IF(Eingaben!$B$21&lt;Eingaben!$B$22,AND(B1603&gt;=Eingaben!$B$21,B1603&lt;Eingaben!$B$22),OR(B1603&gt;=Eingaben!$B$21,B1603&lt;Eingaben!$B$22)),"GO",IF(AND(ISNUMBER(Eingaben!$B$23),ISNUMBER(Eingaben!$B$24),IF(Eingaben!$B$23&lt;Eingaben!$B$24,AND(B1603&gt;=Eingaben!$B$23,B1603&lt;Eingaben!$B$24),OR(B1603&gt;=Eingaben!$B$23,B1603&lt;Eingaben!$B$24))),"HEAT","STANDARD"))</f>
        <v>STANDARD</v>
      </c>
      <c r="E1603" s="9"/>
      <c r="F1603" t="str">
        <f>IF(E1603="",D1603,E1603)</f>
        <v>STANDARD</v>
      </c>
      <c r="G1603" t="str">
        <f>INDEX(Netzzeiten!$B$6:$B$29,HOUR(B1603)+1)</f>
        <v>ST</v>
      </c>
      <c r="H1603" s="6">
        <f>IF(F1603="GO",Eingaben!$B$11,IF(F1603="STANDARD",Eingaben!$B$12,IF(AND(F1603="HEAT",ISNUMBER(Eingaben!$B$13)),Eingaben!$B$13,"")))</f>
        <v>28.2744</v>
      </c>
      <c r="I1603" s="6">
        <f>INDEX(Netzzeiten!$C$6:$C$29,HOUR(B1603)+1)</f>
        <v>5.48</v>
      </c>
      <c r="J1603" t="str">
        <f>IF(C1603="","FEHLT",IF(NOT(ISNUMBER(C1603)),"MESSWERT UNGUELTIG",IF(C1603&lt;0,"MESSWERT UNGUELTIG",IF(H1603="","TARIFPREIS FEHLT","OK"))))</f>
        <v>FEHLT</v>
      </c>
      <c r="K1603" s="7">
        <f>IF(J1603&lt;&gt;"OK","",C1603*I1603/100)</f>
        <v/>
      </c>
    </row>
    <row r="1604" spans="1:11">
      <c r="A1604" s="14">
        <v>46159</v>
      </c>
      <c r="B1604" s="15">
        <v>0.6458333333333334</v>
      </c>
      <c r="C1604" s="5">
        <f>IF('96 Werte'!BL22="","",'96 Werte'!BL22)</f>
        <v/>
      </c>
      <c r="D1604" t="str">
        <f>IF(IF(Eingaben!$B$21&lt;Eingaben!$B$22,AND(B1604&gt;=Eingaben!$B$21,B1604&lt;Eingaben!$B$22),OR(B1604&gt;=Eingaben!$B$21,B1604&lt;Eingaben!$B$22)),"GO",IF(AND(ISNUMBER(Eingaben!$B$23),ISNUMBER(Eingaben!$B$24),IF(Eingaben!$B$23&lt;Eingaben!$B$24,AND(B1604&gt;=Eingaben!$B$23,B1604&lt;Eingaben!$B$24),OR(B1604&gt;=Eingaben!$B$23,B1604&lt;Eingaben!$B$24))),"HEAT","STANDARD"))</f>
        <v>STANDARD</v>
      </c>
      <c r="E1604" s="9"/>
      <c r="F1604" t="str">
        <f>IF(E1604="",D1604,E1604)</f>
        <v>STANDARD</v>
      </c>
      <c r="G1604" t="str">
        <f>INDEX(Netzzeiten!$B$6:$B$29,HOUR(B1604)+1)</f>
        <v>ST</v>
      </c>
      <c r="H1604" s="6">
        <f>IF(F1604="GO",Eingaben!$B$11,IF(F1604="STANDARD",Eingaben!$B$12,IF(AND(F1604="HEAT",ISNUMBER(Eingaben!$B$13)),Eingaben!$B$13,"")))</f>
        <v>28.2744</v>
      </c>
      <c r="I1604" s="6">
        <f>INDEX(Netzzeiten!$C$6:$C$29,HOUR(B1604)+1)</f>
        <v>5.48</v>
      </c>
      <c r="J1604" t="str">
        <f>IF(C1604="","FEHLT",IF(NOT(ISNUMBER(C1604)),"MESSWERT UNGUELTIG",IF(C1604&lt;0,"MESSWERT UNGUELTIG",IF(H1604="","TARIFPREIS FEHLT","OK"))))</f>
        <v>FEHLT</v>
      </c>
      <c r="K1604" s="7">
        <f>IF(J1604&lt;&gt;"OK","",C1604*I1604/100)</f>
        <v/>
      </c>
    </row>
    <row r="1605" spans="1:11">
      <c r="A1605" s="14">
        <v>46159</v>
      </c>
      <c r="B1605" s="15">
        <v>0.65625</v>
      </c>
      <c r="C1605" s="5">
        <f>IF('96 Werte'!BM22="","",'96 Werte'!BM22)</f>
        <v/>
      </c>
      <c r="D1605" t="str">
        <f>IF(IF(Eingaben!$B$21&lt;Eingaben!$B$22,AND(B1605&gt;=Eingaben!$B$21,B1605&lt;Eingaben!$B$22),OR(B1605&gt;=Eingaben!$B$21,B1605&lt;Eingaben!$B$22)),"GO",IF(AND(ISNUMBER(Eingaben!$B$23),ISNUMBER(Eingaben!$B$24),IF(Eingaben!$B$23&lt;Eingaben!$B$24,AND(B1605&gt;=Eingaben!$B$23,B1605&lt;Eingaben!$B$24),OR(B1605&gt;=Eingaben!$B$23,B1605&lt;Eingaben!$B$24))),"HEAT","STANDARD"))</f>
        <v>STANDARD</v>
      </c>
      <c r="E1605" s="9"/>
      <c r="F1605" t="str">
        <f>IF(E1605="",D1605,E1605)</f>
        <v>STANDARD</v>
      </c>
      <c r="G1605" t="str">
        <f>INDEX(Netzzeiten!$B$6:$B$29,HOUR(B1605)+1)</f>
        <v>ST</v>
      </c>
      <c r="H1605" s="6">
        <f>IF(F1605="GO",Eingaben!$B$11,IF(F1605="STANDARD",Eingaben!$B$12,IF(AND(F1605="HEAT",ISNUMBER(Eingaben!$B$13)),Eingaben!$B$13,"")))</f>
        <v>28.2744</v>
      </c>
      <c r="I1605" s="6">
        <f>INDEX(Netzzeiten!$C$6:$C$29,HOUR(B1605)+1)</f>
        <v>5.48</v>
      </c>
      <c r="J1605" t="str">
        <f>IF(C1605="","FEHLT",IF(NOT(ISNUMBER(C1605)),"MESSWERT UNGUELTIG",IF(C1605&lt;0,"MESSWERT UNGUELTIG",IF(H1605="","TARIFPREIS FEHLT","OK"))))</f>
        <v>FEHLT</v>
      </c>
      <c r="K1605" s="7">
        <f>IF(J1605&lt;&gt;"OK","",C1605*I1605/100)</f>
        <v/>
      </c>
    </row>
    <row r="1606" spans="1:11">
      <c r="A1606" s="14">
        <v>46159</v>
      </c>
      <c r="B1606" s="15">
        <v>0.6666666666666666</v>
      </c>
      <c r="C1606" s="5">
        <f>IF('96 Werte'!BN22="","",'96 Werte'!BN22)</f>
        <v/>
      </c>
      <c r="D1606" t="str">
        <f>IF(IF(Eingaben!$B$21&lt;Eingaben!$B$22,AND(B1606&gt;=Eingaben!$B$21,B1606&lt;Eingaben!$B$22),OR(B1606&gt;=Eingaben!$B$21,B1606&lt;Eingaben!$B$22)),"GO",IF(AND(ISNUMBER(Eingaben!$B$23),ISNUMBER(Eingaben!$B$24),IF(Eingaben!$B$23&lt;Eingaben!$B$24,AND(B1606&gt;=Eingaben!$B$23,B1606&lt;Eingaben!$B$24),OR(B1606&gt;=Eingaben!$B$23,B1606&lt;Eingaben!$B$24))),"HEAT","STANDARD"))</f>
        <v>STANDARD</v>
      </c>
      <c r="E1606" s="9"/>
      <c r="F1606" t="str">
        <f>IF(E1606="",D1606,E1606)</f>
        <v>STANDARD</v>
      </c>
      <c r="G1606" t="str">
        <f>INDEX(Netzzeiten!$B$6:$B$29,HOUR(B1606)+1)</f>
        <v>ST</v>
      </c>
      <c r="H1606" s="6">
        <f>IF(F1606="GO",Eingaben!$B$11,IF(F1606="STANDARD",Eingaben!$B$12,IF(AND(F1606="HEAT",ISNUMBER(Eingaben!$B$13)),Eingaben!$B$13,"")))</f>
        <v>28.2744</v>
      </c>
      <c r="I1606" s="6">
        <f>INDEX(Netzzeiten!$C$6:$C$29,HOUR(B1606)+1)</f>
        <v>5.48</v>
      </c>
      <c r="J1606" t="str">
        <f>IF(C1606="","FEHLT",IF(NOT(ISNUMBER(C1606)),"MESSWERT UNGUELTIG",IF(C1606&lt;0,"MESSWERT UNGUELTIG",IF(H1606="","TARIFPREIS FEHLT","OK"))))</f>
        <v>FEHLT</v>
      </c>
      <c r="K1606" s="7">
        <f>IF(J1606&lt;&gt;"OK","",C1606*I1606/100)</f>
        <v/>
      </c>
    </row>
    <row r="1607" spans="1:11">
      <c r="A1607" s="14">
        <v>46159</v>
      </c>
      <c r="B1607" s="15">
        <v>0.6770833333333334</v>
      </c>
      <c r="C1607" s="5">
        <f>IF('96 Werte'!BO22="","",'96 Werte'!BO22)</f>
        <v/>
      </c>
      <c r="D1607" t="str">
        <f>IF(IF(Eingaben!$B$21&lt;Eingaben!$B$22,AND(B1607&gt;=Eingaben!$B$21,B1607&lt;Eingaben!$B$22),OR(B1607&gt;=Eingaben!$B$21,B1607&lt;Eingaben!$B$22)),"GO",IF(AND(ISNUMBER(Eingaben!$B$23),ISNUMBER(Eingaben!$B$24),IF(Eingaben!$B$23&lt;Eingaben!$B$24,AND(B1607&gt;=Eingaben!$B$23,B1607&lt;Eingaben!$B$24),OR(B1607&gt;=Eingaben!$B$23,B1607&lt;Eingaben!$B$24))),"HEAT","STANDARD"))</f>
        <v>STANDARD</v>
      </c>
      <c r="E1607" s="9"/>
      <c r="F1607" t="str">
        <f>IF(E1607="",D1607,E1607)</f>
        <v>STANDARD</v>
      </c>
      <c r="G1607" t="str">
        <f>INDEX(Netzzeiten!$B$6:$B$29,HOUR(B1607)+1)</f>
        <v>ST</v>
      </c>
      <c r="H1607" s="6">
        <f>IF(F1607="GO",Eingaben!$B$11,IF(F1607="STANDARD",Eingaben!$B$12,IF(AND(F1607="HEAT",ISNUMBER(Eingaben!$B$13)),Eingaben!$B$13,"")))</f>
        <v>28.2744</v>
      </c>
      <c r="I1607" s="6">
        <f>INDEX(Netzzeiten!$C$6:$C$29,HOUR(B1607)+1)</f>
        <v>5.48</v>
      </c>
      <c r="J1607" t="str">
        <f>IF(C1607="","FEHLT",IF(NOT(ISNUMBER(C1607)),"MESSWERT UNGUELTIG",IF(C1607&lt;0,"MESSWERT UNGUELTIG",IF(H1607="","TARIFPREIS FEHLT","OK"))))</f>
        <v>FEHLT</v>
      </c>
      <c r="K1607" s="7">
        <f>IF(J1607&lt;&gt;"OK","",C1607*I1607/100)</f>
        <v/>
      </c>
    </row>
    <row r="1608" spans="1:11">
      <c r="A1608" s="14">
        <v>46159</v>
      </c>
      <c r="B1608" s="15">
        <v>0.6875</v>
      </c>
      <c r="C1608" s="5">
        <f>IF('96 Werte'!BP22="","",'96 Werte'!BP22)</f>
        <v/>
      </c>
      <c r="D1608" t="str">
        <f>IF(IF(Eingaben!$B$21&lt;Eingaben!$B$22,AND(B1608&gt;=Eingaben!$B$21,B1608&lt;Eingaben!$B$22),OR(B1608&gt;=Eingaben!$B$21,B1608&lt;Eingaben!$B$22)),"GO",IF(AND(ISNUMBER(Eingaben!$B$23),ISNUMBER(Eingaben!$B$24),IF(Eingaben!$B$23&lt;Eingaben!$B$24,AND(B1608&gt;=Eingaben!$B$23,B1608&lt;Eingaben!$B$24),OR(B1608&gt;=Eingaben!$B$23,B1608&lt;Eingaben!$B$24))),"HEAT","STANDARD"))</f>
        <v>STANDARD</v>
      </c>
      <c r="E1608" s="9"/>
      <c r="F1608" t="str">
        <f>IF(E1608="",D1608,E1608)</f>
        <v>STANDARD</v>
      </c>
      <c r="G1608" t="str">
        <f>INDEX(Netzzeiten!$B$6:$B$29,HOUR(B1608)+1)</f>
        <v>ST</v>
      </c>
      <c r="H1608" s="6">
        <f>IF(F1608="GO",Eingaben!$B$11,IF(F1608="STANDARD",Eingaben!$B$12,IF(AND(F1608="HEAT",ISNUMBER(Eingaben!$B$13)),Eingaben!$B$13,"")))</f>
        <v>28.2744</v>
      </c>
      <c r="I1608" s="6">
        <f>INDEX(Netzzeiten!$C$6:$C$29,HOUR(B1608)+1)</f>
        <v>5.48</v>
      </c>
      <c r="J1608" t="str">
        <f>IF(C1608="","FEHLT",IF(NOT(ISNUMBER(C1608)),"MESSWERT UNGUELTIG",IF(C1608&lt;0,"MESSWERT UNGUELTIG",IF(H1608="","TARIFPREIS FEHLT","OK"))))</f>
        <v>FEHLT</v>
      </c>
      <c r="K1608" s="7">
        <f>IF(J1608&lt;&gt;"OK","",C1608*I1608/100)</f>
        <v/>
      </c>
    </row>
    <row r="1609" spans="1:11">
      <c r="A1609" s="14">
        <v>46159</v>
      </c>
      <c r="B1609" s="15">
        <v>0.6979166666666666</v>
      </c>
      <c r="C1609" s="5">
        <f>IF('96 Werte'!BQ22="","",'96 Werte'!BQ22)</f>
        <v/>
      </c>
      <c r="D1609" t="str">
        <f>IF(IF(Eingaben!$B$21&lt;Eingaben!$B$22,AND(B1609&gt;=Eingaben!$B$21,B1609&lt;Eingaben!$B$22),OR(B1609&gt;=Eingaben!$B$21,B1609&lt;Eingaben!$B$22)),"GO",IF(AND(ISNUMBER(Eingaben!$B$23),ISNUMBER(Eingaben!$B$24),IF(Eingaben!$B$23&lt;Eingaben!$B$24,AND(B1609&gt;=Eingaben!$B$23,B1609&lt;Eingaben!$B$24),OR(B1609&gt;=Eingaben!$B$23,B1609&lt;Eingaben!$B$24))),"HEAT","STANDARD"))</f>
        <v>STANDARD</v>
      </c>
      <c r="E1609" s="9"/>
      <c r="F1609" t="str">
        <f>IF(E1609="",D1609,E1609)</f>
        <v>STANDARD</v>
      </c>
      <c r="G1609" t="str">
        <f>INDEX(Netzzeiten!$B$6:$B$29,HOUR(B1609)+1)</f>
        <v>ST</v>
      </c>
      <c r="H1609" s="6">
        <f>IF(F1609="GO",Eingaben!$B$11,IF(F1609="STANDARD",Eingaben!$B$12,IF(AND(F1609="HEAT",ISNUMBER(Eingaben!$B$13)),Eingaben!$B$13,"")))</f>
        <v>28.2744</v>
      </c>
      <c r="I1609" s="6">
        <f>INDEX(Netzzeiten!$C$6:$C$29,HOUR(B1609)+1)</f>
        <v>5.48</v>
      </c>
      <c r="J1609" t="str">
        <f>IF(C1609="","FEHLT",IF(NOT(ISNUMBER(C1609)),"MESSWERT UNGUELTIG",IF(C1609&lt;0,"MESSWERT UNGUELTIG",IF(H1609="","TARIFPREIS FEHLT","OK"))))</f>
        <v>FEHLT</v>
      </c>
      <c r="K1609" s="7">
        <f>IF(J1609&lt;&gt;"OK","",C1609*I1609/100)</f>
        <v/>
      </c>
    </row>
    <row r="1610" spans="1:11">
      <c r="A1610" s="14">
        <v>46159</v>
      </c>
      <c r="B1610" s="15">
        <v>0.7083333333333334</v>
      </c>
      <c r="C1610" s="5">
        <f>IF('96 Werte'!BR22="","",'96 Werte'!BR22)</f>
        <v/>
      </c>
      <c r="D1610" t="str">
        <f>IF(IF(Eingaben!$B$21&lt;Eingaben!$B$22,AND(B1610&gt;=Eingaben!$B$21,B1610&lt;Eingaben!$B$22),OR(B1610&gt;=Eingaben!$B$21,B1610&lt;Eingaben!$B$22)),"GO",IF(AND(ISNUMBER(Eingaben!$B$23),ISNUMBER(Eingaben!$B$24),IF(Eingaben!$B$23&lt;Eingaben!$B$24,AND(B1610&gt;=Eingaben!$B$23,B1610&lt;Eingaben!$B$24),OR(B1610&gt;=Eingaben!$B$23,B1610&lt;Eingaben!$B$24))),"HEAT","STANDARD"))</f>
        <v>STANDARD</v>
      </c>
      <c r="E1610" s="9"/>
      <c r="F1610" t="str">
        <f>IF(E1610="",D1610,E1610)</f>
        <v>STANDARD</v>
      </c>
      <c r="G1610" t="str">
        <f>INDEX(Netzzeiten!$B$6:$B$29,HOUR(B1610)+1)</f>
        <v>HT</v>
      </c>
      <c r="H1610" s="6">
        <f>IF(F1610="GO",Eingaben!$B$11,IF(F1610="STANDARD",Eingaben!$B$12,IF(AND(F1610="HEAT",ISNUMBER(Eingaben!$B$13)),Eingaben!$B$13,"")))</f>
        <v>28.2744</v>
      </c>
      <c r="I1610" s="6">
        <f>INDEX(Netzzeiten!$C$6:$C$29,HOUR(B1610)+1)</f>
        <v>10.52</v>
      </c>
      <c r="J1610" t="str">
        <f>IF(C1610="","FEHLT",IF(NOT(ISNUMBER(C1610)),"MESSWERT UNGUELTIG",IF(C1610&lt;0,"MESSWERT UNGUELTIG",IF(H1610="","TARIFPREIS FEHLT","OK"))))</f>
        <v>FEHLT</v>
      </c>
      <c r="K1610" s="7">
        <f>IF(J1610&lt;&gt;"OK","",C1610*I1610/100)</f>
        <v/>
      </c>
    </row>
    <row r="1611" spans="1:11">
      <c r="A1611" s="14">
        <v>46159</v>
      </c>
      <c r="B1611" s="15">
        <v>0.71875</v>
      </c>
      <c r="C1611" s="5">
        <f>IF('96 Werte'!BS22="","",'96 Werte'!BS22)</f>
        <v/>
      </c>
      <c r="D1611" t="str">
        <f>IF(IF(Eingaben!$B$21&lt;Eingaben!$B$22,AND(B1611&gt;=Eingaben!$B$21,B1611&lt;Eingaben!$B$22),OR(B1611&gt;=Eingaben!$B$21,B1611&lt;Eingaben!$B$22)),"GO",IF(AND(ISNUMBER(Eingaben!$B$23),ISNUMBER(Eingaben!$B$24),IF(Eingaben!$B$23&lt;Eingaben!$B$24,AND(B1611&gt;=Eingaben!$B$23,B1611&lt;Eingaben!$B$24),OR(B1611&gt;=Eingaben!$B$23,B1611&lt;Eingaben!$B$24))),"HEAT","STANDARD"))</f>
        <v>STANDARD</v>
      </c>
      <c r="E1611" s="9"/>
      <c r="F1611" t="str">
        <f>IF(E1611="",D1611,E1611)</f>
        <v>STANDARD</v>
      </c>
      <c r="G1611" t="str">
        <f>INDEX(Netzzeiten!$B$6:$B$29,HOUR(B1611)+1)</f>
        <v>HT</v>
      </c>
      <c r="H1611" s="6">
        <f>IF(F1611="GO",Eingaben!$B$11,IF(F1611="STANDARD",Eingaben!$B$12,IF(AND(F1611="HEAT",ISNUMBER(Eingaben!$B$13)),Eingaben!$B$13,"")))</f>
        <v>28.2744</v>
      </c>
      <c r="I1611" s="6">
        <f>INDEX(Netzzeiten!$C$6:$C$29,HOUR(B1611)+1)</f>
        <v>10.52</v>
      </c>
      <c r="J1611" t="str">
        <f>IF(C1611="","FEHLT",IF(NOT(ISNUMBER(C1611)),"MESSWERT UNGUELTIG",IF(C1611&lt;0,"MESSWERT UNGUELTIG",IF(H1611="","TARIFPREIS FEHLT","OK"))))</f>
        <v>FEHLT</v>
      </c>
      <c r="K1611" s="7">
        <f>IF(J1611&lt;&gt;"OK","",C1611*I1611/100)</f>
        <v/>
      </c>
    </row>
    <row r="1612" spans="1:11">
      <c r="A1612" s="14">
        <v>46159</v>
      </c>
      <c r="B1612" s="15">
        <v>0.7291666666666666</v>
      </c>
      <c r="C1612" s="5">
        <f>IF('96 Werte'!BT22="","",'96 Werte'!BT22)</f>
        <v/>
      </c>
      <c r="D1612" t="str">
        <f>IF(IF(Eingaben!$B$21&lt;Eingaben!$B$22,AND(B1612&gt;=Eingaben!$B$21,B1612&lt;Eingaben!$B$22),OR(B1612&gt;=Eingaben!$B$21,B1612&lt;Eingaben!$B$22)),"GO",IF(AND(ISNUMBER(Eingaben!$B$23),ISNUMBER(Eingaben!$B$24),IF(Eingaben!$B$23&lt;Eingaben!$B$24,AND(B1612&gt;=Eingaben!$B$23,B1612&lt;Eingaben!$B$24),OR(B1612&gt;=Eingaben!$B$23,B1612&lt;Eingaben!$B$24))),"HEAT","STANDARD"))</f>
        <v>STANDARD</v>
      </c>
      <c r="E1612" s="9"/>
      <c r="F1612" t="str">
        <f>IF(E1612="",D1612,E1612)</f>
        <v>STANDARD</v>
      </c>
      <c r="G1612" t="str">
        <f>INDEX(Netzzeiten!$B$6:$B$29,HOUR(B1612)+1)</f>
        <v>HT</v>
      </c>
      <c r="H1612" s="6">
        <f>IF(F1612="GO",Eingaben!$B$11,IF(F1612="STANDARD",Eingaben!$B$12,IF(AND(F1612="HEAT",ISNUMBER(Eingaben!$B$13)),Eingaben!$B$13,"")))</f>
        <v>28.2744</v>
      </c>
      <c r="I1612" s="6">
        <f>INDEX(Netzzeiten!$C$6:$C$29,HOUR(B1612)+1)</f>
        <v>10.52</v>
      </c>
      <c r="J1612" t="str">
        <f>IF(C1612="","FEHLT",IF(NOT(ISNUMBER(C1612)),"MESSWERT UNGUELTIG",IF(C1612&lt;0,"MESSWERT UNGUELTIG",IF(H1612="","TARIFPREIS FEHLT","OK"))))</f>
        <v>FEHLT</v>
      </c>
      <c r="K1612" s="7">
        <f>IF(J1612&lt;&gt;"OK","",C1612*I1612/100)</f>
        <v/>
      </c>
    </row>
    <row r="1613" spans="1:11">
      <c r="A1613" s="14">
        <v>46159</v>
      </c>
      <c r="B1613" s="15">
        <v>0.7395833333333334</v>
      </c>
      <c r="C1613" s="5">
        <f>IF('96 Werte'!BU22="","",'96 Werte'!BU22)</f>
        <v/>
      </c>
      <c r="D1613" t="str">
        <f>IF(IF(Eingaben!$B$21&lt;Eingaben!$B$22,AND(B1613&gt;=Eingaben!$B$21,B1613&lt;Eingaben!$B$22),OR(B1613&gt;=Eingaben!$B$21,B1613&lt;Eingaben!$B$22)),"GO",IF(AND(ISNUMBER(Eingaben!$B$23),ISNUMBER(Eingaben!$B$24),IF(Eingaben!$B$23&lt;Eingaben!$B$24,AND(B1613&gt;=Eingaben!$B$23,B1613&lt;Eingaben!$B$24),OR(B1613&gt;=Eingaben!$B$23,B1613&lt;Eingaben!$B$24))),"HEAT","STANDARD"))</f>
        <v>STANDARD</v>
      </c>
      <c r="E1613" s="9"/>
      <c r="F1613" t="str">
        <f>IF(E1613="",D1613,E1613)</f>
        <v>STANDARD</v>
      </c>
      <c r="G1613" t="str">
        <f>INDEX(Netzzeiten!$B$6:$B$29,HOUR(B1613)+1)</f>
        <v>HT</v>
      </c>
      <c r="H1613" s="6">
        <f>IF(F1613="GO",Eingaben!$B$11,IF(F1613="STANDARD",Eingaben!$B$12,IF(AND(F1613="HEAT",ISNUMBER(Eingaben!$B$13)),Eingaben!$B$13,"")))</f>
        <v>28.2744</v>
      </c>
      <c r="I1613" s="6">
        <f>INDEX(Netzzeiten!$C$6:$C$29,HOUR(B1613)+1)</f>
        <v>10.52</v>
      </c>
      <c r="J1613" t="str">
        <f>IF(C1613="","FEHLT",IF(NOT(ISNUMBER(C1613)),"MESSWERT UNGUELTIG",IF(C1613&lt;0,"MESSWERT UNGUELTIG",IF(H1613="","TARIFPREIS FEHLT","OK"))))</f>
        <v>FEHLT</v>
      </c>
      <c r="K1613" s="7">
        <f>IF(J1613&lt;&gt;"OK","",C1613*I1613/100)</f>
        <v/>
      </c>
    </row>
    <row r="1614" spans="1:11">
      <c r="A1614" s="14">
        <v>46159</v>
      </c>
      <c r="B1614" s="15">
        <v>0.75</v>
      </c>
      <c r="C1614" s="5">
        <f>IF('96 Werte'!BV22="","",'96 Werte'!BV22)</f>
        <v/>
      </c>
      <c r="D1614" t="str">
        <f>IF(IF(Eingaben!$B$21&lt;Eingaben!$B$22,AND(B1614&gt;=Eingaben!$B$21,B1614&lt;Eingaben!$B$22),OR(B1614&gt;=Eingaben!$B$21,B1614&lt;Eingaben!$B$22)),"GO",IF(AND(ISNUMBER(Eingaben!$B$23),ISNUMBER(Eingaben!$B$24),IF(Eingaben!$B$23&lt;Eingaben!$B$24,AND(B1614&gt;=Eingaben!$B$23,B1614&lt;Eingaben!$B$24),OR(B1614&gt;=Eingaben!$B$23,B1614&lt;Eingaben!$B$24))),"HEAT","STANDARD"))</f>
        <v>STANDARD</v>
      </c>
      <c r="E1614" s="9"/>
      <c r="F1614" t="str">
        <f>IF(E1614="",D1614,E1614)</f>
        <v>STANDARD</v>
      </c>
      <c r="G1614" t="str">
        <f>INDEX(Netzzeiten!$B$6:$B$29,HOUR(B1614)+1)</f>
        <v>HT</v>
      </c>
      <c r="H1614" s="6">
        <f>IF(F1614="GO",Eingaben!$B$11,IF(F1614="STANDARD",Eingaben!$B$12,IF(AND(F1614="HEAT",ISNUMBER(Eingaben!$B$13)),Eingaben!$B$13,"")))</f>
        <v>28.2744</v>
      </c>
      <c r="I1614" s="6">
        <f>INDEX(Netzzeiten!$C$6:$C$29,HOUR(B1614)+1)</f>
        <v>10.52</v>
      </c>
      <c r="J1614" t="str">
        <f>IF(C1614="","FEHLT",IF(NOT(ISNUMBER(C1614)),"MESSWERT UNGUELTIG",IF(C1614&lt;0,"MESSWERT UNGUELTIG",IF(H1614="","TARIFPREIS FEHLT","OK"))))</f>
        <v>FEHLT</v>
      </c>
      <c r="K1614" s="7">
        <f>IF(J1614&lt;&gt;"OK","",C1614*I1614/100)</f>
        <v/>
      </c>
    </row>
    <row r="1615" spans="1:11">
      <c r="A1615" s="14">
        <v>46159</v>
      </c>
      <c r="B1615" s="15">
        <v>0.7604166666666666</v>
      </c>
      <c r="C1615" s="5">
        <f>IF('96 Werte'!BW22="","",'96 Werte'!BW22)</f>
        <v/>
      </c>
      <c r="D1615" t="str">
        <f>IF(IF(Eingaben!$B$21&lt;Eingaben!$B$22,AND(B1615&gt;=Eingaben!$B$21,B1615&lt;Eingaben!$B$22),OR(B1615&gt;=Eingaben!$B$21,B1615&lt;Eingaben!$B$22)),"GO",IF(AND(ISNUMBER(Eingaben!$B$23),ISNUMBER(Eingaben!$B$24),IF(Eingaben!$B$23&lt;Eingaben!$B$24,AND(B1615&gt;=Eingaben!$B$23,B1615&lt;Eingaben!$B$24),OR(B1615&gt;=Eingaben!$B$23,B1615&lt;Eingaben!$B$24))),"HEAT","STANDARD"))</f>
        <v>STANDARD</v>
      </c>
      <c r="E1615" s="9"/>
      <c r="F1615" t="str">
        <f>IF(E1615="",D1615,E1615)</f>
        <v>STANDARD</v>
      </c>
      <c r="G1615" t="str">
        <f>INDEX(Netzzeiten!$B$6:$B$29,HOUR(B1615)+1)</f>
        <v>HT</v>
      </c>
      <c r="H1615" s="6">
        <f>IF(F1615="GO",Eingaben!$B$11,IF(F1615="STANDARD",Eingaben!$B$12,IF(AND(F1615="HEAT",ISNUMBER(Eingaben!$B$13)),Eingaben!$B$13,"")))</f>
        <v>28.2744</v>
      </c>
      <c r="I1615" s="6">
        <f>INDEX(Netzzeiten!$C$6:$C$29,HOUR(B1615)+1)</f>
        <v>10.52</v>
      </c>
      <c r="J1615" t="str">
        <f>IF(C1615="","FEHLT",IF(NOT(ISNUMBER(C1615)),"MESSWERT UNGUELTIG",IF(C1615&lt;0,"MESSWERT UNGUELTIG",IF(H1615="","TARIFPREIS FEHLT","OK"))))</f>
        <v>FEHLT</v>
      </c>
      <c r="K1615" s="7">
        <f>IF(J1615&lt;&gt;"OK","",C1615*I1615/100)</f>
        <v/>
      </c>
    </row>
    <row r="1616" spans="1:11">
      <c r="A1616" s="14">
        <v>46159</v>
      </c>
      <c r="B1616" s="15">
        <v>0.7708333333333334</v>
      </c>
      <c r="C1616" s="5">
        <f>IF('96 Werte'!BX22="","",'96 Werte'!BX22)</f>
        <v/>
      </c>
      <c r="D1616" t="str">
        <f>IF(IF(Eingaben!$B$21&lt;Eingaben!$B$22,AND(B1616&gt;=Eingaben!$B$21,B1616&lt;Eingaben!$B$22),OR(B1616&gt;=Eingaben!$B$21,B1616&lt;Eingaben!$B$22)),"GO",IF(AND(ISNUMBER(Eingaben!$B$23),ISNUMBER(Eingaben!$B$24),IF(Eingaben!$B$23&lt;Eingaben!$B$24,AND(B1616&gt;=Eingaben!$B$23,B1616&lt;Eingaben!$B$24),OR(B1616&gt;=Eingaben!$B$23,B1616&lt;Eingaben!$B$24))),"HEAT","STANDARD"))</f>
        <v>STANDARD</v>
      </c>
      <c r="E1616" s="9"/>
      <c r="F1616" t="str">
        <f>IF(E1616="",D1616,E1616)</f>
        <v>STANDARD</v>
      </c>
      <c r="G1616" t="str">
        <f>INDEX(Netzzeiten!$B$6:$B$29,HOUR(B1616)+1)</f>
        <v>HT</v>
      </c>
      <c r="H1616" s="6">
        <f>IF(F1616="GO",Eingaben!$B$11,IF(F1616="STANDARD",Eingaben!$B$12,IF(AND(F1616="HEAT",ISNUMBER(Eingaben!$B$13)),Eingaben!$B$13,"")))</f>
        <v>28.2744</v>
      </c>
      <c r="I1616" s="6">
        <f>INDEX(Netzzeiten!$C$6:$C$29,HOUR(B1616)+1)</f>
        <v>10.52</v>
      </c>
      <c r="J1616" t="str">
        <f>IF(C1616="","FEHLT",IF(NOT(ISNUMBER(C1616)),"MESSWERT UNGUELTIG",IF(C1616&lt;0,"MESSWERT UNGUELTIG",IF(H1616="","TARIFPREIS FEHLT","OK"))))</f>
        <v>FEHLT</v>
      </c>
      <c r="K1616" s="7">
        <f>IF(J1616&lt;&gt;"OK","",C1616*I1616/100)</f>
        <v/>
      </c>
    </row>
    <row r="1617" spans="1:11">
      <c r="A1617" s="14">
        <v>46159</v>
      </c>
      <c r="B1617" s="15">
        <v>0.78125</v>
      </c>
      <c r="C1617" s="5">
        <f>IF('96 Werte'!BY22="","",'96 Werte'!BY22)</f>
        <v/>
      </c>
      <c r="D1617" t="str">
        <f>IF(IF(Eingaben!$B$21&lt;Eingaben!$B$22,AND(B1617&gt;=Eingaben!$B$21,B1617&lt;Eingaben!$B$22),OR(B1617&gt;=Eingaben!$B$21,B1617&lt;Eingaben!$B$22)),"GO",IF(AND(ISNUMBER(Eingaben!$B$23),ISNUMBER(Eingaben!$B$24),IF(Eingaben!$B$23&lt;Eingaben!$B$24,AND(B1617&gt;=Eingaben!$B$23,B1617&lt;Eingaben!$B$24),OR(B1617&gt;=Eingaben!$B$23,B1617&lt;Eingaben!$B$24))),"HEAT","STANDARD"))</f>
        <v>STANDARD</v>
      </c>
      <c r="E1617" s="9"/>
      <c r="F1617" t="str">
        <f>IF(E1617="",D1617,E1617)</f>
        <v>STANDARD</v>
      </c>
      <c r="G1617" t="str">
        <f>INDEX(Netzzeiten!$B$6:$B$29,HOUR(B1617)+1)</f>
        <v>HT</v>
      </c>
      <c r="H1617" s="6">
        <f>IF(F1617="GO",Eingaben!$B$11,IF(F1617="STANDARD",Eingaben!$B$12,IF(AND(F1617="HEAT",ISNUMBER(Eingaben!$B$13)),Eingaben!$B$13,"")))</f>
        <v>28.2744</v>
      </c>
      <c r="I1617" s="6">
        <f>INDEX(Netzzeiten!$C$6:$C$29,HOUR(B1617)+1)</f>
        <v>10.52</v>
      </c>
      <c r="J1617" t="str">
        <f>IF(C1617="","FEHLT",IF(NOT(ISNUMBER(C1617)),"MESSWERT UNGUELTIG",IF(C1617&lt;0,"MESSWERT UNGUELTIG",IF(H1617="","TARIFPREIS FEHLT","OK"))))</f>
        <v>FEHLT</v>
      </c>
      <c r="K1617" s="7">
        <f>IF(J1617&lt;&gt;"OK","",C1617*I1617/100)</f>
        <v/>
      </c>
    </row>
    <row r="1618" spans="1:11">
      <c r="A1618" s="14">
        <v>46159</v>
      </c>
      <c r="B1618" s="15">
        <v>0.7916666666666666</v>
      </c>
      <c r="C1618" s="5">
        <f>IF('96 Werte'!BZ22="","",'96 Werte'!BZ22)</f>
        <v/>
      </c>
      <c r="D1618" t="str">
        <f>IF(IF(Eingaben!$B$21&lt;Eingaben!$B$22,AND(B1618&gt;=Eingaben!$B$21,B1618&lt;Eingaben!$B$22),OR(B1618&gt;=Eingaben!$B$21,B1618&lt;Eingaben!$B$22)),"GO",IF(AND(ISNUMBER(Eingaben!$B$23),ISNUMBER(Eingaben!$B$24),IF(Eingaben!$B$23&lt;Eingaben!$B$24,AND(B1618&gt;=Eingaben!$B$23,B1618&lt;Eingaben!$B$24),OR(B1618&gt;=Eingaben!$B$23,B1618&lt;Eingaben!$B$24))),"HEAT","STANDARD"))</f>
        <v>STANDARD</v>
      </c>
      <c r="E1618" s="9"/>
      <c r="F1618" t="str">
        <f>IF(E1618="",D1618,E1618)</f>
        <v>STANDARD</v>
      </c>
      <c r="G1618" t="str">
        <f>INDEX(Netzzeiten!$B$6:$B$29,HOUR(B1618)+1)</f>
        <v>HT</v>
      </c>
      <c r="H1618" s="6">
        <f>IF(F1618="GO",Eingaben!$B$11,IF(F1618="STANDARD",Eingaben!$B$12,IF(AND(F1618="HEAT",ISNUMBER(Eingaben!$B$13)),Eingaben!$B$13,"")))</f>
        <v>28.2744</v>
      </c>
      <c r="I1618" s="6">
        <f>INDEX(Netzzeiten!$C$6:$C$29,HOUR(B1618)+1)</f>
        <v>10.52</v>
      </c>
      <c r="J1618" t="str">
        <f>IF(C1618="","FEHLT",IF(NOT(ISNUMBER(C1618)),"MESSWERT UNGUELTIG",IF(C1618&lt;0,"MESSWERT UNGUELTIG",IF(H1618="","TARIFPREIS FEHLT","OK"))))</f>
        <v>FEHLT</v>
      </c>
      <c r="K1618" s="7">
        <f>IF(J1618&lt;&gt;"OK","",C1618*I1618/100)</f>
        <v/>
      </c>
    </row>
    <row r="1619" spans="1:11">
      <c r="A1619" s="14">
        <v>46159</v>
      </c>
      <c r="B1619" s="15">
        <v>0.8020833333333334</v>
      </c>
      <c r="C1619" s="5">
        <f>IF('96 Werte'!CA22="","",'96 Werte'!CA22)</f>
        <v/>
      </c>
      <c r="D1619" t="str">
        <f>IF(IF(Eingaben!$B$21&lt;Eingaben!$B$22,AND(B1619&gt;=Eingaben!$B$21,B1619&lt;Eingaben!$B$22),OR(B1619&gt;=Eingaben!$B$21,B1619&lt;Eingaben!$B$22)),"GO",IF(AND(ISNUMBER(Eingaben!$B$23),ISNUMBER(Eingaben!$B$24),IF(Eingaben!$B$23&lt;Eingaben!$B$24,AND(B1619&gt;=Eingaben!$B$23,B1619&lt;Eingaben!$B$24),OR(B1619&gt;=Eingaben!$B$23,B1619&lt;Eingaben!$B$24))),"HEAT","STANDARD"))</f>
        <v>STANDARD</v>
      </c>
      <c r="E1619" s="9"/>
      <c r="F1619" t="str">
        <f>IF(E1619="",D1619,E1619)</f>
        <v>STANDARD</v>
      </c>
      <c r="G1619" t="str">
        <f>INDEX(Netzzeiten!$B$6:$B$29,HOUR(B1619)+1)</f>
        <v>HT</v>
      </c>
      <c r="H1619" s="6">
        <f>IF(F1619="GO",Eingaben!$B$11,IF(F1619="STANDARD",Eingaben!$B$12,IF(AND(F1619="HEAT",ISNUMBER(Eingaben!$B$13)),Eingaben!$B$13,"")))</f>
        <v>28.2744</v>
      </c>
      <c r="I1619" s="6">
        <f>INDEX(Netzzeiten!$C$6:$C$29,HOUR(B1619)+1)</f>
        <v>10.52</v>
      </c>
      <c r="J1619" t="str">
        <f>IF(C1619="","FEHLT",IF(NOT(ISNUMBER(C1619)),"MESSWERT UNGUELTIG",IF(C1619&lt;0,"MESSWERT UNGUELTIG",IF(H1619="","TARIFPREIS FEHLT","OK"))))</f>
        <v>FEHLT</v>
      </c>
      <c r="K1619" s="7">
        <f>IF(J1619&lt;&gt;"OK","",C1619*I1619/100)</f>
        <v/>
      </c>
    </row>
    <row r="1620" spans="1:11">
      <c r="A1620" s="14">
        <v>46159</v>
      </c>
      <c r="B1620" s="15">
        <v>0.8125</v>
      </c>
      <c r="C1620" s="5">
        <f>IF('96 Werte'!CB22="","",'96 Werte'!CB22)</f>
        <v/>
      </c>
      <c r="D1620" t="str">
        <f>IF(IF(Eingaben!$B$21&lt;Eingaben!$B$22,AND(B1620&gt;=Eingaben!$B$21,B1620&lt;Eingaben!$B$22),OR(B1620&gt;=Eingaben!$B$21,B1620&lt;Eingaben!$B$22)),"GO",IF(AND(ISNUMBER(Eingaben!$B$23),ISNUMBER(Eingaben!$B$24),IF(Eingaben!$B$23&lt;Eingaben!$B$24,AND(B1620&gt;=Eingaben!$B$23,B1620&lt;Eingaben!$B$24),OR(B1620&gt;=Eingaben!$B$23,B1620&lt;Eingaben!$B$24))),"HEAT","STANDARD"))</f>
        <v>STANDARD</v>
      </c>
      <c r="E1620" s="9"/>
      <c r="F1620" t="str">
        <f>IF(E1620="",D1620,E1620)</f>
        <v>STANDARD</v>
      </c>
      <c r="G1620" t="str">
        <f>INDEX(Netzzeiten!$B$6:$B$29,HOUR(B1620)+1)</f>
        <v>HT</v>
      </c>
      <c r="H1620" s="6">
        <f>IF(F1620="GO",Eingaben!$B$11,IF(F1620="STANDARD",Eingaben!$B$12,IF(AND(F1620="HEAT",ISNUMBER(Eingaben!$B$13)),Eingaben!$B$13,"")))</f>
        <v>28.2744</v>
      </c>
      <c r="I1620" s="6">
        <f>INDEX(Netzzeiten!$C$6:$C$29,HOUR(B1620)+1)</f>
        <v>10.52</v>
      </c>
      <c r="J1620" t="str">
        <f>IF(C1620="","FEHLT",IF(NOT(ISNUMBER(C1620)),"MESSWERT UNGUELTIG",IF(C1620&lt;0,"MESSWERT UNGUELTIG",IF(H1620="","TARIFPREIS FEHLT","OK"))))</f>
        <v>FEHLT</v>
      </c>
      <c r="K1620" s="7">
        <f>IF(J1620&lt;&gt;"OK","",C1620*I1620/100)</f>
        <v/>
      </c>
    </row>
    <row r="1621" spans="1:11">
      <c r="A1621" s="14">
        <v>46159</v>
      </c>
      <c r="B1621" s="15">
        <v>0.8229166666666666</v>
      </c>
      <c r="C1621" s="5">
        <f>IF('96 Werte'!CC22="","",'96 Werte'!CC22)</f>
        <v/>
      </c>
      <c r="D1621" t="str">
        <f>IF(IF(Eingaben!$B$21&lt;Eingaben!$B$22,AND(B1621&gt;=Eingaben!$B$21,B1621&lt;Eingaben!$B$22),OR(B1621&gt;=Eingaben!$B$21,B1621&lt;Eingaben!$B$22)),"GO",IF(AND(ISNUMBER(Eingaben!$B$23),ISNUMBER(Eingaben!$B$24),IF(Eingaben!$B$23&lt;Eingaben!$B$24,AND(B1621&gt;=Eingaben!$B$23,B1621&lt;Eingaben!$B$24),OR(B1621&gt;=Eingaben!$B$23,B1621&lt;Eingaben!$B$24))),"HEAT","STANDARD"))</f>
        <v>STANDARD</v>
      </c>
      <c r="E1621" s="9"/>
      <c r="F1621" t="str">
        <f>IF(E1621="",D1621,E1621)</f>
        <v>STANDARD</v>
      </c>
      <c r="G1621" t="str">
        <f>INDEX(Netzzeiten!$B$6:$B$29,HOUR(B1621)+1)</f>
        <v>HT</v>
      </c>
      <c r="H1621" s="6">
        <f>IF(F1621="GO",Eingaben!$B$11,IF(F1621="STANDARD",Eingaben!$B$12,IF(AND(F1621="HEAT",ISNUMBER(Eingaben!$B$13)),Eingaben!$B$13,"")))</f>
        <v>28.2744</v>
      </c>
      <c r="I1621" s="6">
        <f>INDEX(Netzzeiten!$C$6:$C$29,HOUR(B1621)+1)</f>
        <v>10.52</v>
      </c>
      <c r="J1621" t="str">
        <f>IF(C1621="","FEHLT",IF(NOT(ISNUMBER(C1621)),"MESSWERT UNGUELTIG",IF(C1621&lt;0,"MESSWERT UNGUELTIG",IF(H1621="","TARIFPREIS FEHLT","OK"))))</f>
        <v>FEHLT</v>
      </c>
      <c r="K1621" s="7">
        <f>IF(J1621&lt;&gt;"OK","",C1621*I1621/100)</f>
        <v/>
      </c>
    </row>
    <row r="1622" spans="1:11">
      <c r="A1622" s="14">
        <v>46159</v>
      </c>
      <c r="B1622" s="15">
        <v>0.8333333333333334</v>
      </c>
      <c r="C1622" s="5">
        <f>IF('96 Werte'!CD22="","",'96 Werte'!CD22)</f>
        <v/>
      </c>
      <c r="D1622" t="str">
        <f>IF(IF(Eingaben!$B$21&lt;Eingaben!$B$22,AND(B1622&gt;=Eingaben!$B$21,B1622&lt;Eingaben!$B$22),OR(B1622&gt;=Eingaben!$B$21,B1622&lt;Eingaben!$B$22)),"GO",IF(AND(ISNUMBER(Eingaben!$B$23),ISNUMBER(Eingaben!$B$24),IF(Eingaben!$B$23&lt;Eingaben!$B$24,AND(B1622&gt;=Eingaben!$B$23,B1622&lt;Eingaben!$B$24),OR(B1622&gt;=Eingaben!$B$23,B1622&lt;Eingaben!$B$24))),"HEAT","STANDARD"))</f>
        <v>STANDARD</v>
      </c>
      <c r="E1622" s="9"/>
      <c r="F1622" t="str">
        <f>IF(E1622="",D1622,E1622)</f>
        <v>STANDARD</v>
      </c>
      <c r="G1622" t="str">
        <f>INDEX(Netzzeiten!$B$6:$B$29,HOUR(B1622)+1)</f>
        <v>HT</v>
      </c>
      <c r="H1622" s="6">
        <f>IF(F1622="GO",Eingaben!$B$11,IF(F1622="STANDARD",Eingaben!$B$12,IF(AND(F1622="HEAT",ISNUMBER(Eingaben!$B$13)),Eingaben!$B$13,"")))</f>
        <v>28.2744</v>
      </c>
      <c r="I1622" s="6">
        <f>INDEX(Netzzeiten!$C$6:$C$29,HOUR(B1622)+1)</f>
        <v>10.52</v>
      </c>
      <c r="J1622" t="str">
        <f>IF(C1622="","FEHLT",IF(NOT(ISNUMBER(C1622)),"MESSWERT UNGUELTIG",IF(C1622&lt;0,"MESSWERT UNGUELTIG",IF(H1622="","TARIFPREIS FEHLT","OK"))))</f>
        <v>FEHLT</v>
      </c>
      <c r="K1622" s="7">
        <f>IF(J1622&lt;&gt;"OK","",C1622*I1622/100)</f>
        <v/>
      </c>
    </row>
    <row r="1623" spans="1:11">
      <c r="A1623" s="14">
        <v>46159</v>
      </c>
      <c r="B1623" s="15">
        <v>0.84375</v>
      </c>
      <c r="C1623" s="5">
        <f>IF('96 Werte'!CE22="","",'96 Werte'!CE22)</f>
        <v/>
      </c>
      <c r="D1623" t="str">
        <f>IF(IF(Eingaben!$B$21&lt;Eingaben!$B$22,AND(B1623&gt;=Eingaben!$B$21,B1623&lt;Eingaben!$B$22),OR(B1623&gt;=Eingaben!$B$21,B1623&lt;Eingaben!$B$22)),"GO",IF(AND(ISNUMBER(Eingaben!$B$23),ISNUMBER(Eingaben!$B$24),IF(Eingaben!$B$23&lt;Eingaben!$B$24,AND(B1623&gt;=Eingaben!$B$23,B1623&lt;Eingaben!$B$24),OR(B1623&gt;=Eingaben!$B$23,B1623&lt;Eingaben!$B$24))),"HEAT","STANDARD"))</f>
        <v>STANDARD</v>
      </c>
      <c r="E1623" s="9"/>
      <c r="F1623" t="str">
        <f>IF(E1623="",D1623,E1623)</f>
        <v>STANDARD</v>
      </c>
      <c r="G1623" t="str">
        <f>INDEX(Netzzeiten!$B$6:$B$29,HOUR(B1623)+1)</f>
        <v>HT</v>
      </c>
      <c r="H1623" s="6">
        <f>IF(F1623="GO",Eingaben!$B$11,IF(F1623="STANDARD",Eingaben!$B$12,IF(AND(F1623="HEAT",ISNUMBER(Eingaben!$B$13)),Eingaben!$B$13,"")))</f>
        <v>28.2744</v>
      </c>
      <c r="I1623" s="6">
        <f>INDEX(Netzzeiten!$C$6:$C$29,HOUR(B1623)+1)</f>
        <v>10.52</v>
      </c>
      <c r="J1623" t="str">
        <f>IF(C1623="","FEHLT",IF(NOT(ISNUMBER(C1623)),"MESSWERT UNGUELTIG",IF(C1623&lt;0,"MESSWERT UNGUELTIG",IF(H1623="","TARIFPREIS FEHLT","OK"))))</f>
        <v>FEHLT</v>
      </c>
      <c r="K1623" s="7">
        <f>IF(J1623&lt;&gt;"OK","",C1623*I1623/100)</f>
        <v/>
      </c>
    </row>
    <row r="1624" spans="1:11">
      <c r="A1624" s="14">
        <v>46159</v>
      </c>
      <c r="B1624" s="15">
        <v>0.8541666666666666</v>
      </c>
      <c r="C1624" s="5">
        <f>IF('96 Werte'!CF22="","",'96 Werte'!CF22)</f>
        <v/>
      </c>
      <c r="D1624" t="str">
        <f>IF(IF(Eingaben!$B$21&lt;Eingaben!$B$22,AND(B1624&gt;=Eingaben!$B$21,B1624&lt;Eingaben!$B$22),OR(B1624&gt;=Eingaben!$B$21,B1624&lt;Eingaben!$B$22)),"GO",IF(AND(ISNUMBER(Eingaben!$B$23),ISNUMBER(Eingaben!$B$24),IF(Eingaben!$B$23&lt;Eingaben!$B$24,AND(B1624&gt;=Eingaben!$B$23,B1624&lt;Eingaben!$B$24),OR(B1624&gt;=Eingaben!$B$23,B1624&lt;Eingaben!$B$24))),"HEAT","STANDARD"))</f>
        <v>STANDARD</v>
      </c>
      <c r="E1624" s="9"/>
      <c r="F1624" t="str">
        <f>IF(E1624="",D1624,E1624)</f>
        <v>STANDARD</v>
      </c>
      <c r="G1624" t="str">
        <f>INDEX(Netzzeiten!$B$6:$B$29,HOUR(B1624)+1)</f>
        <v>HT</v>
      </c>
      <c r="H1624" s="6">
        <f>IF(F1624="GO",Eingaben!$B$11,IF(F1624="STANDARD",Eingaben!$B$12,IF(AND(F1624="HEAT",ISNUMBER(Eingaben!$B$13)),Eingaben!$B$13,"")))</f>
        <v>28.2744</v>
      </c>
      <c r="I1624" s="6">
        <f>INDEX(Netzzeiten!$C$6:$C$29,HOUR(B1624)+1)</f>
        <v>10.52</v>
      </c>
      <c r="J1624" t="str">
        <f>IF(C1624="","FEHLT",IF(NOT(ISNUMBER(C1624)),"MESSWERT UNGUELTIG",IF(C1624&lt;0,"MESSWERT UNGUELTIG",IF(H1624="","TARIFPREIS FEHLT","OK"))))</f>
        <v>FEHLT</v>
      </c>
      <c r="K1624" s="7">
        <f>IF(J1624&lt;&gt;"OK","",C1624*I1624/100)</f>
        <v/>
      </c>
    </row>
    <row r="1625" spans="1:11">
      <c r="A1625" s="14">
        <v>46159</v>
      </c>
      <c r="B1625" s="15">
        <v>0.8645833333333334</v>
      </c>
      <c r="C1625" s="5">
        <f>IF('96 Werte'!CG22="","",'96 Werte'!CG22)</f>
        <v/>
      </c>
      <c r="D1625" t="str">
        <f>IF(IF(Eingaben!$B$21&lt;Eingaben!$B$22,AND(B1625&gt;=Eingaben!$B$21,B1625&lt;Eingaben!$B$22),OR(B1625&gt;=Eingaben!$B$21,B1625&lt;Eingaben!$B$22)),"GO",IF(AND(ISNUMBER(Eingaben!$B$23),ISNUMBER(Eingaben!$B$24),IF(Eingaben!$B$23&lt;Eingaben!$B$24,AND(B1625&gt;=Eingaben!$B$23,B1625&lt;Eingaben!$B$24),OR(B1625&gt;=Eingaben!$B$23,B1625&lt;Eingaben!$B$24))),"HEAT","STANDARD"))</f>
        <v>STANDARD</v>
      </c>
      <c r="E1625" s="9"/>
      <c r="F1625" t="str">
        <f>IF(E1625="",D1625,E1625)</f>
        <v>STANDARD</v>
      </c>
      <c r="G1625" t="str">
        <f>INDEX(Netzzeiten!$B$6:$B$29,HOUR(B1625)+1)</f>
        <v>HT</v>
      </c>
      <c r="H1625" s="6">
        <f>IF(F1625="GO",Eingaben!$B$11,IF(F1625="STANDARD",Eingaben!$B$12,IF(AND(F1625="HEAT",ISNUMBER(Eingaben!$B$13)),Eingaben!$B$13,"")))</f>
        <v>28.2744</v>
      </c>
      <c r="I1625" s="6">
        <f>INDEX(Netzzeiten!$C$6:$C$29,HOUR(B1625)+1)</f>
        <v>10.52</v>
      </c>
      <c r="J1625" t="str">
        <f>IF(C1625="","FEHLT",IF(NOT(ISNUMBER(C1625)),"MESSWERT UNGUELTIG",IF(C1625&lt;0,"MESSWERT UNGUELTIG",IF(H1625="","TARIFPREIS FEHLT","OK"))))</f>
        <v>FEHLT</v>
      </c>
      <c r="K1625" s="7">
        <f>IF(J1625&lt;&gt;"OK","",C1625*I1625/100)</f>
        <v/>
      </c>
    </row>
    <row r="1626" spans="1:11">
      <c r="A1626" s="14">
        <v>46159</v>
      </c>
      <c r="B1626" s="15">
        <v>0.875</v>
      </c>
      <c r="C1626" s="5">
        <f>IF('96 Werte'!CH22="","",'96 Werte'!CH22)</f>
        <v/>
      </c>
      <c r="D1626" t="str">
        <f>IF(IF(Eingaben!$B$21&lt;Eingaben!$B$22,AND(B1626&gt;=Eingaben!$B$21,B1626&lt;Eingaben!$B$22),OR(B1626&gt;=Eingaben!$B$21,B1626&lt;Eingaben!$B$22)),"GO",IF(AND(ISNUMBER(Eingaben!$B$23),ISNUMBER(Eingaben!$B$24),IF(Eingaben!$B$23&lt;Eingaben!$B$24,AND(B1626&gt;=Eingaben!$B$23,B1626&lt;Eingaben!$B$24),OR(B1626&gt;=Eingaben!$B$23,B1626&lt;Eingaben!$B$24))),"HEAT","STANDARD"))</f>
        <v>STANDARD</v>
      </c>
      <c r="E1626" s="9"/>
      <c r="F1626" t="str">
        <f>IF(E1626="",D1626,E1626)</f>
        <v>STANDARD</v>
      </c>
      <c r="G1626" t="str">
        <f>INDEX(Netzzeiten!$B$6:$B$29,HOUR(B1626)+1)</f>
        <v>HT</v>
      </c>
      <c r="H1626" s="6">
        <f>IF(F1626="GO",Eingaben!$B$11,IF(F1626="STANDARD",Eingaben!$B$12,IF(AND(F1626="HEAT",ISNUMBER(Eingaben!$B$13)),Eingaben!$B$13,"")))</f>
        <v>28.2744</v>
      </c>
      <c r="I1626" s="6">
        <f>INDEX(Netzzeiten!$C$6:$C$29,HOUR(B1626)+1)</f>
        <v>10.52</v>
      </c>
      <c r="J1626" t="str">
        <f>IF(C1626="","FEHLT",IF(NOT(ISNUMBER(C1626)),"MESSWERT UNGUELTIG",IF(C1626&lt;0,"MESSWERT UNGUELTIG",IF(H1626="","TARIFPREIS FEHLT","OK"))))</f>
        <v>FEHLT</v>
      </c>
      <c r="K1626" s="7">
        <f>IF(J1626&lt;&gt;"OK","",C1626*I1626/100)</f>
        <v/>
      </c>
    </row>
    <row r="1627" spans="1:11">
      <c r="A1627" s="14">
        <v>46159</v>
      </c>
      <c r="B1627" s="15">
        <v>0.8854166666666666</v>
      </c>
      <c r="C1627" s="5">
        <f>IF('96 Werte'!CI22="","",'96 Werte'!CI22)</f>
        <v/>
      </c>
      <c r="D1627" t="str">
        <f>IF(IF(Eingaben!$B$21&lt;Eingaben!$B$22,AND(B1627&gt;=Eingaben!$B$21,B1627&lt;Eingaben!$B$22),OR(B1627&gt;=Eingaben!$B$21,B1627&lt;Eingaben!$B$22)),"GO",IF(AND(ISNUMBER(Eingaben!$B$23),ISNUMBER(Eingaben!$B$24),IF(Eingaben!$B$23&lt;Eingaben!$B$24,AND(B1627&gt;=Eingaben!$B$23,B1627&lt;Eingaben!$B$24),OR(B1627&gt;=Eingaben!$B$23,B1627&lt;Eingaben!$B$24))),"HEAT","STANDARD"))</f>
        <v>STANDARD</v>
      </c>
      <c r="E1627" s="9"/>
      <c r="F1627" t="str">
        <f>IF(E1627="",D1627,E1627)</f>
        <v>STANDARD</v>
      </c>
      <c r="G1627" t="str">
        <f>INDEX(Netzzeiten!$B$6:$B$29,HOUR(B1627)+1)</f>
        <v>HT</v>
      </c>
      <c r="H1627" s="6">
        <f>IF(F1627="GO",Eingaben!$B$11,IF(F1627="STANDARD",Eingaben!$B$12,IF(AND(F1627="HEAT",ISNUMBER(Eingaben!$B$13)),Eingaben!$B$13,"")))</f>
        <v>28.2744</v>
      </c>
      <c r="I1627" s="6">
        <f>INDEX(Netzzeiten!$C$6:$C$29,HOUR(B1627)+1)</f>
        <v>10.52</v>
      </c>
      <c r="J1627" t="str">
        <f>IF(C1627="","FEHLT",IF(NOT(ISNUMBER(C1627)),"MESSWERT UNGUELTIG",IF(C1627&lt;0,"MESSWERT UNGUELTIG",IF(H1627="","TARIFPREIS FEHLT","OK"))))</f>
        <v>FEHLT</v>
      </c>
      <c r="K1627" s="7">
        <f>IF(J1627&lt;&gt;"OK","",C1627*I1627/100)</f>
        <v/>
      </c>
    </row>
    <row r="1628" spans="1:11">
      <c r="A1628" s="14">
        <v>46159</v>
      </c>
      <c r="B1628" s="15">
        <v>0.8958333333333334</v>
      </c>
      <c r="C1628" s="5">
        <f>IF('96 Werte'!CJ22="","",'96 Werte'!CJ22)</f>
        <v/>
      </c>
      <c r="D1628" t="str">
        <f>IF(IF(Eingaben!$B$21&lt;Eingaben!$B$22,AND(B1628&gt;=Eingaben!$B$21,B1628&lt;Eingaben!$B$22),OR(B1628&gt;=Eingaben!$B$21,B1628&lt;Eingaben!$B$22)),"GO",IF(AND(ISNUMBER(Eingaben!$B$23),ISNUMBER(Eingaben!$B$24),IF(Eingaben!$B$23&lt;Eingaben!$B$24,AND(B1628&gt;=Eingaben!$B$23,B1628&lt;Eingaben!$B$24),OR(B1628&gt;=Eingaben!$B$23,B1628&lt;Eingaben!$B$24))),"HEAT","STANDARD"))</f>
        <v>STANDARD</v>
      </c>
      <c r="E1628" s="9"/>
      <c r="F1628" t="str">
        <f>IF(E1628="",D1628,E1628)</f>
        <v>STANDARD</v>
      </c>
      <c r="G1628" t="str">
        <f>INDEX(Netzzeiten!$B$6:$B$29,HOUR(B1628)+1)</f>
        <v>HT</v>
      </c>
      <c r="H1628" s="6">
        <f>IF(F1628="GO",Eingaben!$B$11,IF(F1628="STANDARD",Eingaben!$B$12,IF(AND(F1628="HEAT",ISNUMBER(Eingaben!$B$13)),Eingaben!$B$13,"")))</f>
        <v>28.2744</v>
      </c>
      <c r="I1628" s="6">
        <f>INDEX(Netzzeiten!$C$6:$C$29,HOUR(B1628)+1)</f>
        <v>10.52</v>
      </c>
      <c r="J1628" t="str">
        <f>IF(C1628="","FEHLT",IF(NOT(ISNUMBER(C1628)),"MESSWERT UNGUELTIG",IF(C1628&lt;0,"MESSWERT UNGUELTIG",IF(H1628="","TARIFPREIS FEHLT","OK"))))</f>
        <v>FEHLT</v>
      </c>
      <c r="K1628" s="7">
        <f>IF(J1628&lt;&gt;"OK","",C1628*I1628/100)</f>
        <v/>
      </c>
    </row>
    <row r="1629" spans="1:11">
      <c r="A1629" s="14">
        <v>46159</v>
      </c>
      <c r="B1629" s="15">
        <v>0.90625</v>
      </c>
      <c r="C1629" s="5">
        <f>IF('96 Werte'!CK22="","",'96 Werte'!CK22)</f>
        <v/>
      </c>
      <c r="D1629" t="str">
        <f>IF(IF(Eingaben!$B$21&lt;Eingaben!$B$22,AND(B1629&gt;=Eingaben!$B$21,B1629&lt;Eingaben!$B$22),OR(B1629&gt;=Eingaben!$B$21,B1629&lt;Eingaben!$B$22)),"GO",IF(AND(ISNUMBER(Eingaben!$B$23),ISNUMBER(Eingaben!$B$24),IF(Eingaben!$B$23&lt;Eingaben!$B$24,AND(B1629&gt;=Eingaben!$B$23,B1629&lt;Eingaben!$B$24),OR(B1629&gt;=Eingaben!$B$23,B1629&lt;Eingaben!$B$24))),"HEAT","STANDARD"))</f>
        <v>STANDARD</v>
      </c>
      <c r="E1629" s="9"/>
      <c r="F1629" t="str">
        <f>IF(E1629="",D1629,E1629)</f>
        <v>STANDARD</v>
      </c>
      <c r="G1629" t="str">
        <f>INDEX(Netzzeiten!$B$6:$B$29,HOUR(B1629)+1)</f>
        <v>HT</v>
      </c>
      <c r="H1629" s="6">
        <f>IF(F1629="GO",Eingaben!$B$11,IF(F1629="STANDARD",Eingaben!$B$12,IF(AND(F1629="HEAT",ISNUMBER(Eingaben!$B$13)),Eingaben!$B$13,"")))</f>
        <v>28.2744</v>
      </c>
      <c r="I1629" s="6">
        <f>INDEX(Netzzeiten!$C$6:$C$29,HOUR(B1629)+1)</f>
        <v>10.52</v>
      </c>
      <c r="J1629" t="str">
        <f>IF(C1629="","FEHLT",IF(NOT(ISNUMBER(C1629)),"MESSWERT UNGUELTIG",IF(C1629&lt;0,"MESSWERT UNGUELTIG",IF(H1629="","TARIFPREIS FEHLT","OK"))))</f>
        <v>FEHLT</v>
      </c>
      <c r="K1629" s="7">
        <f>IF(J1629&lt;&gt;"OK","",C1629*I1629/100)</f>
        <v/>
      </c>
    </row>
    <row r="1630" spans="1:11">
      <c r="A1630" s="14">
        <v>46159</v>
      </c>
      <c r="B1630" s="15">
        <v>0.9166666666666666</v>
      </c>
      <c r="C1630" s="5">
        <f>IF('96 Werte'!CL22="","",'96 Werte'!CL22)</f>
        <v/>
      </c>
      <c r="D1630" t="str">
        <f>IF(IF(Eingaben!$B$21&lt;Eingaben!$B$22,AND(B1630&gt;=Eingaben!$B$21,B1630&lt;Eingaben!$B$22),OR(B1630&gt;=Eingaben!$B$21,B1630&lt;Eingaben!$B$22)),"GO",IF(AND(ISNUMBER(Eingaben!$B$23),ISNUMBER(Eingaben!$B$24),IF(Eingaben!$B$23&lt;Eingaben!$B$24,AND(B1630&gt;=Eingaben!$B$23,B1630&lt;Eingaben!$B$24),OR(B1630&gt;=Eingaben!$B$23,B1630&lt;Eingaben!$B$24))),"HEAT","STANDARD"))</f>
        <v>STANDARD</v>
      </c>
      <c r="E1630" s="9"/>
      <c r="F1630" t="str">
        <f>IF(E1630="",D1630,E1630)</f>
        <v>STANDARD</v>
      </c>
      <c r="G1630" t="str">
        <f>INDEX(Netzzeiten!$B$6:$B$29,HOUR(B1630)+1)</f>
        <v>ST</v>
      </c>
      <c r="H1630" s="6">
        <f>IF(F1630="GO",Eingaben!$B$11,IF(F1630="STANDARD",Eingaben!$B$12,IF(AND(F1630="HEAT",ISNUMBER(Eingaben!$B$13)),Eingaben!$B$13,"")))</f>
        <v>28.2744</v>
      </c>
      <c r="I1630" s="6">
        <f>INDEX(Netzzeiten!$C$6:$C$29,HOUR(B1630)+1)</f>
        <v>5.48</v>
      </c>
      <c r="J1630" t="str">
        <f>IF(C1630="","FEHLT",IF(NOT(ISNUMBER(C1630)),"MESSWERT UNGUELTIG",IF(C1630&lt;0,"MESSWERT UNGUELTIG",IF(H1630="","TARIFPREIS FEHLT","OK"))))</f>
        <v>FEHLT</v>
      </c>
      <c r="K1630" s="7">
        <f>IF(J1630&lt;&gt;"OK","",C1630*I1630/100)</f>
        <v/>
      </c>
    </row>
    <row r="1631" spans="1:11">
      <c r="A1631" s="14">
        <v>46159</v>
      </c>
      <c r="B1631" s="15">
        <v>0.9270833333333334</v>
      </c>
      <c r="C1631" s="5">
        <f>IF('96 Werte'!CM22="","",'96 Werte'!CM22)</f>
        <v/>
      </c>
      <c r="D1631" t="str">
        <f>IF(IF(Eingaben!$B$21&lt;Eingaben!$B$22,AND(B1631&gt;=Eingaben!$B$21,B1631&lt;Eingaben!$B$22),OR(B1631&gt;=Eingaben!$B$21,B1631&lt;Eingaben!$B$22)),"GO",IF(AND(ISNUMBER(Eingaben!$B$23),ISNUMBER(Eingaben!$B$24),IF(Eingaben!$B$23&lt;Eingaben!$B$24,AND(B1631&gt;=Eingaben!$B$23,B1631&lt;Eingaben!$B$24),OR(B1631&gt;=Eingaben!$B$23,B1631&lt;Eingaben!$B$24))),"HEAT","STANDARD"))</f>
        <v>STANDARD</v>
      </c>
      <c r="E1631" s="9"/>
      <c r="F1631" t="str">
        <f>IF(E1631="",D1631,E1631)</f>
        <v>STANDARD</v>
      </c>
      <c r="G1631" t="str">
        <f>INDEX(Netzzeiten!$B$6:$B$29,HOUR(B1631)+1)</f>
        <v>ST</v>
      </c>
      <c r="H1631" s="6">
        <f>IF(F1631="GO",Eingaben!$B$11,IF(F1631="STANDARD",Eingaben!$B$12,IF(AND(F1631="HEAT",ISNUMBER(Eingaben!$B$13)),Eingaben!$B$13,"")))</f>
        <v>28.2744</v>
      </c>
      <c r="I1631" s="6">
        <f>INDEX(Netzzeiten!$C$6:$C$29,HOUR(B1631)+1)</f>
        <v>5.48</v>
      </c>
      <c r="J1631" t="str">
        <f>IF(C1631="","FEHLT",IF(NOT(ISNUMBER(C1631)),"MESSWERT UNGUELTIG",IF(C1631&lt;0,"MESSWERT UNGUELTIG",IF(H1631="","TARIFPREIS FEHLT","OK"))))</f>
        <v>FEHLT</v>
      </c>
      <c r="K1631" s="7">
        <f>IF(J1631&lt;&gt;"OK","",C1631*I1631/100)</f>
        <v/>
      </c>
    </row>
    <row r="1632" spans="1:11">
      <c r="A1632" s="14">
        <v>46159</v>
      </c>
      <c r="B1632" s="15">
        <v>0.9375</v>
      </c>
      <c r="C1632" s="5">
        <f>IF('96 Werte'!CN22="","",'96 Werte'!CN22)</f>
        <v/>
      </c>
      <c r="D1632" t="str">
        <f>IF(IF(Eingaben!$B$21&lt;Eingaben!$B$22,AND(B1632&gt;=Eingaben!$B$21,B1632&lt;Eingaben!$B$22),OR(B1632&gt;=Eingaben!$B$21,B1632&lt;Eingaben!$B$22)),"GO",IF(AND(ISNUMBER(Eingaben!$B$23),ISNUMBER(Eingaben!$B$24),IF(Eingaben!$B$23&lt;Eingaben!$B$24,AND(B1632&gt;=Eingaben!$B$23,B1632&lt;Eingaben!$B$24),OR(B1632&gt;=Eingaben!$B$23,B1632&lt;Eingaben!$B$24))),"HEAT","STANDARD"))</f>
        <v>STANDARD</v>
      </c>
      <c r="E1632" s="9"/>
      <c r="F1632" t="str">
        <f>IF(E1632="",D1632,E1632)</f>
        <v>STANDARD</v>
      </c>
      <c r="G1632" t="str">
        <f>INDEX(Netzzeiten!$B$6:$B$29,HOUR(B1632)+1)</f>
        <v>ST</v>
      </c>
      <c r="H1632" s="6">
        <f>IF(F1632="GO",Eingaben!$B$11,IF(F1632="STANDARD",Eingaben!$B$12,IF(AND(F1632="HEAT",ISNUMBER(Eingaben!$B$13)),Eingaben!$B$13,"")))</f>
        <v>28.2744</v>
      </c>
      <c r="I1632" s="6">
        <f>INDEX(Netzzeiten!$C$6:$C$29,HOUR(B1632)+1)</f>
        <v>5.48</v>
      </c>
      <c r="J1632" t="str">
        <f>IF(C1632="","FEHLT",IF(NOT(ISNUMBER(C1632)),"MESSWERT UNGUELTIG",IF(C1632&lt;0,"MESSWERT UNGUELTIG",IF(H1632="","TARIFPREIS FEHLT","OK"))))</f>
        <v>FEHLT</v>
      </c>
      <c r="K1632" s="7">
        <f>IF(J1632&lt;&gt;"OK","",C1632*I1632/100)</f>
        <v/>
      </c>
    </row>
    <row r="1633" spans="1:11">
      <c r="A1633" s="14">
        <v>46159</v>
      </c>
      <c r="B1633" s="15">
        <v>0.9479166666666666</v>
      </c>
      <c r="C1633" s="5">
        <f>IF('96 Werte'!CO22="","",'96 Werte'!CO22)</f>
        <v/>
      </c>
      <c r="D1633" t="str">
        <f>IF(IF(Eingaben!$B$21&lt;Eingaben!$B$22,AND(B1633&gt;=Eingaben!$B$21,B1633&lt;Eingaben!$B$22),OR(B1633&gt;=Eingaben!$B$21,B1633&lt;Eingaben!$B$22)),"GO",IF(AND(ISNUMBER(Eingaben!$B$23),ISNUMBER(Eingaben!$B$24),IF(Eingaben!$B$23&lt;Eingaben!$B$24,AND(B1633&gt;=Eingaben!$B$23,B1633&lt;Eingaben!$B$24),OR(B1633&gt;=Eingaben!$B$23,B1633&lt;Eingaben!$B$24))),"HEAT","STANDARD"))</f>
        <v>STANDARD</v>
      </c>
      <c r="E1633" s="9"/>
      <c r="F1633" t="str">
        <f>IF(E1633="",D1633,E1633)</f>
        <v>STANDARD</v>
      </c>
      <c r="G1633" t="str">
        <f>INDEX(Netzzeiten!$B$6:$B$29,HOUR(B1633)+1)</f>
        <v>ST</v>
      </c>
      <c r="H1633" s="6">
        <f>IF(F1633="GO",Eingaben!$B$11,IF(F1633="STANDARD",Eingaben!$B$12,IF(AND(F1633="HEAT",ISNUMBER(Eingaben!$B$13)),Eingaben!$B$13,"")))</f>
        <v>28.2744</v>
      </c>
      <c r="I1633" s="6">
        <f>INDEX(Netzzeiten!$C$6:$C$29,HOUR(B1633)+1)</f>
        <v>5.48</v>
      </c>
      <c r="J1633" t="str">
        <f>IF(C1633="","FEHLT",IF(NOT(ISNUMBER(C1633)),"MESSWERT UNGUELTIG",IF(C1633&lt;0,"MESSWERT UNGUELTIG",IF(H1633="","TARIFPREIS FEHLT","OK"))))</f>
        <v>FEHLT</v>
      </c>
      <c r="K1633" s="7">
        <f>IF(J1633&lt;&gt;"OK","",C1633*I1633/100)</f>
        <v/>
      </c>
    </row>
    <row r="1634" spans="1:11">
      <c r="A1634" s="14">
        <v>46159</v>
      </c>
      <c r="B1634" s="15">
        <v>0.9583333333333334</v>
      </c>
      <c r="C1634" s="5">
        <f>IF('96 Werte'!CP22="","",'96 Werte'!CP22)</f>
        <v/>
      </c>
      <c r="D1634" t="str">
        <f>IF(IF(Eingaben!$B$21&lt;Eingaben!$B$22,AND(B1634&gt;=Eingaben!$B$21,B1634&lt;Eingaben!$B$22),OR(B1634&gt;=Eingaben!$B$21,B1634&lt;Eingaben!$B$22)),"GO",IF(AND(ISNUMBER(Eingaben!$B$23),ISNUMBER(Eingaben!$B$24),IF(Eingaben!$B$23&lt;Eingaben!$B$24,AND(B1634&gt;=Eingaben!$B$23,B1634&lt;Eingaben!$B$24),OR(B1634&gt;=Eingaben!$B$23,B1634&lt;Eingaben!$B$24))),"HEAT","STANDARD"))</f>
        <v>STANDARD</v>
      </c>
      <c r="E1634" s="9"/>
      <c r="F1634" t="str">
        <f>IF(E1634="",D1634,E1634)</f>
        <v>STANDARD</v>
      </c>
      <c r="G1634" t="str">
        <f>INDEX(Netzzeiten!$B$6:$B$29,HOUR(B1634)+1)</f>
        <v>NT</v>
      </c>
      <c r="H1634" s="6">
        <f>IF(F1634="GO",Eingaben!$B$11,IF(F1634="STANDARD",Eingaben!$B$12,IF(AND(F1634="HEAT",ISNUMBER(Eingaben!$B$13)),Eingaben!$B$13,"")))</f>
        <v>28.2744</v>
      </c>
      <c r="I1634" s="6">
        <f>INDEX(Netzzeiten!$C$6:$C$29,HOUR(B1634)+1)</f>
        <v>1.64</v>
      </c>
      <c r="J1634" t="str">
        <f>IF(C1634="","FEHLT",IF(NOT(ISNUMBER(C1634)),"MESSWERT UNGUELTIG",IF(C1634&lt;0,"MESSWERT UNGUELTIG",IF(H1634="","TARIFPREIS FEHLT","OK"))))</f>
        <v>FEHLT</v>
      </c>
      <c r="K1634" s="7">
        <f>IF(J1634&lt;&gt;"OK","",C1634*I1634/100)</f>
        <v/>
      </c>
    </row>
    <row r="1635" spans="1:11">
      <c r="A1635" s="14">
        <v>46159</v>
      </c>
      <c r="B1635" s="15">
        <v>0.96875</v>
      </c>
      <c r="C1635" s="5">
        <f>IF('96 Werte'!CQ22="","",'96 Werte'!CQ22)</f>
        <v/>
      </c>
      <c r="D1635" t="str">
        <f>IF(IF(Eingaben!$B$21&lt;Eingaben!$B$22,AND(B1635&gt;=Eingaben!$B$21,B1635&lt;Eingaben!$B$22),OR(B1635&gt;=Eingaben!$B$21,B1635&lt;Eingaben!$B$22)),"GO",IF(AND(ISNUMBER(Eingaben!$B$23),ISNUMBER(Eingaben!$B$24),IF(Eingaben!$B$23&lt;Eingaben!$B$24,AND(B1635&gt;=Eingaben!$B$23,B1635&lt;Eingaben!$B$24),OR(B1635&gt;=Eingaben!$B$23,B1635&lt;Eingaben!$B$24))),"HEAT","STANDARD"))</f>
        <v>STANDARD</v>
      </c>
      <c r="E1635" s="9"/>
      <c r="F1635" t="str">
        <f>IF(E1635="",D1635,E1635)</f>
        <v>STANDARD</v>
      </c>
      <c r="G1635" t="str">
        <f>INDEX(Netzzeiten!$B$6:$B$29,HOUR(B1635)+1)</f>
        <v>NT</v>
      </c>
      <c r="H1635" s="6">
        <f>IF(F1635="GO",Eingaben!$B$11,IF(F1635="STANDARD",Eingaben!$B$12,IF(AND(F1635="HEAT",ISNUMBER(Eingaben!$B$13)),Eingaben!$B$13,"")))</f>
        <v>28.2744</v>
      </c>
      <c r="I1635" s="6">
        <f>INDEX(Netzzeiten!$C$6:$C$29,HOUR(B1635)+1)</f>
        <v>1.64</v>
      </c>
      <c r="J1635" t="str">
        <f>IF(C1635="","FEHLT",IF(NOT(ISNUMBER(C1635)),"MESSWERT UNGUELTIG",IF(C1635&lt;0,"MESSWERT UNGUELTIG",IF(H1635="","TARIFPREIS FEHLT","OK"))))</f>
        <v>FEHLT</v>
      </c>
      <c r="K1635" s="7">
        <f>IF(J1635&lt;&gt;"OK","",C1635*I1635/100)</f>
        <v/>
      </c>
    </row>
    <row r="1636" spans="1:11">
      <c r="A1636" s="14">
        <v>46159</v>
      </c>
      <c r="B1636" s="15">
        <v>0.9791666666666666</v>
      </c>
      <c r="C1636" s="5">
        <f>IF('96 Werte'!CR22="","",'96 Werte'!CR22)</f>
        <v/>
      </c>
      <c r="D1636" t="str">
        <f>IF(IF(Eingaben!$B$21&lt;Eingaben!$B$22,AND(B1636&gt;=Eingaben!$B$21,B1636&lt;Eingaben!$B$22),OR(B1636&gt;=Eingaben!$B$21,B1636&lt;Eingaben!$B$22)),"GO",IF(AND(ISNUMBER(Eingaben!$B$23),ISNUMBER(Eingaben!$B$24),IF(Eingaben!$B$23&lt;Eingaben!$B$24,AND(B1636&gt;=Eingaben!$B$23,B1636&lt;Eingaben!$B$24),OR(B1636&gt;=Eingaben!$B$23,B1636&lt;Eingaben!$B$24))),"HEAT","STANDARD"))</f>
        <v>STANDARD</v>
      </c>
      <c r="E1636" s="9"/>
      <c r="F1636" t="str">
        <f>IF(E1636="",D1636,E1636)</f>
        <v>STANDARD</v>
      </c>
      <c r="G1636" t="str">
        <f>INDEX(Netzzeiten!$B$6:$B$29,HOUR(B1636)+1)</f>
        <v>NT</v>
      </c>
      <c r="H1636" s="6">
        <f>IF(F1636="GO",Eingaben!$B$11,IF(F1636="STANDARD",Eingaben!$B$12,IF(AND(F1636="HEAT",ISNUMBER(Eingaben!$B$13)),Eingaben!$B$13,"")))</f>
        <v>28.2744</v>
      </c>
      <c r="I1636" s="6">
        <f>INDEX(Netzzeiten!$C$6:$C$29,HOUR(B1636)+1)</f>
        <v>1.64</v>
      </c>
      <c r="J1636" t="str">
        <f>IF(C1636="","FEHLT",IF(NOT(ISNUMBER(C1636)),"MESSWERT UNGUELTIG",IF(C1636&lt;0,"MESSWERT UNGUELTIG",IF(H1636="","TARIFPREIS FEHLT","OK"))))</f>
        <v>FEHLT</v>
      </c>
      <c r="K1636" s="7">
        <f>IF(J1636&lt;&gt;"OK","",C1636*I1636/100)</f>
        <v/>
      </c>
    </row>
    <row r="1637" spans="1:11">
      <c r="A1637" s="14">
        <v>46159</v>
      </c>
      <c r="B1637" s="15">
        <v>0.9895833333333334</v>
      </c>
      <c r="C1637" s="5">
        <f>IF('96 Werte'!CS22="","",'96 Werte'!CS22)</f>
        <v/>
      </c>
      <c r="D1637" t="str">
        <f>IF(IF(Eingaben!$B$21&lt;Eingaben!$B$22,AND(B1637&gt;=Eingaben!$B$21,B1637&lt;Eingaben!$B$22),OR(B1637&gt;=Eingaben!$B$21,B1637&lt;Eingaben!$B$22)),"GO",IF(AND(ISNUMBER(Eingaben!$B$23),ISNUMBER(Eingaben!$B$24),IF(Eingaben!$B$23&lt;Eingaben!$B$24,AND(B1637&gt;=Eingaben!$B$23,B1637&lt;Eingaben!$B$24),OR(B1637&gt;=Eingaben!$B$23,B1637&lt;Eingaben!$B$24))),"HEAT","STANDARD"))</f>
        <v>STANDARD</v>
      </c>
      <c r="E1637" s="9"/>
      <c r="F1637" t="str">
        <f>IF(E1637="",D1637,E1637)</f>
        <v>STANDARD</v>
      </c>
      <c r="G1637" t="str">
        <f>INDEX(Netzzeiten!$B$6:$B$29,HOUR(B1637)+1)</f>
        <v>NT</v>
      </c>
      <c r="H1637" s="6">
        <f>IF(F1637="GO",Eingaben!$B$11,IF(F1637="STANDARD",Eingaben!$B$12,IF(AND(F1637="HEAT",ISNUMBER(Eingaben!$B$13)),Eingaben!$B$13,"")))</f>
        <v>28.2744</v>
      </c>
      <c r="I1637" s="6">
        <f>INDEX(Netzzeiten!$C$6:$C$29,HOUR(B1637)+1)</f>
        <v>1.64</v>
      </c>
      <c r="J1637" t="str">
        <f>IF(C1637="","FEHLT",IF(NOT(ISNUMBER(C1637)),"MESSWERT UNGUELTIG",IF(C1637&lt;0,"MESSWERT UNGUELTIG",IF(H1637="","TARIFPREIS FEHLT","OK"))))</f>
        <v>FEHLT</v>
      </c>
      <c r="K1637" s="7">
        <f>IF(J1637&lt;&gt;"OK","",C1637*I1637/100)</f>
        <v/>
      </c>
    </row>
    <row r="1638" spans="1:11">
      <c r="A1638" s="14">
        <v>46160</v>
      </c>
      <c r="B1638" s="15">
        <v>0</v>
      </c>
      <c r="C1638" s="5">
        <f>IF('96 Werte'!B23="","",'96 Werte'!B23)</f>
        <v/>
      </c>
      <c r="D1638" t="str">
        <f>IF(IF(Eingaben!$B$21&lt;Eingaben!$B$22,AND(B1638&gt;=Eingaben!$B$21,B1638&lt;Eingaben!$B$22),OR(B1638&gt;=Eingaben!$B$21,B1638&lt;Eingaben!$B$22)),"GO",IF(AND(ISNUMBER(Eingaben!$B$23),ISNUMBER(Eingaben!$B$24),IF(Eingaben!$B$23&lt;Eingaben!$B$24,AND(B1638&gt;=Eingaben!$B$23,B1638&lt;Eingaben!$B$24),OR(B1638&gt;=Eingaben!$B$23,B1638&lt;Eingaben!$B$24))),"HEAT","STANDARD"))</f>
        <v>GO</v>
      </c>
      <c r="E1638" s="9"/>
      <c r="F1638" t="str">
        <f>IF(E1638="",D1638,E1638)</f>
        <v>GO</v>
      </c>
      <c r="G1638" t="str">
        <f>INDEX(Netzzeiten!$B$6:$B$29,HOUR(B1638)+1)</f>
        <v>NT</v>
      </c>
      <c r="H1638" s="6">
        <f>IF(F1638="GO",Eingaben!$B$11,IF(F1638="STANDARD",Eingaben!$B$12,IF(AND(F1638="HEAT",ISNUMBER(Eingaben!$B$13)),Eingaben!$B$13,"")))</f>
        <v>15.0654</v>
      </c>
      <c r="I1638" s="6">
        <f>INDEX(Netzzeiten!$C$6:$C$29,HOUR(B1638)+1)</f>
        <v>1.64</v>
      </c>
      <c r="J1638" t="str">
        <f>IF(C1638="","FEHLT",IF(NOT(ISNUMBER(C1638)),"MESSWERT UNGUELTIG",IF(C1638&lt;0,"MESSWERT UNGUELTIG",IF(H1638="","TARIFPREIS FEHLT","OK"))))</f>
        <v>FEHLT</v>
      </c>
      <c r="K1638" s="7">
        <f>IF(J1638&lt;&gt;"OK","",C1638*I1638/100)</f>
        <v/>
      </c>
    </row>
    <row r="1639" spans="1:11">
      <c r="A1639" s="14">
        <v>46160</v>
      </c>
      <c r="B1639" s="15">
        <v>0.01041666666666667</v>
      </c>
      <c r="C1639" s="5">
        <f>IF('96 Werte'!C23="","",'96 Werte'!C23)</f>
        <v/>
      </c>
      <c r="D1639" t="str">
        <f>IF(IF(Eingaben!$B$21&lt;Eingaben!$B$22,AND(B1639&gt;=Eingaben!$B$21,B1639&lt;Eingaben!$B$22),OR(B1639&gt;=Eingaben!$B$21,B1639&lt;Eingaben!$B$22)),"GO",IF(AND(ISNUMBER(Eingaben!$B$23),ISNUMBER(Eingaben!$B$24),IF(Eingaben!$B$23&lt;Eingaben!$B$24,AND(B1639&gt;=Eingaben!$B$23,B1639&lt;Eingaben!$B$24),OR(B1639&gt;=Eingaben!$B$23,B1639&lt;Eingaben!$B$24))),"HEAT","STANDARD"))</f>
        <v>GO</v>
      </c>
      <c r="E1639" s="9"/>
      <c r="F1639" t="str">
        <f>IF(E1639="",D1639,E1639)</f>
        <v>GO</v>
      </c>
      <c r="G1639" t="str">
        <f>INDEX(Netzzeiten!$B$6:$B$29,HOUR(B1639)+1)</f>
        <v>NT</v>
      </c>
      <c r="H1639" s="6">
        <f>IF(F1639="GO",Eingaben!$B$11,IF(F1639="STANDARD",Eingaben!$B$12,IF(AND(F1639="HEAT",ISNUMBER(Eingaben!$B$13)),Eingaben!$B$13,"")))</f>
        <v>15.0654</v>
      </c>
      <c r="I1639" s="6">
        <f>INDEX(Netzzeiten!$C$6:$C$29,HOUR(B1639)+1)</f>
        <v>1.64</v>
      </c>
      <c r="J1639" t="str">
        <f>IF(C1639="","FEHLT",IF(NOT(ISNUMBER(C1639)),"MESSWERT UNGUELTIG",IF(C1639&lt;0,"MESSWERT UNGUELTIG",IF(H1639="","TARIFPREIS FEHLT","OK"))))</f>
        <v>FEHLT</v>
      </c>
      <c r="K1639" s="7">
        <f>IF(J1639&lt;&gt;"OK","",C1639*I1639/100)</f>
        <v/>
      </c>
    </row>
    <row r="1640" spans="1:11">
      <c r="A1640" s="14">
        <v>46160</v>
      </c>
      <c r="B1640" s="15">
        <v>0.02083333333333333</v>
      </c>
      <c r="C1640" s="5">
        <f>IF('96 Werte'!D23="","",'96 Werte'!D23)</f>
        <v/>
      </c>
      <c r="D1640" t="str">
        <f>IF(IF(Eingaben!$B$21&lt;Eingaben!$B$22,AND(B1640&gt;=Eingaben!$B$21,B1640&lt;Eingaben!$B$22),OR(B1640&gt;=Eingaben!$B$21,B1640&lt;Eingaben!$B$22)),"GO",IF(AND(ISNUMBER(Eingaben!$B$23),ISNUMBER(Eingaben!$B$24),IF(Eingaben!$B$23&lt;Eingaben!$B$24,AND(B1640&gt;=Eingaben!$B$23,B1640&lt;Eingaben!$B$24),OR(B1640&gt;=Eingaben!$B$23,B1640&lt;Eingaben!$B$24))),"HEAT","STANDARD"))</f>
        <v>GO</v>
      </c>
      <c r="E1640" s="9"/>
      <c r="F1640" t="str">
        <f>IF(E1640="",D1640,E1640)</f>
        <v>GO</v>
      </c>
      <c r="G1640" t="str">
        <f>INDEX(Netzzeiten!$B$6:$B$29,HOUR(B1640)+1)</f>
        <v>NT</v>
      </c>
      <c r="H1640" s="6">
        <f>IF(F1640="GO",Eingaben!$B$11,IF(F1640="STANDARD",Eingaben!$B$12,IF(AND(F1640="HEAT",ISNUMBER(Eingaben!$B$13)),Eingaben!$B$13,"")))</f>
        <v>15.0654</v>
      </c>
      <c r="I1640" s="6">
        <f>INDEX(Netzzeiten!$C$6:$C$29,HOUR(B1640)+1)</f>
        <v>1.64</v>
      </c>
      <c r="J1640" t="str">
        <f>IF(C1640="","FEHLT",IF(NOT(ISNUMBER(C1640)),"MESSWERT UNGUELTIG",IF(C1640&lt;0,"MESSWERT UNGUELTIG",IF(H1640="","TARIFPREIS FEHLT","OK"))))</f>
        <v>FEHLT</v>
      </c>
      <c r="K1640" s="7">
        <f>IF(J1640&lt;&gt;"OK","",C1640*I1640/100)</f>
        <v/>
      </c>
    </row>
    <row r="1641" spans="1:11">
      <c r="A1641" s="14">
        <v>46160</v>
      </c>
      <c r="B1641" s="15">
        <v>0.03125</v>
      </c>
      <c r="C1641" s="5">
        <f>IF('96 Werte'!E23="","",'96 Werte'!E23)</f>
        <v/>
      </c>
      <c r="D1641" t="str">
        <f>IF(IF(Eingaben!$B$21&lt;Eingaben!$B$22,AND(B1641&gt;=Eingaben!$B$21,B1641&lt;Eingaben!$B$22),OR(B1641&gt;=Eingaben!$B$21,B1641&lt;Eingaben!$B$22)),"GO",IF(AND(ISNUMBER(Eingaben!$B$23),ISNUMBER(Eingaben!$B$24),IF(Eingaben!$B$23&lt;Eingaben!$B$24,AND(B1641&gt;=Eingaben!$B$23,B1641&lt;Eingaben!$B$24),OR(B1641&gt;=Eingaben!$B$23,B1641&lt;Eingaben!$B$24))),"HEAT","STANDARD"))</f>
        <v>GO</v>
      </c>
      <c r="E1641" s="9"/>
      <c r="F1641" t="str">
        <f>IF(E1641="",D1641,E1641)</f>
        <v>GO</v>
      </c>
      <c r="G1641" t="str">
        <f>INDEX(Netzzeiten!$B$6:$B$29,HOUR(B1641)+1)</f>
        <v>NT</v>
      </c>
      <c r="H1641" s="6">
        <f>IF(F1641="GO",Eingaben!$B$11,IF(F1641="STANDARD",Eingaben!$B$12,IF(AND(F1641="HEAT",ISNUMBER(Eingaben!$B$13)),Eingaben!$B$13,"")))</f>
        <v>15.0654</v>
      </c>
      <c r="I1641" s="6">
        <f>INDEX(Netzzeiten!$C$6:$C$29,HOUR(B1641)+1)</f>
        <v>1.64</v>
      </c>
      <c r="J1641" t="str">
        <f>IF(C1641="","FEHLT",IF(NOT(ISNUMBER(C1641)),"MESSWERT UNGUELTIG",IF(C1641&lt;0,"MESSWERT UNGUELTIG",IF(H1641="","TARIFPREIS FEHLT","OK"))))</f>
        <v>FEHLT</v>
      </c>
      <c r="K1641" s="7">
        <f>IF(J1641&lt;&gt;"OK","",C1641*I1641/100)</f>
        <v/>
      </c>
    </row>
    <row r="1642" spans="1:11">
      <c r="A1642" s="14">
        <v>46160</v>
      </c>
      <c r="B1642" s="15">
        <v>0.04166666666666666</v>
      </c>
      <c r="C1642" s="5">
        <f>IF('96 Werte'!F23="","",'96 Werte'!F23)</f>
        <v/>
      </c>
      <c r="D1642" t="str">
        <f>IF(IF(Eingaben!$B$21&lt;Eingaben!$B$22,AND(B1642&gt;=Eingaben!$B$21,B1642&lt;Eingaben!$B$22),OR(B1642&gt;=Eingaben!$B$21,B1642&lt;Eingaben!$B$22)),"GO",IF(AND(ISNUMBER(Eingaben!$B$23),ISNUMBER(Eingaben!$B$24),IF(Eingaben!$B$23&lt;Eingaben!$B$24,AND(B1642&gt;=Eingaben!$B$23,B1642&lt;Eingaben!$B$24),OR(B1642&gt;=Eingaben!$B$23,B1642&lt;Eingaben!$B$24))),"HEAT","STANDARD"))</f>
        <v>GO</v>
      </c>
      <c r="E1642" s="9"/>
      <c r="F1642" t="str">
        <f>IF(E1642="",D1642,E1642)</f>
        <v>GO</v>
      </c>
      <c r="G1642" t="str">
        <f>INDEX(Netzzeiten!$B$6:$B$29,HOUR(B1642)+1)</f>
        <v>NT</v>
      </c>
      <c r="H1642" s="6">
        <f>IF(F1642="GO",Eingaben!$B$11,IF(F1642="STANDARD",Eingaben!$B$12,IF(AND(F1642="HEAT",ISNUMBER(Eingaben!$B$13)),Eingaben!$B$13,"")))</f>
        <v>15.0654</v>
      </c>
      <c r="I1642" s="6">
        <f>INDEX(Netzzeiten!$C$6:$C$29,HOUR(B1642)+1)</f>
        <v>1.64</v>
      </c>
      <c r="J1642" t="str">
        <f>IF(C1642="","FEHLT",IF(NOT(ISNUMBER(C1642)),"MESSWERT UNGUELTIG",IF(C1642&lt;0,"MESSWERT UNGUELTIG",IF(H1642="","TARIFPREIS FEHLT","OK"))))</f>
        <v>FEHLT</v>
      </c>
      <c r="K1642" s="7">
        <f>IF(J1642&lt;&gt;"OK","",C1642*I1642/100)</f>
        <v/>
      </c>
    </row>
    <row r="1643" spans="1:11">
      <c r="A1643" s="14">
        <v>46160</v>
      </c>
      <c r="B1643" s="15">
        <v>0.05208333333333334</v>
      </c>
      <c r="C1643" s="5">
        <f>IF('96 Werte'!G23="","",'96 Werte'!G23)</f>
        <v/>
      </c>
      <c r="D1643" t="str">
        <f>IF(IF(Eingaben!$B$21&lt;Eingaben!$B$22,AND(B1643&gt;=Eingaben!$B$21,B1643&lt;Eingaben!$B$22),OR(B1643&gt;=Eingaben!$B$21,B1643&lt;Eingaben!$B$22)),"GO",IF(AND(ISNUMBER(Eingaben!$B$23),ISNUMBER(Eingaben!$B$24),IF(Eingaben!$B$23&lt;Eingaben!$B$24,AND(B1643&gt;=Eingaben!$B$23,B1643&lt;Eingaben!$B$24),OR(B1643&gt;=Eingaben!$B$23,B1643&lt;Eingaben!$B$24))),"HEAT","STANDARD"))</f>
        <v>GO</v>
      </c>
      <c r="E1643" s="9"/>
      <c r="F1643" t="str">
        <f>IF(E1643="",D1643,E1643)</f>
        <v>GO</v>
      </c>
      <c r="G1643" t="str">
        <f>INDEX(Netzzeiten!$B$6:$B$29,HOUR(B1643)+1)</f>
        <v>NT</v>
      </c>
      <c r="H1643" s="6">
        <f>IF(F1643="GO",Eingaben!$B$11,IF(F1643="STANDARD",Eingaben!$B$12,IF(AND(F1643="HEAT",ISNUMBER(Eingaben!$B$13)),Eingaben!$B$13,"")))</f>
        <v>15.0654</v>
      </c>
      <c r="I1643" s="6">
        <f>INDEX(Netzzeiten!$C$6:$C$29,HOUR(B1643)+1)</f>
        <v>1.64</v>
      </c>
      <c r="J1643" t="str">
        <f>IF(C1643="","FEHLT",IF(NOT(ISNUMBER(C1643)),"MESSWERT UNGUELTIG",IF(C1643&lt;0,"MESSWERT UNGUELTIG",IF(H1643="","TARIFPREIS FEHLT","OK"))))</f>
        <v>FEHLT</v>
      </c>
      <c r="K1643" s="7">
        <f>IF(J1643&lt;&gt;"OK","",C1643*I1643/100)</f>
        <v/>
      </c>
    </row>
    <row r="1644" spans="1:11">
      <c r="A1644" s="14">
        <v>46160</v>
      </c>
      <c r="B1644" s="15">
        <v>0.0625</v>
      </c>
      <c r="C1644" s="5">
        <f>IF('96 Werte'!H23="","",'96 Werte'!H23)</f>
        <v/>
      </c>
      <c r="D1644" t="str">
        <f>IF(IF(Eingaben!$B$21&lt;Eingaben!$B$22,AND(B1644&gt;=Eingaben!$B$21,B1644&lt;Eingaben!$B$22),OR(B1644&gt;=Eingaben!$B$21,B1644&lt;Eingaben!$B$22)),"GO",IF(AND(ISNUMBER(Eingaben!$B$23),ISNUMBER(Eingaben!$B$24),IF(Eingaben!$B$23&lt;Eingaben!$B$24,AND(B1644&gt;=Eingaben!$B$23,B1644&lt;Eingaben!$B$24),OR(B1644&gt;=Eingaben!$B$23,B1644&lt;Eingaben!$B$24))),"HEAT","STANDARD"))</f>
        <v>GO</v>
      </c>
      <c r="E1644" s="9"/>
      <c r="F1644" t="str">
        <f>IF(E1644="",D1644,E1644)</f>
        <v>GO</v>
      </c>
      <c r="G1644" t="str">
        <f>INDEX(Netzzeiten!$B$6:$B$29,HOUR(B1644)+1)</f>
        <v>NT</v>
      </c>
      <c r="H1644" s="6">
        <f>IF(F1644="GO",Eingaben!$B$11,IF(F1644="STANDARD",Eingaben!$B$12,IF(AND(F1644="HEAT",ISNUMBER(Eingaben!$B$13)),Eingaben!$B$13,"")))</f>
        <v>15.0654</v>
      </c>
      <c r="I1644" s="6">
        <f>INDEX(Netzzeiten!$C$6:$C$29,HOUR(B1644)+1)</f>
        <v>1.64</v>
      </c>
      <c r="J1644" t="str">
        <f>IF(C1644="","FEHLT",IF(NOT(ISNUMBER(C1644)),"MESSWERT UNGUELTIG",IF(C1644&lt;0,"MESSWERT UNGUELTIG",IF(H1644="","TARIFPREIS FEHLT","OK"))))</f>
        <v>FEHLT</v>
      </c>
      <c r="K1644" s="7">
        <f>IF(J1644&lt;&gt;"OK","",C1644*I1644/100)</f>
        <v/>
      </c>
    </row>
    <row r="1645" spans="1:11">
      <c r="A1645" s="14">
        <v>46160</v>
      </c>
      <c r="B1645" s="15">
        <v>0.07291666666666667</v>
      </c>
      <c r="C1645" s="5">
        <f>IF('96 Werte'!I23="","",'96 Werte'!I23)</f>
        <v/>
      </c>
      <c r="D1645" t="str">
        <f>IF(IF(Eingaben!$B$21&lt;Eingaben!$B$22,AND(B1645&gt;=Eingaben!$B$21,B1645&lt;Eingaben!$B$22),OR(B1645&gt;=Eingaben!$B$21,B1645&lt;Eingaben!$B$22)),"GO",IF(AND(ISNUMBER(Eingaben!$B$23),ISNUMBER(Eingaben!$B$24),IF(Eingaben!$B$23&lt;Eingaben!$B$24,AND(B1645&gt;=Eingaben!$B$23,B1645&lt;Eingaben!$B$24),OR(B1645&gt;=Eingaben!$B$23,B1645&lt;Eingaben!$B$24))),"HEAT","STANDARD"))</f>
        <v>GO</v>
      </c>
      <c r="E1645" s="9"/>
      <c r="F1645" t="str">
        <f>IF(E1645="",D1645,E1645)</f>
        <v>GO</v>
      </c>
      <c r="G1645" t="str">
        <f>INDEX(Netzzeiten!$B$6:$B$29,HOUR(B1645)+1)</f>
        <v>NT</v>
      </c>
      <c r="H1645" s="6">
        <f>IF(F1645="GO",Eingaben!$B$11,IF(F1645="STANDARD",Eingaben!$B$12,IF(AND(F1645="HEAT",ISNUMBER(Eingaben!$B$13)),Eingaben!$B$13,"")))</f>
        <v>15.0654</v>
      </c>
      <c r="I1645" s="6">
        <f>INDEX(Netzzeiten!$C$6:$C$29,HOUR(B1645)+1)</f>
        <v>1.64</v>
      </c>
      <c r="J1645" t="str">
        <f>IF(C1645="","FEHLT",IF(NOT(ISNUMBER(C1645)),"MESSWERT UNGUELTIG",IF(C1645&lt;0,"MESSWERT UNGUELTIG",IF(H1645="","TARIFPREIS FEHLT","OK"))))</f>
        <v>FEHLT</v>
      </c>
      <c r="K1645" s="7">
        <f>IF(J1645&lt;&gt;"OK","",C1645*I1645/100)</f>
        <v/>
      </c>
    </row>
    <row r="1646" spans="1:11">
      <c r="A1646" s="14">
        <v>46160</v>
      </c>
      <c r="B1646" s="15">
        <v>0.08333333333333333</v>
      </c>
      <c r="C1646" s="5">
        <f>IF('96 Werte'!J23="","",'96 Werte'!J23)</f>
        <v/>
      </c>
      <c r="D1646" t="str">
        <f>IF(IF(Eingaben!$B$21&lt;Eingaben!$B$22,AND(B1646&gt;=Eingaben!$B$21,B1646&lt;Eingaben!$B$22),OR(B1646&gt;=Eingaben!$B$21,B1646&lt;Eingaben!$B$22)),"GO",IF(AND(ISNUMBER(Eingaben!$B$23),ISNUMBER(Eingaben!$B$24),IF(Eingaben!$B$23&lt;Eingaben!$B$24,AND(B1646&gt;=Eingaben!$B$23,B1646&lt;Eingaben!$B$24),OR(B1646&gt;=Eingaben!$B$23,B1646&lt;Eingaben!$B$24))),"HEAT","STANDARD"))</f>
        <v>GO</v>
      </c>
      <c r="E1646" s="9"/>
      <c r="F1646" t="str">
        <f>IF(E1646="",D1646,E1646)</f>
        <v>GO</v>
      </c>
      <c r="G1646" t="str">
        <f>INDEX(Netzzeiten!$B$6:$B$29,HOUR(B1646)+1)</f>
        <v>NT</v>
      </c>
      <c r="H1646" s="6">
        <f>IF(F1646="GO",Eingaben!$B$11,IF(F1646="STANDARD",Eingaben!$B$12,IF(AND(F1646="HEAT",ISNUMBER(Eingaben!$B$13)),Eingaben!$B$13,"")))</f>
        <v>15.0654</v>
      </c>
      <c r="I1646" s="6">
        <f>INDEX(Netzzeiten!$C$6:$C$29,HOUR(B1646)+1)</f>
        <v>1.64</v>
      </c>
      <c r="J1646" t="str">
        <f>IF(C1646="","FEHLT",IF(NOT(ISNUMBER(C1646)),"MESSWERT UNGUELTIG",IF(C1646&lt;0,"MESSWERT UNGUELTIG",IF(H1646="","TARIFPREIS FEHLT","OK"))))</f>
        <v>FEHLT</v>
      </c>
      <c r="K1646" s="7">
        <f>IF(J1646&lt;&gt;"OK","",C1646*I1646/100)</f>
        <v/>
      </c>
    </row>
    <row r="1647" spans="1:11">
      <c r="A1647" s="14">
        <v>46160</v>
      </c>
      <c r="B1647" s="15">
        <v>0.09375</v>
      </c>
      <c r="C1647" s="5">
        <f>IF('96 Werte'!K23="","",'96 Werte'!K23)</f>
        <v/>
      </c>
      <c r="D1647" t="str">
        <f>IF(IF(Eingaben!$B$21&lt;Eingaben!$B$22,AND(B1647&gt;=Eingaben!$B$21,B1647&lt;Eingaben!$B$22),OR(B1647&gt;=Eingaben!$B$21,B1647&lt;Eingaben!$B$22)),"GO",IF(AND(ISNUMBER(Eingaben!$B$23),ISNUMBER(Eingaben!$B$24),IF(Eingaben!$B$23&lt;Eingaben!$B$24,AND(B1647&gt;=Eingaben!$B$23,B1647&lt;Eingaben!$B$24),OR(B1647&gt;=Eingaben!$B$23,B1647&lt;Eingaben!$B$24))),"HEAT","STANDARD"))</f>
        <v>GO</v>
      </c>
      <c r="E1647" s="9"/>
      <c r="F1647" t="str">
        <f>IF(E1647="",D1647,E1647)</f>
        <v>GO</v>
      </c>
      <c r="G1647" t="str">
        <f>INDEX(Netzzeiten!$B$6:$B$29,HOUR(B1647)+1)</f>
        <v>NT</v>
      </c>
      <c r="H1647" s="6">
        <f>IF(F1647="GO",Eingaben!$B$11,IF(F1647="STANDARD",Eingaben!$B$12,IF(AND(F1647="HEAT",ISNUMBER(Eingaben!$B$13)),Eingaben!$B$13,"")))</f>
        <v>15.0654</v>
      </c>
      <c r="I1647" s="6">
        <f>INDEX(Netzzeiten!$C$6:$C$29,HOUR(B1647)+1)</f>
        <v>1.64</v>
      </c>
      <c r="J1647" t="str">
        <f>IF(C1647="","FEHLT",IF(NOT(ISNUMBER(C1647)),"MESSWERT UNGUELTIG",IF(C1647&lt;0,"MESSWERT UNGUELTIG",IF(H1647="","TARIFPREIS FEHLT","OK"))))</f>
        <v>FEHLT</v>
      </c>
      <c r="K1647" s="7">
        <f>IF(J1647&lt;&gt;"OK","",C1647*I1647/100)</f>
        <v/>
      </c>
    </row>
    <row r="1648" spans="1:11">
      <c r="A1648" s="14">
        <v>46160</v>
      </c>
      <c r="B1648" s="15">
        <v>0.1041666666666667</v>
      </c>
      <c r="C1648" s="5">
        <f>IF('96 Werte'!L23="","",'96 Werte'!L23)</f>
        <v/>
      </c>
      <c r="D1648" t="str">
        <f>IF(IF(Eingaben!$B$21&lt;Eingaben!$B$22,AND(B1648&gt;=Eingaben!$B$21,B1648&lt;Eingaben!$B$22),OR(B1648&gt;=Eingaben!$B$21,B1648&lt;Eingaben!$B$22)),"GO",IF(AND(ISNUMBER(Eingaben!$B$23),ISNUMBER(Eingaben!$B$24),IF(Eingaben!$B$23&lt;Eingaben!$B$24,AND(B1648&gt;=Eingaben!$B$23,B1648&lt;Eingaben!$B$24),OR(B1648&gt;=Eingaben!$B$23,B1648&lt;Eingaben!$B$24))),"HEAT","STANDARD"))</f>
        <v>GO</v>
      </c>
      <c r="E1648" s="9"/>
      <c r="F1648" t="str">
        <f>IF(E1648="",D1648,E1648)</f>
        <v>GO</v>
      </c>
      <c r="G1648" t="str">
        <f>INDEX(Netzzeiten!$B$6:$B$29,HOUR(B1648)+1)</f>
        <v>NT</v>
      </c>
      <c r="H1648" s="6">
        <f>IF(F1648="GO",Eingaben!$B$11,IF(F1648="STANDARD",Eingaben!$B$12,IF(AND(F1648="HEAT",ISNUMBER(Eingaben!$B$13)),Eingaben!$B$13,"")))</f>
        <v>15.0654</v>
      </c>
      <c r="I1648" s="6">
        <f>INDEX(Netzzeiten!$C$6:$C$29,HOUR(B1648)+1)</f>
        <v>1.64</v>
      </c>
      <c r="J1648" t="str">
        <f>IF(C1648="","FEHLT",IF(NOT(ISNUMBER(C1648)),"MESSWERT UNGUELTIG",IF(C1648&lt;0,"MESSWERT UNGUELTIG",IF(H1648="","TARIFPREIS FEHLT","OK"))))</f>
        <v>FEHLT</v>
      </c>
      <c r="K1648" s="7">
        <f>IF(J1648&lt;&gt;"OK","",C1648*I1648/100)</f>
        <v/>
      </c>
    </row>
    <row r="1649" spans="1:11">
      <c r="A1649" s="14">
        <v>46160</v>
      </c>
      <c r="B1649" s="15">
        <v>0.1145833333333333</v>
      </c>
      <c r="C1649" s="5">
        <f>IF('96 Werte'!M23="","",'96 Werte'!M23)</f>
        <v/>
      </c>
      <c r="D1649" t="str">
        <f>IF(IF(Eingaben!$B$21&lt;Eingaben!$B$22,AND(B1649&gt;=Eingaben!$B$21,B1649&lt;Eingaben!$B$22),OR(B1649&gt;=Eingaben!$B$21,B1649&lt;Eingaben!$B$22)),"GO",IF(AND(ISNUMBER(Eingaben!$B$23),ISNUMBER(Eingaben!$B$24),IF(Eingaben!$B$23&lt;Eingaben!$B$24,AND(B1649&gt;=Eingaben!$B$23,B1649&lt;Eingaben!$B$24),OR(B1649&gt;=Eingaben!$B$23,B1649&lt;Eingaben!$B$24))),"HEAT","STANDARD"))</f>
        <v>GO</v>
      </c>
      <c r="E1649" s="9"/>
      <c r="F1649" t="str">
        <f>IF(E1649="",D1649,E1649)</f>
        <v>GO</v>
      </c>
      <c r="G1649" t="str">
        <f>INDEX(Netzzeiten!$B$6:$B$29,HOUR(B1649)+1)</f>
        <v>NT</v>
      </c>
      <c r="H1649" s="6">
        <f>IF(F1649="GO",Eingaben!$B$11,IF(F1649="STANDARD",Eingaben!$B$12,IF(AND(F1649="HEAT",ISNUMBER(Eingaben!$B$13)),Eingaben!$B$13,"")))</f>
        <v>15.0654</v>
      </c>
      <c r="I1649" s="6">
        <f>INDEX(Netzzeiten!$C$6:$C$29,HOUR(B1649)+1)</f>
        <v>1.64</v>
      </c>
      <c r="J1649" t="str">
        <f>IF(C1649="","FEHLT",IF(NOT(ISNUMBER(C1649)),"MESSWERT UNGUELTIG",IF(C1649&lt;0,"MESSWERT UNGUELTIG",IF(H1649="","TARIFPREIS FEHLT","OK"))))</f>
        <v>FEHLT</v>
      </c>
      <c r="K1649" s="7">
        <f>IF(J1649&lt;&gt;"OK","",C1649*I1649/100)</f>
        <v/>
      </c>
    </row>
    <row r="1650" spans="1:11">
      <c r="A1650" s="14">
        <v>46160</v>
      </c>
      <c r="B1650" s="15">
        <v>0.125</v>
      </c>
      <c r="C1650" s="5">
        <f>IF('96 Werte'!N23="","",'96 Werte'!N23)</f>
        <v/>
      </c>
      <c r="D1650" t="str">
        <f>IF(IF(Eingaben!$B$21&lt;Eingaben!$B$22,AND(B1650&gt;=Eingaben!$B$21,B1650&lt;Eingaben!$B$22),OR(B1650&gt;=Eingaben!$B$21,B1650&lt;Eingaben!$B$22)),"GO",IF(AND(ISNUMBER(Eingaben!$B$23),ISNUMBER(Eingaben!$B$24),IF(Eingaben!$B$23&lt;Eingaben!$B$24,AND(B1650&gt;=Eingaben!$B$23,B1650&lt;Eingaben!$B$24),OR(B1650&gt;=Eingaben!$B$23,B1650&lt;Eingaben!$B$24))),"HEAT","STANDARD"))</f>
        <v>GO</v>
      </c>
      <c r="E1650" s="9"/>
      <c r="F1650" t="str">
        <f>IF(E1650="",D1650,E1650)</f>
        <v>GO</v>
      </c>
      <c r="G1650" t="str">
        <f>INDEX(Netzzeiten!$B$6:$B$29,HOUR(B1650)+1)</f>
        <v>NT</v>
      </c>
      <c r="H1650" s="6">
        <f>IF(F1650="GO",Eingaben!$B$11,IF(F1650="STANDARD",Eingaben!$B$12,IF(AND(F1650="HEAT",ISNUMBER(Eingaben!$B$13)),Eingaben!$B$13,"")))</f>
        <v>15.0654</v>
      </c>
      <c r="I1650" s="6">
        <f>INDEX(Netzzeiten!$C$6:$C$29,HOUR(B1650)+1)</f>
        <v>1.64</v>
      </c>
      <c r="J1650" t="str">
        <f>IF(C1650="","FEHLT",IF(NOT(ISNUMBER(C1650)),"MESSWERT UNGUELTIG",IF(C1650&lt;0,"MESSWERT UNGUELTIG",IF(H1650="","TARIFPREIS FEHLT","OK"))))</f>
        <v>FEHLT</v>
      </c>
      <c r="K1650" s="7">
        <f>IF(J1650&lt;&gt;"OK","",C1650*I1650/100)</f>
        <v/>
      </c>
    </row>
    <row r="1651" spans="1:11">
      <c r="A1651" s="14">
        <v>46160</v>
      </c>
      <c r="B1651" s="15">
        <v>0.1354166666666667</v>
      </c>
      <c r="C1651" s="5">
        <f>IF('96 Werte'!O23="","",'96 Werte'!O23)</f>
        <v/>
      </c>
      <c r="D1651" t="str">
        <f>IF(IF(Eingaben!$B$21&lt;Eingaben!$B$22,AND(B1651&gt;=Eingaben!$B$21,B1651&lt;Eingaben!$B$22),OR(B1651&gt;=Eingaben!$B$21,B1651&lt;Eingaben!$B$22)),"GO",IF(AND(ISNUMBER(Eingaben!$B$23),ISNUMBER(Eingaben!$B$24),IF(Eingaben!$B$23&lt;Eingaben!$B$24,AND(B1651&gt;=Eingaben!$B$23,B1651&lt;Eingaben!$B$24),OR(B1651&gt;=Eingaben!$B$23,B1651&lt;Eingaben!$B$24))),"HEAT","STANDARD"))</f>
        <v>GO</v>
      </c>
      <c r="E1651" s="9"/>
      <c r="F1651" t="str">
        <f>IF(E1651="",D1651,E1651)</f>
        <v>GO</v>
      </c>
      <c r="G1651" t="str">
        <f>INDEX(Netzzeiten!$B$6:$B$29,HOUR(B1651)+1)</f>
        <v>NT</v>
      </c>
      <c r="H1651" s="6">
        <f>IF(F1651="GO",Eingaben!$B$11,IF(F1651="STANDARD",Eingaben!$B$12,IF(AND(F1651="HEAT",ISNUMBER(Eingaben!$B$13)),Eingaben!$B$13,"")))</f>
        <v>15.0654</v>
      </c>
      <c r="I1651" s="6">
        <f>INDEX(Netzzeiten!$C$6:$C$29,HOUR(B1651)+1)</f>
        <v>1.64</v>
      </c>
      <c r="J1651" t="str">
        <f>IF(C1651="","FEHLT",IF(NOT(ISNUMBER(C1651)),"MESSWERT UNGUELTIG",IF(C1651&lt;0,"MESSWERT UNGUELTIG",IF(H1651="","TARIFPREIS FEHLT","OK"))))</f>
        <v>FEHLT</v>
      </c>
      <c r="K1651" s="7">
        <f>IF(J1651&lt;&gt;"OK","",C1651*I1651/100)</f>
        <v/>
      </c>
    </row>
    <row r="1652" spans="1:11">
      <c r="A1652" s="14">
        <v>46160</v>
      </c>
      <c r="B1652" s="15">
        <v>0.1458333333333333</v>
      </c>
      <c r="C1652" s="5">
        <f>IF('96 Werte'!P23="","",'96 Werte'!P23)</f>
        <v/>
      </c>
      <c r="D1652" t="str">
        <f>IF(IF(Eingaben!$B$21&lt;Eingaben!$B$22,AND(B1652&gt;=Eingaben!$B$21,B1652&lt;Eingaben!$B$22),OR(B1652&gt;=Eingaben!$B$21,B1652&lt;Eingaben!$B$22)),"GO",IF(AND(ISNUMBER(Eingaben!$B$23),ISNUMBER(Eingaben!$B$24),IF(Eingaben!$B$23&lt;Eingaben!$B$24,AND(B1652&gt;=Eingaben!$B$23,B1652&lt;Eingaben!$B$24),OR(B1652&gt;=Eingaben!$B$23,B1652&lt;Eingaben!$B$24))),"HEAT","STANDARD"))</f>
        <v>GO</v>
      </c>
      <c r="E1652" s="9"/>
      <c r="F1652" t="str">
        <f>IF(E1652="",D1652,E1652)</f>
        <v>GO</v>
      </c>
      <c r="G1652" t="str">
        <f>INDEX(Netzzeiten!$B$6:$B$29,HOUR(B1652)+1)</f>
        <v>NT</v>
      </c>
      <c r="H1652" s="6">
        <f>IF(F1652="GO",Eingaben!$B$11,IF(F1652="STANDARD",Eingaben!$B$12,IF(AND(F1652="HEAT",ISNUMBER(Eingaben!$B$13)),Eingaben!$B$13,"")))</f>
        <v>15.0654</v>
      </c>
      <c r="I1652" s="6">
        <f>INDEX(Netzzeiten!$C$6:$C$29,HOUR(B1652)+1)</f>
        <v>1.64</v>
      </c>
      <c r="J1652" t="str">
        <f>IF(C1652="","FEHLT",IF(NOT(ISNUMBER(C1652)),"MESSWERT UNGUELTIG",IF(C1652&lt;0,"MESSWERT UNGUELTIG",IF(H1652="","TARIFPREIS FEHLT","OK"))))</f>
        <v>FEHLT</v>
      </c>
      <c r="K1652" s="7">
        <f>IF(J1652&lt;&gt;"OK","",C1652*I1652/100)</f>
        <v/>
      </c>
    </row>
    <row r="1653" spans="1:11">
      <c r="A1653" s="14">
        <v>46160</v>
      </c>
      <c r="B1653" s="15">
        <v>0.15625</v>
      </c>
      <c r="C1653" s="5">
        <f>IF('96 Werte'!Q23="","",'96 Werte'!Q23)</f>
        <v/>
      </c>
      <c r="D1653" t="str">
        <f>IF(IF(Eingaben!$B$21&lt;Eingaben!$B$22,AND(B1653&gt;=Eingaben!$B$21,B1653&lt;Eingaben!$B$22),OR(B1653&gt;=Eingaben!$B$21,B1653&lt;Eingaben!$B$22)),"GO",IF(AND(ISNUMBER(Eingaben!$B$23),ISNUMBER(Eingaben!$B$24),IF(Eingaben!$B$23&lt;Eingaben!$B$24,AND(B1653&gt;=Eingaben!$B$23,B1653&lt;Eingaben!$B$24),OR(B1653&gt;=Eingaben!$B$23,B1653&lt;Eingaben!$B$24))),"HEAT","STANDARD"))</f>
        <v>GO</v>
      </c>
      <c r="E1653" s="9"/>
      <c r="F1653" t="str">
        <f>IF(E1653="",D1653,E1653)</f>
        <v>GO</v>
      </c>
      <c r="G1653" t="str">
        <f>INDEX(Netzzeiten!$B$6:$B$29,HOUR(B1653)+1)</f>
        <v>NT</v>
      </c>
      <c r="H1653" s="6">
        <f>IF(F1653="GO",Eingaben!$B$11,IF(F1653="STANDARD",Eingaben!$B$12,IF(AND(F1653="HEAT",ISNUMBER(Eingaben!$B$13)),Eingaben!$B$13,"")))</f>
        <v>15.0654</v>
      </c>
      <c r="I1653" s="6">
        <f>INDEX(Netzzeiten!$C$6:$C$29,HOUR(B1653)+1)</f>
        <v>1.64</v>
      </c>
      <c r="J1653" t="str">
        <f>IF(C1653="","FEHLT",IF(NOT(ISNUMBER(C1653)),"MESSWERT UNGUELTIG",IF(C1653&lt;0,"MESSWERT UNGUELTIG",IF(H1653="","TARIFPREIS FEHLT","OK"))))</f>
        <v>FEHLT</v>
      </c>
      <c r="K1653" s="7">
        <f>IF(J1653&lt;&gt;"OK","",C1653*I1653/100)</f>
        <v/>
      </c>
    </row>
    <row r="1654" spans="1:11">
      <c r="A1654" s="14">
        <v>46160</v>
      </c>
      <c r="B1654" s="15">
        <v>0.1666666666666667</v>
      </c>
      <c r="C1654" s="5">
        <f>IF('96 Werte'!R23="","",'96 Werte'!R23)</f>
        <v/>
      </c>
      <c r="D1654" t="str">
        <f>IF(IF(Eingaben!$B$21&lt;Eingaben!$B$22,AND(B1654&gt;=Eingaben!$B$21,B1654&lt;Eingaben!$B$22),OR(B1654&gt;=Eingaben!$B$21,B1654&lt;Eingaben!$B$22)),"GO",IF(AND(ISNUMBER(Eingaben!$B$23),ISNUMBER(Eingaben!$B$24),IF(Eingaben!$B$23&lt;Eingaben!$B$24,AND(B1654&gt;=Eingaben!$B$23,B1654&lt;Eingaben!$B$24),OR(B1654&gt;=Eingaben!$B$23,B1654&lt;Eingaben!$B$24))),"HEAT","STANDARD"))</f>
        <v>GO</v>
      </c>
      <c r="E1654" s="9"/>
      <c r="F1654" t="str">
        <f>IF(E1654="",D1654,E1654)</f>
        <v>GO</v>
      </c>
      <c r="G1654" t="str">
        <f>INDEX(Netzzeiten!$B$6:$B$29,HOUR(B1654)+1)</f>
        <v>NT</v>
      </c>
      <c r="H1654" s="6">
        <f>IF(F1654="GO",Eingaben!$B$11,IF(F1654="STANDARD",Eingaben!$B$12,IF(AND(F1654="HEAT",ISNUMBER(Eingaben!$B$13)),Eingaben!$B$13,"")))</f>
        <v>15.0654</v>
      </c>
      <c r="I1654" s="6">
        <f>INDEX(Netzzeiten!$C$6:$C$29,HOUR(B1654)+1)</f>
        <v>1.64</v>
      </c>
      <c r="J1654" t="str">
        <f>IF(C1654="","FEHLT",IF(NOT(ISNUMBER(C1654)),"MESSWERT UNGUELTIG",IF(C1654&lt;0,"MESSWERT UNGUELTIG",IF(H1654="","TARIFPREIS FEHLT","OK"))))</f>
        <v>FEHLT</v>
      </c>
      <c r="K1654" s="7">
        <f>IF(J1654&lt;&gt;"OK","",C1654*I1654/100)</f>
        <v/>
      </c>
    </row>
    <row r="1655" spans="1:11">
      <c r="A1655" s="14">
        <v>46160</v>
      </c>
      <c r="B1655" s="15">
        <v>0.1770833333333333</v>
      </c>
      <c r="C1655" s="5">
        <f>IF('96 Werte'!S23="","",'96 Werte'!S23)</f>
        <v/>
      </c>
      <c r="D1655" t="str">
        <f>IF(IF(Eingaben!$B$21&lt;Eingaben!$B$22,AND(B1655&gt;=Eingaben!$B$21,B1655&lt;Eingaben!$B$22),OR(B1655&gt;=Eingaben!$B$21,B1655&lt;Eingaben!$B$22)),"GO",IF(AND(ISNUMBER(Eingaben!$B$23),ISNUMBER(Eingaben!$B$24),IF(Eingaben!$B$23&lt;Eingaben!$B$24,AND(B1655&gt;=Eingaben!$B$23,B1655&lt;Eingaben!$B$24),OR(B1655&gt;=Eingaben!$B$23,B1655&lt;Eingaben!$B$24))),"HEAT","STANDARD"))</f>
        <v>GO</v>
      </c>
      <c r="E1655" s="9"/>
      <c r="F1655" t="str">
        <f>IF(E1655="",D1655,E1655)</f>
        <v>GO</v>
      </c>
      <c r="G1655" t="str">
        <f>INDEX(Netzzeiten!$B$6:$B$29,HOUR(B1655)+1)</f>
        <v>NT</v>
      </c>
      <c r="H1655" s="6">
        <f>IF(F1655="GO",Eingaben!$B$11,IF(F1655="STANDARD",Eingaben!$B$12,IF(AND(F1655="HEAT",ISNUMBER(Eingaben!$B$13)),Eingaben!$B$13,"")))</f>
        <v>15.0654</v>
      </c>
      <c r="I1655" s="6">
        <f>INDEX(Netzzeiten!$C$6:$C$29,HOUR(B1655)+1)</f>
        <v>1.64</v>
      </c>
      <c r="J1655" t="str">
        <f>IF(C1655="","FEHLT",IF(NOT(ISNUMBER(C1655)),"MESSWERT UNGUELTIG",IF(C1655&lt;0,"MESSWERT UNGUELTIG",IF(H1655="","TARIFPREIS FEHLT","OK"))))</f>
        <v>FEHLT</v>
      </c>
      <c r="K1655" s="7">
        <f>IF(J1655&lt;&gt;"OK","",C1655*I1655/100)</f>
        <v/>
      </c>
    </row>
    <row r="1656" spans="1:11">
      <c r="A1656" s="14">
        <v>46160</v>
      </c>
      <c r="B1656" s="15">
        <v>0.1875</v>
      </c>
      <c r="C1656" s="5">
        <f>IF('96 Werte'!T23="","",'96 Werte'!T23)</f>
        <v/>
      </c>
      <c r="D1656" t="str">
        <f>IF(IF(Eingaben!$B$21&lt;Eingaben!$B$22,AND(B1656&gt;=Eingaben!$B$21,B1656&lt;Eingaben!$B$22),OR(B1656&gt;=Eingaben!$B$21,B1656&lt;Eingaben!$B$22)),"GO",IF(AND(ISNUMBER(Eingaben!$B$23),ISNUMBER(Eingaben!$B$24),IF(Eingaben!$B$23&lt;Eingaben!$B$24,AND(B1656&gt;=Eingaben!$B$23,B1656&lt;Eingaben!$B$24),OR(B1656&gt;=Eingaben!$B$23,B1656&lt;Eingaben!$B$24))),"HEAT","STANDARD"))</f>
        <v>GO</v>
      </c>
      <c r="E1656" s="9"/>
      <c r="F1656" t="str">
        <f>IF(E1656="",D1656,E1656)</f>
        <v>GO</v>
      </c>
      <c r="G1656" t="str">
        <f>INDEX(Netzzeiten!$B$6:$B$29,HOUR(B1656)+1)</f>
        <v>NT</v>
      </c>
      <c r="H1656" s="6">
        <f>IF(F1656="GO",Eingaben!$B$11,IF(F1656="STANDARD",Eingaben!$B$12,IF(AND(F1656="HEAT",ISNUMBER(Eingaben!$B$13)),Eingaben!$B$13,"")))</f>
        <v>15.0654</v>
      </c>
      <c r="I1656" s="6">
        <f>INDEX(Netzzeiten!$C$6:$C$29,HOUR(B1656)+1)</f>
        <v>1.64</v>
      </c>
      <c r="J1656" t="str">
        <f>IF(C1656="","FEHLT",IF(NOT(ISNUMBER(C1656)),"MESSWERT UNGUELTIG",IF(C1656&lt;0,"MESSWERT UNGUELTIG",IF(H1656="","TARIFPREIS FEHLT","OK"))))</f>
        <v>FEHLT</v>
      </c>
      <c r="K1656" s="7">
        <f>IF(J1656&lt;&gt;"OK","",C1656*I1656/100)</f>
        <v/>
      </c>
    </row>
    <row r="1657" spans="1:11">
      <c r="A1657" s="14">
        <v>46160</v>
      </c>
      <c r="B1657" s="15">
        <v>0.1979166666666667</v>
      </c>
      <c r="C1657" s="5">
        <f>IF('96 Werte'!U23="","",'96 Werte'!U23)</f>
        <v/>
      </c>
      <c r="D1657" t="str">
        <f>IF(IF(Eingaben!$B$21&lt;Eingaben!$B$22,AND(B1657&gt;=Eingaben!$B$21,B1657&lt;Eingaben!$B$22),OR(B1657&gt;=Eingaben!$B$21,B1657&lt;Eingaben!$B$22)),"GO",IF(AND(ISNUMBER(Eingaben!$B$23),ISNUMBER(Eingaben!$B$24),IF(Eingaben!$B$23&lt;Eingaben!$B$24,AND(B1657&gt;=Eingaben!$B$23,B1657&lt;Eingaben!$B$24),OR(B1657&gt;=Eingaben!$B$23,B1657&lt;Eingaben!$B$24))),"HEAT","STANDARD"))</f>
        <v>GO</v>
      </c>
      <c r="E1657" s="9"/>
      <c r="F1657" t="str">
        <f>IF(E1657="",D1657,E1657)</f>
        <v>GO</v>
      </c>
      <c r="G1657" t="str">
        <f>INDEX(Netzzeiten!$B$6:$B$29,HOUR(B1657)+1)</f>
        <v>NT</v>
      </c>
      <c r="H1657" s="6">
        <f>IF(F1657="GO",Eingaben!$B$11,IF(F1657="STANDARD",Eingaben!$B$12,IF(AND(F1657="HEAT",ISNUMBER(Eingaben!$B$13)),Eingaben!$B$13,"")))</f>
        <v>15.0654</v>
      </c>
      <c r="I1657" s="6">
        <f>INDEX(Netzzeiten!$C$6:$C$29,HOUR(B1657)+1)</f>
        <v>1.64</v>
      </c>
      <c r="J1657" t="str">
        <f>IF(C1657="","FEHLT",IF(NOT(ISNUMBER(C1657)),"MESSWERT UNGUELTIG",IF(C1657&lt;0,"MESSWERT UNGUELTIG",IF(H1657="","TARIFPREIS FEHLT","OK"))))</f>
        <v>FEHLT</v>
      </c>
      <c r="K1657" s="7">
        <f>IF(J1657&lt;&gt;"OK","",C1657*I1657/100)</f>
        <v/>
      </c>
    </row>
    <row r="1658" spans="1:11">
      <c r="A1658" s="14">
        <v>46160</v>
      </c>
      <c r="B1658" s="15">
        <v>0.2083333333333333</v>
      </c>
      <c r="C1658" s="5">
        <f>IF('96 Werte'!V23="","",'96 Werte'!V23)</f>
        <v/>
      </c>
      <c r="D1658" t="str">
        <f>IF(IF(Eingaben!$B$21&lt;Eingaben!$B$22,AND(B1658&gt;=Eingaben!$B$21,B1658&lt;Eingaben!$B$22),OR(B1658&gt;=Eingaben!$B$21,B1658&lt;Eingaben!$B$22)),"GO",IF(AND(ISNUMBER(Eingaben!$B$23),ISNUMBER(Eingaben!$B$24),IF(Eingaben!$B$23&lt;Eingaben!$B$24,AND(B1658&gt;=Eingaben!$B$23,B1658&lt;Eingaben!$B$24),OR(B1658&gt;=Eingaben!$B$23,B1658&lt;Eingaben!$B$24))),"HEAT","STANDARD"))</f>
        <v>STANDARD</v>
      </c>
      <c r="E1658" s="9"/>
      <c r="F1658" t="str">
        <f>IF(E1658="",D1658,E1658)</f>
        <v>STANDARD</v>
      </c>
      <c r="G1658" t="str">
        <f>INDEX(Netzzeiten!$B$6:$B$29,HOUR(B1658)+1)</f>
        <v>NT</v>
      </c>
      <c r="H1658" s="6">
        <f>IF(F1658="GO",Eingaben!$B$11,IF(F1658="STANDARD",Eingaben!$B$12,IF(AND(F1658="HEAT",ISNUMBER(Eingaben!$B$13)),Eingaben!$B$13,"")))</f>
        <v>28.2744</v>
      </c>
      <c r="I1658" s="6">
        <f>INDEX(Netzzeiten!$C$6:$C$29,HOUR(B1658)+1)</f>
        <v>1.64</v>
      </c>
      <c r="J1658" t="str">
        <f>IF(C1658="","FEHLT",IF(NOT(ISNUMBER(C1658)),"MESSWERT UNGUELTIG",IF(C1658&lt;0,"MESSWERT UNGUELTIG",IF(H1658="","TARIFPREIS FEHLT","OK"))))</f>
        <v>FEHLT</v>
      </c>
      <c r="K1658" s="7">
        <f>IF(J1658&lt;&gt;"OK","",C1658*I1658/100)</f>
        <v/>
      </c>
    </row>
    <row r="1659" spans="1:11">
      <c r="A1659" s="14">
        <v>46160</v>
      </c>
      <c r="B1659" s="15">
        <v>0.21875</v>
      </c>
      <c r="C1659" s="5">
        <f>IF('96 Werte'!W23="","",'96 Werte'!W23)</f>
        <v/>
      </c>
      <c r="D1659" t="str">
        <f>IF(IF(Eingaben!$B$21&lt;Eingaben!$B$22,AND(B1659&gt;=Eingaben!$B$21,B1659&lt;Eingaben!$B$22),OR(B1659&gt;=Eingaben!$B$21,B1659&lt;Eingaben!$B$22)),"GO",IF(AND(ISNUMBER(Eingaben!$B$23),ISNUMBER(Eingaben!$B$24),IF(Eingaben!$B$23&lt;Eingaben!$B$24,AND(B1659&gt;=Eingaben!$B$23,B1659&lt;Eingaben!$B$24),OR(B1659&gt;=Eingaben!$B$23,B1659&lt;Eingaben!$B$24))),"HEAT","STANDARD"))</f>
        <v>STANDARD</v>
      </c>
      <c r="E1659" s="9"/>
      <c r="F1659" t="str">
        <f>IF(E1659="",D1659,E1659)</f>
        <v>STANDARD</v>
      </c>
      <c r="G1659" t="str">
        <f>INDEX(Netzzeiten!$B$6:$B$29,HOUR(B1659)+1)</f>
        <v>NT</v>
      </c>
      <c r="H1659" s="6">
        <f>IF(F1659="GO",Eingaben!$B$11,IF(F1659="STANDARD",Eingaben!$B$12,IF(AND(F1659="HEAT",ISNUMBER(Eingaben!$B$13)),Eingaben!$B$13,"")))</f>
        <v>28.2744</v>
      </c>
      <c r="I1659" s="6">
        <f>INDEX(Netzzeiten!$C$6:$C$29,HOUR(B1659)+1)</f>
        <v>1.64</v>
      </c>
      <c r="J1659" t="str">
        <f>IF(C1659="","FEHLT",IF(NOT(ISNUMBER(C1659)),"MESSWERT UNGUELTIG",IF(C1659&lt;0,"MESSWERT UNGUELTIG",IF(H1659="","TARIFPREIS FEHLT","OK"))))</f>
        <v>FEHLT</v>
      </c>
      <c r="K1659" s="7">
        <f>IF(J1659&lt;&gt;"OK","",C1659*I1659/100)</f>
        <v/>
      </c>
    </row>
    <row r="1660" spans="1:11">
      <c r="A1660" s="14">
        <v>46160</v>
      </c>
      <c r="B1660" s="15">
        <v>0.2291666666666667</v>
      </c>
      <c r="C1660" s="5">
        <f>IF('96 Werte'!X23="","",'96 Werte'!X23)</f>
        <v/>
      </c>
      <c r="D1660" t="str">
        <f>IF(IF(Eingaben!$B$21&lt;Eingaben!$B$22,AND(B1660&gt;=Eingaben!$B$21,B1660&lt;Eingaben!$B$22),OR(B1660&gt;=Eingaben!$B$21,B1660&lt;Eingaben!$B$22)),"GO",IF(AND(ISNUMBER(Eingaben!$B$23),ISNUMBER(Eingaben!$B$24),IF(Eingaben!$B$23&lt;Eingaben!$B$24,AND(B1660&gt;=Eingaben!$B$23,B1660&lt;Eingaben!$B$24),OR(B1660&gt;=Eingaben!$B$23,B1660&lt;Eingaben!$B$24))),"HEAT","STANDARD"))</f>
        <v>STANDARD</v>
      </c>
      <c r="E1660" s="9"/>
      <c r="F1660" t="str">
        <f>IF(E1660="",D1660,E1660)</f>
        <v>STANDARD</v>
      </c>
      <c r="G1660" t="str">
        <f>INDEX(Netzzeiten!$B$6:$B$29,HOUR(B1660)+1)</f>
        <v>NT</v>
      </c>
      <c r="H1660" s="6">
        <f>IF(F1660="GO",Eingaben!$B$11,IF(F1660="STANDARD",Eingaben!$B$12,IF(AND(F1660="HEAT",ISNUMBER(Eingaben!$B$13)),Eingaben!$B$13,"")))</f>
        <v>28.2744</v>
      </c>
      <c r="I1660" s="6">
        <f>INDEX(Netzzeiten!$C$6:$C$29,HOUR(B1660)+1)</f>
        <v>1.64</v>
      </c>
      <c r="J1660" t="str">
        <f>IF(C1660="","FEHLT",IF(NOT(ISNUMBER(C1660)),"MESSWERT UNGUELTIG",IF(C1660&lt;0,"MESSWERT UNGUELTIG",IF(H1660="","TARIFPREIS FEHLT","OK"))))</f>
        <v>FEHLT</v>
      </c>
      <c r="K1660" s="7">
        <f>IF(J1660&lt;&gt;"OK","",C1660*I1660/100)</f>
        <v/>
      </c>
    </row>
    <row r="1661" spans="1:11">
      <c r="A1661" s="14">
        <v>46160</v>
      </c>
      <c r="B1661" s="15">
        <v>0.2395833333333333</v>
      </c>
      <c r="C1661" s="5">
        <f>IF('96 Werte'!Y23="","",'96 Werte'!Y23)</f>
        <v/>
      </c>
      <c r="D1661" t="str">
        <f>IF(IF(Eingaben!$B$21&lt;Eingaben!$B$22,AND(B1661&gt;=Eingaben!$B$21,B1661&lt;Eingaben!$B$22),OR(B1661&gt;=Eingaben!$B$21,B1661&lt;Eingaben!$B$22)),"GO",IF(AND(ISNUMBER(Eingaben!$B$23),ISNUMBER(Eingaben!$B$24),IF(Eingaben!$B$23&lt;Eingaben!$B$24,AND(B1661&gt;=Eingaben!$B$23,B1661&lt;Eingaben!$B$24),OR(B1661&gt;=Eingaben!$B$23,B1661&lt;Eingaben!$B$24))),"HEAT","STANDARD"))</f>
        <v>STANDARD</v>
      </c>
      <c r="E1661" s="9"/>
      <c r="F1661" t="str">
        <f>IF(E1661="",D1661,E1661)</f>
        <v>STANDARD</v>
      </c>
      <c r="G1661" t="str">
        <f>INDEX(Netzzeiten!$B$6:$B$29,HOUR(B1661)+1)</f>
        <v>NT</v>
      </c>
      <c r="H1661" s="6">
        <f>IF(F1661="GO",Eingaben!$B$11,IF(F1661="STANDARD",Eingaben!$B$12,IF(AND(F1661="HEAT",ISNUMBER(Eingaben!$B$13)),Eingaben!$B$13,"")))</f>
        <v>28.2744</v>
      </c>
      <c r="I1661" s="6">
        <f>INDEX(Netzzeiten!$C$6:$C$29,HOUR(B1661)+1)</f>
        <v>1.64</v>
      </c>
      <c r="J1661" t="str">
        <f>IF(C1661="","FEHLT",IF(NOT(ISNUMBER(C1661)),"MESSWERT UNGUELTIG",IF(C1661&lt;0,"MESSWERT UNGUELTIG",IF(H1661="","TARIFPREIS FEHLT","OK"))))</f>
        <v>FEHLT</v>
      </c>
      <c r="K1661" s="7">
        <f>IF(J1661&lt;&gt;"OK","",C1661*I1661/100)</f>
        <v/>
      </c>
    </row>
    <row r="1662" spans="1:11">
      <c r="A1662" s="14">
        <v>46160</v>
      </c>
      <c r="B1662" s="15">
        <v>0.25</v>
      </c>
      <c r="C1662" s="5">
        <f>IF('96 Werte'!Z23="","",'96 Werte'!Z23)</f>
        <v/>
      </c>
      <c r="D1662" t="str">
        <f>IF(IF(Eingaben!$B$21&lt;Eingaben!$B$22,AND(B1662&gt;=Eingaben!$B$21,B1662&lt;Eingaben!$B$22),OR(B1662&gt;=Eingaben!$B$21,B1662&lt;Eingaben!$B$22)),"GO",IF(AND(ISNUMBER(Eingaben!$B$23),ISNUMBER(Eingaben!$B$24),IF(Eingaben!$B$23&lt;Eingaben!$B$24,AND(B1662&gt;=Eingaben!$B$23,B1662&lt;Eingaben!$B$24),OR(B1662&gt;=Eingaben!$B$23,B1662&lt;Eingaben!$B$24))),"HEAT","STANDARD"))</f>
        <v>STANDARD</v>
      </c>
      <c r="E1662" s="9"/>
      <c r="F1662" t="str">
        <f>IF(E1662="",D1662,E1662)</f>
        <v>STANDARD</v>
      </c>
      <c r="G1662" t="str">
        <f>INDEX(Netzzeiten!$B$6:$B$29,HOUR(B1662)+1)</f>
        <v>ST</v>
      </c>
      <c r="H1662" s="6">
        <f>IF(F1662="GO",Eingaben!$B$11,IF(F1662="STANDARD",Eingaben!$B$12,IF(AND(F1662="HEAT",ISNUMBER(Eingaben!$B$13)),Eingaben!$B$13,"")))</f>
        <v>28.2744</v>
      </c>
      <c r="I1662" s="6">
        <f>INDEX(Netzzeiten!$C$6:$C$29,HOUR(B1662)+1)</f>
        <v>5.48</v>
      </c>
      <c r="J1662" t="str">
        <f>IF(C1662="","FEHLT",IF(NOT(ISNUMBER(C1662)),"MESSWERT UNGUELTIG",IF(C1662&lt;0,"MESSWERT UNGUELTIG",IF(H1662="","TARIFPREIS FEHLT","OK"))))</f>
        <v>FEHLT</v>
      </c>
      <c r="K1662" s="7">
        <f>IF(J1662&lt;&gt;"OK","",C1662*I1662/100)</f>
        <v/>
      </c>
    </row>
    <row r="1663" spans="1:11">
      <c r="A1663" s="14">
        <v>46160</v>
      </c>
      <c r="B1663" s="15">
        <v>0.2604166666666667</v>
      </c>
      <c r="C1663" s="5">
        <f>IF('96 Werte'!AA23="","",'96 Werte'!AA23)</f>
        <v/>
      </c>
      <c r="D1663" t="str">
        <f>IF(IF(Eingaben!$B$21&lt;Eingaben!$B$22,AND(B1663&gt;=Eingaben!$B$21,B1663&lt;Eingaben!$B$22),OR(B1663&gt;=Eingaben!$B$21,B1663&lt;Eingaben!$B$22)),"GO",IF(AND(ISNUMBER(Eingaben!$B$23),ISNUMBER(Eingaben!$B$24),IF(Eingaben!$B$23&lt;Eingaben!$B$24,AND(B1663&gt;=Eingaben!$B$23,B1663&lt;Eingaben!$B$24),OR(B1663&gt;=Eingaben!$B$23,B1663&lt;Eingaben!$B$24))),"HEAT","STANDARD"))</f>
        <v>STANDARD</v>
      </c>
      <c r="E1663" s="9"/>
      <c r="F1663" t="str">
        <f>IF(E1663="",D1663,E1663)</f>
        <v>STANDARD</v>
      </c>
      <c r="G1663" t="str">
        <f>INDEX(Netzzeiten!$B$6:$B$29,HOUR(B1663)+1)</f>
        <v>ST</v>
      </c>
      <c r="H1663" s="6">
        <f>IF(F1663="GO",Eingaben!$B$11,IF(F1663="STANDARD",Eingaben!$B$12,IF(AND(F1663="HEAT",ISNUMBER(Eingaben!$B$13)),Eingaben!$B$13,"")))</f>
        <v>28.2744</v>
      </c>
      <c r="I1663" s="6">
        <f>INDEX(Netzzeiten!$C$6:$C$29,HOUR(B1663)+1)</f>
        <v>5.48</v>
      </c>
      <c r="J1663" t="str">
        <f>IF(C1663="","FEHLT",IF(NOT(ISNUMBER(C1663)),"MESSWERT UNGUELTIG",IF(C1663&lt;0,"MESSWERT UNGUELTIG",IF(H1663="","TARIFPREIS FEHLT","OK"))))</f>
        <v>FEHLT</v>
      </c>
      <c r="K1663" s="7">
        <f>IF(J1663&lt;&gt;"OK","",C1663*I1663/100)</f>
        <v/>
      </c>
    </row>
    <row r="1664" spans="1:11">
      <c r="A1664" s="14">
        <v>46160</v>
      </c>
      <c r="B1664" s="15">
        <v>0.2708333333333333</v>
      </c>
      <c r="C1664" s="5">
        <f>IF('96 Werte'!AB23="","",'96 Werte'!AB23)</f>
        <v/>
      </c>
      <c r="D1664" t="str">
        <f>IF(IF(Eingaben!$B$21&lt;Eingaben!$B$22,AND(B1664&gt;=Eingaben!$B$21,B1664&lt;Eingaben!$B$22),OR(B1664&gt;=Eingaben!$B$21,B1664&lt;Eingaben!$B$22)),"GO",IF(AND(ISNUMBER(Eingaben!$B$23),ISNUMBER(Eingaben!$B$24),IF(Eingaben!$B$23&lt;Eingaben!$B$24,AND(B1664&gt;=Eingaben!$B$23,B1664&lt;Eingaben!$B$24),OR(B1664&gt;=Eingaben!$B$23,B1664&lt;Eingaben!$B$24))),"HEAT","STANDARD"))</f>
        <v>STANDARD</v>
      </c>
      <c r="E1664" s="9"/>
      <c r="F1664" t="str">
        <f>IF(E1664="",D1664,E1664)</f>
        <v>STANDARD</v>
      </c>
      <c r="G1664" t="str">
        <f>INDEX(Netzzeiten!$B$6:$B$29,HOUR(B1664)+1)</f>
        <v>ST</v>
      </c>
      <c r="H1664" s="6">
        <f>IF(F1664="GO",Eingaben!$B$11,IF(F1664="STANDARD",Eingaben!$B$12,IF(AND(F1664="HEAT",ISNUMBER(Eingaben!$B$13)),Eingaben!$B$13,"")))</f>
        <v>28.2744</v>
      </c>
      <c r="I1664" s="6">
        <f>INDEX(Netzzeiten!$C$6:$C$29,HOUR(B1664)+1)</f>
        <v>5.48</v>
      </c>
      <c r="J1664" t="str">
        <f>IF(C1664="","FEHLT",IF(NOT(ISNUMBER(C1664)),"MESSWERT UNGUELTIG",IF(C1664&lt;0,"MESSWERT UNGUELTIG",IF(H1664="","TARIFPREIS FEHLT","OK"))))</f>
        <v>FEHLT</v>
      </c>
      <c r="K1664" s="7">
        <f>IF(J1664&lt;&gt;"OK","",C1664*I1664/100)</f>
        <v/>
      </c>
    </row>
    <row r="1665" spans="1:11">
      <c r="A1665" s="14">
        <v>46160</v>
      </c>
      <c r="B1665" s="15">
        <v>0.28125</v>
      </c>
      <c r="C1665" s="5">
        <f>IF('96 Werte'!AC23="","",'96 Werte'!AC23)</f>
        <v/>
      </c>
      <c r="D1665" t="str">
        <f>IF(IF(Eingaben!$B$21&lt;Eingaben!$B$22,AND(B1665&gt;=Eingaben!$B$21,B1665&lt;Eingaben!$B$22),OR(B1665&gt;=Eingaben!$B$21,B1665&lt;Eingaben!$B$22)),"GO",IF(AND(ISNUMBER(Eingaben!$B$23),ISNUMBER(Eingaben!$B$24),IF(Eingaben!$B$23&lt;Eingaben!$B$24,AND(B1665&gt;=Eingaben!$B$23,B1665&lt;Eingaben!$B$24),OR(B1665&gt;=Eingaben!$B$23,B1665&lt;Eingaben!$B$24))),"HEAT","STANDARD"))</f>
        <v>STANDARD</v>
      </c>
      <c r="E1665" s="9"/>
      <c r="F1665" t="str">
        <f>IF(E1665="",D1665,E1665)</f>
        <v>STANDARD</v>
      </c>
      <c r="G1665" t="str">
        <f>INDEX(Netzzeiten!$B$6:$B$29,HOUR(B1665)+1)</f>
        <v>ST</v>
      </c>
      <c r="H1665" s="6">
        <f>IF(F1665="GO",Eingaben!$B$11,IF(F1665="STANDARD",Eingaben!$B$12,IF(AND(F1665="HEAT",ISNUMBER(Eingaben!$B$13)),Eingaben!$B$13,"")))</f>
        <v>28.2744</v>
      </c>
      <c r="I1665" s="6">
        <f>INDEX(Netzzeiten!$C$6:$C$29,HOUR(B1665)+1)</f>
        <v>5.48</v>
      </c>
      <c r="J1665" t="str">
        <f>IF(C1665="","FEHLT",IF(NOT(ISNUMBER(C1665)),"MESSWERT UNGUELTIG",IF(C1665&lt;0,"MESSWERT UNGUELTIG",IF(H1665="","TARIFPREIS FEHLT","OK"))))</f>
        <v>FEHLT</v>
      </c>
      <c r="K1665" s="7">
        <f>IF(J1665&lt;&gt;"OK","",C1665*I1665/100)</f>
        <v/>
      </c>
    </row>
    <row r="1666" spans="1:11">
      <c r="A1666" s="14">
        <v>46160</v>
      </c>
      <c r="B1666" s="15">
        <v>0.2916666666666667</v>
      </c>
      <c r="C1666" s="5">
        <f>IF('96 Werte'!AD23="","",'96 Werte'!AD23)</f>
        <v/>
      </c>
      <c r="D1666" t="str">
        <f>IF(IF(Eingaben!$B$21&lt;Eingaben!$B$22,AND(B1666&gt;=Eingaben!$B$21,B1666&lt;Eingaben!$B$22),OR(B1666&gt;=Eingaben!$B$21,B1666&lt;Eingaben!$B$22)),"GO",IF(AND(ISNUMBER(Eingaben!$B$23),ISNUMBER(Eingaben!$B$24),IF(Eingaben!$B$23&lt;Eingaben!$B$24,AND(B1666&gt;=Eingaben!$B$23,B1666&lt;Eingaben!$B$24),OR(B1666&gt;=Eingaben!$B$23,B1666&lt;Eingaben!$B$24))),"HEAT","STANDARD"))</f>
        <v>STANDARD</v>
      </c>
      <c r="E1666" s="9"/>
      <c r="F1666" t="str">
        <f>IF(E1666="",D1666,E1666)</f>
        <v>STANDARD</v>
      </c>
      <c r="G1666" t="str">
        <f>INDEX(Netzzeiten!$B$6:$B$29,HOUR(B1666)+1)</f>
        <v>ST</v>
      </c>
      <c r="H1666" s="6">
        <f>IF(F1666="GO",Eingaben!$B$11,IF(F1666="STANDARD",Eingaben!$B$12,IF(AND(F1666="HEAT",ISNUMBER(Eingaben!$B$13)),Eingaben!$B$13,"")))</f>
        <v>28.2744</v>
      </c>
      <c r="I1666" s="6">
        <f>INDEX(Netzzeiten!$C$6:$C$29,HOUR(B1666)+1)</f>
        <v>5.48</v>
      </c>
      <c r="J1666" t="str">
        <f>IF(C1666="","FEHLT",IF(NOT(ISNUMBER(C1666)),"MESSWERT UNGUELTIG",IF(C1666&lt;0,"MESSWERT UNGUELTIG",IF(H1666="","TARIFPREIS FEHLT","OK"))))</f>
        <v>FEHLT</v>
      </c>
      <c r="K1666" s="7">
        <f>IF(J1666&lt;&gt;"OK","",C1666*I1666/100)</f>
        <v/>
      </c>
    </row>
    <row r="1667" spans="1:11">
      <c r="A1667" s="14">
        <v>46160</v>
      </c>
      <c r="B1667" s="15">
        <v>0.3020833333333333</v>
      </c>
      <c r="C1667" s="5">
        <f>IF('96 Werte'!AE23="","",'96 Werte'!AE23)</f>
        <v/>
      </c>
      <c r="D1667" t="str">
        <f>IF(IF(Eingaben!$B$21&lt;Eingaben!$B$22,AND(B1667&gt;=Eingaben!$B$21,B1667&lt;Eingaben!$B$22),OR(B1667&gt;=Eingaben!$B$21,B1667&lt;Eingaben!$B$22)),"GO",IF(AND(ISNUMBER(Eingaben!$B$23),ISNUMBER(Eingaben!$B$24),IF(Eingaben!$B$23&lt;Eingaben!$B$24,AND(B1667&gt;=Eingaben!$B$23,B1667&lt;Eingaben!$B$24),OR(B1667&gt;=Eingaben!$B$23,B1667&lt;Eingaben!$B$24))),"HEAT","STANDARD"))</f>
        <v>STANDARD</v>
      </c>
      <c r="E1667" s="9"/>
      <c r="F1667" t="str">
        <f>IF(E1667="",D1667,E1667)</f>
        <v>STANDARD</v>
      </c>
      <c r="G1667" t="str">
        <f>INDEX(Netzzeiten!$B$6:$B$29,HOUR(B1667)+1)</f>
        <v>ST</v>
      </c>
      <c r="H1667" s="6">
        <f>IF(F1667="GO",Eingaben!$B$11,IF(F1667="STANDARD",Eingaben!$B$12,IF(AND(F1667="HEAT",ISNUMBER(Eingaben!$B$13)),Eingaben!$B$13,"")))</f>
        <v>28.2744</v>
      </c>
      <c r="I1667" s="6">
        <f>INDEX(Netzzeiten!$C$6:$C$29,HOUR(B1667)+1)</f>
        <v>5.48</v>
      </c>
      <c r="J1667" t="str">
        <f>IF(C1667="","FEHLT",IF(NOT(ISNUMBER(C1667)),"MESSWERT UNGUELTIG",IF(C1667&lt;0,"MESSWERT UNGUELTIG",IF(H1667="","TARIFPREIS FEHLT","OK"))))</f>
        <v>FEHLT</v>
      </c>
      <c r="K1667" s="7">
        <f>IF(J1667&lt;&gt;"OK","",C1667*I1667/100)</f>
        <v/>
      </c>
    </row>
    <row r="1668" spans="1:11">
      <c r="A1668" s="14">
        <v>46160</v>
      </c>
      <c r="B1668" s="15">
        <v>0.3125</v>
      </c>
      <c r="C1668" s="5">
        <f>IF('96 Werte'!AF23="","",'96 Werte'!AF23)</f>
        <v/>
      </c>
      <c r="D1668" t="str">
        <f>IF(IF(Eingaben!$B$21&lt;Eingaben!$B$22,AND(B1668&gt;=Eingaben!$B$21,B1668&lt;Eingaben!$B$22),OR(B1668&gt;=Eingaben!$B$21,B1668&lt;Eingaben!$B$22)),"GO",IF(AND(ISNUMBER(Eingaben!$B$23),ISNUMBER(Eingaben!$B$24),IF(Eingaben!$B$23&lt;Eingaben!$B$24,AND(B1668&gt;=Eingaben!$B$23,B1668&lt;Eingaben!$B$24),OR(B1668&gt;=Eingaben!$B$23,B1668&lt;Eingaben!$B$24))),"HEAT","STANDARD"))</f>
        <v>STANDARD</v>
      </c>
      <c r="E1668" s="9"/>
      <c r="F1668" t="str">
        <f>IF(E1668="",D1668,E1668)</f>
        <v>STANDARD</v>
      </c>
      <c r="G1668" t="str">
        <f>INDEX(Netzzeiten!$B$6:$B$29,HOUR(B1668)+1)</f>
        <v>ST</v>
      </c>
      <c r="H1668" s="6">
        <f>IF(F1668="GO",Eingaben!$B$11,IF(F1668="STANDARD",Eingaben!$B$12,IF(AND(F1668="HEAT",ISNUMBER(Eingaben!$B$13)),Eingaben!$B$13,"")))</f>
        <v>28.2744</v>
      </c>
      <c r="I1668" s="6">
        <f>INDEX(Netzzeiten!$C$6:$C$29,HOUR(B1668)+1)</f>
        <v>5.48</v>
      </c>
      <c r="J1668" t="str">
        <f>IF(C1668="","FEHLT",IF(NOT(ISNUMBER(C1668)),"MESSWERT UNGUELTIG",IF(C1668&lt;0,"MESSWERT UNGUELTIG",IF(H1668="","TARIFPREIS FEHLT","OK"))))</f>
        <v>FEHLT</v>
      </c>
      <c r="K1668" s="7">
        <f>IF(J1668&lt;&gt;"OK","",C1668*I1668/100)</f>
        <v/>
      </c>
    </row>
    <row r="1669" spans="1:11">
      <c r="A1669" s="14">
        <v>46160</v>
      </c>
      <c r="B1669" s="15">
        <v>0.3229166666666667</v>
      </c>
      <c r="C1669" s="5">
        <f>IF('96 Werte'!AG23="","",'96 Werte'!AG23)</f>
        <v/>
      </c>
      <c r="D1669" t="str">
        <f>IF(IF(Eingaben!$B$21&lt;Eingaben!$B$22,AND(B1669&gt;=Eingaben!$B$21,B1669&lt;Eingaben!$B$22),OR(B1669&gt;=Eingaben!$B$21,B1669&lt;Eingaben!$B$22)),"GO",IF(AND(ISNUMBER(Eingaben!$B$23),ISNUMBER(Eingaben!$B$24),IF(Eingaben!$B$23&lt;Eingaben!$B$24,AND(B1669&gt;=Eingaben!$B$23,B1669&lt;Eingaben!$B$24),OR(B1669&gt;=Eingaben!$B$23,B1669&lt;Eingaben!$B$24))),"HEAT","STANDARD"))</f>
        <v>STANDARD</v>
      </c>
      <c r="E1669" s="9"/>
      <c r="F1669" t="str">
        <f>IF(E1669="",D1669,E1669)</f>
        <v>STANDARD</v>
      </c>
      <c r="G1669" t="str">
        <f>INDEX(Netzzeiten!$B$6:$B$29,HOUR(B1669)+1)</f>
        <v>ST</v>
      </c>
      <c r="H1669" s="6">
        <f>IF(F1669="GO",Eingaben!$B$11,IF(F1669="STANDARD",Eingaben!$B$12,IF(AND(F1669="HEAT",ISNUMBER(Eingaben!$B$13)),Eingaben!$B$13,"")))</f>
        <v>28.2744</v>
      </c>
      <c r="I1669" s="6">
        <f>INDEX(Netzzeiten!$C$6:$C$29,HOUR(B1669)+1)</f>
        <v>5.48</v>
      </c>
      <c r="J1669" t="str">
        <f>IF(C1669="","FEHLT",IF(NOT(ISNUMBER(C1669)),"MESSWERT UNGUELTIG",IF(C1669&lt;0,"MESSWERT UNGUELTIG",IF(H1669="","TARIFPREIS FEHLT","OK"))))</f>
        <v>FEHLT</v>
      </c>
      <c r="K1669" s="7">
        <f>IF(J1669&lt;&gt;"OK","",C1669*I1669/100)</f>
        <v/>
      </c>
    </row>
    <row r="1670" spans="1:11">
      <c r="A1670" s="14">
        <v>46160</v>
      </c>
      <c r="B1670" s="15">
        <v>0.3333333333333333</v>
      </c>
      <c r="C1670" s="5">
        <f>IF('96 Werte'!AH23="","",'96 Werte'!AH23)</f>
        <v/>
      </c>
      <c r="D1670" t="str">
        <f>IF(IF(Eingaben!$B$21&lt;Eingaben!$B$22,AND(B1670&gt;=Eingaben!$B$21,B1670&lt;Eingaben!$B$22),OR(B1670&gt;=Eingaben!$B$21,B1670&lt;Eingaben!$B$22)),"GO",IF(AND(ISNUMBER(Eingaben!$B$23),ISNUMBER(Eingaben!$B$24),IF(Eingaben!$B$23&lt;Eingaben!$B$24,AND(B1670&gt;=Eingaben!$B$23,B1670&lt;Eingaben!$B$24),OR(B1670&gt;=Eingaben!$B$23,B1670&lt;Eingaben!$B$24))),"HEAT","STANDARD"))</f>
        <v>STANDARD</v>
      </c>
      <c r="E1670" s="9"/>
      <c r="F1670" t="str">
        <f>IF(E1670="",D1670,E1670)</f>
        <v>STANDARD</v>
      </c>
      <c r="G1670" t="str">
        <f>INDEX(Netzzeiten!$B$6:$B$29,HOUR(B1670)+1)</f>
        <v>ST</v>
      </c>
      <c r="H1670" s="6">
        <f>IF(F1670="GO",Eingaben!$B$11,IF(F1670="STANDARD",Eingaben!$B$12,IF(AND(F1670="HEAT",ISNUMBER(Eingaben!$B$13)),Eingaben!$B$13,"")))</f>
        <v>28.2744</v>
      </c>
      <c r="I1670" s="6">
        <f>INDEX(Netzzeiten!$C$6:$C$29,HOUR(B1670)+1)</f>
        <v>5.48</v>
      </c>
      <c r="J1670" t="str">
        <f>IF(C1670="","FEHLT",IF(NOT(ISNUMBER(C1670)),"MESSWERT UNGUELTIG",IF(C1670&lt;0,"MESSWERT UNGUELTIG",IF(H1670="","TARIFPREIS FEHLT","OK"))))</f>
        <v>FEHLT</v>
      </c>
      <c r="K1670" s="7">
        <f>IF(J1670&lt;&gt;"OK","",C1670*I1670/100)</f>
        <v/>
      </c>
    </row>
    <row r="1671" spans="1:11">
      <c r="A1671" s="14">
        <v>46160</v>
      </c>
      <c r="B1671" s="15">
        <v>0.34375</v>
      </c>
      <c r="C1671" s="5">
        <f>IF('96 Werte'!AI23="","",'96 Werte'!AI23)</f>
        <v/>
      </c>
      <c r="D1671" t="str">
        <f>IF(IF(Eingaben!$B$21&lt;Eingaben!$B$22,AND(B1671&gt;=Eingaben!$B$21,B1671&lt;Eingaben!$B$22),OR(B1671&gt;=Eingaben!$B$21,B1671&lt;Eingaben!$B$22)),"GO",IF(AND(ISNUMBER(Eingaben!$B$23),ISNUMBER(Eingaben!$B$24),IF(Eingaben!$B$23&lt;Eingaben!$B$24,AND(B1671&gt;=Eingaben!$B$23,B1671&lt;Eingaben!$B$24),OR(B1671&gt;=Eingaben!$B$23,B1671&lt;Eingaben!$B$24))),"HEAT","STANDARD"))</f>
        <v>STANDARD</v>
      </c>
      <c r="E1671" s="9"/>
      <c r="F1671" t="str">
        <f>IF(E1671="",D1671,E1671)</f>
        <v>STANDARD</v>
      </c>
      <c r="G1671" t="str">
        <f>INDEX(Netzzeiten!$B$6:$B$29,HOUR(B1671)+1)</f>
        <v>ST</v>
      </c>
      <c r="H1671" s="6">
        <f>IF(F1671="GO",Eingaben!$B$11,IF(F1671="STANDARD",Eingaben!$B$12,IF(AND(F1671="HEAT",ISNUMBER(Eingaben!$B$13)),Eingaben!$B$13,"")))</f>
        <v>28.2744</v>
      </c>
      <c r="I1671" s="6">
        <f>INDEX(Netzzeiten!$C$6:$C$29,HOUR(B1671)+1)</f>
        <v>5.48</v>
      </c>
      <c r="J1671" t="str">
        <f>IF(C1671="","FEHLT",IF(NOT(ISNUMBER(C1671)),"MESSWERT UNGUELTIG",IF(C1671&lt;0,"MESSWERT UNGUELTIG",IF(H1671="","TARIFPREIS FEHLT","OK"))))</f>
        <v>FEHLT</v>
      </c>
      <c r="K1671" s="7">
        <f>IF(J1671&lt;&gt;"OK","",C1671*I1671/100)</f>
        <v/>
      </c>
    </row>
    <row r="1672" spans="1:11">
      <c r="A1672" s="14">
        <v>46160</v>
      </c>
      <c r="B1672" s="15">
        <v>0.3541666666666667</v>
      </c>
      <c r="C1672" s="5">
        <f>IF('96 Werte'!AJ23="","",'96 Werte'!AJ23)</f>
        <v/>
      </c>
      <c r="D1672" t="str">
        <f>IF(IF(Eingaben!$B$21&lt;Eingaben!$B$22,AND(B1672&gt;=Eingaben!$B$21,B1672&lt;Eingaben!$B$22),OR(B1672&gt;=Eingaben!$B$21,B1672&lt;Eingaben!$B$22)),"GO",IF(AND(ISNUMBER(Eingaben!$B$23),ISNUMBER(Eingaben!$B$24),IF(Eingaben!$B$23&lt;Eingaben!$B$24,AND(B1672&gt;=Eingaben!$B$23,B1672&lt;Eingaben!$B$24),OR(B1672&gt;=Eingaben!$B$23,B1672&lt;Eingaben!$B$24))),"HEAT","STANDARD"))</f>
        <v>STANDARD</v>
      </c>
      <c r="E1672" s="9"/>
      <c r="F1672" t="str">
        <f>IF(E1672="",D1672,E1672)</f>
        <v>STANDARD</v>
      </c>
      <c r="G1672" t="str">
        <f>INDEX(Netzzeiten!$B$6:$B$29,HOUR(B1672)+1)</f>
        <v>ST</v>
      </c>
      <c r="H1672" s="6">
        <f>IF(F1672="GO",Eingaben!$B$11,IF(F1672="STANDARD",Eingaben!$B$12,IF(AND(F1672="HEAT",ISNUMBER(Eingaben!$B$13)),Eingaben!$B$13,"")))</f>
        <v>28.2744</v>
      </c>
      <c r="I1672" s="6">
        <f>INDEX(Netzzeiten!$C$6:$C$29,HOUR(B1672)+1)</f>
        <v>5.48</v>
      </c>
      <c r="J1672" t="str">
        <f>IF(C1672="","FEHLT",IF(NOT(ISNUMBER(C1672)),"MESSWERT UNGUELTIG",IF(C1672&lt;0,"MESSWERT UNGUELTIG",IF(H1672="","TARIFPREIS FEHLT","OK"))))</f>
        <v>FEHLT</v>
      </c>
      <c r="K1672" s="7">
        <f>IF(J1672&lt;&gt;"OK","",C1672*I1672/100)</f>
        <v/>
      </c>
    </row>
    <row r="1673" spans="1:11">
      <c r="A1673" s="14">
        <v>46160</v>
      </c>
      <c r="B1673" s="15">
        <v>0.3645833333333333</v>
      </c>
      <c r="C1673" s="5">
        <f>IF('96 Werte'!AK23="","",'96 Werte'!AK23)</f>
        <v/>
      </c>
      <c r="D1673" t="str">
        <f>IF(IF(Eingaben!$B$21&lt;Eingaben!$B$22,AND(B1673&gt;=Eingaben!$B$21,B1673&lt;Eingaben!$B$22),OR(B1673&gt;=Eingaben!$B$21,B1673&lt;Eingaben!$B$22)),"GO",IF(AND(ISNUMBER(Eingaben!$B$23),ISNUMBER(Eingaben!$B$24),IF(Eingaben!$B$23&lt;Eingaben!$B$24,AND(B1673&gt;=Eingaben!$B$23,B1673&lt;Eingaben!$B$24),OR(B1673&gt;=Eingaben!$B$23,B1673&lt;Eingaben!$B$24))),"HEAT","STANDARD"))</f>
        <v>STANDARD</v>
      </c>
      <c r="E1673" s="9"/>
      <c r="F1673" t="str">
        <f>IF(E1673="",D1673,E1673)</f>
        <v>STANDARD</v>
      </c>
      <c r="G1673" t="str">
        <f>INDEX(Netzzeiten!$B$6:$B$29,HOUR(B1673)+1)</f>
        <v>ST</v>
      </c>
      <c r="H1673" s="6">
        <f>IF(F1673="GO",Eingaben!$B$11,IF(F1673="STANDARD",Eingaben!$B$12,IF(AND(F1673="HEAT",ISNUMBER(Eingaben!$B$13)),Eingaben!$B$13,"")))</f>
        <v>28.2744</v>
      </c>
      <c r="I1673" s="6">
        <f>INDEX(Netzzeiten!$C$6:$C$29,HOUR(B1673)+1)</f>
        <v>5.48</v>
      </c>
      <c r="J1673" t="str">
        <f>IF(C1673="","FEHLT",IF(NOT(ISNUMBER(C1673)),"MESSWERT UNGUELTIG",IF(C1673&lt;0,"MESSWERT UNGUELTIG",IF(H1673="","TARIFPREIS FEHLT","OK"))))</f>
        <v>FEHLT</v>
      </c>
      <c r="K1673" s="7">
        <f>IF(J1673&lt;&gt;"OK","",C1673*I1673/100)</f>
        <v/>
      </c>
    </row>
    <row r="1674" spans="1:11">
      <c r="A1674" s="14">
        <v>46160</v>
      </c>
      <c r="B1674" s="15">
        <v>0.375</v>
      </c>
      <c r="C1674" s="5">
        <f>IF('96 Werte'!AL23="","",'96 Werte'!AL23)</f>
        <v/>
      </c>
      <c r="D1674" t="str">
        <f>IF(IF(Eingaben!$B$21&lt;Eingaben!$B$22,AND(B1674&gt;=Eingaben!$B$21,B1674&lt;Eingaben!$B$22),OR(B1674&gt;=Eingaben!$B$21,B1674&lt;Eingaben!$B$22)),"GO",IF(AND(ISNUMBER(Eingaben!$B$23),ISNUMBER(Eingaben!$B$24),IF(Eingaben!$B$23&lt;Eingaben!$B$24,AND(B1674&gt;=Eingaben!$B$23,B1674&lt;Eingaben!$B$24),OR(B1674&gt;=Eingaben!$B$23,B1674&lt;Eingaben!$B$24))),"HEAT","STANDARD"))</f>
        <v>STANDARD</v>
      </c>
      <c r="E1674" s="9"/>
      <c r="F1674" t="str">
        <f>IF(E1674="",D1674,E1674)</f>
        <v>STANDARD</v>
      </c>
      <c r="G1674" t="str">
        <f>INDEX(Netzzeiten!$B$6:$B$29,HOUR(B1674)+1)</f>
        <v>ST</v>
      </c>
      <c r="H1674" s="6">
        <f>IF(F1674="GO",Eingaben!$B$11,IF(F1674="STANDARD",Eingaben!$B$12,IF(AND(F1674="HEAT",ISNUMBER(Eingaben!$B$13)),Eingaben!$B$13,"")))</f>
        <v>28.2744</v>
      </c>
      <c r="I1674" s="6">
        <f>INDEX(Netzzeiten!$C$6:$C$29,HOUR(B1674)+1)</f>
        <v>5.48</v>
      </c>
      <c r="J1674" t="str">
        <f>IF(C1674="","FEHLT",IF(NOT(ISNUMBER(C1674)),"MESSWERT UNGUELTIG",IF(C1674&lt;0,"MESSWERT UNGUELTIG",IF(H1674="","TARIFPREIS FEHLT","OK"))))</f>
        <v>FEHLT</v>
      </c>
      <c r="K1674" s="7">
        <f>IF(J1674&lt;&gt;"OK","",C1674*I1674/100)</f>
        <v/>
      </c>
    </row>
    <row r="1675" spans="1:11">
      <c r="A1675" s="14">
        <v>46160</v>
      </c>
      <c r="B1675" s="15">
        <v>0.3854166666666667</v>
      </c>
      <c r="C1675" s="5">
        <f>IF('96 Werte'!AM23="","",'96 Werte'!AM23)</f>
        <v/>
      </c>
      <c r="D1675" t="str">
        <f>IF(IF(Eingaben!$B$21&lt;Eingaben!$B$22,AND(B1675&gt;=Eingaben!$B$21,B1675&lt;Eingaben!$B$22),OR(B1675&gt;=Eingaben!$B$21,B1675&lt;Eingaben!$B$22)),"GO",IF(AND(ISNUMBER(Eingaben!$B$23),ISNUMBER(Eingaben!$B$24),IF(Eingaben!$B$23&lt;Eingaben!$B$24,AND(B1675&gt;=Eingaben!$B$23,B1675&lt;Eingaben!$B$24),OR(B1675&gt;=Eingaben!$B$23,B1675&lt;Eingaben!$B$24))),"HEAT","STANDARD"))</f>
        <v>STANDARD</v>
      </c>
      <c r="E1675" s="9"/>
      <c r="F1675" t="str">
        <f>IF(E1675="",D1675,E1675)</f>
        <v>STANDARD</v>
      </c>
      <c r="G1675" t="str">
        <f>INDEX(Netzzeiten!$B$6:$B$29,HOUR(B1675)+1)</f>
        <v>ST</v>
      </c>
      <c r="H1675" s="6">
        <f>IF(F1675="GO",Eingaben!$B$11,IF(F1675="STANDARD",Eingaben!$B$12,IF(AND(F1675="HEAT",ISNUMBER(Eingaben!$B$13)),Eingaben!$B$13,"")))</f>
        <v>28.2744</v>
      </c>
      <c r="I1675" s="6">
        <f>INDEX(Netzzeiten!$C$6:$C$29,HOUR(B1675)+1)</f>
        <v>5.48</v>
      </c>
      <c r="J1675" t="str">
        <f>IF(C1675="","FEHLT",IF(NOT(ISNUMBER(C1675)),"MESSWERT UNGUELTIG",IF(C1675&lt;0,"MESSWERT UNGUELTIG",IF(H1675="","TARIFPREIS FEHLT","OK"))))</f>
        <v>FEHLT</v>
      </c>
      <c r="K1675" s="7">
        <f>IF(J1675&lt;&gt;"OK","",C1675*I1675/100)</f>
        <v/>
      </c>
    </row>
    <row r="1676" spans="1:11">
      <c r="A1676" s="14">
        <v>46160</v>
      </c>
      <c r="B1676" s="15">
        <v>0.3958333333333333</v>
      </c>
      <c r="C1676" s="5">
        <f>IF('96 Werte'!AN23="","",'96 Werte'!AN23)</f>
        <v/>
      </c>
      <c r="D1676" t="str">
        <f>IF(IF(Eingaben!$B$21&lt;Eingaben!$B$22,AND(B1676&gt;=Eingaben!$B$21,B1676&lt;Eingaben!$B$22),OR(B1676&gt;=Eingaben!$B$21,B1676&lt;Eingaben!$B$22)),"GO",IF(AND(ISNUMBER(Eingaben!$B$23),ISNUMBER(Eingaben!$B$24),IF(Eingaben!$B$23&lt;Eingaben!$B$24,AND(B1676&gt;=Eingaben!$B$23,B1676&lt;Eingaben!$B$24),OR(B1676&gt;=Eingaben!$B$23,B1676&lt;Eingaben!$B$24))),"HEAT","STANDARD"))</f>
        <v>STANDARD</v>
      </c>
      <c r="E1676" s="9"/>
      <c r="F1676" t="str">
        <f>IF(E1676="",D1676,E1676)</f>
        <v>STANDARD</v>
      </c>
      <c r="G1676" t="str">
        <f>INDEX(Netzzeiten!$B$6:$B$29,HOUR(B1676)+1)</f>
        <v>ST</v>
      </c>
      <c r="H1676" s="6">
        <f>IF(F1676="GO",Eingaben!$B$11,IF(F1676="STANDARD",Eingaben!$B$12,IF(AND(F1676="HEAT",ISNUMBER(Eingaben!$B$13)),Eingaben!$B$13,"")))</f>
        <v>28.2744</v>
      </c>
      <c r="I1676" s="6">
        <f>INDEX(Netzzeiten!$C$6:$C$29,HOUR(B1676)+1)</f>
        <v>5.48</v>
      </c>
      <c r="J1676" t="str">
        <f>IF(C1676="","FEHLT",IF(NOT(ISNUMBER(C1676)),"MESSWERT UNGUELTIG",IF(C1676&lt;0,"MESSWERT UNGUELTIG",IF(H1676="","TARIFPREIS FEHLT","OK"))))</f>
        <v>FEHLT</v>
      </c>
      <c r="K1676" s="7">
        <f>IF(J1676&lt;&gt;"OK","",C1676*I1676/100)</f>
        <v/>
      </c>
    </row>
    <row r="1677" spans="1:11">
      <c r="A1677" s="14">
        <v>46160</v>
      </c>
      <c r="B1677" s="15">
        <v>0.40625</v>
      </c>
      <c r="C1677" s="5">
        <f>IF('96 Werte'!AO23="","",'96 Werte'!AO23)</f>
        <v/>
      </c>
      <c r="D1677" t="str">
        <f>IF(IF(Eingaben!$B$21&lt;Eingaben!$B$22,AND(B1677&gt;=Eingaben!$B$21,B1677&lt;Eingaben!$B$22),OR(B1677&gt;=Eingaben!$B$21,B1677&lt;Eingaben!$B$22)),"GO",IF(AND(ISNUMBER(Eingaben!$B$23),ISNUMBER(Eingaben!$B$24),IF(Eingaben!$B$23&lt;Eingaben!$B$24,AND(B1677&gt;=Eingaben!$B$23,B1677&lt;Eingaben!$B$24),OR(B1677&gt;=Eingaben!$B$23,B1677&lt;Eingaben!$B$24))),"HEAT","STANDARD"))</f>
        <v>STANDARD</v>
      </c>
      <c r="E1677" s="9"/>
      <c r="F1677" t="str">
        <f>IF(E1677="",D1677,E1677)</f>
        <v>STANDARD</v>
      </c>
      <c r="G1677" t="str">
        <f>INDEX(Netzzeiten!$B$6:$B$29,HOUR(B1677)+1)</f>
        <v>ST</v>
      </c>
      <c r="H1677" s="6">
        <f>IF(F1677="GO",Eingaben!$B$11,IF(F1677="STANDARD",Eingaben!$B$12,IF(AND(F1677="HEAT",ISNUMBER(Eingaben!$B$13)),Eingaben!$B$13,"")))</f>
        <v>28.2744</v>
      </c>
      <c r="I1677" s="6">
        <f>INDEX(Netzzeiten!$C$6:$C$29,HOUR(B1677)+1)</f>
        <v>5.48</v>
      </c>
      <c r="J1677" t="str">
        <f>IF(C1677="","FEHLT",IF(NOT(ISNUMBER(C1677)),"MESSWERT UNGUELTIG",IF(C1677&lt;0,"MESSWERT UNGUELTIG",IF(H1677="","TARIFPREIS FEHLT","OK"))))</f>
        <v>FEHLT</v>
      </c>
      <c r="K1677" s="7">
        <f>IF(J1677&lt;&gt;"OK","",C1677*I1677/100)</f>
        <v/>
      </c>
    </row>
    <row r="1678" spans="1:11">
      <c r="A1678" s="14">
        <v>46160</v>
      </c>
      <c r="B1678" s="15">
        <v>0.4166666666666667</v>
      </c>
      <c r="C1678" s="5">
        <f>IF('96 Werte'!AP23="","",'96 Werte'!AP23)</f>
        <v/>
      </c>
      <c r="D1678" t="str">
        <f>IF(IF(Eingaben!$B$21&lt;Eingaben!$B$22,AND(B1678&gt;=Eingaben!$B$21,B1678&lt;Eingaben!$B$22),OR(B1678&gt;=Eingaben!$B$21,B1678&lt;Eingaben!$B$22)),"GO",IF(AND(ISNUMBER(Eingaben!$B$23),ISNUMBER(Eingaben!$B$24),IF(Eingaben!$B$23&lt;Eingaben!$B$24,AND(B1678&gt;=Eingaben!$B$23,B1678&lt;Eingaben!$B$24),OR(B1678&gt;=Eingaben!$B$23,B1678&lt;Eingaben!$B$24))),"HEAT","STANDARD"))</f>
        <v>STANDARD</v>
      </c>
      <c r="E1678" s="9"/>
      <c r="F1678" t="str">
        <f>IF(E1678="",D1678,E1678)</f>
        <v>STANDARD</v>
      </c>
      <c r="G1678" t="str">
        <f>INDEX(Netzzeiten!$B$6:$B$29,HOUR(B1678)+1)</f>
        <v>ST</v>
      </c>
      <c r="H1678" s="6">
        <f>IF(F1678="GO",Eingaben!$B$11,IF(F1678="STANDARD",Eingaben!$B$12,IF(AND(F1678="HEAT",ISNUMBER(Eingaben!$B$13)),Eingaben!$B$13,"")))</f>
        <v>28.2744</v>
      </c>
      <c r="I1678" s="6">
        <f>INDEX(Netzzeiten!$C$6:$C$29,HOUR(B1678)+1)</f>
        <v>5.48</v>
      </c>
      <c r="J1678" t="str">
        <f>IF(C1678="","FEHLT",IF(NOT(ISNUMBER(C1678)),"MESSWERT UNGUELTIG",IF(C1678&lt;0,"MESSWERT UNGUELTIG",IF(H1678="","TARIFPREIS FEHLT","OK"))))</f>
        <v>FEHLT</v>
      </c>
      <c r="K1678" s="7">
        <f>IF(J1678&lt;&gt;"OK","",C1678*I1678/100)</f>
        <v/>
      </c>
    </row>
    <row r="1679" spans="1:11">
      <c r="A1679" s="14">
        <v>46160</v>
      </c>
      <c r="B1679" s="15">
        <v>0.4270833333333333</v>
      </c>
      <c r="C1679" s="5">
        <f>IF('96 Werte'!AQ23="","",'96 Werte'!AQ23)</f>
        <v/>
      </c>
      <c r="D1679" t="str">
        <f>IF(IF(Eingaben!$B$21&lt;Eingaben!$B$22,AND(B1679&gt;=Eingaben!$B$21,B1679&lt;Eingaben!$B$22),OR(B1679&gt;=Eingaben!$B$21,B1679&lt;Eingaben!$B$22)),"GO",IF(AND(ISNUMBER(Eingaben!$B$23),ISNUMBER(Eingaben!$B$24),IF(Eingaben!$B$23&lt;Eingaben!$B$24,AND(B1679&gt;=Eingaben!$B$23,B1679&lt;Eingaben!$B$24),OR(B1679&gt;=Eingaben!$B$23,B1679&lt;Eingaben!$B$24))),"HEAT","STANDARD"))</f>
        <v>STANDARD</v>
      </c>
      <c r="E1679" s="9"/>
      <c r="F1679" t="str">
        <f>IF(E1679="",D1679,E1679)</f>
        <v>STANDARD</v>
      </c>
      <c r="G1679" t="str">
        <f>INDEX(Netzzeiten!$B$6:$B$29,HOUR(B1679)+1)</f>
        <v>ST</v>
      </c>
      <c r="H1679" s="6">
        <f>IF(F1679="GO",Eingaben!$B$11,IF(F1679="STANDARD",Eingaben!$B$12,IF(AND(F1679="HEAT",ISNUMBER(Eingaben!$B$13)),Eingaben!$B$13,"")))</f>
        <v>28.2744</v>
      </c>
      <c r="I1679" s="6">
        <f>INDEX(Netzzeiten!$C$6:$C$29,HOUR(B1679)+1)</f>
        <v>5.48</v>
      </c>
      <c r="J1679" t="str">
        <f>IF(C1679="","FEHLT",IF(NOT(ISNUMBER(C1679)),"MESSWERT UNGUELTIG",IF(C1679&lt;0,"MESSWERT UNGUELTIG",IF(H1679="","TARIFPREIS FEHLT","OK"))))</f>
        <v>FEHLT</v>
      </c>
      <c r="K1679" s="7">
        <f>IF(J1679&lt;&gt;"OK","",C1679*I1679/100)</f>
        <v/>
      </c>
    </row>
    <row r="1680" spans="1:11">
      <c r="A1680" s="14">
        <v>46160</v>
      </c>
      <c r="B1680" s="15">
        <v>0.4375</v>
      </c>
      <c r="C1680" s="5">
        <f>IF('96 Werte'!AR23="","",'96 Werte'!AR23)</f>
        <v/>
      </c>
      <c r="D1680" t="str">
        <f>IF(IF(Eingaben!$B$21&lt;Eingaben!$B$22,AND(B1680&gt;=Eingaben!$B$21,B1680&lt;Eingaben!$B$22),OR(B1680&gt;=Eingaben!$B$21,B1680&lt;Eingaben!$B$22)),"GO",IF(AND(ISNUMBER(Eingaben!$B$23),ISNUMBER(Eingaben!$B$24),IF(Eingaben!$B$23&lt;Eingaben!$B$24,AND(B1680&gt;=Eingaben!$B$23,B1680&lt;Eingaben!$B$24),OR(B1680&gt;=Eingaben!$B$23,B1680&lt;Eingaben!$B$24))),"HEAT","STANDARD"))</f>
        <v>STANDARD</v>
      </c>
      <c r="E1680" s="9"/>
      <c r="F1680" t="str">
        <f>IF(E1680="",D1680,E1680)</f>
        <v>STANDARD</v>
      </c>
      <c r="G1680" t="str">
        <f>INDEX(Netzzeiten!$B$6:$B$29,HOUR(B1680)+1)</f>
        <v>ST</v>
      </c>
      <c r="H1680" s="6">
        <f>IF(F1680="GO",Eingaben!$B$11,IF(F1680="STANDARD",Eingaben!$B$12,IF(AND(F1680="HEAT",ISNUMBER(Eingaben!$B$13)),Eingaben!$B$13,"")))</f>
        <v>28.2744</v>
      </c>
      <c r="I1680" s="6">
        <f>INDEX(Netzzeiten!$C$6:$C$29,HOUR(B1680)+1)</f>
        <v>5.48</v>
      </c>
      <c r="J1680" t="str">
        <f>IF(C1680="","FEHLT",IF(NOT(ISNUMBER(C1680)),"MESSWERT UNGUELTIG",IF(C1680&lt;0,"MESSWERT UNGUELTIG",IF(H1680="","TARIFPREIS FEHLT","OK"))))</f>
        <v>FEHLT</v>
      </c>
      <c r="K1680" s="7">
        <f>IF(J1680&lt;&gt;"OK","",C1680*I1680/100)</f>
        <v/>
      </c>
    </row>
    <row r="1681" spans="1:11">
      <c r="A1681" s="14">
        <v>46160</v>
      </c>
      <c r="B1681" s="15">
        <v>0.4479166666666667</v>
      </c>
      <c r="C1681" s="5">
        <f>IF('96 Werte'!AS23="","",'96 Werte'!AS23)</f>
        <v/>
      </c>
      <c r="D1681" t="str">
        <f>IF(IF(Eingaben!$B$21&lt;Eingaben!$B$22,AND(B1681&gt;=Eingaben!$B$21,B1681&lt;Eingaben!$B$22),OR(B1681&gt;=Eingaben!$B$21,B1681&lt;Eingaben!$B$22)),"GO",IF(AND(ISNUMBER(Eingaben!$B$23),ISNUMBER(Eingaben!$B$24),IF(Eingaben!$B$23&lt;Eingaben!$B$24,AND(B1681&gt;=Eingaben!$B$23,B1681&lt;Eingaben!$B$24),OR(B1681&gt;=Eingaben!$B$23,B1681&lt;Eingaben!$B$24))),"HEAT","STANDARD"))</f>
        <v>STANDARD</v>
      </c>
      <c r="E1681" s="9"/>
      <c r="F1681" t="str">
        <f>IF(E1681="",D1681,E1681)</f>
        <v>STANDARD</v>
      </c>
      <c r="G1681" t="str">
        <f>INDEX(Netzzeiten!$B$6:$B$29,HOUR(B1681)+1)</f>
        <v>ST</v>
      </c>
      <c r="H1681" s="6">
        <f>IF(F1681="GO",Eingaben!$B$11,IF(F1681="STANDARD",Eingaben!$B$12,IF(AND(F1681="HEAT",ISNUMBER(Eingaben!$B$13)),Eingaben!$B$13,"")))</f>
        <v>28.2744</v>
      </c>
      <c r="I1681" s="6">
        <f>INDEX(Netzzeiten!$C$6:$C$29,HOUR(B1681)+1)</f>
        <v>5.48</v>
      </c>
      <c r="J1681" t="str">
        <f>IF(C1681="","FEHLT",IF(NOT(ISNUMBER(C1681)),"MESSWERT UNGUELTIG",IF(C1681&lt;0,"MESSWERT UNGUELTIG",IF(H1681="","TARIFPREIS FEHLT","OK"))))</f>
        <v>FEHLT</v>
      </c>
      <c r="K1681" s="7">
        <f>IF(J1681&lt;&gt;"OK","",C1681*I1681/100)</f>
        <v/>
      </c>
    </row>
    <row r="1682" spans="1:11">
      <c r="A1682" s="14">
        <v>46160</v>
      </c>
      <c r="B1682" s="15">
        <v>0.4583333333333333</v>
      </c>
      <c r="C1682" s="5">
        <f>IF('96 Werte'!AT23="","",'96 Werte'!AT23)</f>
        <v/>
      </c>
      <c r="D1682" t="str">
        <f>IF(IF(Eingaben!$B$21&lt;Eingaben!$B$22,AND(B1682&gt;=Eingaben!$B$21,B1682&lt;Eingaben!$B$22),OR(B1682&gt;=Eingaben!$B$21,B1682&lt;Eingaben!$B$22)),"GO",IF(AND(ISNUMBER(Eingaben!$B$23),ISNUMBER(Eingaben!$B$24),IF(Eingaben!$B$23&lt;Eingaben!$B$24,AND(B1682&gt;=Eingaben!$B$23,B1682&lt;Eingaben!$B$24),OR(B1682&gt;=Eingaben!$B$23,B1682&lt;Eingaben!$B$24))),"HEAT","STANDARD"))</f>
        <v>STANDARD</v>
      </c>
      <c r="E1682" s="9"/>
      <c r="F1682" t="str">
        <f>IF(E1682="",D1682,E1682)</f>
        <v>STANDARD</v>
      </c>
      <c r="G1682" t="str">
        <f>INDEX(Netzzeiten!$B$6:$B$29,HOUR(B1682)+1)</f>
        <v>NT</v>
      </c>
      <c r="H1682" s="6">
        <f>IF(F1682="GO",Eingaben!$B$11,IF(F1682="STANDARD",Eingaben!$B$12,IF(AND(F1682="HEAT",ISNUMBER(Eingaben!$B$13)),Eingaben!$B$13,"")))</f>
        <v>28.2744</v>
      </c>
      <c r="I1682" s="6">
        <f>INDEX(Netzzeiten!$C$6:$C$29,HOUR(B1682)+1)</f>
        <v>1.64</v>
      </c>
      <c r="J1682" t="str">
        <f>IF(C1682="","FEHLT",IF(NOT(ISNUMBER(C1682)),"MESSWERT UNGUELTIG",IF(C1682&lt;0,"MESSWERT UNGUELTIG",IF(H1682="","TARIFPREIS FEHLT","OK"))))</f>
        <v>FEHLT</v>
      </c>
      <c r="K1682" s="7">
        <f>IF(J1682&lt;&gt;"OK","",C1682*I1682/100)</f>
        <v/>
      </c>
    </row>
    <row r="1683" spans="1:11">
      <c r="A1683" s="14">
        <v>46160</v>
      </c>
      <c r="B1683" s="15">
        <v>0.46875</v>
      </c>
      <c r="C1683" s="5">
        <f>IF('96 Werte'!AU23="","",'96 Werte'!AU23)</f>
        <v/>
      </c>
      <c r="D1683" t="str">
        <f>IF(IF(Eingaben!$B$21&lt;Eingaben!$B$22,AND(B1683&gt;=Eingaben!$B$21,B1683&lt;Eingaben!$B$22),OR(B1683&gt;=Eingaben!$B$21,B1683&lt;Eingaben!$B$22)),"GO",IF(AND(ISNUMBER(Eingaben!$B$23),ISNUMBER(Eingaben!$B$24),IF(Eingaben!$B$23&lt;Eingaben!$B$24,AND(B1683&gt;=Eingaben!$B$23,B1683&lt;Eingaben!$B$24),OR(B1683&gt;=Eingaben!$B$23,B1683&lt;Eingaben!$B$24))),"HEAT","STANDARD"))</f>
        <v>STANDARD</v>
      </c>
      <c r="E1683" s="9"/>
      <c r="F1683" t="str">
        <f>IF(E1683="",D1683,E1683)</f>
        <v>STANDARD</v>
      </c>
      <c r="G1683" t="str">
        <f>INDEX(Netzzeiten!$B$6:$B$29,HOUR(B1683)+1)</f>
        <v>NT</v>
      </c>
      <c r="H1683" s="6">
        <f>IF(F1683="GO",Eingaben!$B$11,IF(F1683="STANDARD",Eingaben!$B$12,IF(AND(F1683="HEAT",ISNUMBER(Eingaben!$B$13)),Eingaben!$B$13,"")))</f>
        <v>28.2744</v>
      </c>
      <c r="I1683" s="6">
        <f>INDEX(Netzzeiten!$C$6:$C$29,HOUR(B1683)+1)</f>
        <v>1.64</v>
      </c>
      <c r="J1683" t="str">
        <f>IF(C1683="","FEHLT",IF(NOT(ISNUMBER(C1683)),"MESSWERT UNGUELTIG",IF(C1683&lt;0,"MESSWERT UNGUELTIG",IF(H1683="","TARIFPREIS FEHLT","OK"))))</f>
        <v>FEHLT</v>
      </c>
      <c r="K1683" s="7">
        <f>IF(J1683&lt;&gt;"OK","",C1683*I1683/100)</f>
        <v/>
      </c>
    </row>
    <row r="1684" spans="1:11">
      <c r="A1684" s="14">
        <v>46160</v>
      </c>
      <c r="B1684" s="15">
        <v>0.4791666666666667</v>
      </c>
      <c r="C1684" s="5">
        <f>IF('96 Werte'!AV23="","",'96 Werte'!AV23)</f>
        <v/>
      </c>
      <c r="D1684" t="str">
        <f>IF(IF(Eingaben!$B$21&lt;Eingaben!$B$22,AND(B1684&gt;=Eingaben!$B$21,B1684&lt;Eingaben!$B$22),OR(B1684&gt;=Eingaben!$B$21,B1684&lt;Eingaben!$B$22)),"GO",IF(AND(ISNUMBER(Eingaben!$B$23),ISNUMBER(Eingaben!$B$24),IF(Eingaben!$B$23&lt;Eingaben!$B$24,AND(B1684&gt;=Eingaben!$B$23,B1684&lt;Eingaben!$B$24),OR(B1684&gt;=Eingaben!$B$23,B1684&lt;Eingaben!$B$24))),"HEAT","STANDARD"))</f>
        <v>STANDARD</v>
      </c>
      <c r="E1684" s="9"/>
      <c r="F1684" t="str">
        <f>IF(E1684="",D1684,E1684)</f>
        <v>STANDARD</v>
      </c>
      <c r="G1684" t="str">
        <f>INDEX(Netzzeiten!$B$6:$B$29,HOUR(B1684)+1)</f>
        <v>NT</v>
      </c>
      <c r="H1684" s="6">
        <f>IF(F1684="GO",Eingaben!$B$11,IF(F1684="STANDARD",Eingaben!$B$12,IF(AND(F1684="HEAT",ISNUMBER(Eingaben!$B$13)),Eingaben!$B$13,"")))</f>
        <v>28.2744</v>
      </c>
      <c r="I1684" s="6">
        <f>INDEX(Netzzeiten!$C$6:$C$29,HOUR(B1684)+1)</f>
        <v>1.64</v>
      </c>
      <c r="J1684" t="str">
        <f>IF(C1684="","FEHLT",IF(NOT(ISNUMBER(C1684)),"MESSWERT UNGUELTIG",IF(C1684&lt;0,"MESSWERT UNGUELTIG",IF(H1684="","TARIFPREIS FEHLT","OK"))))</f>
        <v>FEHLT</v>
      </c>
      <c r="K1684" s="7">
        <f>IF(J1684&lt;&gt;"OK","",C1684*I1684/100)</f>
        <v/>
      </c>
    </row>
    <row r="1685" spans="1:11">
      <c r="A1685" s="14">
        <v>46160</v>
      </c>
      <c r="B1685" s="15">
        <v>0.4895833333333333</v>
      </c>
      <c r="C1685" s="5">
        <f>IF('96 Werte'!AW23="","",'96 Werte'!AW23)</f>
        <v/>
      </c>
      <c r="D1685" t="str">
        <f>IF(IF(Eingaben!$B$21&lt;Eingaben!$B$22,AND(B1685&gt;=Eingaben!$B$21,B1685&lt;Eingaben!$B$22),OR(B1685&gt;=Eingaben!$B$21,B1685&lt;Eingaben!$B$22)),"GO",IF(AND(ISNUMBER(Eingaben!$B$23),ISNUMBER(Eingaben!$B$24),IF(Eingaben!$B$23&lt;Eingaben!$B$24,AND(B1685&gt;=Eingaben!$B$23,B1685&lt;Eingaben!$B$24),OR(B1685&gt;=Eingaben!$B$23,B1685&lt;Eingaben!$B$24))),"HEAT","STANDARD"))</f>
        <v>STANDARD</v>
      </c>
      <c r="E1685" s="9"/>
      <c r="F1685" t="str">
        <f>IF(E1685="",D1685,E1685)</f>
        <v>STANDARD</v>
      </c>
      <c r="G1685" t="str">
        <f>INDEX(Netzzeiten!$B$6:$B$29,HOUR(B1685)+1)</f>
        <v>NT</v>
      </c>
      <c r="H1685" s="6">
        <f>IF(F1685="GO",Eingaben!$B$11,IF(F1685="STANDARD",Eingaben!$B$12,IF(AND(F1685="HEAT",ISNUMBER(Eingaben!$B$13)),Eingaben!$B$13,"")))</f>
        <v>28.2744</v>
      </c>
      <c r="I1685" s="6">
        <f>INDEX(Netzzeiten!$C$6:$C$29,HOUR(B1685)+1)</f>
        <v>1.64</v>
      </c>
      <c r="J1685" t="str">
        <f>IF(C1685="","FEHLT",IF(NOT(ISNUMBER(C1685)),"MESSWERT UNGUELTIG",IF(C1685&lt;0,"MESSWERT UNGUELTIG",IF(H1685="","TARIFPREIS FEHLT","OK"))))</f>
        <v>FEHLT</v>
      </c>
      <c r="K1685" s="7">
        <f>IF(J1685&lt;&gt;"OK","",C1685*I1685/100)</f>
        <v/>
      </c>
    </row>
    <row r="1686" spans="1:11">
      <c r="A1686" s="14">
        <v>46160</v>
      </c>
      <c r="B1686" s="15">
        <v>0.5</v>
      </c>
      <c r="C1686" s="5">
        <f>IF('96 Werte'!AX23="","",'96 Werte'!AX23)</f>
        <v/>
      </c>
      <c r="D1686" t="str">
        <f>IF(IF(Eingaben!$B$21&lt;Eingaben!$B$22,AND(B1686&gt;=Eingaben!$B$21,B1686&lt;Eingaben!$B$22),OR(B1686&gt;=Eingaben!$B$21,B1686&lt;Eingaben!$B$22)),"GO",IF(AND(ISNUMBER(Eingaben!$B$23),ISNUMBER(Eingaben!$B$24),IF(Eingaben!$B$23&lt;Eingaben!$B$24,AND(B1686&gt;=Eingaben!$B$23,B1686&lt;Eingaben!$B$24),OR(B1686&gt;=Eingaben!$B$23,B1686&lt;Eingaben!$B$24))),"HEAT","STANDARD"))</f>
        <v>STANDARD</v>
      </c>
      <c r="E1686" s="9"/>
      <c r="F1686" t="str">
        <f>IF(E1686="",D1686,E1686)</f>
        <v>STANDARD</v>
      </c>
      <c r="G1686" t="str">
        <f>INDEX(Netzzeiten!$B$6:$B$29,HOUR(B1686)+1)</f>
        <v>NT</v>
      </c>
      <c r="H1686" s="6">
        <f>IF(F1686="GO",Eingaben!$B$11,IF(F1686="STANDARD",Eingaben!$B$12,IF(AND(F1686="HEAT",ISNUMBER(Eingaben!$B$13)),Eingaben!$B$13,"")))</f>
        <v>28.2744</v>
      </c>
      <c r="I1686" s="6">
        <f>INDEX(Netzzeiten!$C$6:$C$29,HOUR(B1686)+1)</f>
        <v>1.64</v>
      </c>
      <c r="J1686" t="str">
        <f>IF(C1686="","FEHLT",IF(NOT(ISNUMBER(C1686)),"MESSWERT UNGUELTIG",IF(C1686&lt;0,"MESSWERT UNGUELTIG",IF(H1686="","TARIFPREIS FEHLT","OK"))))</f>
        <v>FEHLT</v>
      </c>
      <c r="K1686" s="7">
        <f>IF(J1686&lt;&gt;"OK","",C1686*I1686/100)</f>
        <v/>
      </c>
    </row>
    <row r="1687" spans="1:11">
      <c r="A1687" s="14">
        <v>46160</v>
      </c>
      <c r="B1687" s="15">
        <v>0.5104166666666666</v>
      </c>
      <c r="C1687" s="5">
        <f>IF('96 Werte'!AY23="","",'96 Werte'!AY23)</f>
        <v/>
      </c>
      <c r="D1687" t="str">
        <f>IF(IF(Eingaben!$B$21&lt;Eingaben!$B$22,AND(B1687&gt;=Eingaben!$B$21,B1687&lt;Eingaben!$B$22),OR(B1687&gt;=Eingaben!$B$21,B1687&lt;Eingaben!$B$22)),"GO",IF(AND(ISNUMBER(Eingaben!$B$23),ISNUMBER(Eingaben!$B$24),IF(Eingaben!$B$23&lt;Eingaben!$B$24,AND(B1687&gt;=Eingaben!$B$23,B1687&lt;Eingaben!$B$24),OR(B1687&gt;=Eingaben!$B$23,B1687&lt;Eingaben!$B$24))),"HEAT","STANDARD"))</f>
        <v>STANDARD</v>
      </c>
      <c r="E1687" s="9"/>
      <c r="F1687" t="str">
        <f>IF(E1687="",D1687,E1687)</f>
        <v>STANDARD</v>
      </c>
      <c r="G1687" t="str">
        <f>INDEX(Netzzeiten!$B$6:$B$29,HOUR(B1687)+1)</f>
        <v>NT</v>
      </c>
      <c r="H1687" s="6">
        <f>IF(F1687="GO",Eingaben!$B$11,IF(F1687="STANDARD",Eingaben!$B$12,IF(AND(F1687="HEAT",ISNUMBER(Eingaben!$B$13)),Eingaben!$B$13,"")))</f>
        <v>28.2744</v>
      </c>
      <c r="I1687" s="6">
        <f>INDEX(Netzzeiten!$C$6:$C$29,HOUR(B1687)+1)</f>
        <v>1.64</v>
      </c>
      <c r="J1687" t="str">
        <f>IF(C1687="","FEHLT",IF(NOT(ISNUMBER(C1687)),"MESSWERT UNGUELTIG",IF(C1687&lt;0,"MESSWERT UNGUELTIG",IF(H1687="","TARIFPREIS FEHLT","OK"))))</f>
        <v>FEHLT</v>
      </c>
      <c r="K1687" s="7">
        <f>IF(J1687&lt;&gt;"OK","",C1687*I1687/100)</f>
        <v/>
      </c>
    </row>
    <row r="1688" spans="1:11">
      <c r="A1688" s="14">
        <v>46160</v>
      </c>
      <c r="B1688" s="15">
        <v>0.5208333333333334</v>
      </c>
      <c r="C1688" s="5">
        <f>IF('96 Werte'!AZ23="","",'96 Werte'!AZ23)</f>
        <v/>
      </c>
      <c r="D1688" t="str">
        <f>IF(IF(Eingaben!$B$21&lt;Eingaben!$B$22,AND(B1688&gt;=Eingaben!$B$21,B1688&lt;Eingaben!$B$22),OR(B1688&gt;=Eingaben!$B$21,B1688&lt;Eingaben!$B$22)),"GO",IF(AND(ISNUMBER(Eingaben!$B$23),ISNUMBER(Eingaben!$B$24),IF(Eingaben!$B$23&lt;Eingaben!$B$24,AND(B1688&gt;=Eingaben!$B$23,B1688&lt;Eingaben!$B$24),OR(B1688&gt;=Eingaben!$B$23,B1688&lt;Eingaben!$B$24))),"HEAT","STANDARD"))</f>
        <v>STANDARD</v>
      </c>
      <c r="E1688" s="9"/>
      <c r="F1688" t="str">
        <f>IF(E1688="",D1688,E1688)</f>
        <v>STANDARD</v>
      </c>
      <c r="G1688" t="str">
        <f>INDEX(Netzzeiten!$B$6:$B$29,HOUR(B1688)+1)</f>
        <v>NT</v>
      </c>
      <c r="H1688" s="6">
        <f>IF(F1688="GO",Eingaben!$B$11,IF(F1688="STANDARD",Eingaben!$B$12,IF(AND(F1688="HEAT",ISNUMBER(Eingaben!$B$13)),Eingaben!$B$13,"")))</f>
        <v>28.2744</v>
      </c>
      <c r="I1688" s="6">
        <f>INDEX(Netzzeiten!$C$6:$C$29,HOUR(B1688)+1)</f>
        <v>1.64</v>
      </c>
      <c r="J1688" t="str">
        <f>IF(C1688="","FEHLT",IF(NOT(ISNUMBER(C1688)),"MESSWERT UNGUELTIG",IF(C1688&lt;0,"MESSWERT UNGUELTIG",IF(H1688="","TARIFPREIS FEHLT","OK"))))</f>
        <v>FEHLT</v>
      </c>
      <c r="K1688" s="7">
        <f>IF(J1688&lt;&gt;"OK","",C1688*I1688/100)</f>
        <v/>
      </c>
    </row>
    <row r="1689" spans="1:11">
      <c r="A1689" s="14">
        <v>46160</v>
      </c>
      <c r="B1689" s="15">
        <v>0.53125</v>
      </c>
      <c r="C1689" s="5">
        <f>IF('96 Werte'!BA23="","",'96 Werte'!BA23)</f>
        <v/>
      </c>
      <c r="D1689" t="str">
        <f>IF(IF(Eingaben!$B$21&lt;Eingaben!$B$22,AND(B1689&gt;=Eingaben!$B$21,B1689&lt;Eingaben!$B$22),OR(B1689&gt;=Eingaben!$B$21,B1689&lt;Eingaben!$B$22)),"GO",IF(AND(ISNUMBER(Eingaben!$B$23),ISNUMBER(Eingaben!$B$24),IF(Eingaben!$B$23&lt;Eingaben!$B$24,AND(B1689&gt;=Eingaben!$B$23,B1689&lt;Eingaben!$B$24),OR(B1689&gt;=Eingaben!$B$23,B1689&lt;Eingaben!$B$24))),"HEAT","STANDARD"))</f>
        <v>STANDARD</v>
      </c>
      <c r="E1689" s="9"/>
      <c r="F1689" t="str">
        <f>IF(E1689="",D1689,E1689)</f>
        <v>STANDARD</v>
      </c>
      <c r="G1689" t="str">
        <f>INDEX(Netzzeiten!$B$6:$B$29,HOUR(B1689)+1)</f>
        <v>NT</v>
      </c>
      <c r="H1689" s="6">
        <f>IF(F1689="GO",Eingaben!$B$11,IF(F1689="STANDARD",Eingaben!$B$12,IF(AND(F1689="HEAT",ISNUMBER(Eingaben!$B$13)),Eingaben!$B$13,"")))</f>
        <v>28.2744</v>
      </c>
      <c r="I1689" s="6">
        <f>INDEX(Netzzeiten!$C$6:$C$29,HOUR(B1689)+1)</f>
        <v>1.64</v>
      </c>
      <c r="J1689" t="str">
        <f>IF(C1689="","FEHLT",IF(NOT(ISNUMBER(C1689)),"MESSWERT UNGUELTIG",IF(C1689&lt;0,"MESSWERT UNGUELTIG",IF(H1689="","TARIFPREIS FEHLT","OK"))))</f>
        <v>FEHLT</v>
      </c>
      <c r="K1689" s="7">
        <f>IF(J1689&lt;&gt;"OK","",C1689*I1689/100)</f>
        <v/>
      </c>
    </row>
    <row r="1690" spans="1:11">
      <c r="A1690" s="14">
        <v>46160</v>
      </c>
      <c r="B1690" s="15">
        <v>0.5416666666666666</v>
      </c>
      <c r="C1690" s="5">
        <f>IF('96 Werte'!BB23="","",'96 Werte'!BB23)</f>
        <v/>
      </c>
      <c r="D1690" t="str">
        <f>IF(IF(Eingaben!$B$21&lt;Eingaben!$B$22,AND(B1690&gt;=Eingaben!$B$21,B1690&lt;Eingaben!$B$22),OR(B1690&gt;=Eingaben!$B$21,B1690&lt;Eingaben!$B$22)),"GO",IF(AND(ISNUMBER(Eingaben!$B$23),ISNUMBER(Eingaben!$B$24),IF(Eingaben!$B$23&lt;Eingaben!$B$24,AND(B1690&gt;=Eingaben!$B$23,B1690&lt;Eingaben!$B$24),OR(B1690&gt;=Eingaben!$B$23,B1690&lt;Eingaben!$B$24))),"HEAT","STANDARD"))</f>
        <v>STANDARD</v>
      </c>
      <c r="E1690" s="9"/>
      <c r="F1690" t="str">
        <f>IF(E1690="",D1690,E1690)</f>
        <v>STANDARD</v>
      </c>
      <c r="G1690" t="str">
        <f>INDEX(Netzzeiten!$B$6:$B$29,HOUR(B1690)+1)</f>
        <v>NT</v>
      </c>
      <c r="H1690" s="6">
        <f>IF(F1690="GO",Eingaben!$B$11,IF(F1690="STANDARD",Eingaben!$B$12,IF(AND(F1690="HEAT",ISNUMBER(Eingaben!$B$13)),Eingaben!$B$13,"")))</f>
        <v>28.2744</v>
      </c>
      <c r="I1690" s="6">
        <f>INDEX(Netzzeiten!$C$6:$C$29,HOUR(B1690)+1)</f>
        <v>1.64</v>
      </c>
      <c r="J1690" t="str">
        <f>IF(C1690="","FEHLT",IF(NOT(ISNUMBER(C1690)),"MESSWERT UNGUELTIG",IF(C1690&lt;0,"MESSWERT UNGUELTIG",IF(H1690="","TARIFPREIS FEHLT","OK"))))</f>
        <v>FEHLT</v>
      </c>
      <c r="K1690" s="7">
        <f>IF(J1690&lt;&gt;"OK","",C1690*I1690/100)</f>
        <v/>
      </c>
    </row>
    <row r="1691" spans="1:11">
      <c r="A1691" s="14">
        <v>46160</v>
      </c>
      <c r="B1691" s="15">
        <v>0.5520833333333334</v>
      </c>
      <c r="C1691" s="5">
        <f>IF('96 Werte'!BC23="","",'96 Werte'!BC23)</f>
        <v/>
      </c>
      <c r="D1691" t="str">
        <f>IF(IF(Eingaben!$B$21&lt;Eingaben!$B$22,AND(B1691&gt;=Eingaben!$B$21,B1691&lt;Eingaben!$B$22),OR(B1691&gt;=Eingaben!$B$21,B1691&lt;Eingaben!$B$22)),"GO",IF(AND(ISNUMBER(Eingaben!$B$23),ISNUMBER(Eingaben!$B$24),IF(Eingaben!$B$23&lt;Eingaben!$B$24,AND(B1691&gt;=Eingaben!$B$23,B1691&lt;Eingaben!$B$24),OR(B1691&gt;=Eingaben!$B$23,B1691&lt;Eingaben!$B$24))),"HEAT","STANDARD"))</f>
        <v>STANDARD</v>
      </c>
      <c r="E1691" s="9"/>
      <c r="F1691" t="str">
        <f>IF(E1691="",D1691,E1691)</f>
        <v>STANDARD</v>
      </c>
      <c r="G1691" t="str">
        <f>INDEX(Netzzeiten!$B$6:$B$29,HOUR(B1691)+1)</f>
        <v>NT</v>
      </c>
      <c r="H1691" s="6">
        <f>IF(F1691="GO",Eingaben!$B$11,IF(F1691="STANDARD",Eingaben!$B$12,IF(AND(F1691="HEAT",ISNUMBER(Eingaben!$B$13)),Eingaben!$B$13,"")))</f>
        <v>28.2744</v>
      </c>
      <c r="I1691" s="6">
        <f>INDEX(Netzzeiten!$C$6:$C$29,HOUR(B1691)+1)</f>
        <v>1.64</v>
      </c>
      <c r="J1691" t="str">
        <f>IF(C1691="","FEHLT",IF(NOT(ISNUMBER(C1691)),"MESSWERT UNGUELTIG",IF(C1691&lt;0,"MESSWERT UNGUELTIG",IF(H1691="","TARIFPREIS FEHLT","OK"))))</f>
        <v>FEHLT</v>
      </c>
      <c r="K1691" s="7">
        <f>IF(J1691&lt;&gt;"OK","",C1691*I1691/100)</f>
        <v/>
      </c>
    </row>
    <row r="1692" spans="1:11">
      <c r="A1692" s="14">
        <v>46160</v>
      </c>
      <c r="B1692" s="15">
        <v>0.5625</v>
      </c>
      <c r="C1692" s="5">
        <f>IF('96 Werte'!BD23="","",'96 Werte'!BD23)</f>
        <v/>
      </c>
      <c r="D1692" t="str">
        <f>IF(IF(Eingaben!$B$21&lt;Eingaben!$B$22,AND(B1692&gt;=Eingaben!$B$21,B1692&lt;Eingaben!$B$22),OR(B1692&gt;=Eingaben!$B$21,B1692&lt;Eingaben!$B$22)),"GO",IF(AND(ISNUMBER(Eingaben!$B$23),ISNUMBER(Eingaben!$B$24),IF(Eingaben!$B$23&lt;Eingaben!$B$24,AND(B1692&gt;=Eingaben!$B$23,B1692&lt;Eingaben!$B$24),OR(B1692&gt;=Eingaben!$B$23,B1692&lt;Eingaben!$B$24))),"HEAT","STANDARD"))</f>
        <v>STANDARD</v>
      </c>
      <c r="E1692" s="9"/>
      <c r="F1692" t="str">
        <f>IF(E1692="",D1692,E1692)</f>
        <v>STANDARD</v>
      </c>
      <c r="G1692" t="str">
        <f>INDEX(Netzzeiten!$B$6:$B$29,HOUR(B1692)+1)</f>
        <v>NT</v>
      </c>
      <c r="H1692" s="6">
        <f>IF(F1692="GO",Eingaben!$B$11,IF(F1692="STANDARD",Eingaben!$B$12,IF(AND(F1692="HEAT",ISNUMBER(Eingaben!$B$13)),Eingaben!$B$13,"")))</f>
        <v>28.2744</v>
      </c>
      <c r="I1692" s="6">
        <f>INDEX(Netzzeiten!$C$6:$C$29,HOUR(B1692)+1)</f>
        <v>1.64</v>
      </c>
      <c r="J1692" t="str">
        <f>IF(C1692="","FEHLT",IF(NOT(ISNUMBER(C1692)),"MESSWERT UNGUELTIG",IF(C1692&lt;0,"MESSWERT UNGUELTIG",IF(H1692="","TARIFPREIS FEHLT","OK"))))</f>
        <v>FEHLT</v>
      </c>
      <c r="K1692" s="7">
        <f>IF(J1692&lt;&gt;"OK","",C1692*I1692/100)</f>
        <v/>
      </c>
    </row>
    <row r="1693" spans="1:11">
      <c r="A1693" s="14">
        <v>46160</v>
      </c>
      <c r="B1693" s="15">
        <v>0.5729166666666666</v>
      </c>
      <c r="C1693" s="5">
        <f>IF('96 Werte'!BE23="","",'96 Werte'!BE23)</f>
        <v/>
      </c>
      <c r="D1693" t="str">
        <f>IF(IF(Eingaben!$B$21&lt;Eingaben!$B$22,AND(B1693&gt;=Eingaben!$B$21,B1693&lt;Eingaben!$B$22),OR(B1693&gt;=Eingaben!$B$21,B1693&lt;Eingaben!$B$22)),"GO",IF(AND(ISNUMBER(Eingaben!$B$23),ISNUMBER(Eingaben!$B$24),IF(Eingaben!$B$23&lt;Eingaben!$B$24,AND(B1693&gt;=Eingaben!$B$23,B1693&lt;Eingaben!$B$24),OR(B1693&gt;=Eingaben!$B$23,B1693&lt;Eingaben!$B$24))),"HEAT","STANDARD"))</f>
        <v>STANDARD</v>
      </c>
      <c r="E1693" s="9"/>
      <c r="F1693" t="str">
        <f>IF(E1693="",D1693,E1693)</f>
        <v>STANDARD</v>
      </c>
      <c r="G1693" t="str">
        <f>INDEX(Netzzeiten!$B$6:$B$29,HOUR(B1693)+1)</f>
        <v>NT</v>
      </c>
      <c r="H1693" s="6">
        <f>IF(F1693="GO",Eingaben!$B$11,IF(F1693="STANDARD",Eingaben!$B$12,IF(AND(F1693="HEAT",ISNUMBER(Eingaben!$B$13)),Eingaben!$B$13,"")))</f>
        <v>28.2744</v>
      </c>
      <c r="I1693" s="6">
        <f>INDEX(Netzzeiten!$C$6:$C$29,HOUR(B1693)+1)</f>
        <v>1.64</v>
      </c>
      <c r="J1693" t="str">
        <f>IF(C1693="","FEHLT",IF(NOT(ISNUMBER(C1693)),"MESSWERT UNGUELTIG",IF(C1693&lt;0,"MESSWERT UNGUELTIG",IF(H1693="","TARIFPREIS FEHLT","OK"))))</f>
        <v>FEHLT</v>
      </c>
      <c r="K1693" s="7">
        <f>IF(J1693&lt;&gt;"OK","",C1693*I1693/100)</f>
        <v/>
      </c>
    </row>
    <row r="1694" spans="1:11">
      <c r="A1694" s="14">
        <v>46160</v>
      </c>
      <c r="B1694" s="15">
        <v>0.5833333333333334</v>
      </c>
      <c r="C1694" s="5">
        <f>IF('96 Werte'!BF23="","",'96 Werte'!BF23)</f>
        <v/>
      </c>
      <c r="D1694" t="str">
        <f>IF(IF(Eingaben!$B$21&lt;Eingaben!$B$22,AND(B1694&gt;=Eingaben!$B$21,B1694&lt;Eingaben!$B$22),OR(B1694&gt;=Eingaben!$B$21,B1694&lt;Eingaben!$B$22)),"GO",IF(AND(ISNUMBER(Eingaben!$B$23),ISNUMBER(Eingaben!$B$24),IF(Eingaben!$B$23&lt;Eingaben!$B$24,AND(B1694&gt;=Eingaben!$B$23,B1694&lt;Eingaben!$B$24),OR(B1694&gt;=Eingaben!$B$23,B1694&lt;Eingaben!$B$24))),"HEAT","STANDARD"))</f>
        <v>STANDARD</v>
      </c>
      <c r="E1694" s="9"/>
      <c r="F1694" t="str">
        <f>IF(E1694="",D1694,E1694)</f>
        <v>STANDARD</v>
      </c>
      <c r="G1694" t="str">
        <f>INDEX(Netzzeiten!$B$6:$B$29,HOUR(B1694)+1)</f>
        <v>NT</v>
      </c>
      <c r="H1694" s="6">
        <f>IF(F1694="GO",Eingaben!$B$11,IF(F1694="STANDARD",Eingaben!$B$12,IF(AND(F1694="HEAT",ISNUMBER(Eingaben!$B$13)),Eingaben!$B$13,"")))</f>
        <v>28.2744</v>
      </c>
      <c r="I1694" s="6">
        <f>INDEX(Netzzeiten!$C$6:$C$29,HOUR(B1694)+1)</f>
        <v>1.64</v>
      </c>
      <c r="J1694" t="str">
        <f>IF(C1694="","FEHLT",IF(NOT(ISNUMBER(C1694)),"MESSWERT UNGUELTIG",IF(C1694&lt;0,"MESSWERT UNGUELTIG",IF(H1694="","TARIFPREIS FEHLT","OK"))))</f>
        <v>FEHLT</v>
      </c>
      <c r="K1694" s="7">
        <f>IF(J1694&lt;&gt;"OK","",C1694*I1694/100)</f>
        <v/>
      </c>
    </row>
    <row r="1695" spans="1:11">
      <c r="A1695" s="14">
        <v>46160</v>
      </c>
      <c r="B1695" s="15">
        <v>0.59375</v>
      </c>
      <c r="C1695" s="5">
        <f>IF('96 Werte'!BG23="","",'96 Werte'!BG23)</f>
        <v/>
      </c>
      <c r="D1695" t="str">
        <f>IF(IF(Eingaben!$B$21&lt;Eingaben!$B$22,AND(B1695&gt;=Eingaben!$B$21,B1695&lt;Eingaben!$B$22),OR(B1695&gt;=Eingaben!$B$21,B1695&lt;Eingaben!$B$22)),"GO",IF(AND(ISNUMBER(Eingaben!$B$23),ISNUMBER(Eingaben!$B$24),IF(Eingaben!$B$23&lt;Eingaben!$B$24,AND(B1695&gt;=Eingaben!$B$23,B1695&lt;Eingaben!$B$24),OR(B1695&gt;=Eingaben!$B$23,B1695&lt;Eingaben!$B$24))),"HEAT","STANDARD"))</f>
        <v>STANDARD</v>
      </c>
      <c r="E1695" s="9"/>
      <c r="F1695" t="str">
        <f>IF(E1695="",D1695,E1695)</f>
        <v>STANDARD</v>
      </c>
      <c r="G1695" t="str">
        <f>INDEX(Netzzeiten!$B$6:$B$29,HOUR(B1695)+1)</f>
        <v>NT</v>
      </c>
      <c r="H1695" s="6">
        <f>IF(F1695="GO",Eingaben!$B$11,IF(F1695="STANDARD",Eingaben!$B$12,IF(AND(F1695="HEAT",ISNUMBER(Eingaben!$B$13)),Eingaben!$B$13,"")))</f>
        <v>28.2744</v>
      </c>
      <c r="I1695" s="6">
        <f>INDEX(Netzzeiten!$C$6:$C$29,HOUR(B1695)+1)</f>
        <v>1.64</v>
      </c>
      <c r="J1695" t="str">
        <f>IF(C1695="","FEHLT",IF(NOT(ISNUMBER(C1695)),"MESSWERT UNGUELTIG",IF(C1695&lt;0,"MESSWERT UNGUELTIG",IF(H1695="","TARIFPREIS FEHLT","OK"))))</f>
        <v>FEHLT</v>
      </c>
      <c r="K1695" s="7">
        <f>IF(J1695&lt;&gt;"OK","",C1695*I1695/100)</f>
        <v/>
      </c>
    </row>
    <row r="1696" spans="1:11">
      <c r="A1696" s="14">
        <v>46160</v>
      </c>
      <c r="B1696" s="15">
        <v>0.6041666666666666</v>
      </c>
      <c r="C1696" s="5">
        <f>IF('96 Werte'!BH23="","",'96 Werte'!BH23)</f>
        <v/>
      </c>
      <c r="D1696" t="str">
        <f>IF(IF(Eingaben!$B$21&lt;Eingaben!$B$22,AND(B1696&gt;=Eingaben!$B$21,B1696&lt;Eingaben!$B$22),OR(B1696&gt;=Eingaben!$B$21,B1696&lt;Eingaben!$B$22)),"GO",IF(AND(ISNUMBER(Eingaben!$B$23),ISNUMBER(Eingaben!$B$24),IF(Eingaben!$B$23&lt;Eingaben!$B$24,AND(B1696&gt;=Eingaben!$B$23,B1696&lt;Eingaben!$B$24),OR(B1696&gt;=Eingaben!$B$23,B1696&lt;Eingaben!$B$24))),"HEAT","STANDARD"))</f>
        <v>STANDARD</v>
      </c>
      <c r="E1696" s="9"/>
      <c r="F1696" t="str">
        <f>IF(E1696="",D1696,E1696)</f>
        <v>STANDARD</v>
      </c>
      <c r="G1696" t="str">
        <f>INDEX(Netzzeiten!$B$6:$B$29,HOUR(B1696)+1)</f>
        <v>NT</v>
      </c>
      <c r="H1696" s="6">
        <f>IF(F1696="GO",Eingaben!$B$11,IF(F1696="STANDARD",Eingaben!$B$12,IF(AND(F1696="HEAT",ISNUMBER(Eingaben!$B$13)),Eingaben!$B$13,"")))</f>
        <v>28.2744</v>
      </c>
      <c r="I1696" s="6">
        <f>INDEX(Netzzeiten!$C$6:$C$29,HOUR(B1696)+1)</f>
        <v>1.64</v>
      </c>
      <c r="J1696" t="str">
        <f>IF(C1696="","FEHLT",IF(NOT(ISNUMBER(C1696)),"MESSWERT UNGUELTIG",IF(C1696&lt;0,"MESSWERT UNGUELTIG",IF(H1696="","TARIFPREIS FEHLT","OK"))))</f>
        <v>FEHLT</v>
      </c>
      <c r="K1696" s="7">
        <f>IF(J1696&lt;&gt;"OK","",C1696*I1696/100)</f>
        <v/>
      </c>
    </row>
    <row r="1697" spans="1:11">
      <c r="A1697" s="14">
        <v>46160</v>
      </c>
      <c r="B1697" s="15">
        <v>0.6145833333333334</v>
      </c>
      <c r="C1697" s="5">
        <f>IF('96 Werte'!BI23="","",'96 Werte'!BI23)</f>
        <v/>
      </c>
      <c r="D1697" t="str">
        <f>IF(IF(Eingaben!$B$21&lt;Eingaben!$B$22,AND(B1697&gt;=Eingaben!$B$21,B1697&lt;Eingaben!$B$22),OR(B1697&gt;=Eingaben!$B$21,B1697&lt;Eingaben!$B$22)),"GO",IF(AND(ISNUMBER(Eingaben!$B$23),ISNUMBER(Eingaben!$B$24),IF(Eingaben!$B$23&lt;Eingaben!$B$24,AND(B1697&gt;=Eingaben!$B$23,B1697&lt;Eingaben!$B$24),OR(B1697&gt;=Eingaben!$B$23,B1697&lt;Eingaben!$B$24))),"HEAT","STANDARD"))</f>
        <v>STANDARD</v>
      </c>
      <c r="E1697" s="9"/>
      <c r="F1697" t="str">
        <f>IF(E1697="",D1697,E1697)</f>
        <v>STANDARD</v>
      </c>
      <c r="G1697" t="str">
        <f>INDEX(Netzzeiten!$B$6:$B$29,HOUR(B1697)+1)</f>
        <v>NT</v>
      </c>
      <c r="H1697" s="6">
        <f>IF(F1697="GO",Eingaben!$B$11,IF(F1697="STANDARD",Eingaben!$B$12,IF(AND(F1697="HEAT",ISNUMBER(Eingaben!$B$13)),Eingaben!$B$13,"")))</f>
        <v>28.2744</v>
      </c>
      <c r="I1697" s="6">
        <f>INDEX(Netzzeiten!$C$6:$C$29,HOUR(B1697)+1)</f>
        <v>1.64</v>
      </c>
      <c r="J1697" t="str">
        <f>IF(C1697="","FEHLT",IF(NOT(ISNUMBER(C1697)),"MESSWERT UNGUELTIG",IF(C1697&lt;0,"MESSWERT UNGUELTIG",IF(H1697="","TARIFPREIS FEHLT","OK"))))</f>
        <v>FEHLT</v>
      </c>
      <c r="K1697" s="7">
        <f>IF(J1697&lt;&gt;"OK","",C1697*I1697/100)</f>
        <v/>
      </c>
    </row>
    <row r="1698" spans="1:11">
      <c r="A1698" s="14">
        <v>46160</v>
      </c>
      <c r="B1698" s="15">
        <v>0.625</v>
      </c>
      <c r="C1698" s="5">
        <f>IF('96 Werte'!BJ23="","",'96 Werte'!BJ23)</f>
        <v/>
      </c>
      <c r="D1698" t="str">
        <f>IF(IF(Eingaben!$B$21&lt;Eingaben!$B$22,AND(B1698&gt;=Eingaben!$B$21,B1698&lt;Eingaben!$B$22),OR(B1698&gt;=Eingaben!$B$21,B1698&lt;Eingaben!$B$22)),"GO",IF(AND(ISNUMBER(Eingaben!$B$23),ISNUMBER(Eingaben!$B$24),IF(Eingaben!$B$23&lt;Eingaben!$B$24,AND(B1698&gt;=Eingaben!$B$23,B1698&lt;Eingaben!$B$24),OR(B1698&gt;=Eingaben!$B$23,B1698&lt;Eingaben!$B$24))),"HEAT","STANDARD"))</f>
        <v>STANDARD</v>
      </c>
      <c r="E1698" s="9"/>
      <c r="F1698" t="str">
        <f>IF(E1698="",D1698,E1698)</f>
        <v>STANDARD</v>
      </c>
      <c r="G1698" t="str">
        <f>INDEX(Netzzeiten!$B$6:$B$29,HOUR(B1698)+1)</f>
        <v>ST</v>
      </c>
      <c r="H1698" s="6">
        <f>IF(F1698="GO",Eingaben!$B$11,IF(F1698="STANDARD",Eingaben!$B$12,IF(AND(F1698="HEAT",ISNUMBER(Eingaben!$B$13)),Eingaben!$B$13,"")))</f>
        <v>28.2744</v>
      </c>
      <c r="I1698" s="6">
        <f>INDEX(Netzzeiten!$C$6:$C$29,HOUR(B1698)+1)</f>
        <v>5.48</v>
      </c>
      <c r="J1698" t="str">
        <f>IF(C1698="","FEHLT",IF(NOT(ISNUMBER(C1698)),"MESSWERT UNGUELTIG",IF(C1698&lt;0,"MESSWERT UNGUELTIG",IF(H1698="","TARIFPREIS FEHLT","OK"))))</f>
        <v>FEHLT</v>
      </c>
      <c r="K1698" s="7">
        <f>IF(J1698&lt;&gt;"OK","",C1698*I1698/100)</f>
        <v/>
      </c>
    </row>
    <row r="1699" spans="1:11">
      <c r="A1699" s="14">
        <v>46160</v>
      </c>
      <c r="B1699" s="15">
        <v>0.6354166666666666</v>
      </c>
      <c r="C1699" s="5">
        <f>IF('96 Werte'!BK23="","",'96 Werte'!BK23)</f>
        <v/>
      </c>
      <c r="D1699" t="str">
        <f>IF(IF(Eingaben!$B$21&lt;Eingaben!$B$22,AND(B1699&gt;=Eingaben!$B$21,B1699&lt;Eingaben!$B$22),OR(B1699&gt;=Eingaben!$B$21,B1699&lt;Eingaben!$B$22)),"GO",IF(AND(ISNUMBER(Eingaben!$B$23),ISNUMBER(Eingaben!$B$24),IF(Eingaben!$B$23&lt;Eingaben!$B$24,AND(B1699&gt;=Eingaben!$B$23,B1699&lt;Eingaben!$B$24),OR(B1699&gt;=Eingaben!$B$23,B1699&lt;Eingaben!$B$24))),"HEAT","STANDARD"))</f>
        <v>STANDARD</v>
      </c>
      <c r="E1699" s="9"/>
      <c r="F1699" t="str">
        <f>IF(E1699="",D1699,E1699)</f>
        <v>STANDARD</v>
      </c>
      <c r="G1699" t="str">
        <f>INDEX(Netzzeiten!$B$6:$B$29,HOUR(B1699)+1)</f>
        <v>ST</v>
      </c>
      <c r="H1699" s="6">
        <f>IF(F1699="GO",Eingaben!$B$11,IF(F1699="STANDARD",Eingaben!$B$12,IF(AND(F1699="HEAT",ISNUMBER(Eingaben!$B$13)),Eingaben!$B$13,"")))</f>
        <v>28.2744</v>
      </c>
      <c r="I1699" s="6">
        <f>INDEX(Netzzeiten!$C$6:$C$29,HOUR(B1699)+1)</f>
        <v>5.48</v>
      </c>
      <c r="J1699" t="str">
        <f>IF(C1699="","FEHLT",IF(NOT(ISNUMBER(C1699)),"MESSWERT UNGUELTIG",IF(C1699&lt;0,"MESSWERT UNGUELTIG",IF(H1699="","TARIFPREIS FEHLT","OK"))))</f>
        <v>FEHLT</v>
      </c>
      <c r="K1699" s="7">
        <f>IF(J1699&lt;&gt;"OK","",C1699*I1699/100)</f>
        <v/>
      </c>
    </row>
    <row r="1700" spans="1:11">
      <c r="A1700" s="14">
        <v>46160</v>
      </c>
      <c r="B1700" s="15">
        <v>0.6458333333333334</v>
      </c>
      <c r="C1700" s="5">
        <f>IF('96 Werte'!BL23="","",'96 Werte'!BL23)</f>
        <v/>
      </c>
      <c r="D1700" t="str">
        <f>IF(IF(Eingaben!$B$21&lt;Eingaben!$B$22,AND(B1700&gt;=Eingaben!$B$21,B1700&lt;Eingaben!$B$22),OR(B1700&gt;=Eingaben!$B$21,B1700&lt;Eingaben!$B$22)),"GO",IF(AND(ISNUMBER(Eingaben!$B$23),ISNUMBER(Eingaben!$B$24),IF(Eingaben!$B$23&lt;Eingaben!$B$24,AND(B1700&gt;=Eingaben!$B$23,B1700&lt;Eingaben!$B$24),OR(B1700&gt;=Eingaben!$B$23,B1700&lt;Eingaben!$B$24))),"HEAT","STANDARD"))</f>
        <v>STANDARD</v>
      </c>
      <c r="E1700" s="9"/>
      <c r="F1700" t="str">
        <f>IF(E1700="",D1700,E1700)</f>
        <v>STANDARD</v>
      </c>
      <c r="G1700" t="str">
        <f>INDEX(Netzzeiten!$B$6:$B$29,HOUR(B1700)+1)</f>
        <v>ST</v>
      </c>
      <c r="H1700" s="6">
        <f>IF(F1700="GO",Eingaben!$B$11,IF(F1700="STANDARD",Eingaben!$B$12,IF(AND(F1700="HEAT",ISNUMBER(Eingaben!$B$13)),Eingaben!$B$13,"")))</f>
        <v>28.2744</v>
      </c>
      <c r="I1700" s="6">
        <f>INDEX(Netzzeiten!$C$6:$C$29,HOUR(B1700)+1)</f>
        <v>5.48</v>
      </c>
      <c r="J1700" t="str">
        <f>IF(C1700="","FEHLT",IF(NOT(ISNUMBER(C1700)),"MESSWERT UNGUELTIG",IF(C1700&lt;0,"MESSWERT UNGUELTIG",IF(H1700="","TARIFPREIS FEHLT","OK"))))</f>
        <v>FEHLT</v>
      </c>
      <c r="K1700" s="7">
        <f>IF(J1700&lt;&gt;"OK","",C1700*I1700/100)</f>
        <v/>
      </c>
    </row>
    <row r="1701" spans="1:11">
      <c r="A1701" s="14">
        <v>46160</v>
      </c>
      <c r="B1701" s="15">
        <v>0.65625</v>
      </c>
      <c r="C1701" s="5">
        <f>IF('96 Werte'!BM23="","",'96 Werte'!BM23)</f>
        <v/>
      </c>
      <c r="D1701" t="str">
        <f>IF(IF(Eingaben!$B$21&lt;Eingaben!$B$22,AND(B1701&gt;=Eingaben!$B$21,B1701&lt;Eingaben!$B$22),OR(B1701&gt;=Eingaben!$B$21,B1701&lt;Eingaben!$B$22)),"GO",IF(AND(ISNUMBER(Eingaben!$B$23),ISNUMBER(Eingaben!$B$24),IF(Eingaben!$B$23&lt;Eingaben!$B$24,AND(B1701&gt;=Eingaben!$B$23,B1701&lt;Eingaben!$B$24),OR(B1701&gt;=Eingaben!$B$23,B1701&lt;Eingaben!$B$24))),"HEAT","STANDARD"))</f>
        <v>STANDARD</v>
      </c>
      <c r="E1701" s="9"/>
      <c r="F1701" t="str">
        <f>IF(E1701="",D1701,E1701)</f>
        <v>STANDARD</v>
      </c>
      <c r="G1701" t="str">
        <f>INDEX(Netzzeiten!$B$6:$B$29,HOUR(B1701)+1)</f>
        <v>ST</v>
      </c>
      <c r="H1701" s="6">
        <f>IF(F1701="GO",Eingaben!$B$11,IF(F1701="STANDARD",Eingaben!$B$12,IF(AND(F1701="HEAT",ISNUMBER(Eingaben!$B$13)),Eingaben!$B$13,"")))</f>
        <v>28.2744</v>
      </c>
      <c r="I1701" s="6">
        <f>INDEX(Netzzeiten!$C$6:$C$29,HOUR(B1701)+1)</f>
        <v>5.48</v>
      </c>
      <c r="J1701" t="str">
        <f>IF(C1701="","FEHLT",IF(NOT(ISNUMBER(C1701)),"MESSWERT UNGUELTIG",IF(C1701&lt;0,"MESSWERT UNGUELTIG",IF(H1701="","TARIFPREIS FEHLT","OK"))))</f>
        <v>FEHLT</v>
      </c>
      <c r="K1701" s="7">
        <f>IF(J1701&lt;&gt;"OK","",C1701*I1701/100)</f>
        <v/>
      </c>
    </row>
    <row r="1702" spans="1:11">
      <c r="A1702" s="14">
        <v>46160</v>
      </c>
      <c r="B1702" s="15">
        <v>0.6666666666666666</v>
      </c>
      <c r="C1702" s="5">
        <f>IF('96 Werte'!BN23="","",'96 Werte'!BN23)</f>
        <v/>
      </c>
      <c r="D1702" t="str">
        <f>IF(IF(Eingaben!$B$21&lt;Eingaben!$B$22,AND(B1702&gt;=Eingaben!$B$21,B1702&lt;Eingaben!$B$22),OR(B1702&gt;=Eingaben!$B$21,B1702&lt;Eingaben!$B$22)),"GO",IF(AND(ISNUMBER(Eingaben!$B$23),ISNUMBER(Eingaben!$B$24),IF(Eingaben!$B$23&lt;Eingaben!$B$24,AND(B1702&gt;=Eingaben!$B$23,B1702&lt;Eingaben!$B$24),OR(B1702&gt;=Eingaben!$B$23,B1702&lt;Eingaben!$B$24))),"HEAT","STANDARD"))</f>
        <v>STANDARD</v>
      </c>
      <c r="E1702" s="9"/>
      <c r="F1702" t="str">
        <f>IF(E1702="",D1702,E1702)</f>
        <v>STANDARD</v>
      </c>
      <c r="G1702" t="str">
        <f>INDEX(Netzzeiten!$B$6:$B$29,HOUR(B1702)+1)</f>
        <v>ST</v>
      </c>
      <c r="H1702" s="6">
        <f>IF(F1702="GO",Eingaben!$B$11,IF(F1702="STANDARD",Eingaben!$B$12,IF(AND(F1702="HEAT",ISNUMBER(Eingaben!$B$13)),Eingaben!$B$13,"")))</f>
        <v>28.2744</v>
      </c>
      <c r="I1702" s="6">
        <f>INDEX(Netzzeiten!$C$6:$C$29,HOUR(B1702)+1)</f>
        <v>5.48</v>
      </c>
      <c r="J1702" t="str">
        <f>IF(C1702="","FEHLT",IF(NOT(ISNUMBER(C1702)),"MESSWERT UNGUELTIG",IF(C1702&lt;0,"MESSWERT UNGUELTIG",IF(H1702="","TARIFPREIS FEHLT","OK"))))</f>
        <v>FEHLT</v>
      </c>
      <c r="K1702" s="7">
        <f>IF(J1702&lt;&gt;"OK","",C1702*I1702/100)</f>
        <v/>
      </c>
    </row>
    <row r="1703" spans="1:11">
      <c r="A1703" s="14">
        <v>46160</v>
      </c>
      <c r="B1703" s="15">
        <v>0.6770833333333334</v>
      </c>
      <c r="C1703" s="5">
        <f>IF('96 Werte'!BO23="","",'96 Werte'!BO23)</f>
        <v/>
      </c>
      <c r="D1703" t="str">
        <f>IF(IF(Eingaben!$B$21&lt;Eingaben!$B$22,AND(B1703&gt;=Eingaben!$B$21,B1703&lt;Eingaben!$B$22),OR(B1703&gt;=Eingaben!$B$21,B1703&lt;Eingaben!$B$22)),"GO",IF(AND(ISNUMBER(Eingaben!$B$23),ISNUMBER(Eingaben!$B$24),IF(Eingaben!$B$23&lt;Eingaben!$B$24,AND(B1703&gt;=Eingaben!$B$23,B1703&lt;Eingaben!$B$24),OR(B1703&gt;=Eingaben!$B$23,B1703&lt;Eingaben!$B$24))),"HEAT","STANDARD"))</f>
        <v>STANDARD</v>
      </c>
      <c r="E1703" s="9"/>
      <c r="F1703" t="str">
        <f>IF(E1703="",D1703,E1703)</f>
        <v>STANDARD</v>
      </c>
      <c r="G1703" t="str">
        <f>INDEX(Netzzeiten!$B$6:$B$29,HOUR(B1703)+1)</f>
        <v>ST</v>
      </c>
      <c r="H1703" s="6">
        <f>IF(F1703="GO",Eingaben!$B$11,IF(F1703="STANDARD",Eingaben!$B$12,IF(AND(F1703="HEAT",ISNUMBER(Eingaben!$B$13)),Eingaben!$B$13,"")))</f>
        <v>28.2744</v>
      </c>
      <c r="I1703" s="6">
        <f>INDEX(Netzzeiten!$C$6:$C$29,HOUR(B1703)+1)</f>
        <v>5.48</v>
      </c>
      <c r="J1703" t="str">
        <f>IF(C1703="","FEHLT",IF(NOT(ISNUMBER(C1703)),"MESSWERT UNGUELTIG",IF(C1703&lt;0,"MESSWERT UNGUELTIG",IF(H1703="","TARIFPREIS FEHLT","OK"))))</f>
        <v>FEHLT</v>
      </c>
      <c r="K1703" s="7">
        <f>IF(J1703&lt;&gt;"OK","",C1703*I1703/100)</f>
        <v/>
      </c>
    </row>
    <row r="1704" spans="1:11">
      <c r="A1704" s="14">
        <v>46160</v>
      </c>
      <c r="B1704" s="15">
        <v>0.6875</v>
      </c>
      <c r="C1704" s="5">
        <f>IF('96 Werte'!BP23="","",'96 Werte'!BP23)</f>
        <v/>
      </c>
      <c r="D1704" t="str">
        <f>IF(IF(Eingaben!$B$21&lt;Eingaben!$B$22,AND(B1704&gt;=Eingaben!$B$21,B1704&lt;Eingaben!$B$22),OR(B1704&gt;=Eingaben!$B$21,B1704&lt;Eingaben!$B$22)),"GO",IF(AND(ISNUMBER(Eingaben!$B$23),ISNUMBER(Eingaben!$B$24),IF(Eingaben!$B$23&lt;Eingaben!$B$24,AND(B1704&gt;=Eingaben!$B$23,B1704&lt;Eingaben!$B$24),OR(B1704&gt;=Eingaben!$B$23,B1704&lt;Eingaben!$B$24))),"HEAT","STANDARD"))</f>
        <v>STANDARD</v>
      </c>
      <c r="E1704" s="9"/>
      <c r="F1704" t="str">
        <f>IF(E1704="",D1704,E1704)</f>
        <v>STANDARD</v>
      </c>
      <c r="G1704" t="str">
        <f>INDEX(Netzzeiten!$B$6:$B$29,HOUR(B1704)+1)</f>
        <v>ST</v>
      </c>
      <c r="H1704" s="6">
        <f>IF(F1704="GO",Eingaben!$B$11,IF(F1704="STANDARD",Eingaben!$B$12,IF(AND(F1704="HEAT",ISNUMBER(Eingaben!$B$13)),Eingaben!$B$13,"")))</f>
        <v>28.2744</v>
      </c>
      <c r="I1704" s="6">
        <f>INDEX(Netzzeiten!$C$6:$C$29,HOUR(B1704)+1)</f>
        <v>5.48</v>
      </c>
      <c r="J1704" t="str">
        <f>IF(C1704="","FEHLT",IF(NOT(ISNUMBER(C1704)),"MESSWERT UNGUELTIG",IF(C1704&lt;0,"MESSWERT UNGUELTIG",IF(H1704="","TARIFPREIS FEHLT","OK"))))</f>
        <v>FEHLT</v>
      </c>
      <c r="K1704" s="7">
        <f>IF(J1704&lt;&gt;"OK","",C1704*I1704/100)</f>
        <v/>
      </c>
    </row>
    <row r="1705" spans="1:11">
      <c r="A1705" s="14">
        <v>46160</v>
      </c>
      <c r="B1705" s="15">
        <v>0.6979166666666666</v>
      </c>
      <c r="C1705" s="5">
        <f>IF('96 Werte'!BQ23="","",'96 Werte'!BQ23)</f>
        <v/>
      </c>
      <c r="D1705" t="str">
        <f>IF(IF(Eingaben!$B$21&lt;Eingaben!$B$22,AND(B1705&gt;=Eingaben!$B$21,B1705&lt;Eingaben!$B$22),OR(B1705&gt;=Eingaben!$B$21,B1705&lt;Eingaben!$B$22)),"GO",IF(AND(ISNUMBER(Eingaben!$B$23),ISNUMBER(Eingaben!$B$24),IF(Eingaben!$B$23&lt;Eingaben!$B$24,AND(B1705&gt;=Eingaben!$B$23,B1705&lt;Eingaben!$B$24),OR(B1705&gt;=Eingaben!$B$23,B1705&lt;Eingaben!$B$24))),"HEAT","STANDARD"))</f>
        <v>STANDARD</v>
      </c>
      <c r="E1705" s="9"/>
      <c r="F1705" t="str">
        <f>IF(E1705="",D1705,E1705)</f>
        <v>STANDARD</v>
      </c>
      <c r="G1705" t="str">
        <f>INDEX(Netzzeiten!$B$6:$B$29,HOUR(B1705)+1)</f>
        <v>ST</v>
      </c>
      <c r="H1705" s="6">
        <f>IF(F1705="GO",Eingaben!$B$11,IF(F1705="STANDARD",Eingaben!$B$12,IF(AND(F1705="HEAT",ISNUMBER(Eingaben!$B$13)),Eingaben!$B$13,"")))</f>
        <v>28.2744</v>
      </c>
      <c r="I1705" s="6">
        <f>INDEX(Netzzeiten!$C$6:$C$29,HOUR(B1705)+1)</f>
        <v>5.48</v>
      </c>
      <c r="J1705" t="str">
        <f>IF(C1705="","FEHLT",IF(NOT(ISNUMBER(C1705)),"MESSWERT UNGUELTIG",IF(C1705&lt;0,"MESSWERT UNGUELTIG",IF(H1705="","TARIFPREIS FEHLT","OK"))))</f>
        <v>FEHLT</v>
      </c>
      <c r="K1705" s="7">
        <f>IF(J1705&lt;&gt;"OK","",C1705*I1705/100)</f>
        <v/>
      </c>
    </row>
    <row r="1706" spans="1:11">
      <c r="A1706" s="14">
        <v>46160</v>
      </c>
      <c r="B1706" s="15">
        <v>0.7083333333333334</v>
      </c>
      <c r="C1706" s="5">
        <f>IF('96 Werte'!BR23="","",'96 Werte'!BR23)</f>
        <v/>
      </c>
      <c r="D1706" t="str">
        <f>IF(IF(Eingaben!$B$21&lt;Eingaben!$B$22,AND(B1706&gt;=Eingaben!$B$21,B1706&lt;Eingaben!$B$22),OR(B1706&gt;=Eingaben!$B$21,B1706&lt;Eingaben!$B$22)),"GO",IF(AND(ISNUMBER(Eingaben!$B$23),ISNUMBER(Eingaben!$B$24),IF(Eingaben!$B$23&lt;Eingaben!$B$24,AND(B1706&gt;=Eingaben!$B$23,B1706&lt;Eingaben!$B$24),OR(B1706&gt;=Eingaben!$B$23,B1706&lt;Eingaben!$B$24))),"HEAT","STANDARD"))</f>
        <v>STANDARD</v>
      </c>
      <c r="E1706" s="9"/>
      <c r="F1706" t="str">
        <f>IF(E1706="",D1706,E1706)</f>
        <v>STANDARD</v>
      </c>
      <c r="G1706" t="str">
        <f>INDEX(Netzzeiten!$B$6:$B$29,HOUR(B1706)+1)</f>
        <v>HT</v>
      </c>
      <c r="H1706" s="6">
        <f>IF(F1706="GO",Eingaben!$B$11,IF(F1706="STANDARD",Eingaben!$B$12,IF(AND(F1706="HEAT",ISNUMBER(Eingaben!$B$13)),Eingaben!$B$13,"")))</f>
        <v>28.2744</v>
      </c>
      <c r="I1706" s="6">
        <f>INDEX(Netzzeiten!$C$6:$C$29,HOUR(B1706)+1)</f>
        <v>10.52</v>
      </c>
      <c r="J1706" t="str">
        <f>IF(C1706="","FEHLT",IF(NOT(ISNUMBER(C1706)),"MESSWERT UNGUELTIG",IF(C1706&lt;0,"MESSWERT UNGUELTIG",IF(H1706="","TARIFPREIS FEHLT","OK"))))</f>
        <v>FEHLT</v>
      </c>
      <c r="K1706" s="7">
        <f>IF(J1706&lt;&gt;"OK","",C1706*I1706/100)</f>
        <v/>
      </c>
    </row>
    <row r="1707" spans="1:11">
      <c r="A1707" s="14">
        <v>46160</v>
      </c>
      <c r="B1707" s="15">
        <v>0.71875</v>
      </c>
      <c r="C1707" s="5">
        <f>IF('96 Werte'!BS23="","",'96 Werte'!BS23)</f>
        <v/>
      </c>
      <c r="D1707" t="str">
        <f>IF(IF(Eingaben!$B$21&lt;Eingaben!$B$22,AND(B1707&gt;=Eingaben!$B$21,B1707&lt;Eingaben!$B$22),OR(B1707&gt;=Eingaben!$B$21,B1707&lt;Eingaben!$B$22)),"GO",IF(AND(ISNUMBER(Eingaben!$B$23),ISNUMBER(Eingaben!$B$24),IF(Eingaben!$B$23&lt;Eingaben!$B$24,AND(B1707&gt;=Eingaben!$B$23,B1707&lt;Eingaben!$B$24),OR(B1707&gt;=Eingaben!$B$23,B1707&lt;Eingaben!$B$24))),"HEAT","STANDARD"))</f>
        <v>STANDARD</v>
      </c>
      <c r="E1707" s="9"/>
      <c r="F1707" t="str">
        <f>IF(E1707="",D1707,E1707)</f>
        <v>STANDARD</v>
      </c>
      <c r="G1707" t="str">
        <f>INDEX(Netzzeiten!$B$6:$B$29,HOUR(B1707)+1)</f>
        <v>HT</v>
      </c>
      <c r="H1707" s="6">
        <f>IF(F1707="GO",Eingaben!$B$11,IF(F1707="STANDARD",Eingaben!$B$12,IF(AND(F1707="HEAT",ISNUMBER(Eingaben!$B$13)),Eingaben!$B$13,"")))</f>
        <v>28.2744</v>
      </c>
      <c r="I1707" s="6">
        <f>INDEX(Netzzeiten!$C$6:$C$29,HOUR(B1707)+1)</f>
        <v>10.52</v>
      </c>
      <c r="J1707" t="str">
        <f>IF(C1707="","FEHLT",IF(NOT(ISNUMBER(C1707)),"MESSWERT UNGUELTIG",IF(C1707&lt;0,"MESSWERT UNGUELTIG",IF(H1707="","TARIFPREIS FEHLT","OK"))))</f>
        <v>FEHLT</v>
      </c>
      <c r="K1707" s="7">
        <f>IF(J1707&lt;&gt;"OK","",C1707*I1707/100)</f>
        <v/>
      </c>
    </row>
    <row r="1708" spans="1:11">
      <c r="A1708" s="14">
        <v>46160</v>
      </c>
      <c r="B1708" s="15">
        <v>0.7291666666666666</v>
      </c>
      <c r="C1708" s="5">
        <f>IF('96 Werte'!BT23="","",'96 Werte'!BT23)</f>
        <v/>
      </c>
      <c r="D1708" t="str">
        <f>IF(IF(Eingaben!$B$21&lt;Eingaben!$B$22,AND(B1708&gt;=Eingaben!$B$21,B1708&lt;Eingaben!$B$22),OR(B1708&gt;=Eingaben!$B$21,B1708&lt;Eingaben!$B$22)),"GO",IF(AND(ISNUMBER(Eingaben!$B$23),ISNUMBER(Eingaben!$B$24),IF(Eingaben!$B$23&lt;Eingaben!$B$24,AND(B1708&gt;=Eingaben!$B$23,B1708&lt;Eingaben!$B$24),OR(B1708&gt;=Eingaben!$B$23,B1708&lt;Eingaben!$B$24))),"HEAT","STANDARD"))</f>
        <v>STANDARD</v>
      </c>
      <c r="E1708" s="9"/>
      <c r="F1708" t="str">
        <f>IF(E1708="",D1708,E1708)</f>
        <v>STANDARD</v>
      </c>
      <c r="G1708" t="str">
        <f>INDEX(Netzzeiten!$B$6:$B$29,HOUR(B1708)+1)</f>
        <v>HT</v>
      </c>
      <c r="H1708" s="6">
        <f>IF(F1708="GO",Eingaben!$B$11,IF(F1708="STANDARD",Eingaben!$B$12,IF(AND(F1708="HEAT",ISNUMBER(Eingaben!$B$13)),Eingaben!$B$13,"")))</f>
        <v>28.2744</v>
      </c>
      <c r="I1708" s="6">
        <f>INDEX(Netzzeiten!$C$6:$C$29,HOUR(B1708)+1)</f>
        <v>10.52</v>
      </c>
      <c r="J1708" t="str">
        <f>IF(C1708="","FEHLT",IF(NOT(ISNUMBER(C1708)),"MESSWERT UNGUELTIG",IF(C1708&lt;0,"MESSWERT UNGUELTIG",IF(H1708="","TARIFPREIS FEHLT","OK"))))</f>
        <v>FEHLT</v>
      </c>
      <c r="K1708" s="7">
        <f>IF(J1708&lt;&gt;"OK","",C1708*I1708/100)</f>
        <v/>
      </c>
    </row>
    <row r="1709" spans="1:11">
      <c r="A1709" s="14">
        <v>46160</v>
      </c>
      <c r="B1709" s="15">
        <v>0.7395833333333334</v>
      </c>
      <c r="C1709" s="5">
        <f>IF('96 Werte'!BU23="","",'96 Werte'!BU23)</f>
        <v/>
      </c>
      <c r="D1709" t="str">
        <f>IF(IF(Eingaben!$B$21&lt;Eingaben!$B$22,AND(B1709&gt;=Eingaben!$B$21,B1709&lt;Eingaben!$B$22),OR(B1709&gt;=Eingaben!$B$21,B1709&lt;Eingaben!$B$22)),"GO",IF(AND(ISNUMBER(Eingaben!$B$23),ISNUMBER(Eingaben!$B$24),IF(Eingaben!$B$23&lt;Eingaben!$B$24,AND(B1709&gt;=Eingaben!$B$23,B1709&lt;Eingaben!$B$24),OR(B1709&gt;=Eingaben!$B$23,B1709&lt;Eingaben!$B$24))),"HEAT","STANDARD"))</f>
        <v>STANDARD</v>
      </c>
      <c r="E1709" s="9"/>
      <c r="F1709" t="str">
        <f>IF(E1709="",D1709,E1709)</f>
        <v>STANDARD</v>
      </c>
      <c r="G1709" t="str">
        <f>INDEX(Netzzeiten!$B$6:$B$29,HOUR(B1709)+1)</f>
        <v>HT</v>
      </c>
      <c r="H1709" s="6">
        <f>IF(F1709="GO",Eingaben!$B$11,IF(F1709="STANDARD",Eingaben!$B$12,IF(AND(F1709="HEAT",ISNUMBER(Eingaben!$B$13)),Eingaben!$B$13,"")))</f>
        <v>28.2744</v>
      </c>
      <c r="I1709" s="6">
        <f>INDEX(Netzzeiten!$C$6:$C$29,HOUR(B1709)+1)</f>
        <v>10.52</v>
      </c>
      <c r="J1709" t="str">
        <f>IF(C1709="","FEHLT",IF(NOT(ISNUMBER(C1709)),"MESSWERT UNGUELTIG",IF(C1709&lt;0,"MESSWERT UNGUELTIG",IF(H1709="","TARIFPREIS FEHLT","OK"))))</f>
        <v>FEHLT</v>
      </c>
      <c r="K1709" s="7">
        <f>IF(J1709&lt;&gt;"OK","",C1709*I1709/100)</f>
        <v/>
      </c>
    </row>
    <row r="1710" spans="1:11">
      <c r="A1710" s="14">
        <v>46160</v>
      </c>
      <c r="B1710" s="15">
        <v>0.75</v>
      </c>
      <c r="C1710" s="5">
        <f>IF('96 Werte'!BV23="","",'96 Werte'!BV23)</f>
        <v/>
      </c>
      <c r="D1710" t="str">
        <f>IF(IF(Eingaben!$B$21&lt;Eingaben!$B$22,AND(B1710&gt;=Eingaben!$B$21,B1710&lt;Eingaben!$B$22),OR(B1710&gt;=Eingaben!$B$21,B1710&lt;Eingaben!$B$22)),"GO",IF(AND(ISNUMBER(Eingaben!$B$23),ISNUMBER(Eingaben!$B$24),IF(Eingaben!$B$23&lt;Eingaben!$B$24,AND(B1710&gt;=Eingaben!$B$23,B1710&lt;Eingaben!$B$24),OR(B1710&gt;=Eingaben!$B$23,B1710&lt;Eingaben!$B$24))),"HEAT","STANDARD"))</f>
        <v>STANDARD</v>
      </c>
      <c r="E1710" s="9"/>
      <c r="F1710" t="str">
        <f>IF(E1710="",D1710,E1710)</f>
        <v>STANDARD</v>
      </c>
      <c r="G1710" t="str">
        <f>INDEX(Netzzeiten!$B$6:$B$29,HOUR(B1710)+1)</f>
        <v>HT</v>
      </c>
      <c r="H1710" s="6">
        <f>IF(F1710="GO",Eingaben!$B$11,IF(F1710="STANDARD",Eingaben!$B$12,IF(AND(F1710="HEAT",ISNUMBER(Eingaben!$B$13)),Eingaben!$B$13,"")))</f>
        <v>28.2744</v>
      </c>
      <c r="I1710" s="6">
        <f>INDEX(Netzzeiten!$C$6:$C$29,HOUR(B1710)+1)</f>
        <v>10.52</v>
      </c>
      <c r="J1710" t="str">
        <f>IF(C1710="","FEHLT",IF(NOT(ISNUMBER(C1710)),"MESSWERT UNGUELTIG",IF(C1710&lt;0,"MESSWERT UNGUELTIG",IF(H1710="","TARIFPREIS FEHLT","OK"))))</f>
        <v>FEHLT</v>
      </c>
      <c r="K1710" s="7">
        <f>IF(J1710&lt;&gt;"OK","",C1710*I1710/100)</f>
        <v/>
      </c>
    </row>
    <row r="1711" spans="1:11">
      <c r="A1711" s="14">
        <v>46160</v>
      </c>
      <c r="B1711" s="15">
        <v>0.7604166666666666</v>
      </c>
      <c r="C1711" s="5">
        <f>IF('96 Werte'!BW23="","",'96 Werte'!BW23)</f>
        <v/>
      </c>
      <c r="D1711" t="str">
        <f>IF(IF(Eingaben!$B$21&lt;Eingaben!$B$22,AND(B1711&gt;=Eingaben!$B$21,B1711&lt;Eingaben!$B$22),OR(B1711&gt;=Eingaben!$B$21,B1711&lt;Eingaben!$B$22)),"GO",IF(AND(ISNUMBER(Eingaben!$B$23),ISNUMBER(Eingaben!$B$24),IF(Eingaben!$B$23&lt;Eingaben!$B$24,AND(B1711&gt;=Eingaben!$B$23,B1711&lt;Eingaben!$B$24),OR(B1711&gt;=Eingaben!$B$23,B1711&lt;Eingaben!$B$24))),"HEAT","STANDARD"))</f>
        <v>STANDARD</v>
      </c>
      <c r="E1711" s="9"/>
      <c r="F1711" t="str">
        <f>IF(E1711="",D1711,E1711)</f>
        <v>STANDARD</v>
      </c>
      <c r="G1711" t="str">
        <f>INDEX(Netzzeiten!$B$6:$B$29,HOUR(B1711)+1)</f>
        <v>HT</v>
      </c>
      <c r="H1711" s="6">
        <f>IF(F1711="GO",Eingaben!$B$11,IF(F1711="STANDARD",Eingaben!$B$12,IF(AND(F1711="HEAT",ISNUMBER(Eingaben!$B$13)),Eingaben!$B$13,"")))</f>
        <v>28.2744</v>
      </c>
      <c r="I1711" s="6">
        <f>INDEX(Netzzeiten!$C$6:$C$29,HOUR(B1711)+1)</f>
        <v>10.52</v>
      </c>
      <c r="J1711" t="str">
        <f>IF(C1711="","FEHLT",IF(NOT(ISNUMBER(C1711)),"MESSWERT UNGUELTIG",IF(C1711&lt;0,"MESSWERT UNGUELTIG",IF(H1711="","TARIFPREIS FEHLT","OK"))))</f>
        <v>FEHLT</v>
      </c>
      <c r="K1711" s="7">
        <f>IF(J1711&lt;&gt;"OK","",C1711*I1711/100)</f>
        <v/>
      </c>
    </row>
    <row r="1712" spans="1:11">
      <c r="A1712" s="14">
        <v>46160</v>
      </c>
      <c r="B1712" s="15">
        <v>0.7708333333333334</v>
      </c>
      <c r="C1712" s="5">
        <f>IF('96 Werte'!BX23="","",'96 Werte'!BX23)</f>
        <v/>
      </c>
      <c r="D1712" t="str">
        <f>IF(IF(Eingaben!$B$21&lt;Eingaben!$B$22,AND(B1712&gt;=Eingaben!$B$21,B1712&lt;Eingaben!$B$22),OR(B1712&gt;=Eingaben!$B$21,B1712&lt;Eingaben!$B$22)),"GO",IF(AND(ISNUMBER(Eingaben!$B$23),ISNUMBER(Eingaben!$B$24),IF(Eingaben!$B$23&lt;Eingaben!$B$24,AND(B1712&gt;=Eingaben!$B$23,B1712&lt;Eingaben!$B$24),OR(B1712&gt;=Eingaben!$B$23,B1712&lt;Eingaben!$B$24))),"HEAT","STANDARD"))</f>
        <v>STANDARD</v>
      </c>
      <c r="E1712" s="9"/>
      <c r="F1712" t="str">
        <f>IF(E1712="",D1712,E1712)</f>
        <v>STANDARD</v>
      </c>
      <c r="G1712" t="str">
        <f>INDEX(Netzzeiten!$B$6:$B$29,HOUR(B1712)+1)</f>
        <v>HT</v>
      </c>
      <c r="H1712" s="6">
        <f>IF(F1712="GO",Eingaben!$B$11,IF(F1712="STANDARD",Eingaben!$B$12,IF(AND(F1712="HEAT",ISNUMBER(Eingaben!$B$13)),Eingaben!$B$13,"")))</f>
        <v>28.2744</v>
      </c>
      <c r="I1712" s="6">
        <f>INDEX(Netzzeiten!$C$6:$C$29,HOUR(B1712)+1)</f>
        <v>10.52</v>
      </c>
      <c r="J1712" t="str">
        <f>IF(C1712="","FEHLT",IF(NOT(ISNUMBER(C1712)),"MESSWERT UNGUELTIG",IF(C1712&lt;0,"MESSWERT UNGUELTIG",IF(H1712="","TARIFPREIS FEHLT","OK"))))</f>
        <v>FEHLT</v>
      </c>
      <c r="K1712" s="7">
        <f>IF(J1712&lt;&gt;"OK","",C1712*I1712/100)</f>
        <v/>
      </c>
    </row>
    <row r="1713" spans="1:11">
      <c r="A1713" s="14">
        <v>46160</v>
      </c>
      <c r="B1713" s="15">
        <v>0.78125</v>
      </c>
      <c r="C1713" s="5">
        <f>IF('96 Werte'!BY23="","",'96 Werte'!BY23)</f>
        <v/>
      </c>
      <c r="D1713" t="str">
        <f>IF(IF(Eingaben!$B$21&lt;Eingaben!$B$22,AND(B1713&gt;=Eingaben!$B$21,B1713&lt;Eingaben!$B$22),OR(B1713&gt;=Eingaben!$B$21,B1713&lt;Eingaben!$B$22)),"GO",IF(AND(ISNUMBER(Eingaben!$B$23),ISNUMBER(Eingaben!$B$24),IF(Eingaben!$B$23&lt;Eingaben!$B$24,AND(B1713&gt;=Eingaben!$B$23,B1713&lt;Eingaben!$B$24),OR(B1713&gt;=Eingaben!$B$23,B1713&lt;Eingaben!$B$24))),"HEAT","STANDARD"))</f>
        <v>STANDARD</v>
      </c>
      <c r="E1713" s="9"/>
      <c r="F1713" t="str">
        <f>IF(E1713="",D1713,E1713)</f>
        <v>STANDARD</v>
      </c>
      <c r="G1713" t="str">
        <f>INDEX(Netzzeiten!$B$6:$B$29,HOUR(B1713)+1)</f>
        <v>HT</v>
      </c>
      <c r="H1713" s="6">
        <f>IF(F1713="GO",Eingaben!$B$11,IF(F1713="STANDARD",Eingaben!$B$12,IF(AND(F1713="HEAT",ISNUMBER(Eingaben!$B$13)),Eingaben!$B$13,"")))</f>
        <v>28.2744</v>
      </c>
      <c r="I1713" s="6">
        <f>INDEX(Netzzeiten!$C$6:$C$29,HOUR(B1713)+1)</f>
        <v>10.52</v>
      </c>
      <c r="J1713" t="str">
        <f>IF(C1713="","FEHLT",IF(NOT(ISNUMBER(C1713)),"MESSWERT UNGUELTIG",IF(C1713&lt;0,"MESSWERT UNGUELTIG",IF(H1713="","TARIFPREIS FEHLT","OK"))))</f>
        <v>FEHLT</v>
      </c>
      <c r="K1713" s="7">
        <f>IF(J1713&lt;&gt;"OK","",C1713*I1713/100)</f>
        <v/>
      </c>
    </row>
    <row r="1714" spans="1:11">
      <c r="A1714" s="14">
        <v>46160</v>
      </c>
      <c r="B1714" s="15">
        <v>0.7916666666666666</v>
      </c>
      <c r="C1714" s="5">
        <f>IF('96 Werte'!BZ23="","",'96 Werte'!BZ23)</f>
        <v/>
      </c>
      <c r="D1714" t="str">
        <f>IF(IF(Eingaben!$B$21&lt;Eingaben!$B$22,AND(B1714&gt;=Eingaben!$B$21,B1714&lt;Eingaben!$B$22),OR(B1714&gt;=Eingaben!$B$21,B1714&lt;Eingaben!$B$22)),"GO",IF(AND(ISNUMBER(Eingaben!$B$23),ISNUMBER(Eingaben!$B$24),IF(Eingaben!$B$23&lt;Eingaben!$B$24,AND(B1714&gt;=Eingaben!$B$23,B1714&lt;Eingaben!$B$24),OR(B1714&gt;=Eingaben!$B$23,B1714&lt;Eingaben!$B$24))),"HEAT","STANDARD"))</f>
        <v>STANDARD</v>
      </c>
      <c r="E1714" s="9"/>
      <c r="F1714" t="str">
        <f>IF(E1714="",D1714,E1714)</f>
        <v>STANDARD</v>
      </c>
      <c r="G1714" t="str">
        <f>INDEX(Netzzeiten!$B$6:$B$29,HOUR(B1714)+1)</f>
        <v>HT</v>
      </c>
      <c r="H1714" s="6">
        <f>IF(F1714="GO",Eingaben!$B$11,IF(F1714="STANDARD",Eingaben!$B$12,IF(AND(F1714="HEAT",ISNUMBER(Eingaben!$B$13)),Eingaben!$B$13,"")))</f>
        <v>28.2744</v>
      </c>
      <c r="I1714" s="6">
        <f>INDEX(Netzzeiten!$C$6:$C$29,HOUR(B1714)+1)</f>
        <v>10.52</v>
      </c>
      <c r="J1714" t="str">
        <f>IF(C1714="","FEHLT",IF(NOT(ISNUMBER(C1714)),"MESSWERT UNGUELTIG",IF(C1714&lt;0,"MESSWERT UNGUELTIG",IF(H1714="","TARIFPREIS FEHLT","OK"))))</f>
        <v>FEHLT</v>
      </c>
      <c r="K1714" s="7">
        <f>IF(J1714&lt;&gt;"OK","",C1714*I1714/100)</f>
        <v/>
      </c>
    </row>
    <row r="1715" spans="1:11">
      <c r="A1715" s="14">
        <v>46160</v>
      </c>
      <c r="B1715" s="15">
        <v>0.8020833333333334</v>
      </c>
      <c r="C1715" s="5">
        <f>IF('96 Werte'!CA23="","",'96 Werte'!CA23)</f>
        <v/>
      </c>
      <c r="D1715" t="str">
        <f>IF(IF(Eingaben!$B$21&lt;Eingaben!$B$22,AND(B1715&gt;=Eingaben!$B$21,B1715&lt;Eingaben!$B$22),OR(B1715&gt;=Eingaben!$B$21,B1715&lt;Eingaben!$B$22)),"GO",IF(AND(ISNUMBER(Eingaben!$B$23),ISNUMBER(Eingaben!$B$24),IF(Eingaben!$B$23&lt;Eingaben!$B$24,AND(B1715&gt;=Eingaben!$B$23,B1715&lt;Eingaben!$B$24),OR(B1715&gt;=Eingaben!$B$23,B1715&lt;Eingaben!$B$24))),"HEAT","STANDARD"))</f>
        <v>STANDARD</v>
      </c>
      <c r="E1715" s="9"/>
      <c r="F1715" t="str">
        <f>IF(E1715="",D1715,E1715)</f>
        <v>STANDARD</v>
      </c>
      <c r="G1715" t="str">
        <f>INDEX(Netzzeiten!$B$6:$B$29,HOUR(B1715)+1)</f>
        <v>HT</v>
      </c>
      <c r="H1715" s="6">
        <f>IF(F1715="GO",Eingaben!$B$11,IF(F1715="STANDARD",Eingaben!$B$12,IF(AND(F1715="HEAT",ISNUMBER(Eingaben!$B$13)),Eingaben!$B$13,"")))</f>
        <v>28.2744</v>
      </c>
      <c r="I1715" s="6">
        <f>INDEX(Netzzeiten!$C$6:$C$29,HOUR(B1715)+1)</f>
        <v>10.52</v>
      </c>
      <c r="J1715" t="str">
        <f>IF(C1715="","FEHLT",IF(NOT(ISNUMBER(C1715)),"MESSWERT UNGUELTIG",IF(C1715&lt;0,"MESSWERT UNGUELTIG",IF(H1715="","TARIFPREIS FEHLT","OK"))))</f>
        <v>FEHLT</v>
      </c>
      <c r="K1715" s="7">
        <f>IF(J1715&lt;&gt;"OK","",C1715*I1715/100)</f>
        <v/>
      </c>
    </row>
    <row r="1716" spans="1:11">
      <c r="A1716" s="14">
        <v>46160</v>
      </c>
      <c r="B1716" s="15">
        <v>0.8125</v>
      </c>
      <c r="C1716" s="5">
        <f>IF('96 Werte'!CB23="","",'96 Werte'!CB23)</f>
        <v/>
      </c>
      <c r="D1716" t="str">
        <f>IF(IF(Eingaben!$B$21&lt;Eingaben!$B$22,AND(B1716&gt;=Eingaben!$B$21,B1716&lt;Eingaben!$B$22),OR(B1716&gt;=Eingaben!$B$21,B1716&lt;Eingaben!$B$22)),"GO",IF(AND(ISNUMBER(Eingaben!$B$23),ISNUMBER(Eingaben!$B$24),IF(Eingaben!$B$23&lt;Eingaben!$B$24,AND(B1716&gt;=Eingaben!$B$23,B1716&lt;Eingaben!$B$24),OR(B1716&gt;=Eingaben!$B$23,B1716&lt;Eingaben!$B$24))),"HEAT","STANDARD"))</f>
        <v>STANDARD</v>
      </c>
      <c r="E1716" s="9"/>
      <c r="F1716" t="str">
        <f>IF(E1716="",D1716,E1716)</f>
        <v>STANDARD</v>
      </c>
      <c r="G1716" t="str">
        <f>INDEX(Netzzeiten!$B$6:$B$29,HOUR(B1716)+1)</f>
        <v>HT</v>
      </c>
      <c r="H1716" s="6">
        <f>IF(F1716="GO",Eingaben!$B$11,IF(F1716="STANDARD",Eingaben!$B$12,IF(AND(F1716="HEAT",ISNUMBER(Eingaben!$B$13)),Eingaben!$B$13,"")))</f>
        <v>28.2744</v>
      </c>
      <c r="I1716" s="6">
        <f>INDEX(Netzzeiten!$C$6:$C$29,HOUR(B1716)+1)</f>
        <v>10.52</v>
      </c>
      <c r="J1716" t="str">
        <f>IF(C1716="","FEHLT",IF(NOT(ISNUMBER(C1716)),"MESSWERT UNGUELTIG",IF(C1716&lt;0,"MESSWERT UNGUELTIG",IF(H1716="","TARIFPREIS FEHLT","OK"))))</f>
        <v>FEHLT</v>
      </c>
      <c r="K1716" s="7">
        <f>IF(J1716&lt;&gt;"OK","",C1716*I1716/100)</f>
        <v/>
      </c>
    </row>
    <row r="1717" spans="1:11">
      <c r="A1717" s="14">
        <v>46160</v>
      </c>
      <c r="B1717" s="15">
        <v>0.8229166666666666</v>
      </c>
      <c r="C1717" s="5">
        <f>IF('96 Werte'!CC23="","",'96 Werte'!CC23)</f>
        <v/>
      </c>
      <c r="D1717" t="str">
        <f>IF(IF(Eingaben!$B$21&lt;Eingaben!$B$22,AND(B1717&gt;=Eingaben!$B$21,B1717&lt;Eingaben!$B$22),OR(B1717&gt;=Eingaben!$B$21,B1717&lt;Eingaben!$B$22)),"GO",IF(AND(ISNUMBER(Eingaben!$B$23),ISNUMBER(Eingaben!$B$24),IF(Eingaben!$B$23&lt;Eingaben!$B$24,AND(B1717&gt;=Eingaben!$B$23,B1717&lt;Eingaben!$B$24),OR(B1717&gt;=Eingaben!$B$23,B1717&lt;Eingaben!$B$24))),"HEAT","STANDARD"))</f>
        <v>STANDARD</v>
      </c>
      <c r="E1717" s="9"/>
      <c r="F1717" t="str">
        <f>IF(E1717="",D1717,E1717)</f>
        <v>STANDARD</v>
      </c>
      <c r="G1717" t="str">
        <f>INDEX(Netzzeiten!$B$6:$B$29,HOUR(B1717)+1)</f>
        <v>HT</v>
      </c>
      <c r="H1717" s="6">
        <f>IF(F1717="GO",Eingaben!$B$11,IF(F1717="STANDARD",Eingaben!$B$12,IF(AND(F1717="HEAT",ISNUMBER(Eingaben!$B$13)),Eingaben!$B$13,"")))</f>
        <v>28.2744</v>
      </c>
      <c r="I1717" s="6">
        <f>INDEX(Netzzeiten!$C$6:$C$29,HOUR(B1717)+1)</f>
        <v>10.52</v>
      </c>
      <c r="J1717" t="str">
        <f>IF(C1717="","FEHLT",IF(NOT(ISNUMBER(C1717)),"MESSWERT UNGUELTIG",IF(C1717&lt;0,"MESSWERT UNGUELTIG",IF(H1717="","TARIFPREIS FEHLT","OK"))))</f>
        <v>FEHLT</v>
      </c>
      <c r="K1717" s="7">
        <f>IF(J1717&lt;&gt;"OK","",C1717*I1717/100)</f>
        <v/>
      </c>
    </row>
    <row r="1718" spans="1:11">
      <c r="A1718" s="14">
        <v>46160</v>
      </c>
      <c r="B1718" s="15">
        <v>0.8333333333333334</v>
      </c>
      <c r="C1718" s="5">
        <f>IF('96 Werte'!CD23="","",'96 Werte'!CD23)</f>
        <v/>
      </c>
      <c r="D1718" t="str">
        <f>IF(IF(Eingaben!$B$21&lt;Eingaben!$B$22,AND(B1718&gt;=Eingaben!$B$21,B1718&lt;Eingaben!$B$22),OR(B1718&gt;=Eingaben!$B$21,B1718&lt;Eingaben!$B$22)),"GO",IF(AND(ISNUMBER(Eingaben!$B$23),ISNUMBER(Eingaben!$B$24),IF(Eingaben!$B$23&lt;Eingaben!$B$24,AND(B1718&gt;=Eingaben!$B$23,B1718&lt;Eingaben!$B$24),OR(B1718&gt;=Eingaben!$B$23,B1718&lt;Eingaben!$B$24))),"HEAT","STANDARD"))</f>
        <v>STANDARD</v>
      </c>
      <c r="E1718" s="9"/>
      <c r="F1718" t="str">
        <f>IF(E1718="",D1718,E1718)</f>
        <v>STANDARD</v>
      </c>
      <c r="G1718" t="str">
        <f>INDEX(Netzzeiten!$B$6:$B$29,HOUR(B1718)+1)</f>
        <v>HT</v>
      </c>
      <c r="H1718" s="6">
        <f>IF(F1718="GO",Eingaben!$B$11,IF(F1718="STANDARD",Eingaben!$B$12,IF(AND(F1718="HEAT",ISNUMBER(Eingaben!$B$13)),Eingaben!$B$13,"")))</f>
        <v>28.2744</v>
      </c>
      <c r="I1718" s="6">
        <f>INDEX(Netzzeiten!$C$6:$C$29,HOUR(B1718)+1)</f>
        <v>10.52</v>
      </c>
      <c r="J1718" t="str">
        <f>IF(C1718="","FEHLT",IF(NOT(ISNUMBER(C1718)),"MESSWERT UNGUELTIG",IF(C1718&lt;0,"MESSWERT UNGUELTIG",IF(H1718="","TARIFPREIS FEHLT","OK"))))</f>
        <v>FEHLT</v>
      </c>
      <c r="K1718" s="7">
        <f>IF(J1718&lt;&gt;"OK","",C1718*I1718/100)</f>
        <v/>
      </c>
    </row>
    <row r="1719" spans="1:11">
      <c r="A1719" s="14">
        <v>46160</v>
      </c>
      <c r="B1719" s="15">
        <v>0.84375</v>
      </c>
      <c r="C1719" s="5">
        <f>IF('96 Werte'!CE23="","",'96 Werte'!CE23)</f>
        <v/>
      </c>
      <c r="D1719" t="str">
        <f>IF(IF(Eingaben!$B$21&lt;Eingaben!$B$22,AND(B1719&gt;=Eingaben!$B$21,B1719&lt;Eingaben!$B$22),OR(B1719&gt;=Eingaben!$B$21,B1719&lt;Eingaben!$B$22)),"GO",IF(AND(ISNUMBER(Eingaben!$B$23),ISNUMBER(Eingaben!$B$24),IF(Eingaben!$B$23&lt;Eingaben!$B$24,AND(B1719&gt;=Eingaben!$B$23,B1719&lt;Eingaben!$B$24),OR(B1719&gt;=Eingaben!$B$23,B1719&lt;Eingaben!$B$24))),"HEAT","STANDARD"))</f>
        <v>STANDARD</v>
      </c>
      <c r="E1719" s="9"/>
      <c r="F1719" t="str">
        <f>IF(E1719="",D1719,E1719)</f>
        <v>STANDARD</v>
      </c>
      <c r="G1719" t="str">
        <f>INDEX(Netzzeiten!$B$6:$B$29,HOUR(B1719)+1)</f>
        <v>HT</v>
      </c>
      <c r="H1719" s="6">
        <f>IF(F1719="GO",Eingaben!$B$11,IF(F1719="STANDARD",Eingaben!$B$12,IF(AND(F1719="HEAT",ISNUMBER(Eingaben!$B$13)),Eingaben!$B$13,"")))</f>
        <v>28.2744</v>
      </c>
      <c r="I1719" s="6">
        <f>INDEX(Netzzeiten!$C$6:$C$29,HOUR(B1719)+1)</f>
        <v>10.52</v>
      </c>
      <c r="J1719" t="str">
        <f>IF(C1719="","FEHLT",IF(NOT(ISNUMBER(C1719)),"MESSWERT UNGUELTIG",IF(C1719&lt;0,"MESSWERT UNGUELTIG",IF(H1719="","TARIFPREIS FEHLT","OK"))))</f>
        <v>FEHLT</v>
      </c>
      <c r="K1719" s="7">
        <f>IF(J1719&lt;&gt;"OK","",C1719*I1719/100)</f>
        <v/>
      </c>
    </row>
    <row r="1720" spans="1:11">
      <c r="A1720" s="14">
        <v>46160</v>
      </c>
      <c r="B1720" s="15">
        <v>0.8541666666666666</v>
      </c>
      <c r="C1720" s="5">
        <f>IF('96 Werte'!CF23="","",'96 Werte'!CF23)</f>
        <v/>
      </c>
      <c r="D1720" t="str">
        <f>IF(IF(Eingaben!$B$21&lt;Eingaben!$B$22,AND(B1720&gt;=Eingaben!$B$21,B1720&lt;Eingaben!$B$22),OR(B1720&gt;=Eingaben!$B$21,B1720&lt;Eingaben!$B$22)),"GO",IF(AND(ISNUMBER(Eingaben!$B$23),ISNUMBER(Eingaben!$B$24),IF(Eingaben!$B$23&lt;Eingaben!$B$24,AND(B1720&gt;=Eingaben!$B$23,B1720&lt;Eingaben!$B$24),OR(B1720&gt;=Eingaben!$B$23,B1720&lt;Eingaben!$B$24))),"HEAT","STANDARD"))</f>
        <v>STANDARD</v>
      </c>
      <c r="E1720" s="9"/>
      <c r="F1720" t="str">
        <f>IF(E1720="",D1720,E1720)</f>
        <v>STANDARD</v>
      </c>
      <c r="G1720" t="str">
        <f>INDEX(Netzzeiten!$B$6:$B$29,HOUR(B1720)+1)</f>
        <v>HT</v>
      </c>
      <c r="H1720" s="6">
        <f>IF(F1720="GO",Eingaben!$B$11,IF(F1720="STANDARD",Eingaben!$B$12,IF(AND(F1720="HEAT",ISNUMBER(Eingaben!$B$13)),Eingaben!$B$13,"")))</f>
        <v>28.2744</v>
      </c>
      <c r="I1720" s="6">
        <f>INDEX(Netzzeiten!$C$6:$C$29,HOUR(B1720)+1)</f>
        <v>10.52</v>
      </c>
      <c r="J1720" t="str">
        <f>IF(C1720="","FEHLT",IF(NOT(ISNUMBER(C1720)),"MESSWERT UNGUELTIG",IF(C1720&lt;0,"MESSWERT UNGUELTIG",IF(H1720="","TARIFPREIS FEHLT","OK"))))</f>
        <v>FEHLT</v>
      </c>
      <c r="K1720" s="7">
        <f>IF(J1720&lt;&gt;"OK","",C1720*I1720/100)</f>
        <v/>
      </c>
    </row>
    <row r="1721" spans="1:11">
      <c r="A1721" s="14">
        <v>46160</v>
      </c>
      <c r="B1721" s="15">
        <v>0.8645833333333334</v>
      </c>
      <c r="C1721" s="5">
        <f>IF('96 Werte'!CG23="","",'96 Werte'!CG23)</f>
        <v/>
      </c>
      <c r="D1721" t="str">
        <f>IF(IF(Eingaben!$B$21&lt;Eingaben!$B$22,AND(B1721&gt;=Eingaben!$B$21,B1721&lt;Eingaben!$B$22),OR(B1721&gt;=Eingaben!$B$21,B1721&lt;Eingaben!$B$22)),"GO",IF(AND(ISNUMBER(Eingaben!$B$23),ISNUMBER(Eingaben!$B$24),IF(Eingaben!$B$23&lt;Eingaben!$B$24,AND(B1721&gt;=Eingaben!$B$23,B1721&lt;Eingaben!$B$24),OR(B1721&gt;=Eingaben!$B$23,B1721&lt;Eingaben!$B$24))),"HEAT","STANDARD"))</f>
        <v>STANDARD</v>
      </c>
      <c r="E1721" s="9"/>
      <c r="F1721" t="str">
        <f>IF(E1721="",D1721,E1721)</f>
        <v>STANDARD</v>
      </c>
      <c r="G1721" t="str">
        <f>INDEX(Netzzeiten!$B$6:$B$29,HOUR(B1721)+1)</f>
        <v>HT</v>
      </c>
      <c r="H1721" s="6">
        <f>IF(F1721="GO",Eingaben!$B$11,IF(F1721="STANDARD",Eingaben!$B$12,IF(AND(F1721="HEAT",ISNUMBER(Eingaben!$B$13)),Eingaben!$B$13,"")))</f>
        <v>28.2744</v>
      </c>
      <c r="I1721" s="6">
        <f>INDEX(Netzzeiten!$C$6:$C$29,HOUR(B1721)+1)</f>
        <v>10.52</v>
      </c>
      <c r="J1721" t="str">
        <f>IF(C1721="","FEHLT",IF(NOT(ISNUMBER(C1721)),"MESSWERT UNGUELTIG",IF(C1721&lt;0,"MESSWERT UNGUELTIG",IF(H1721="","TARIFPREIS FEHLT","OK"))))</f>
        <v>FEHLT</v>
      </c>
      <c r="K1721" s="7">
        <f>IF(J1721&lt;&gt;"OK","",C1721*I1721/100)</f>
        <v/>
      </c>
    </row>
    <row r="1722" spans="1:11">
      <c r="A1722" s="14">
        <v>46160</v>
      </c>
      <c r="B1722" s="15">
        <v>0.875</v>
      </c>
      <c r="C1722" s="5">
        <f>IF('96 Werte'!CH23="","",'96 Werte'!CH23)</f>
        <v/>
      </c>
      <c r="D1722" t="str">
        <f>IF(IF(Eingaben!$B$21&lt;Eingaben!$B$22,AND(B1722&gt;=Eingaben!$B$21,B1722&lt;Eingaben!$B$22),OR(B1722&gt;=Eingaben!$B$21,B1722&lt;Eingaben!$B$22)),"GO",IF(AND(ISNUMBER(Eingaben!$B$23),ISNUMBER(Eingaben!$B$24),IF(Eingaben!$B$23&lt;Eingaben!$B$24,AND(B1722&gt;=Eingaben!$B$23,B1722&lt;Eingaben!$B$24),OR(B1722&gt;=Eingaben!$B$23,B1722&lt;Eingaben!$B$24))),"HEAT","STANDARD"))</f>
        <v>STANDARD</v>
      </c>
      <c r="E1722" s="9"/>
      <c r="F1722" t="str">
        <f>IF(E1722="",D1722,E1722)</f>
        <v>STANDARD</v>
      </c>
      <c r="G1722" t="str">
        <f>INDEX(Netzzeiten!$B$6:$B$29,HOUR(B1722)+1)</f>
        <v>HT</v>
      </c>
      <c r="H1722" s="6">
        <f>IF(F1722="GO",Eingaben!$B$11,IF(F1722="STANDARD",Eingaben!$B$12,IF(AND(F1722="HEAT",ISNUMBER(Eingaben!$B$13)),Eingaben!$B$13,"")))</f>
        <v>28.2744</v>
      </c>
      <c r="I1722" s="6">
        <f>INDEX(Netzzeiten!$C$6:$C$29,HOUR(B1722)+1)</f>
        <v>10.52</v>
      </c>
      <c r="J1722" t="str">
        <f>IF(C1722="","FEHLT",IF(NOT(ISNUMBER(C1722)),"MESSWERT UNGUELTIG",IF(C1722&lt;0,"MESSWERT UNGUELTIG",IF(H1722="","TARIFPREIS FEHLT","OK"))))</f>
        <v>FEHLT</v>
      </c>
      <c r="K1722" s="7">
        <f>IF(J1722&lt;&gt;"OK","",C1722*I1722/100)</f>
        <v/>
      </c>
    </row>
    <row r="1723" spans="1:11">
      <c r="A1723" s="14">
        <v>46160</v>
      </c>
      <c r="B1723" s="15">
        <v>0.8854166666666666</v>
      </c>
      <c r="C1723" s="5">
        <f>IF('96 Werte'!CI23="","",'96 Werte'!CI23)</f>
        <v/>
      </c>
      <c r="D1723" t="str">
        <f>IF(IF(Eingaben!$B$21&lt;Eingaben!$B$22,AND(B1723&gt;=Eingaben!$B$21,B1723&lt;Eingaben!$B$22),OR(B1723&gt;=Eingaben!$B$21,B1723&lt;Eingaben!$B$22)),"GO",IF(AND(ISNUMBER(Eingaben!$B$23),ISNUMBER(Eingaben!$B$24),IF(Eingaben!$B$23&lt;Eingaben!$B$24,AND(B1723&gt;=Eingaben!$B$23,B1723&lt;Eingaben!$B$24),OR(B1723&gt;=Eingaben!$B$23,B1723&lt;Eingaben!$B$24))),"HEAT","STANDARD"))</f>
        <v>STANDARD</v>
      </c>
      <c r="E1723" s="9"/>
      <c r="F1723" t="str">
        <f>IF(E1723="",D1723,E1723)</f>
        <v>STANDARD</v>
      </c>
      <c r="G1723" t="str">
        <f>INDEX(Netzzeiten!$B$6:$B$29,HOUR(B1723)+1)</f>
        <v>HT</v>
      </c>
      <c r="H1723" s="6">
        <f>IF(F1723="GO",Eingaben!$B$11,IF(F1723="STANDARD",Eingaben!$B$12,IF(AND(F1723="HEAT",ISNUMBER(Eingaben!$B$13)),Eingaben!$B$13,"")))</f>
        <v>28.2744</v>
      </c>
      <c r="I1723" s="6">
        <f>INDEX(Netzzeiten!$C$6:$C$29,HOUR(B1723)+1)</f>
        <v>10.52</v>
      </c>
      <c r="J1723" t="str">
        <f>IF(C1723="","FEHLT",IF(NOT(ISNUMBER(C1723)),"MESSWERT UNGUELTIG",IF(C1723&lt;0,"MESSWERT UNGUELTIG",IF(H1723="","TARIFPREIS FEHLT","OK"))))</f>
        <v>FEHLT</v>
      </c>
      <c r="K1723" s="7">
        <f>IF(J1723&lt;&gt;"OK","",C1723*I1723/100)</f>
        <v/>
      </c>
    </row>
    <row r="1724" spans="1:11">
      <c r="A1724" s="14">
        <v>46160</v>
      </c>
      <c r="B1724" s="15">
        <v>0.8958333333333334</v>
      </c>
      <c r="C1724" s="5">
        <f>IF('96 Werte'!CJ23="","",'96 Werte'!CJ23)</f>
        <v/>
      </c>
      <c r="D1724" t="str">
        <f>IF(IF(Eingaben!$B$21&lt;Eingaben!$B$22,AND(B1724&gt;=Eingaben!$B$21,B1724&lt;Eingaben!$B$22),OR(B1724&gt;=Eingaben!$B$21,B1724&lt;Eingaben!$B$22)),"GO",IF(AND(ISNUMBER(Eingaben!$B$23),ISNUMBER(Eingaben!$B$24),IF(Eingaben!$B$23&lt;Eingaben!$B$24,AND(B1724&gt;=Eingaben!$B$23,B1724&lt;Eingaben!$B$24),OR(B1724&gt;=Eingaben!$B$23,B1724&lt;Eingaben!$B$24))),"HEAT","STANDARD"))</f>
        <v>STANDARD</v>
      </c>
      <c r="E1724" s="9"/>
      <c r="F1724" t="str">
        <f>IF(E1724="",D1724,E1724)</f>
        <v>STANDARD</v>
      </c>
      <c r="G1724" t="str">
        <f>INDEX(Netzzeiten!$B$6:$B$29,HOUR(B1724)+1)</f>
        <v>HT</v>
      </c>
      <c r="H1724" s="6">
        <f>IF(F1724="GO",Eingaben!$B$11,IF(F1724="STANDARD",Eingaben!$B$12,IF(AND(F1724="HEAT",ISNUMBER(Eingaben!$B$13)),Eingaben!$B$13,"")))</f>
        <v>28.2744</v>
      </c>
      <c r="I1724" s="6">
        <f>INDEX(Netzzeiten!$C$6:$C$29,HOUR(B1724)+1)</f>
        <v>10.52</v>
      </c>
      <c r="J1724" t="str">
        <f>IF(C1724="","FEHLT",IF(NOT(ISNUMBER(C1724)),"MESSWERT UNGUELTIG",IF(C1724&lt;0,"MESSWERT UNGUELTIG",IF(H1724="","TARIFPREIS FEHLT","OK"))))</f>
        <v>FEHLT</v>
      </c>
      <c r="K1724" s="7">
        <f>IF(J1724&lt;&gt;"OK","",C1724*I1724/100)</f>
        <v/>
      </c>
    </row>
    <row r="1725" spans="1:11">
      <c r="A1725" s="14">
        <v>46160</v>
      </c>
      <c r="B1725" s="15">
        <v>0.90625</v>
      </c>
      <c r="C1725" s="5">
        <f>IF('96 Werte'!CK23="","",'96 Werte'!CK23)</f>
        <v/>
      </c>
      <c r="D1725" t="str">
        <f>IF(IF(Eingaben!$B$21&lt;Eingaben!$B$22,AND(B1725&gt;=Eingaben!$B$21,B1725&lt;Eingaben!$B$22),OR(B1725&gt;=Eingaben!$B$21,B1725&lt;Eingaben!$B$22)),"GO",IF(AND(ISNUMBER(Eingaben!$B$23),ISNUMBER(Eingaben!$B$24),IF(Eingaben!$B$23&lt;Eingaben!$B$24,AND(B1725&gt;=Eingaben!$B$23,B1725&lt;Eingaben!$B$24),OR(B1725&gt;=Eingaben!$B$23,B1725&lt;Eingaben!$B$24))),"HEAT","STANDARD"))</f>
        <v>STANDARD</v>
      </c>
      <c r="E1725" s="9"/>
      <c r="F1725" t="str">
        <f>IF(E1725="",D1725,E1725)</f>
        <v>STANDARD</v>
      </c>
      <c r="G1725" t="str">
        <f>INDEX(Netzzeiten!$B$6:$B$29,HOUR(B1725)+1)</f>
        <v>HT</v>
      </c>
      <c r="H1725" s="6">
        <f>IF(F1725="GO",Eingaben!$B$11,IF(F1725="STANDARD",Eingaben!$B$12,IF(AND(F1725="HEAT",ISNUMBER(Eingaben!$B$13)),Eingaben!$B$13,"")))</f>
        <v>28.2744</v>
      </c>
      <c r="I1725" s="6">
        <f>INDEX(Netzzeiten!$C$6:$C$29,HOUR(B1725)+1)</f>
        <v>10.52</v>
      </c>
      <c r="J1725" t="str">
        <f>IF(C1725="","FEHLT",IF(NOT(ISNUMBER(C1725)),"MESSWERT UNGUELTIG",IF(C1725&lt;0,"MESSWERT UNGUELTIG",IF(H1725="","TARIFPREIS FEHLT","OK"))))</f>
        <v>FEHLT</v>
      </c>
      <c r="K1725" s="7">
        <f>IF(J1725&lt;&gt;"OK","",C1725*I1725/100)</f>
        <v/>
      </c>
    </row>
    <row r="1726" spans="1:11">
      <c r="A1726" s="14">
        <v>46160</v>
      </c>
      <c r="B1726" s="15">
        <v>0.9166666666666666</v>
      </c>
      <c r="C1726" s="5">
        <f>IF('96 Werte'!CL23="","",'96 Werte'!CL23)</f>
        <v/>
      </c>
      <c r="D1726" t="str">
        <f>IF(IF(Eingaben!$B$21&lt;Eingaben!$B$22,AND(B1726&gt;=Eingaben!$B$21,B1726&lt;Eingaben!$B$22),OR(B1726&gt;=Eingaben!$B$21,B1726&lt;Eingaben!$B$22)),"GO",IF(AND(ISNUMBER(Eingaben!$B$23),ISNUMBER(Eingaben!$B$24),IF(Eingaben!$B$23&lt;Eingaben!$B$24,AND(B1726&gt;=Eingaben!$B$23,B1726&lt;Eingaben!$B$24),OR(B1726&gt;=Eingaben!$B$23,B1726&lt;Eingaben!$B$24))),"HEAT","STANDARD"))</f>
        <v>STANDARD</v>
      </c>
      <c r="E1726" s="9"/>
      <c r="F1726" t="str">
        <f>IF(E1726="",D1726,E1726)</f>
        <v>STANDARD</v>
      </c>
      <c r="G1726" t="str">
        <f>INDEX(Netzzeiten!$B$6:$B$29,HOUR(B1726)+1)</f>
        <v>ST</v>
      </c>
      <c r="H1726" s="6">
        <f>IF(F1726="GO",Eingaben!$B$11,IF(F1726="STANDARD",Eingaben!$B$12,IF(AND(F1726="HEAT",ISNUMBER(Eingaben!$B$13)),Eingaben!$B$13,"")))</f>
        <v>28.2744</v>
      </c>
      <c r="I1726" s="6">
        <f>INDEX(Netzzeiten!$C$6:$C$29,HOUR(B1726)+1)</f>
        <v>5.48</v>
      </c>
      <c r="J1726" t="str">
        <f>IF(C1726="","FEHLT",IF(NOT(ISNUMBER(C1726)),"MESSWERT UNGUELTIG",IF(C1726&lt;0,"MESSWERT UNGUELTIG",IF(H1726="","TARIFPREIS FEHLT","OK"))))</f>
        <v>FEHLT</v>
      </c>
      <c r="K1726" s="7">
        <f>IF(J1726&lt;&gt;"OK","",C1726*I1726/100)</f>
        <v/>
      </c>
    </row>
    <row r="1727" spans="1:11">
      <c r="A1727" s="14">
        <v>46160</v>
      </c>
      <c r="B1727" s="15">
        <v>0.9270833333333334</v>
      </c>
      <c r="C1727" s="5">
        <f>IF('96 Werte'!CM23="","",'96 Werte'!CM23)</f>
        <v/>
      </c>
      <c r="D1727" t="str">
        <f>IF(IF(Eingaben!$B$21&lt;Eingaben!$B$22,AND(B1727&gt;=Eingaben!$B$21,B1727&lt;Eingaben!$B$22),OR(B1727&gt;=Eingaben!$B$21,B1727&lt;Eingaben!$B$22)),"GO",IF(AND(ISNUMBER(Eingaben!$B$23),ISNUMBER(Eingaben!$B$24),IF(Eingaben!$B$23&lt;Eingaben!$B$24,AND(B1727&gt;=Eingaben!$B$23,B1727&lt;Eingaben!$B$24),OR(B1727&gt;=Eingaben!$B$23,B1727&lt;Eingaben!$B$24))),"HEAT","STANDARD"))</f>
        <v>STANDARD</v>
      </c>
      <c r="E1727" s="9"/>
      <c r="F1727" t="str">
        <f>IF(E1727="",D1727,E1727)</f>
        <v>STANDARD</v>
      </c>
      <c r="G1727" t="str">
        <f>INDEX(Netzzeiten!$B$6:$B$29,HOUR(B1727)+1)</f>
        <v>ST</v>
      </c>
      <c r="H1727" s="6">
        <f>IF(F1727="GO",Eingaben!$B$11,IF(F1727="STANDARD",Eingaben!$B$12,IF(AND(F1727="HEAT",ISNUMBER(Eingaben!$B$13)),Eingaben!$B$13,"")))</f>
        <v>28.2744</v>
      </c>
      <c r="I1727" s="6">
        <f>INDEX(Netzzeiten!$C$6:$C$29,HOUR(B1727)+1)</f>
        <v>5.48</v>
      </c>
      <c r="J1727" t="str">
        <f>IF(C1727="","FEHLT",IF(NOT(ISNUMBER(C1727)),"MESSWERT UNGUELTIG",IF(C1727&lt;0,"MESSWERT UNGUELTIG",IF(H1727="","TARIFPREIS FEHLT","OK"))))</f>
        <v>FEHLT</v>
      </c>
      <c r="K1727" s="7">
        <f>IF(J1727&lt;&gt;"OK","",C1727*I1727/100)</f>
        <v/>
      </c>
    </row>
    <row r="1728" spans="1:11">
      <c r="A1728" s="14">
        <v>46160</v>
      </c>
      <c r="B1728" s="15">
        <v>0.9375</v>
      </c>
      <c r="C1728" s="5">
        <f>IF('96 Werte'!CN23="","",'96 Werte'!CN23)</f>
        <v/>
      </c>
      <c r="D1728" t="str">
        <f>IF(IF(Eingaben!$B$21&lt;Eingaben!$B$22,AND(B1728&gt;=Eingaben!$B$21,B1728&lt;Eingaben!$B$22),OR(B1728&gt;=Eingaben!$B$21,B1728&lt;Eingaben!$B$22)),"GO",IF(AND(ISNUMBER(Eingaben!$B$23),ISNUMBER(Eingaben!$B$24),IF(Eingaben!$B$23&lt;Eingaben!$B$24,AND(B1728&gt;=Eingaben!$B$23,B1728&lt;Eingaben!$B$24),OR(B1728&gt;=Eingaben!$B$23,B1728&lt;Eingaben!$B$24))),"HEAT","STANDARD"))</f>
        <v>STANDARD</v>
      </c>
      <c r="E1728" s="9"/>
      <c r="F1728" t="str">
        <f>IF(E1728="",D1728,E1728)</f>
        <v>STANDARD</v>
      </c>
      <c r="G1728" t="str">
        <f>INDEX(Netzzeiten!$B$6:$B$29,HOUR(B1728)+1)</f>
        <v>ST</v>
      </c>
      <c r="H1728" s="6">
        <f>IF(F1728="GO",Eingaben!$B$11,IF(F1728="STANDARD",Eingaben!$B$12,IF(AND(F1728="HEAT",ISNUMBER(Eingaben!$B$13)),Eingaben!$B$13,"")))</f>
        <v>28.2744</v>
      </c>
      <c r="I1728" s="6">
        <f>INDEX(Netzzeiten!$C$6:$C$29,HOUR(B1728)+1)</f>
        <v>5.48</v>
      </c>
      <c r="J1728" t="str">
        <f>IF(C1728="","FEHLT",IF(NOT(ISNUMBER(C1728)),"MESSWERT UNGUELTIG",IF(C1728&lt;0,"MESSWERT UNGUELTIG",IF(H1728="","TARIFPREIS FEHLT","OK"))))</f>
        <v>FEHLT</v>
      </c>
      <c r="K1728" s="7">
        <f>IF(J1728&lt;&gt;"OK","",C1728*I1728/100)</f>
        <v/>
      </c>
    </row>
    <row r="1729" spans="1:11">
      <c r="A1729" s="14">
        <v>46160</v>
      </c>
      <c r="B1729" s="15">
        <v>0.9479166666666666</v>
      </c>
      <c r="C1729" s="5">
        <f>IF('96 Werte'!CO23="","",'96 Werte'!CO23)</f>
        <v/>
      </c>
      <c r="D1729" t="str">
        <f>IF(IF(Eingaben!$B$21&lt;Eingaben!$B$22,AND(B1729&gt;=Eingaben!$B$21,B1729&lt;Eingaben!$B$22),OR(B1729&gt;=Eingaben!$B$21,B1729&lt;Eingaben!$B$22)),"GO",IF(AND(ISNUMBER(Eingaben!$B$23),ISNUMBER(Eingaben!$B$24),IF(Eingaben!$B$23&lt;Eingaben!$B$24,AND(B1729&gt;=Eingaben!$B$23,B1729&lt;Eingaben!$B$24),OR(B1729&gt;=Eingaben!$B$23,B1729&lt;Eingaben!$B$24))),"HEAT","STANDARD"))</f>
        <v>STANDARD</v>
      </c>
      <c r="E1729" s="9"/>
      <c r="F1729" t="str">
        <f>IF(E1729="",D1729,E1729)</f>
        <v>STANDARD</v>
      </c>
      <c r="G1729" t="str">
        <f>INDEX(Netzzeiten!$B$6:$B$29,HOUR(B1729)+1)</f>
        <v>ST</v>
      </c>
      <c r="H1729" s="6">
        <f>IF(F1729="GO",Eingaben!$B$11,IF(F1729="STANDARD",Eingaben!$B$12,IF(AND(F1729="HEAT",ISNUMBER(Eingaben!$B$13)),Eingaben!$B$13,"")))</f>
        <v>28.2744</v>
      </c>
      <c r="I1729" s="6">
        <f>INDEX(Netzzeiten!$C$6:$C$29,HOUR(B1729)+1)</f>
        <v>5.48</v>
      </c>
      <c r="J1729" t="str">
        <f>IF(C1729="","FEHLT",IF(NOT(ISNUMBER(C1729)),"MESSWERT UNGUELTIG",IF(C1729&lt;0,"MESSWERT UNGUELTIG",IF(H1729="","TARIFPREIS FEHLT","OK"))))</f>
        <v>FEHLT</v>
      </c>
      <c r="K1729" s="7">
        <f>IF(J1729&lt;&gt;"OK","",C1729*I1729/100)</f>
        <v/>
      </c>
    </row>
    <row r="1730" spans="1:11">
      <c r="A1730" s="14">
        <v>46160</v>
      </c>
      <c r="B1730" s="15">
        <v>0.9583333333333334</v>
      </c>
      <c r="C1730" s="5">
        <f>IF('96 Werte'!CP23="","",'96 Werte'!CP23)</f>
        <v/>
      </c>
      <c r="D1730" t="str">
        <f>IF(IF(Eingaben!$B$21&lt;Eingaben!$B$22,AND(B1730&gt;=Eingaben!$B$21,B1730&lt;Eingaben!$B$22),OR(B1730&gt;=Eingaben!$B$21,B1730&lt;Eingaben!$B$22)),"GO",IF(AND(ISNUMBER(Eingaben!$B$23),ISNUMBER(Eingaben!$B$24),IF(Eingaben!$B$23&lt;Eingaben!$B$24,AND(B1730&gt;=Eingaben!$B$23,B1730&lt;Eingaben!$B$24),OR(B1730&gt;=Eingaben!$B$23,B1730&lt;Eingaben!$B$24))),"HEAT","STANDARD"))</f>
        <v>STANDARD</v>
      </c>
      <c r="E1730" s="9"/>
      <c r="F1730" t="str">
        <f>IF(E1730="",D1730,E1730)</f>
        <v>STANDARD</v>
      </c>
      <c r="G1730" t="str">
        <f>INDEX(Netzzeiten!$B$6:$B$29,HOUR(B1730)+1)</f>
        <v>NT</v>
      </c>
      <c r="H1730" s="6">
        <f>IF(F1730="GO",Eingaben!$B$11,IF(F1730="STANDARD",Eingaben!$B$12,IF(AND(F1730="HEAT",ISNUMBER(Eingaben!$B$13)),Eingaben!$B$13,"")))</f>
        <v>28.2744</v>
      </c>
      <c r="I1730" s="6">
        <f>INDEX(Netzzeiten!$C$6:$C$29,HOUR(B1730)+1)</f>
        <v>1.64</v>
      </c>
      <c r="J1730" t="str">
        <f>IF(C1730="","FEHLT",IF(NOT(ISNUMBER(C1730)),"MESSWERT UNGUELTIG",IF(C1730&lt;0,"MESSWERT UNGUELTIG",IF(H1730="","TARIFPREIS FEHLT","OK"))))</f>
        <v>FEHLT</v>
      </c>
      <c r="K1730" s="7">
        <f>IF(J1730&lt;&gt;"OK","",C1730*I1730/100)</f>
        <v/>
      </c>
    </row>
    <row r="1731" spans="1:11">
      <c r="A1731" s="14">
        <v>46160</v>
      </c>
      <c r="B1731" s="15">
        <v>0.96875</v>
      </c>
      <c r="C1731" s="5">
        <f>IF('96 Werte'!CQ23="","",'96 Werte'!CQ23)</f>
        <v/>
      </c>
      <c r="D1731" t="str">
        <f>IF(IF(Eingaben!$B$21&lt;Eingaben!$B$22,AND(B1731&gt;=Eingaben!$B$21,B1731&lt;Eingaben!$B$22),OR(B1731&gt;=Eingaben!$B$21,B1731&lt;Eingaben!$B$22)),"GO",IF(AND(ISNUMBER(Eingaben!$B$23),ISNUMBER(Eingaben!$B$24),IF(Eingaben!$B$23&lt;Eingaben!$B$24,AND(B1731&gt;=Eingaben!$B$23,B1731&lt;Eingaben!$B$24),OR(B1731&gt;=Eingaben!$B$23,B1731&lt;Eingaben!$B$24))),"HEAT","STANDARD"))</f>
        <v>STANDARD</v>
      </c>
      <c r="E1731" s="9"/>
      <c r="F1731" t="str">
        <f>IF(E1731="",D1731,E1731)</f>
        <v>STANDARD</v>
      </c>
      <c r="G1731" t="str">
        <f>INDEX(Netzzeiten!$B$6:$B$29,HOUR(B1731)+1)</f>
        <v>NT</v>
      </c>
      <c r="H1731" s="6">
        <f>IF(F1731="GO",Eingaben!$B$11,IF(F1731="STANDARD",Eingaben!$B$12,IF(AND(F1731="HEAT",ISNUMBER(Eingaben!$B$13)),Eingaben!$B$13,"")))</f>
        <v>28.2744</v>
      </c>
      <c r="I1731" s="6">
        <f>INDEX(Netzzeiten!$C$6:$C$29,HOUR(B1731)+1)</f>
        <v>1.64</v>
      </c>
      <c r="J1731" t="str">
        <f>IF(C1731="","FEHLT",IF(NOT(ISNUMBER(C1731)),"MESSWERT UNGUELTIG",IF(C1731&lt;0,"MESSWERT UNGUELTIG",IF(H1731="","TARIFPREIS FEHLT","OK"))))</f>
        <v>FEHLT</v>
      </c>
      <c r="K1731" s="7">
        <f>IF(J1731&lt;&gt;"OK","",C1731*I1731/100)</f>
        <v/>
      </c>
    </row>
    <row r="1732" spans="1:11">
      <c r="A1732" s="14">
        <v>46160</v>
      </c>
      <c r="B1732" s="15">
        <v>0.9791666666666666</v>
      </c>
      <c r="C1732" s="5">
        <f>IF('96 Werte'!CR23="","",'96 Werte'!CR23)</f>
        <v/>
      </c>
      <c r="D1732" t="str">
        <f>IF(IF(Eingaben!$B$21&lt;Eingaben!$B$22,AND(B1732&gt;=Eingaben!$B$21,B1732&lt;Eingaben!$B$22),OR(B1732&gt;=Eingaben!$B$21,B1732&lt;Eingaben!$B$22)),"GO",IF(AND(ISNUMBER(Eingaben!$B$23),ISNUMBER(Eingaben!$B$24),IF(Eingaben!$B$23&lt;Eingaben!$B$24,AND(B1732&gt;=Eingaben!$B$23,B1732&lt;Eingaben!$B$24),OR(B1732&gt;=Eingaben!$B$23,B1732&lt;Eingaben!$B$24))),"HEAT","STANDARD"))</f>
        <v>STANDARD</v>
      </c>
      <c r="E1732" s="9"/>
      <c r="F1732" t="str">
        <f>IF(E1732="",D1732,E1732)</f>
        <v>STANDARD</v>
      </c>
      <c r="G1732" t="str">
        <f>INDEX(Netzzeiten!$B$6:$B$29,HOUR(B1732)+1)</f>
        <v>NT</v>
      </c>
      <c r="H1732" s="6">
        <f>IF(F1732="GO",Eingaben!$B$11,IF(F1732="STANDARD",Eingaben!$B$12,IF(AND(F1732="HEAT",ISNUMBER(Eingaben!$B$13)),Eingaben!$B$13,"")))</f>
        <v>28.2744</v>
      </c>
      <c r="I1732" s="6">
        <f>INDEX(Netzzeiten!$C$6:$C$29,HOUR(B1732)+1)</f>
        <v>1.64</v>
      </c>
      <c r="J1732" t="str">
        <f>IF(C1732="","FEHLT",IF(NOT(ISNUMBER(C1732)),"MESSWERT UNGUELTIG",IF(C1732&lt;0,"MESSWERT UNGUELTIG",IF(H1732="","TARIFPREIS FEHLT","OK"))))</f>
        <v>FEHLT</v>
      </c>
      <c r="K1732" s="7">
        <f>IF(J1732&lt;&gt;"OK","",C1732*I1732/100)</f>
        <v/>
      </c>
    </row>
    <row r="1733" spans="1:11">
      <c r="A1733" s="14">
        <v>46160</v>
      </c>
      <c r="B1733" s="15">
        <v>0.9895833333333334</v>
      </c>
      <c r="C1733" s="5">
        <f>IF('96 Werte'!CS23="","",'96 Werte'!CS23)</f>
        <v/>
      </c>
      <c r="D1733" t="str">
        <f>IF(IF(Eingaben!$B$21&lt;Eingaben!$B$22,AND(B1733&gt;=Eingaben!$B$21,B1733&lt;Eingaben!$B$22),OR(B1733&gt;=Eingaben!$B$21,B1733&lt;Eingaben!$B$22)),"GO",IF(AND(ISNUMBER(Eingaben!$B$23),ISNUMBER(Eingaben!$B$24),IF(Eingaben!$B$23&lt;Eingaben!$B$24,AND(B1733&gt;=Eingaben!$B$23,B1733&lt;Eingaben!$B$24),OR(B1733&gt;=Eingaben!$B$23,B1733&lt;Eingaben!$B$24))),"HEAT","STANDARD"))</f>
        <v>STANDARD</v>
      </c>
      <c r="E1733" s="9"/>
      <c r="F1733" t="str">
        <f>IF(E1733="",D1733,E1733)</f>
        <v>STANDARD</v>
      </c>
      <c r="G1733" t="str">
        <f>INDEX(Netzzeiten!$B$6:$B$29,HOUR(B1733)+1)</f>
        <v>NT</v>
      </c>
      <c r="H1733" s="6">
        <f>IF(F1733="GO",Eingaben!$B$11,IF(F1733="STANDARD",Eingaben!$B$12,IF(AND(F1733="HEAT",ISNUMBER(Eingaben!$B$13)),Eingaben!$B$13,"")))</f>
        <v>28.2744</v>
      </c>
      <c r="I1733" s="6">
        <f>INDEX(Netzzeiten!$C$6:$C$29,HOUR(B1733)+1)</f>
        <v>1.64</v>
      </c>
      <c r="J1733" t="str">
        <f>IF(C1733="","FEHLT",IF(NOT(ISNUMBER(C1733)),"MESSWERT UNGUELTIG",IF(C1733&lt;0,"MESSWERT UNGUELTIG",IF(H1733="","TARIFPREIS FEHLT","OK"))))</f>
        <v>FEHLT</v>
      </c>
      <c r="K1733" s="7">
        <f>IF(J1733&lt;&gt;"OK","",C1733*I1733/100)</f>
        <v/>
      </c>
    </row>
    <row r="1734" spans="1:11">
      <c r="A1734" s="14">
        <v>46161</v>
      </c>
      <c r="B1734" s="15">
        <v>0</v>
      </c>
      <c r="C1734" s="5">
        <f>IF('96 Werte'!B24="","",'96 Werte'!B24)</f>
        <v/>
      </c>
      <c r="D1734" t="str">
        <f>IF(IF(Eingaben!$B$21&lt;Eingaben!$B$22,AND(B1734&gt;=Eingaben!$B$21,B1734&lt;Eingaben!$B$22),OR(B1734&gt;=Eingaben!$B$21,B1734&lt;Eingaben!$B$22)),"GO",IF(AND(ISNUMBER(Eingaben!$B$23),ISNUMBER(Eingaben!$B$24),IF(Eingaben!$B$23&lt;Eingaben!$B$24,AND(B1734&gt;=Eingaben!$B$23,B1734&lt;Eingaben!$B$24),OR(B1734&gt;=Eingaben!$B$23,B1734&lt;Eingaben!$B$24))),"HEAT","STANDARD"))</f>
        <v>GO</v>
      </c>
      <c r="E1734" s="9"/>
      <c r="F1734" t="str">
        <f>IF(E1734="",D1734,E1734)</f>
        <v>GO</v>
      </c>
      <c r="G1734" t="str">
        <f>INDEX(Netzzeiten!$B$6:$B$29,HOUR(B1734)+1)</f>
        <v>NT</v>
      </c>
      <c r="H1734" s="6">
        <f>IF(F1734="GO",Eingaben!$B$11,IF(F1734="STANDARD",Eingaben!$B$12,IF(AND(F1734="HEAT",ISNUMBER(Eingaben!$B$13)),Eingaben!$B$13,"")))</f>
        <v>15.0654</v>
      </c>
      <c r="I1734" s="6">
        <f>INDEX(Netzzeiten!$C$6:$C$29,HOUR(B1734)+1)</f>
        <v>1.64</v>
      </c>
      <c r="J1734" t="str">
        <f>IF(C1734="","FEHLT",IF(NOT(ISNUMBER(C1734)),"MESSWERT UNGUELTIG",IF(C1734&lt;0,"MESSWERT UNGUELTIG",IF(H1734="","TARIFPREIS FEHLT","OK"))))</f>
        <v>FEHLT</v>
      </c>
      <c r="K1734" s="7">
        <f>IF(J1734&lt;&gt;"OK","",C1734*I1734/100)</f>
        <v/>
      </c>
    </row>
    <row r="1735" spans="1:11">
      <c r="A1735" s="14">
        <v>46161</v>
      </c>
      <c r="B1735" s="15">
        <v>0.01041666666666667</v>
      </c>
      <c r="C1735" s="5">
        <f>IF('96 Werte'!C24="","",'96 Werte'!C24)</f>
        <v/>
      </c>
      <c r="D1735" t="str">
        <f>IF(IF(Eingaben!$B$21&lt;Eingaben!$B$22,AND(B1735&gt;=Eingaben!$B$21,B1735&lt;Eingaben!$B$22),OR(B1735&gt;=Eingaben!$B$21,B1735&lt;Eingaben!$B$22)),"GO",IF(AND(ISNUMBER(Eingaben!$B$23),ISNUMBER(Eingaben!$B$24),IF(Eingaben!$B$23&lt;Eingaben!$B$24,AND(B1735&gt;=Eingaben!$B$23,B1735&lt;Eingaben!$B$24),OR(B1735&gt;=Eingaben!$B$23,B1735&lt;Eingaben!$B$24))),"HEAT","STANDARD"))</f>
        <v>GO</v>
      </c>
      <c r="E1735" s="9"/>
      <c r="F1735" t="str">
        <f>IF(E1735="",D1735,E1735)</f>
        <v>GO</v>
      </c>
      <c r="G1735" t="str">
        <f>INDEX(Netzzeiten!$B$6:$B$29,HOUR(B1735)+1)</f>
        <v>NT</v>
      </c>
      <c r="H1735" s="6">
        <f>IF(F1735="GO",Eingaben!$B$11,IF(F1735="STANDARD",Eingaben!$B$12,IF(AND(F1735="HEAT",ISNUMBER(Eingaben!$B$13)),Eingaben!$B$13,"")))</f>
        <v>15.0654</v>
      </c>
      <c r="I1735" s="6">
        <f>INDEX(Netzzeiten!$C$6:$C$29,HOUR(B1735)+1)</f>
        <v>1.64</v>
      </c>
      <c r="J1735" t="str">
        <f>IF(C1735="","FEHLT",IF(NOT(ISNUMBER(C1735)),"MESSWERT UNGUELTIG",IF(C1735&lt;0,"MESSWERT UNGUELTIG",IF(H1735="","TARIFPREIS FEHLT","OK"))))</f>
        <v>FEHLT</v>
      </c>
      <c r="K1735" s="7">
        <f>IF(J1735&lt;&gt;"OK","",C1735*I1735/100)</f>
        <v/>
      </c>
    </row>
    <row r="1736" spans="1:11">
      <c r="A1736" s="14">
        <v>46161</v>
      </c>
      <c r="B1736" s="15">
        <v>0.02083333333333333</v>
      </c>
      <c r="C1736" s="5">
        <f>IF('96 Werte'!D24="","",'96 Werte'!D24)</f>
        <v/>
      </c>
      <c r="D1736" t="str">
        <f>IF(IF(Eingaben!$B$21&lt;Eingaben!$B$22,AND(B1736&gt;=Eingaben!$B$21,B1736&lt;Eingaben!$B$22),OR(B1736&gt;=Eingaben!$B$21,B1736&lt;Eingaben!$B$22)),"GO",IF(AND(ISNUMBER(Eingaben!$B$23),ISNUMBER(Eingaben!$B$24),IF(Eingaben!$B$23&lt;Eingaben!$B$24,AND(B1736&gt;=Eingaben!$B$23,B1736&lt;Eingaben!$B$24),OR(B1736&gt;=Eingaben!$B$23,B1736&lt;Eingaben!$B$24))),"HEAT","STANDARD"))</f>
        <v>GO</v>
      </c>
      <c r="E1736" s="9"/>
      <c r="F1736" t="str">
        <f>IF(E1736="",D1736,E1736)</f>
        <v>GO</v>
      </c>
      <c r="G1736" t="str">
        <f>INDEX(Netzzeiten!$B$6:$B$29,HOUR(B1736)+1)</f>
        <v>NT</v>
      </c>
      <c r="H1736" s="6">
        <f>IF(F1736="GO",Eingaben!$B$11,IF(F1736="STANDARD",Eingaben!$B$12,IF(AND(F1736="HEAT",ISNUMBER(Eingaben!$B$13)),Eingaben!$B$13,"")))</f>
        <v>15.0654</v>
      </c>
      <c r="I1736" s="6">
        <f>INDEX(Netzzeiten!$C$6:$C$29,HOUR(B1736)+1)</f>
        <v>1.64</v>
      </c>
      <c r="J1736" t="str">
        <f>IF(C1736="","FEHLT",IF(NOT(ISNUMBER(C1736)),"MESSWERT UNGUELTIG",IF(C1736&lt;0,"MESSWERT UNGUELTIG",IF(H1736="","TARIFPREIS FEHLT","OK"))))</f>
        <v>FEHLT</v>
      </c>
      <c r="K1736" s="7">
        <f>IF(J1736&lt;&gt;"OK","",C1736*I1736/100)</f>
        <v/>
      </c>
    </row>
    <row r="1737" spans="1:11">
      <c r="A1737" s="14">
        <v>46161</v>
      </c>
      <c r="B1737" s="15">
        <v>0.03125</v>
      </c>
      <c r="C1737" s="5">
        <f>IF('96 Werte'!E24="","",'96 Werte'!E24)</f>
        <v/>
      </c>
      <c r="D1737" t="str">
        <f>IF(IF(Eingaben!$B$21&lt;Eingaben!$B$22,AND(B1737&gt;=Eingaben!$B$21,B1737&lt;Eingaben!$B$22),OR(B1737&gt;=Eingaben!$B$21,B1737&lt;Eingaben!$B$22)),"GO",IF(AND(ISNUMBER(Eingaben!$B$23),ISNUMBER(Eingaben!$B$24),IF(Eingaben!$B$23&lt;Eingaben!$B$24,AND(B1737&gt;=Eingaben!$B$23,B1737&lt;Eingaben!$B$24),OR(B1737&gt;=Eingaben!$B$23,B1737&lt;Eingaben!$B$24))),"HEAT","STANDARD"))</f>
        <v>GO</v>
      </c>
      <c r="E1737" s="9"/>
      <c r="F1737" t="str">
        <f>IF(E1737="",D1737,E1737)</f>
        <v>GO</v>
      </c>
      <c r="G1737" t="str">
        <f>INDEX(Netzzeiten!$B$6:$B$29,HOUR(B1737)+1)</f>
        <v>NT</v>
      </c>
      <c r="H1737" s="6">
        <f>IF(F1737="GO",Eingaben!$B$11,IF(F1737="STANDARD",Eingaben!$B$12,IF(AND(F1737="HEAT",ISNUMBER(Eingaben!$B$13)),Eingaben!$B$13,"")))</f>
        <v>15.0654</v>
      </c>
      <c r="I1737" s="6">
        <f>INDEX(Netzzeiten!$C$6:$C$29,HOUR(B1737)+1)</f>
        <v>1.64</v>
      </c>
      <c r="J1737" t="str">
        <f>IF(C1737="","FEHLT",IF(NOT(ISNUMBER(C1737)),"MESSWERT UNGUELTIG",IF(C1737&lt;0,"MESSWERT UNGUELTIG",IF(H1737="","TARIFPREIS FEHLT","OK"))))</f>
        <v>FEHLT</v>
      </c>
      <c r="K1737" s="7">
        <f>IF(J1737&lt;&gt;"OK","",C1737*I1737/100)</f>
        <v/>
      </c>
    </row>
    <row r="1738" spans="1:11">
      <c r="A1738" s="14">
        <v>46161</v>
      </c>
      <c r="B1738" s="15">
        <v>0.04166666666666666</v>
      </c>
      <c r="C1738" s="5">
        <f>IF('96 Werte'!F24="","",'96 Werte'!F24)</f>
        <v/>
      </c>
      <c r="D1738" t="str">
        <f>IF(IF(Eingaben!$B$21&lt;Eingaben!$B$22,AND(B1738&gt;=Eingaben!$B$21,B1738&lt;Eingaben!$B$22),OR(B1738&gt;=Eingaben!$B$21,B1738&lt;Eingaben!$B$22)),"GO",IF(AND(ISNUMBER(Eingaben!$B$23),ISNUMBER(Eingaben!$B$24),IF(Eingaben!$B$23&lt;Eingaben!$B$24,AND(B1738&gt;=Eingaben!$B$23,B1738&lt;Eingaben!$B$24),OR(B1738&gt;=Eingaben!$B$23,B1738&lt;Eingaben!$B$24))),"HEAT","STANDARD"))</f>
        <v>GO</v>
      </c>
      <c r="E1738" s="9"/>
      <c r="F1738" t="str">
        <f>IF(E1738="",D1738,E1738)</f>
        <v>GO</v>
      </c>
      <c r="G1738" t="str">
        <f>INDEX(Netzzeiten!$B$6:$B$29,HOUR(B1738)+1)</f>
        <v>NT</v>
      </c>
      <c r="H1738" s="6">
        <f>IF(F1738="GO",Eingaben!$B$11,IF(F1738="STANDARD",Eingaben!$B$12,IF(AND(F1738="HEAT",ISNUMBER(Eingaben!$B$13)),Eingaben!$B$13,"")))</f>
        <v>15.0654</v>
      </c>
      <c r="I1738" s="6">
        <f>INDEX(Netzzeiten!$C$6:$C$29,HOUR(B1738)+1)</f>
        <v>1.64</v>
      </c>
      <c r="J1738" t="str">
        <f>IF(C1738="","FEHLT",IF(NOT(ISNUMBER(C1738)),"MESSWERT UNGUELTIG",IF(C1738&lt;0,"MESSWERT UNGUELTIG",IF(H1738="","TARIFPREIS FEHLT","OK"))))</f>
        <v>FEHLT</v>
      </c>
      <c r="K1738" s="7">
        <f>IF(J1738&lt;&gt;"OK","",C1738*I1738/100)</f>
        <v/>
      </c>
    </row>
    <row r="1739" spans="1:11">
      <c r="A1739" s="14">
        <v>46161</v>
      </c>
      <c r="B1739" s="15">
        <v>0.05208333333333334</v>
      </c>
      <c r="C1739" s="5">
        <f>IF('96 Werte'!G24="","",'96 Werte'!G24)</f>
        <v/>
      </c>
      <c r="D1739" t="str">
        <f>IF(IF(Eingaben!$B$21&lt;Eingaben!$B$22,AND(B1739&gt;=Eingaben!$B$21,B1739&lt;Eingaben!$B$22),OR(B1739&gt;=Eingaben!$B$21,B1739&lt;Eingaben!$B$22)),"GO",IF(AND(ISNUMBER(Eingaben!$B$23),ISNUMBER(Eingaben!$B$24),IF(Eingaben!$B$23&lt;Eingaben!$B$24,AND(B1739&gt;=Eingaben!$B$23,B1739&lt;Eingaben!$B$24),OR(B1739&gt;=Eingaben!$B$23,B1739&lt;Eingaben!$B$24))),"HEAT","STANDARD"))</f>
        <v>GO</v>
      </c>
      <c r="E1739" s="9"/>
      <c r="F1739" t="str">
        <f>IF(E1739="",D1739,E1739)</f>
        <v>GO</v>
      </c>
      <c r="G1739" t="str">
        <f>INDEX(Netzzeiten!$B$6:$B$29,HOUR(B1739)+1)</f>
        <v>NT</v>
      </c>
      <c r="H1739" s="6">
        <f>IF(F1739="GO",Eingaben!$B$11,IF(F1739="STANDARD",Eingaben!$B$12,IF(AND(F1739="HEAT",ISNUMBER(Eingaben!$B$13)),Eingaben!$B$13,"")))</f>
        <v>15.0654</v>
      </c>
      <c r="I1739" s="6">
        <f>INDEX(Netzzeiten!$C$6:$C$29,HOUR(B1739)+1)</f>
        <v>1.64</v>
      </c>
      <c r="J1739" t="str">
        <f>IF(C1739="","FEHLT",IF(NOT(ISNUMBER(C1739)),"MESSWERT UNGUELTIG",IF(C1739&lt;0,"MESSWERT UNGUELTIG",IF(H1739="","TARIFPREIS FEHLT","OK"))))</f>
        <v>FEHLT</v>
      </c>
      <c r="K1739" s="7">
        <f>IF(J1739&lt;&gt;"OK","",C1739*I1739/100)</f>
        <v/>
      </c>
    </row>
    <row r="1740" spans="1:11">
      <c r="A1740" s="14">
        <v>46161</v>
      </c>
      <c r="B1740" s="15">
        <v>0.0625</v>
      </c>
      <c r="C1740" s="5">
        <f>IF('96 Werte'!H24="","",'96 Werte'!H24)</f>
        <v/>
      </c>
      <c r="D1740" t="str">
        <f>IF(IF(Eingaben!$B$21&lt;Eingaben!$B$22,AND(B1740&gt;=Eingaben!$B$21,B1740&lt;Eingaben!$B$22),OR(B1740&gt;=Eingaben!$B$21,B1740&lt;Eingaben!$B$22)),"GO",IF(AND(ISNUMBER(Eingaben!$B$23),ISNUMBER(Eingaben!$B$24),IF(Eingaben!$B$23&lt;Eingaben!$B$24,AND(B1740&gt;=Eingaben!$B$23,B1740&lt;Eingaben!$B$24),OR(B1740&gt;=Eingaben!$B$23,B1740&lt;Eingaben!$B$24))),"HEAT","STANDARD"))</f>
        <v>GO</v>
      </c>
      <c r="E1740" s="9"/>
      <c r="F1740" t="str">
        <f>IF(E1740="",D1740,E1740)</f>
        <v>GO</v>
      </c>
      <c r="G1740" t="str">
        <f>INDEX(Netzzeiten!$B$6:$B$29,HOUR(B1740)+1)</f>
        <v>NT</v>
      </c>
      <c r="H1740" s="6">
        <f>IF(F1740="GO",Eingaben!$B$11,IF(F1740="STANDARD",Eingaben!$B$12,IF(AND(F1740="HEAT",ISNUMBER(Eingaben!$B$13)),Eingaben!$B$13,"")))</f>
        <v>15.0654</v>
      </c>
      <c r="I1740" s="6">
        <f>INDEX(Netzzeiten!$C$6:$C$29,HOUR(B1740)+1)</f>
        <v>1.64</v>
      </c>
      <c r="J1740" t="str">
        <f>IF(C1740="","FEHLT",IF(NOT(ISNUMBER(C1740)),"MESSWERT UNGUELTIG",IF(C1740&lt;0,"MESSWERT UNGUELTIG",IF(H1740="","TARIFPREIS FEHLT","OK"))))</f>
        <v>FEHLT</v>
      </c>
      <c r="K1740" s="7">
        <f>IF(J1740&lt;&gt;"OK","",C1740*I1740/100)</f>
        <v/>
      </c>
    </row>
    <row r="1741" spans="1:11">
      <c r="A1741" s="14">
        <v>46161</v>
      </c>
      <c r="B1741" s="15">
        <v>0.07291666666666667</v>
      </c>
      <c r="C1741" s="5">
        <f>IF('96 Werte'!I24="","",'96 Werte'!I24)</f>
        <v/>
      </c>
      <c r="D1741" t="str">
        <f>IF(IF(Eingaben!$B$21&lt;Eingaben!$B$22,AND(B1741&gt;=Eingaben!$B$21,B1741&lt;Eingaben!$B$22),OR(B1741&gt;=Eingaben!$B$21,B1741&lt;Eingaben!$B$22)),"GO",IF(AND(ISNUMBER(Eingaben!$B$23),ISNUMBER(Eingaben!$B$24),IF(Eingaben!$B$23&lt;Eingaben!$B$24,AND(B1741&gt;=Eingaben!$B$23,B1741&lt;Eingaben!$B$24),OR(B1741&gt;=Eingaben!$B$23,B1741&lt;Eingaben!$B$24))),"HEAT","STANDARD"))</f>
        <v>GO</v>
      </c>
      <c r="E1741" s="9"/>
      <c r="F1741" t="str">
        <f>IF(E1741="",D1741,E1741)</f>
        <v>GO</v>
      </c>
      <c r="G1741" t="str">
        <f>INDEX(Netzzeiten!$B$6:$B$29,HOUR(B1741)+1)</f>
        <v>NT</v>
      </c>
      <c r="H1741" s="6">
        <f>IF(F1741="GO",Eingaben!$B$11,IF(F1741="STANDARD",Eingaben!$B$12,IF(AND(F1741="HEAT",ISNUMBER(Eingaben!$B$13)),Eingaben!$B$13,"")))</f>
        <v>15.0654</v>
      </c>
      <c r="I1741" s="6">
        <f>INDEX(Netzzeiten!$C$6:$C$29,HOUR(B1741)+1)</f>
        <v>1.64</v>
      </c>
      <c r="J1741" t="str">
        <f>IF(C1741="","FEHLT",IF(NOT(ISNUMBER(C1741)),"MESSWERT UNGUELTIG",IF(C1741&lt;0,"MESSWERT UNGUELTIG",IF(H1741="","TARIFPREIS FEHLT","OK"))))</f>
        <v>FEHLT</v>
      </c>
      <c r="K1741" s="7">
        <f>IF(J1741&lt;&gt;"OK","",C1741*I1741/100)</f>
        <v/>
      </c>
    </row>
    <row r="1742" spans="1:11">
      <c r="A1742" s="14">
        <v>46161</v>
      </c>
      <c r="B1742" s="15">
        <v>0.08333333333333333</v>
      </c>
      <c r="C1742" s="5">
        <f>IF('96 Werte'!J24="","",'96 Werte'!J24)</f>
        <v/>
      </c>
      <c r="D1742" t="str">
        <f>IF(IF(Eingaben!$B$21&lt;Eingaben!$B$22,AND(B1742&gt;=Eingaben!$B$21,B1742&lt;Eingaben!$B$22),OR(B1742&gt;=Eingaben!$B$21,B1742&lt;Eingaben!$B$22)),"GO",IF(AND(ISNUMBER(Eingaben!$B$23),ISNUMBER(Eingaben!$B$24),IF(Eingaben!$B$23&lt;Eingaben!$B$24,AND(B1742&gt;=Eingaben!$B$23,B1742&lt;Eingaben!$B$24),OR(B1742&gt;=Eingaben!$B$23,B1742&lt;Eingaben!$B$24))),"HEAT","STANDARD"))</f>
        <v>GO</v>
      </c>
      <c r="E1742" s="9"/>
      <c r="F1742" t="str">
        <f>IF(E1742="",D1742,E1742)</f>
        <v>GO</v>
      </c>
      <c r="G1742" t="str">
        <f>INDEX(Netzzeiten!$B$6:$B$29,HOUR(B1742)+1)</f>
        <v>NT</v>
      </c>
      <c r="H1742" s="6">
        <f>IF(F1742="GO",Eingaben!$B$11,IF(F1742="STANDARD",Eingaben!$B$12,IF(AND(F1742="HEAT",ISNUMBER(Eingaben!$B$13)),Eingaben!$B$13,"")))</f>
        <v>15.0654</v>
      </c>
      <c r="I1742" s="6">
        <f>INDEX(Netzzeiten!$C$6:$C$29,HOUR(B1742)+1)</f>
        <v>1.64</v>
      </c>
      <c r="J1742" t="str">
        <f>IF(C1742="","FEHLT",IF(NOT(ISNUMBER(C1742)),"MESSWERT UNGUELTIG",IF(C1742&lt;0,"MESSWERT UNGUELTIG",IF(H1742="","TARIFPREIS FEHLT","OK"))))</f>
        <v>FEHLT</v>
      </c>
      <c r="K1742" s="7">
        <f>IF(J1742&lt;&gt;"OK","",C1742*I1742/100)</f>
        <v/>
      </c>
    </row>
    <row r="1743" spans="1:11">
      <c r="A1743" s="14">
        <v>46161</v>
      </c>
      <c r="B1743" s="15">
        <v>0.09375</v>
      </c>
      <c r="C1743" s="5">
        <f>IF('96 Werte'!K24="","",'96 Werte'!K24)</f>
        <v/>
      </c>
      <c r="D1743" t="str">
        <f>IF(IF(Eingaben!$B$21&lt;Eingaben!$B$22,AND(B1743&gt;=Eingaben!$B$21,B1743&lt;Eingaben!$B$22),OR(B1743&gt;=Eingaben!$B$21,B1743&lt;Eingaben!$B$22)),"GO",IF(AND(ISNUMBER(Eingaben!$B$23),ISNUMBER(Eingaben!$B$24),IF(Eingaben!$B$23&lt;Eingaben!$B$24,AND(B1743&gt;=Eingaben!$B$23,B1743&lt;Eingaben!$B$24),OR(B1743&gt;=Eingaben!$B$23,B1743&lt;Eingaben!$B$24))),"HEAT","STANDARD"))</f>
        <v>GO</v>
      </c>
      <c r="E1743" s="9"/>
      <c r="F1743" t="str">
        <f>IF(E1743="",D1743,E1743)</f>
        <v>GO</v>
      </c>
      <c r="G1743" t="str">
        <f>INDEX(Netzzeiten!$B$6:$B$29,HOUR(B1743)+1)</f>
        <v>NT</v>
      </c>
      <c r="H1743" s="6">
        <f>IF(F1743="GO",Eingaben!$B$11,IF(F1743="STANDARD",Eingaben!$B$12,IF(AND(F1743="HEAT",ISNUMBER(Eingaben!$B$13)),Eingaben!$B$13,"")))</f>
        <v>15.0654</v>
      </c>
      <c r="I1743" s="6">
        <f>INDEX(Netzzeiten!$C$6:$C$29,HOUR(B1743)+1)</f>
        <v>1.64</v>
      </c>
      <c r="J1743" t="str">
        <f>IF(C1743="","FEHLT",IF(NOT(ISNUMBER(C1743)),"MESSWERT UNGUELTIG",IF(C1743&lt;0,"MESSWERT UNGUELTIG",IF(H1743="","TARIFPREIS FEHLT","OK"))))</f>
        <v>FEHLT</v>
      </c>
      <c r="K1743" s="7">
        <f>IF(J1743&lt;&gt;"OK","",C1743*I1743/100)</f>
        <v/>
      </c>
    </row>
    <row r="1744" spans="1:11">
      <c r="A1744" s="14">
        <v>46161</v>
      </c>
      <c r="B1744" s="15">
        <v>0.1041666666666667</v>
      </c>
      <c r="C1744" s="5">
        <f>IF('96 Werte'!L24="","",'96 Werte'!L24)</f>
        <v/>
      </c>
      <c r="D1744" t="str">
        <f>IF(IF(Eingaben!$B$21&lt;Eingaben!$B$22,AND(B1744&gt;=Eingaben!$B$21,B1744&lt;Eingaben!$B$22),OR(B1744&gt;=Eingaben!$B$21,B1744&lt;Eingaben!$B$22)),"GO",IF(AND(ISNUMBER(Eingaben!$B$23),ISNUMBER(Eingaben!$B$24),IF(Eingaben!$B$23&lt;Eingaben!$B$24,AND(B1744&gt;=Eingaben!$B$23,B1744&lt;Eingaben!$B$24),OR(B1744&gt;=Eingaben!$B$23,B1744&lt;Eingaben!$B$24))),"HEAT","STANDARD"))</f>
        <v>GO</v>
      </c>
      <c r="E1744" s="9"/>
      <c r="F1744" t="str">
        <f>IF(E1744="",D1744,E1744)</f>
        <v>GO</v>
      </c>
      <c r="G1744" t="str">
        <f>INDEX(Netzzeiten!$B$6:$B$29,HOUR(B1744)+1)</f>
        <v>NT</v>
      </c>
      <c r="H1744" s="6">
        <f>IF(F1744="GO",Eingaben!$B$11,IF(F1744="STANDARD",Eingaben!$B$12,IF(AND(F1744="HEAT",ISNUMBER(Eingaben!$B$13)),Eingaben!$B$13,"")))</f>
        <v>15.0654</v>
      </c>
      <c r="I1744" s="6">
        <f>INDEX(Netzzeiten!$C$6:$C$29,HOUR(B1744)+1)</f>
        <v>1.64</v>
      </c>
      <c r="J1744" t="str">
        <f>IF(C1744="","FEHLT",IF(NOT(ISNUMBER(C1744)),"MESSWERT UNGUELTIG",IF(C1744&lt;0,"MESSWERT UNGUELTIG",IF(H1744="","TARIFPREIS FEHLT","OK"))))</f>
        <v>FEHLT</v>
      </c>
      <c r="K1744" s="7">
        <f>IF(J1744&lt;&gt;"OK","",C1744*I1744/100)</f>
        <v/>
      </c>
    </row>
    <row r="1745" spans="1:11">
      <c r="A1745" s="14">
        <v>46161</v>
      </c>
      <c r="B1745" s="15">
        <v>0.1145833333333333</v>
      </c>
      <c r="C1745" s="5">
        <f>IF('96 Werte'!M24="","",'96 Werte'!M24)</f>
        <v/>
      </c>
      <c r="D1745" t="str">
        <f>IF(IF(Eingaben!$B$21&lt;Eingaben!$B$22,AND(B1745&gt;=Eingaben!$B$21,B1745&lt;Eingaben!$B$22),OR(B1745&gt;=Eingaben!$B$21,B1745&lt;Eingaben!$B$22)),"GO",IF(AND(ISNUMBER(Eingaben!$B$23),ISNUMBER(Eingaben!$B$24),IF(Eingaben!$B$23&lt;Eingaben!$B$24,AND(B1745&gt;=Eingaben!$B$23,B1745&lt;Eingaben!$B$24),OR(B1745&gt;=Eingaben!$B$23,B1745&lt;Eingaben!$B$24))),"HEAT","STANDARD"))</f>
        <v>GO</v>
      </c>
      <c r="E1745" s="9"/>
      <c r="F1745" t="str">
        <f>IF(E1745="",D1745,E1745)</f>
        <v>GO</v>
      </c>
      <c r="G1745" t="str">
        <f>INDEX(Netzzeiten!$B$6:$B$29,HOUR(B1745)+1)</f>
        <v>NT</v>
      </c>
      <c r="H1745" s="6">
        <f>IF(F1745="GO",Eingaben!$B$11,IF(F1745="STANDARD",Eingaben!$B$12,IF(AND(F1745="HEAT",ISNUMBER(Eingaben!$B$13)),Eingaben!$B$13,"")))</f>
        <v>15.0654</v>
      </c>
      <c r="I1745" s="6">
        <f>INDEX(Netzzeiten!$C$6:$C$29,HOUR(B1745)+1)</f>
        <v>1.64</v>
      </c>
      <c r="J1745" t="str">
        <f>IF(C1745="","FEHLT",IF(NOT(ISNUMBER(C1745)),"MESSWERT UNGUELTIG",IF(C1745&lt;0,"MESSWERT UNGUELTIG",IF(H1745="","TARIFPREIS FEHLT","OK"))))</f>
        <v>FEHLT</v>
      </c>
      <c r="K1745" s="7">
        <f>IF(J1745&lt;&gt;"OK","",C1745*I1745/100)</f>
        <v/>
      </c>
    </row>
    <row r="1746" spans="1:11">
      <c r="A1746" s="14">
        <v>46161</v>
      </c>
      <c r="B1746" s="15">
        <v>0.125</v>
      </c>
      <c r="C1746" s="5">
        <f>IF('96 Werte'!N24="","",'96 Werte'!N24)</f>
        <v/>
      </c>
      <c r="D1746" t="str">
        <f>IF(IF(Eingaben!$B$21&lt;Eingaben!$B$22,AND(B1746&gt;=Eingaben!$B$21,B1746&lt;Eingaben!$B$22),OR(B1746&gt;=Eingaben!$B$21,B1746&lt;Eingaben!$B$22)),"GO",IF(AND(ISNUMBER(Eingaben!$B$23),ISNUMBER(Eingaben!$B$24),IF(Eingaben!$B$23&lt;Eingaben!$B$24,AND(B1746&gt;=Eingaben!$B$23,B1746&lt;Eingaben!$B$24),OR(B1746&gt;=Eingaben!$B$23,B1746&lt;Eingaben!$B$24))),"HEAT","STANDARD"))</f>
        <v>GO</v>
      </c>
      <c r="E1746" s="9"/>
      <c r="F1746" t="str">
        <f>IF(E1746="",D1746,E1746)</f>
        <v>GO</v>
      </c>
      <c r="G1746" t="str">
        <f>INDEX(Netzzeiten!$B$6:$B$29,HOUR(B1746)+1)</f>
        <v>NT</v>
      </c>
      <c r="H1746" s="6">
        <f>IF(F1746="GO",Eingaben!$B$11,IF(F1746="STANDARD",Eingaben!$B$12,IF(AND(F1746="HEAT",ISNUMBER(Eingaben!$B$13)),Eingaben!$B$13,"")))</f>
        <v>15.0654</v>
      </c>
      <c r="I1746" s="6">
        <f>INDEX(Netzzeiten!$C$6:$C$29,HOUR(B1746)+1)</f>
        <v>1.64</v>
      </c>
      <c r="J1746" t="str">
        <f>IF(C1746="","FEHLT",IF(NOT(ISNUMBER(C1746)),"MESSWERT UNGUELTIG",IF(C1746&lt;0,"MESSWERT UNGUELTIG",IF(H1746="","TARIFPREIS FEHLT","OK"))))</f>
        <v>FEHLT</v>
      </c>
      <c r="K1746" s="7">
        <f>IF(J1746&lt;&gt;"OK","",C1746*I1746/100)</f>
        <v/>
      </c>
    </row>
    <row r="1747" spans="1:11">
      <c r="A1747" s="14">
        <v>46161</v>
      </c>
      <c r="B1747" s="15">
        <v>0.1354166666666667</v>
      </c>
      <c r="C1747" s="5">
        <f>IF('96 Werte'!O24="","",'96 Werte'!O24)</f>
        <v/>
      </c>
      <c r="D1747" t="str">
        <f>IF(IF(Eingaben!$B$21&lt;Eingaben!$B$22,AND(B1747&gt;=Eingaben!$B$21,B1747&lt;Eingaben!$B$22),OR(B1747&gt;=Eingaben!$B$21,B1747&lt;Eingaben!$B$22)),"GO",IF(AND(ISNUMBER(Eingaben!$B$23),ISNUMBER(Eingaben!$B$24),IF(Eingaben!$B$23&lt;Eingaben!$B$24,AND(B1747&gt;=Eingaben!$B$23,B1747&lt;Eingaben!$B$24),OR(B1747&gt;=Eingaben!$B$23,B1747&lt;Eingaben!$B$24))),"HEAT","STANDARD"))</f>
        <v>GO</v>
      </c>
      <c r="E1747" s="9"/>
      <c r="F1747" t="str">
        <f>IF(E1747="",D1747,E1747)</f>
        <v>GO</v>
      </c>
      <c r="G1747" t="str">
        <f>INDEX(Netzzeiten!$B$6:$B$29,HOUR(B1747)+1)</f>
        <v>NT</v>
      </c>
      <c r="H1747" s="6">
        <f>IF(F1747="GO",Eingaben!$B$11,IF(F1747="STANDARD",Eingaben!$B$12,IF(AND(F1747="HEAT",ISNUMBER(Eingaben!$B$13)),Eingaben!$B$13,"")))</f>
        <v>15.0654</v>
      </c>
      <c r="I1747" s="6">
        <f>INDEX(Netzzeiten!$C$6:$C$29,HOUR(B1747)+1)</f>
        <v>1.64</v>
      </c>
      <c r="J1747" t="str">
        <f>IF(C1747="","FEHLT",IF(NOT(ISNUMBER(C1747)),"MESSWERT UNGUELTIG",IF(C1747&lt;0,"MESSWERT UNGUELTIG",IF(H1747="","TARIFPREIS FEHLT","OK"))))</f>
        <v>FEHLT</v>
      </c>
      <c r="K1747" s="7">
        <f>IF(J1747&lt;&gt;"OK","",C1747*I1747/100)</f>
        <v/>
      </c>
    </row>
    <row r="1748" spans="1:11">
      <c r="A1748" s="14">
        <v>46161</v>
      </c>
      <c r="B1748" s="15">
        <v>0.1458333333333333</v>
      </c>
      <c r="C1748" s="5">
        <f>IF('96 Werte'!P24="","",'96 Werte'!P24)</f>
        <v/>
      </c>
      <c r="D1748" t="str">
        <f>IF(IF(Eingaben!$B$21&lt;Eingaben!$B$22,AND(B1748&gt;=Eingaben!$B$21,B1748&lt;Eingaben!$B$22),OR(B1748&gt;=Eingaben!$B$21,B1748&lt;Eingaben!$B$22)),"GO",IF(AND(ISNUMBER(Eingaben!$B$23),ISNUMBER(Eingaben!$B$24),IF(Eingaben!$B$23&lt;Eingaben!$B$24,AND(B1748&gt;=Eingaben!$B$23,B1748&lt;Eingaben!$B$24),OR(B1748&gt;=Eingaben!$B$23,B1748&lt;Eingaben!$B$24))),"HEAT","STANDARD"))</f>
        <v>GO</v>
      </c>
      <c r="E1748" s="9"/>
      <c r="F1748" t="str">
        <f>IF(E1748="",D1748,E1748)</f>
        <v>GO</v>
      </c>
      <c r="G1748" t="str">
        <f>INDEX(Netzzeiten!$B$6:$B$29,HOUR(B1748)+1)</f>
        <v>NT</v>
      </c>
      <c r="H1748" s="6">
        <f>IF(F1748="GO",Eingaben!$B$11,IF(F1748="STANDARD",Eingaben!$B$12,IF(AND(F1748="HEAT",ISNUMBER(Eingaben!$B$13)),Eingaben!$B$13,"")))</f>
        <v>15.0654</v>
      </c>
      <c r="I1748" s="6">
        <f>INDEX(Netzzeiten!$C$6:$C$29,HOUR(B1748)+1)</f>
        <v>1.64</v>
      </c>
      <c r="J1748" t="str">
        <f>IF(C1748="","FEHLT",IF(NOT(ISNUMBER(C1748)),"MESSWERT UNGUELTIG",IF(C1748&lt;0,"MESSWERT UNGUELTIG",IF(H1748="","TARIFPREIS FEHLT","OK"))))</f>
        <v>FEHLT</v>
      </c>
      <c r="K1748" s="7">
        <f>IF(J1748&lt;&gt;"OK","",C1748*I1748/100)</f>
        <v/>
      </c>
    </row>
    <row r="1749" spans="1:11">
      <c r="A1749" s="14">
        <v>46161</v>
      </c>
      <c r="B1749" s="15">
        <v>0.15625</v>
      </c>
      <c r="C1749" s="5">
        <f>IF('96 Werte'!Q24="","",'96 Werte'!Q24)</f>
        <v/>
      </c>
      <c r="D1749" t="str">
        <f>IF(IF(Eingaben!$B$21&lt;Eingaben!$B$22,AND(B1749&gt;=Eingaben!$B$21,B1749&lt;Eingaben!$B$22),OR(B1749&gt;=Eingaben!$B$21,B1749&lt;Eingaben!$B$22)),"GO",IF(AND(ISNUMBER(Eingaben!$B$23),ISNUMBER(Eingaben!$B$24),IF(Eingaben!$B$23&lt;Eingaben!$B$24,AND(B1749&gt;=Eingaben!$B$23,B1749&lt;Eingaben!$B$24),OR(B1749&gt;=Eingaben!$B$23,B1749&lt;Eingaben!$B$24))),"HEAT","STANDARD"))</f>
        <v>GO</v>
      </c>
      <c r="E1749" s="9"/>
      <c r="F1749" t="str">
        <f>IF(E1749="",D1749,E1749)</f>
        <v>GO</v>
      </c>
      <c r="G1749" t="str">
        <f>INDEX(Netzzeiten!$B$6:$B$29,HOUR(B1749)+1)</f>
        <v>NT</v>
      </c>
      <c r="H1749" s="6">
        <f>IF(F1749="GO",Eingaben!$B$11,IF(F1749="STANDARD",Eingaben!$B$12,IF(AND(F1749="HEAT",ISNUMBER(Eingaben!$B$13)),Eingaben!$B$13,"")))</f>
        <v>15.0654</v>
      </c>
      <c r="I1749" s="6">
        <f>INDEX(Netzzeiten!$C$6:$C$29,HOUR(B1749)+1)</f>
        <v>1.64</v>
      </c>
      <c r="J1749" t="str">
        <f>IF(C1749="","FEHLT",IF(NOT(ISNUMBER(C1749)),"MESSWERT UNGUELTIG",IF(C1749&lt;0,"MESSWERT UNGUELTIG",IF(H1749="","TARIFPREIS FEHLT","OK"))))</f>
        <v>FEHLT</v>
      </c>
      <c r="K1749" s="7">
        <f>IF(J1749&lt;&gt;"OK","",C1749*I1749/100)</f>
        <v/>
      </c>
    </row>
    <row r="1750" spans="1:11">
      <c r="A1750" s="14">
        <v>46161</v>
      </c>
      <c r="B1750" s="15">
        <v>0.1666666666666667</v>
      </c>
      <c r="C1750" s="5">
        <f>IF('96 Werte'!R24="","",'96 Werte'!R24)</f>
        <v/>
      </c>
      <c r="D1750" t="str">
        <f>IF(IF(Eingaben!$B$21&lt;Eingaben!$B$22,AND(B1750&gt;=Eingaben!$B$21,B1750&lt;Eingaben!$B$22),OR(B1750&gt;=Eingaben!$B$21,B1750&lt;Eingaben!$B$22)),"GO",IF(AND(ISNUMBER(Eingaben!$B$23),ISNUMBER(Eingaben!$B$24),IF(Eingaben!$B$23&lt;Eingaben!$B$24,AND(B1750&gt;=Eingaben!$B$23,B1750&lt;Eingaben!$B$24),OR(B1750&gt;=Eingaben!$B$23,B1750&lt;Eingaben!$B$24))),"HEAT","STANDARD"))</f>
        <v>GO</v>
      </c>
      <c r="E1750" s="9"/>
      <c r="F1750" t="str">
        <f>IF(E1750="",D1750,E1750)</f>
        <v>GO</v>
      </c>
      <c r="G1750" t="str">
        <f>INDEX(Netzzeiten!$B$6:$B$29,HOUR(B1750)+1)</f>
        <v>NT</v>
      </c>
      <c r="H1750" s="6">
        <f>IF(F1750="GO",Eingaben!$B$11,IF(F1750="STANDARD",Eingaben!$B$12,IF(AND(F1750="HEAT",ISNUMBER(Eingaben!$B$13)),Eingaben!$B$13,"")))</f>
        <v>15.0654</v>
      </c>
      <c r="I1750" s="6">
        <f>INDEX(Netzzeiten!$C$6:$C$29,HOUR(B1750)+1)</f>
        <v>1.64</v>
      </c>
      <c r="J1750" t="str">
        <f>IF(C1750="","FEHLT",IF(NOT(ISNUMBER(C1750)),"MESSWERT UNGUELTIG",IF(C1750&lt;0,"MESSWERT UNGUELTIG",IF(H1750="","TARIFPREIS FEHLT","OK"))))</f>
        <v>FEHLT</v>
      </c>
      <c r="K1750" s="7">
        <f>IF(J1750&lt;&gt;"OK","",C1750*I1750/100)</f>
        <v/>
      </c>
    </row>
    <row r="1751" spans="1:11">
      <c r="A1751" s="14">
        <v>46161</v>
      </c>
      <c r="B1751" s="15">
        <v>0.1770833333333333</v>
      </c>
      <c r="C1751" s="5">
        <f>IF('96 Werte'!S24="","",'96 Werte'!S24)</f>
        <v/>
      </c>
      <c r="D1751" t="str">
        <f>IF(IF(Eingaben!$B$21&lt;Eingaben!$B$22,AND(B1751&gt;=Eingaben!$B$21,B1751&lt;Eingaben!$B$22),OR(B1751&gt;=Eingaben!$B$21,B1751&lt;Eingaben!$B$22)),"GO",IF(AND(ISNUMBER(Eingaben!$B$23),ISNUMBER(Eingaben!$B$24),IF(Eingaben!$B$23&lt;Eingaben!$B$24,AND(B1751&gt;=Eingaben!$B$23,B1751&lt;Eingaben!$B$24),OR(B1751&gt;=Eingaben!$B$23,B1751&lt;Eingaben!$B$24))),"HEAT","STANDARD"))</f>
        <v>GO</v>
      </c>
      <c r="E1751" s="9"/>
      <c r="F1751" t="str">
        <f>IF(E1751="",D1751,E1751)</f>
        <v>GO</v>
      </c>
      <c r="G1751" t="str">
        <f>INDEX(Netzzeiten!$B$6:$B$29,HOUR(B1751)+1)</f>
        <v>NT</v>
      </c>
      <c r="H1751" s="6">
        <f>IF(F1751="GO",Eingaben!$B$11,IF(F1751="STANDARD",Eingaben!$B$12,IF(AND(F1751="HEAT",ISNUMBER(Eingaben!$B$13)),Eingaben!$B$13,"")))</f>
        <v>15.0654</v>
      </c>
      <c r="I1751" s="6">
        <f>INDEX(Netzzeiten!$C$6:$C$29,HOUR(B1751)+1)</f>
        <v>1.64</v>
      </c>
      <c r="J1751" t="str">
        <f>IF(C1751="","FEHLT",IF(NOT(ISNUMBER(C1751)),"MESSWERT UNGUELTIG",IF(C1751&lt;0,"MESSWERT UNGUELTIG",IF(H1751="","TARIFPREIS FEHLT","OK"))))</f>
        <v>FEHLT</v>
      </c>
      <c r="K1751" s="7">
        <f>IF(J1751&lt;&gt;"OK","",C1751*I1751/100)</f>
        <v/>
      </c>
    </row>
    <row r="1752" spans="1:11">
      <c r="A1752" s="14">
        <v>46161</v>
      </c>
      <c r="B1752" s="15">
        <v>0.1875</v>
      </c>
      <c r="C1752" s="5">
        <f>IF('96 Werte'!T24="","",'96 Werte'!T24)</f>
        <v/>
      </c>
      <c r="D1752" t="str">
        <f>IF(IF(Eingaben!$B$21&lt;Eingaben!$B$22,AND(B1752&gt;=Eingaben!$B$21,B1752&lt;Eingaben!$B$22),OR(B1752&gt;=Eingaben!$B$21,B1752&lt;Eingaben!$B$22)),"GO",IF(AND(ISNUMBER(Eingaben!$B$23),ISNUMBER(Eingaben!$B$24),IF(Eingaben!$B$23&lt;Eingaben!$B$24,AND(B1752&gt;=Eingaben!$B$23,B1752&lt;Eingaben!$B$24),OR(B1752&gt;=Eingaben!$B$23,B1752&lt;Eingaben!$B$24))),"HEAT","STANDARD"))</f>
        <v>GO</v>
      </c>
      <c r="E1752" s="9"/>
      <c r="F1752" t="str">
        <f>IF(E1752="",D1752,E1752)</f>
        <v>GO</v>
      </c>
      <c r="G1752" t="str">
        <f>INDEX(Netzzeiten!$B$6:$B$29,HOUR(B1752)+1)</f>
        <v>NT</v>
      </c>
      <c r="H1752" s="6">
        <f>IF(F1752="GO",Eingaben!$B$11,IF(F1752="STANDARD",Eingaben!$B$12,IF(AND(F1752="HEAT",ISNUMBER(Eingaben!$B$13)),Eingaben!$B$13,"")))</f>
        <v>15.0654</v>
      </c>
      <c r="I1752" s="6">
        <f>INDEX(Netzzeiten!$C$6:$C$29,HOUR(B1752)+1)</f>
        <v>1.64</v>
      </c>
      <c r="J1752" t="str">
        <f>IF(C1752="","FEHLT",IF(NOT(ISNUMBER(C1752)),"MESSWERT UNGUELTIG",IF(C1752&lt;0,"MESSWERT UNGUELTIG",IF(H1752="","TARIFPREIS FEHLT","OK"))))</f>
        <v>FEHLT</v>
      </c>
      <c r="K1752" s="7">
        <f>IF(J1752&lt;&gt;"OK","",C1752*I1752/100)</f>
        <v/>
      </c>
    </row>
    <row r="1753" spans="1:11">
      <c r="A1753" s="14">
        <v>46161</v>
      </c>
      <c r="B1753" s="15">
        <v>0.1979166666666667</v>
      </c>
      <c r="C1753" s="5">
        <f>IF('96 Werte'!U24="","",'96 Werte'!U24)</f>
        <v/>
      </c>
      <c r="D1753" t="str">
        <f>IF(IF(Eingaben!$B$21&lt;Eingaben!$B$22,AND(B1753&gt;=Eingaben!$B$21,B1753&lt;Eingaben!$B$22),OR(B1753&gt;=Eingaben!$B$21,B1753&lt;Eingaben!$B$22)),"GO",IF(AND(ISNUMBER(Eingaben!$B$23),ISNUMBER(Eingaben!$B$24),IF(Eingaben!$B$23&lt;Eingaben!$B$24,AND(B1753&gt;=Eingaben!$B$23,B1753&lt;Eingaben!$B$24),OR(B1753&gt;=Eingaben!$B$23,B1753&lt;Eingaben!$B$24))),"HEAT","STANDARD"))</f>
        <v>GO</v>
      </c>
      <c r="E1753" s="9"/>
      <c r="F1753" t="str">
        <f>IF(E1753="",D1753,E1753)</f>
        <v>GO</v>
      </c>
      <c r="G1753" t="str">
        <f>INDEX(Netzzeiten!$B$6:$B$29,HOUR(B1753)+1)</f>
        <v>NT</v>
      </c>
      <c r="H1753" s="6">
        <f>IF(F1753="GO",Eingaben!$B$11,IF(F1753="STANDARD",Eingaben!$B$12,IF(AND(F1753="HEAT",ISNUMBER(Eingaben!$B$13)),Eingaben!$B$13,"")))</f>
        <v>15.0654</v>
      </c>
      <c r="I1753" s="6">
        <f>INDEX(Netzzeiten!$C$6:$C$29,HOUR(B1753)+1)</f>
        <v>1.64</v>
      </c>
      <c r="J1753" t="str">
        <f>IF(C1753="","FEHLT",IF(NOT(ISNUMBER(C1753)),"MESSWERT UNGUELTIG",IF(C1753&lt;0,"MESSWERT UNGUELTIG",IF(H1753="","TARIFPREIS FEHLT","OK"))))</f>
        <v>FEHLT</v>
      </c>
      <c r="K1753" s="7">
        <f>IF(J1753&lt;&gt;"OK","",C1753*I1753/100)</f>
        <v/>
      </c>
    </row>
    <row r="1754" spans="1:11">
      <c r="A1754" s="14">
        <v>46161</v>
      </c>
      <c r="B1754" s="15">
        <v>0.2083333333333333</v>
      </c>
      <c r="C1754" s="5">
        <f>IF('96 Werte'!V24="","",'96 Werte'!V24)</f>
        <v/>
      </c>
      <c r="D1754" t="str">
        <f>IF(IF(Eingaben!$B$21&lt;Eingaben!$B$22,AND(B1754&gt;=Eingaben!$B$21,B1754&lt;Eingaben!$B$22),OR(B1754&gt;=Eingaben!$B$21,B1754&lt;Eingaben!$B$22)),"GO",IF(AND(ISNUMBER(Eingaben!$B$23),ISNUMBER(Eingaben!$B$24),IF(Eingaben!$B$23&lt;Eingaben!$B$24,AND(B1754&gt;=Eingaben!$B$23,B1754&lt;Eingaben!$B$24),OR(B1754&gt;=Eingaben!$B$23,B1754&lt;Eingaben!$B$24))),"HEAT","STANDARD"))</f>
        <v>STANDARD</v>
      </c>
      <c r="E1754" s="9"/>
      <c r="F1754" t="str">
        <f>IF(E1754="",D1754,E1754)</f>
        <v>STANDARD</v>
      </c>
      <c r="G1754" t="str">
        <f>INDEX(Netzzeiten!$B$6:$B$29,HOUR(B1754)+1)</f>
        <v>NT</v>
      </c>
      <c r="H1754" s="6">
        <f>IF(F1754="GO",Eingaben!$B$11,IF(F1754="STANDARD",Eingaben!$B$12,IF(AND(F1754="HEAT",ISNUMBER(Eingaben!$B$13)),Eingaben!$B$13,"")))</f>
        <v>28.2744</v>
      </c>
      <c r="I1754" s="6">
        <f>INDEX(Netzzeiten!$C$6:$C$29,HOUR(B1754)+1)</f>
        <v>1.64</v>
      </c>
      <c r="J1754" t="str">
        <f>IF(C1754="","FEHLT",IF(NOT(ISNUMBER(C1754)),"MESSWERT UNGUELTIG",IF(C1754&lt;0,"MESSWERT UNGUELTIG",IF(H1754="","TARIFPREIS FEHLT","OK"))))</f>
        <v>FEHLT</v>
      </c>
      <c r="K1754" s="7">
        <f>IF(J1754&lt;&gt;"OK","",C1754*I1754/100)</f>
        <v/>
      </c>
    </row>
    <row r="1755" spans="1:11">
      <c r="A1755" s="14">
        <v>46161</v>
      </c>
      <c r="B1755" s="15">
        <v>0.21875</v>
      </c>
      <c r="C1755" s="5">
        <f>IF('96 Werte'!W24="","",'96 Werte'!W24)</f>
        <v/>
      </c>
      <c r="D1755" t="str">
        <f>IF(IF(Eingaben!$B$21&lt;Eingaben!$B$22,AND(B1755&gt;=Eingaben!$B$21,B1755&lt;Eingaben!$B$22),OR(B1755&gt;=Eingaben!$B$21,B1755&lt;Eingaben!$B$22)),"GO",IF(AND(ISNUMBER(Eingaben!$B$23),ISNUMBER(Eingaben!$B$24),IF(Eingaben!$B$23&lt;Eingaben!$B$24,AND(B1755&gt;=Eingaben!$B$23,B1755&lt;Eingaben!$B$24),OR(B1755&gt;=Eingaben!$B$23,B1755&lt;Eingaben!$B$24))),"HEAT","STANDARD"))</f>
        <v>STANDARD</v>
      </c>
      <c r="E1755" s="9"/>
      <c r="F1755" t="str">
        <f>IF(E1755="",D1755,E1755)</f>
        <v>STANDARD</v>
      </c>
      <c r="G1755" t="str">
        <f>INDEX(Netzzeiten!$B$6:$B$29,HOUR(B1755)+1)</f>
        <v>NT</v>
      </c>
      <c r="H1755" s="6">
        <f>IF(F1755="GO",Eingaben!$B$11,IF(F1755="STANDARD",Eingaben!$B$12,IF(AND(F1755="HEAT",ISNUMBER(Eingaben!$B$13)),Eingaben!$B$13,"")))</f>
        <v>28.2744</v>
      </c>
      <c r="I1755" s="6">
        <f>INDEX(Netzzeiten!$C$6:$C$29,HOUR(B1755)+1)</f>
        <v>1.64</v>
      </c>
      <c r="J1755" t="str">
        <f>IF(C1755="","FEHLT",IF(NOT(ISNUMBER(C1755)),"MESSWERT UNGUELTIG",IF(C1755&lt;0,"MESSWERT UNGUELTIG",IF(H1755="","TARIFPREIS FEHLT","OK"))))</f>
        <v>FEHLT</v>
      </c>
      <c r="K1755" s="7">
        <f>IF(J1755&lt;&gt;"OK","",C1755*I1755/100)</f>
        <v/>
      </c>
    </row>
    <row r="1756" spans="1:11">
      <c r="A1756" s="14">
        <v>46161</v>
      </c>
      <c r="B1756" s="15">
        <v>0.2291666666666667</v>
      </c>
      <c r="C1756" s="5">
        <f>IF('96 Werte'!X24="","",'96 Werte'!X24)</f>
        <v/>
      </c>
      <c r="D1756" t="str">
        <f>IF(IF(Eingaben!$B$21&lt;Eingaben!$B$22,AND(B1756&gt;=Eingaben!$B$21,B1756&lt;Eingaben!$B$22),OR(B1756&gt;=Eingaben!$B$21,B1756&lt;Eingaben!$B$22)),"GO",IF(AND(ISNUMBER(Eingaben!$B$23),ISNUMBER(Eingaben!$B$24),IF(Eingaben!$B$23&lt;Eingaben!$B$24,AND(B1756&gt;=Eingaben!$B$23,B1756&lt;Eingaben!$B$24),OR(B1756&gt;=Eingaben!$B$23,B1756&lt;Eingaben!$B$24))),"HEAT","STANDARD"))</f>
        <v>STANDARD</v>
      </c>
      <c r="E1756" s="9"/>
      <c r="F1756" t="str">
        <f>IF(E1756="",D1756,E1756)</f>
        <v>STANDARD</v>
      </c>
      <c r="G1756" t="str">
        <f>INDEX(Netzzeiten!$B$6:$B$29,HOUR(B1756)+1)</f>
        <v>NT</v>
      </c>
      <c r="H1756" s="6">
        <f>IF(F1756="GO",Eingaben!$B$11,IF(F1756="STANDARD",Eingaben!$B$12,IF(AND(F1756="HEAT",ISNUMBER(Eingaben!$B$13)),Eingaben!$B$13,"")))</f>
        <v>28.2744</v>
      </c>
      <c r="I1756" s="6">
        <f>INDEX(Netzzeiten!$C$6:$C$29,HOUR(B1756)+1)</f>
        <v>1.64</v>
      </c>
      <c r="J1756" t="str">
        <f>IF(C1756="","FEHLT",IF(NOT(ISNUMBER(C1756)),"MESSWERT UNGUELTIG",IF(C1756&lt;0,"MESSWERT UNGUELTIG",IF(H1756="","TARIFPREIS FEHLT","OK"))))</f>
        <v>FEHLT</v>
      </c>
      <c r="K1756" s="7">
        <f>IF(J1756&lt;&gt;"OK","",C1756*I1756/100)</f>
        <v/>
      </c>
    </row>
    <row r="1757" spans="1:11">
      <c r="A1757" s="14">
        <v>46161</v>
      </c>
      <c r="B1757" s="15">
        <v>0.2395833333333333</v>
      </c>
      <c r="C1757" s="5">
        <f>IF('96 Werte'!Y24="","",'96 Werte'!Y24)</f>
        <v/>
      </c>
      <c r="D1757" t="str">
        <f>IF(IF(Eingaben!$B$21&lt;Eingaben!$B$22,AND(B1757&gt;=Eingaben!$B$21,B1757&lt;Eingaben!$B$22),OR(B1757&gt;=Eingaben!$B$21,B1757&lt;Eingaben!$B$22)),"GO",IF(AND(ISNUMBER(Eingaben!$B$23),ISNUMBER(Eingaben!$B$24),IF(Eingaben!$B$23&lt;Eingaben!$B$24,AND(B1757&gt;=Eingaben!$B$23,B1757&lt;Eingaben!$B$24),OR(B1757&gt;=Eingaben!$B$23,B1757&lt;Eingaben!$B$24))),"HEAT","STANDARD"))</f>
        <v>STANDARD</v>
      </c>
      <c r="E1757" s="9"/>
      <c r="F1757" t="str">
        <f>IF(E1757="",D1757,E1757)</f>
        <v>STANDARD</v>
      </c>
      <c r="G1757" t="str">
        <f>INDEX(Netzzeiten!$B$6:$B$29,HOUR(B1757)+1)</f>
        <v>NT</v>
      </c>
      <c r="H1757" s="6">
        <f>IF(F1757="GO",Eingaben!$B$11,IF(F1757="STANDARD",Eingaben!$B$12,IF(AND(F1757="HEAT",ISNUMBER(Eingaben!$B$13)),Eingaben!$B$13,"")))</f>
        <v>28.2744</v>
      </c>
      <c r="I1757" s="6">
        <f>INDEX(Netzzeiten!$C$6:$C$29,HOUR(B1757)+1)</f>
        <v>1.64</v>
      </c>
      <c r="J1757" t="str">
        <f>IF(C1757="","FEHLT",IF(NOT(ISNUMBER(C1757)),"MESSWERT UNGUELTIG",IF(C1757&lt;0,"MESSWERT UNGUELTIG",IF(H1757="","TARIFPREIS FEHLT","OK"))))</f>
        <v>FEHLT</v>
      </c>
      <c r="K1757" s="7">
        <f>IF(J1757&lt;&gt;"OK","",C1757*I1757/100)</f>
        <v/>
      </c>
    </row>
    <row r="1758" spans="1:11">
      <c r="A1758" s="14">
        <v>46161</v>
      </c>
      <c r="B1758" s="15">
        <v>0.25</v>
      </c>
      <c r="C1758" s="5">
        <f>IF('96 Werte'!Z24="","",'96 Werte'!Z24)</f>
        <v/>
      </c>
      <c r="D1758" t="str">
        <f>IF(IF(Eingaben!$B$21&lt;Eingaben!$B$22,AND(B1758&gt;=Eingaben!$B$21,B1758&lt;Eingaben!$B$22),OR(B1758&gt;=Eingaben!$B$21,B1758&lt;Eingaben!$B$22)),"GO",IF(AND(ISNUMBER(Eingaben!$B$23),ISNUMBER(Eingaben!$B$24),IF(Eingaben!$B$23&lt;Eingaben!$B$24,AND(B1758&gt;=Eingaben!$B$23,B1758&lt;Eingaben!$B$24),OR(B1758&gt;=Eingaben!$B$23,B1758&lt;Eingaben!$B$24))),"HEAT","STANDARD"))</f>
        <v>STANDARD</v>
      </c>
      <c r="E1758" s="9"/>
      <c r="F1758" t="str">
        <f>IF(E1758="",D1758,E1758)</f>
        <v>STANDARD</v>
      </c>
      <c r="G1758" t="str">
        <f>INDEX(Netzzeiten!$B$6:$B$29,HOUR(B1758)+1)</f>
        <v>ST</v>
      </c>
      <c r="H1758" s="6">
        <f>IF(F1758="GO",Eingaben!$B$11,IF(F1758="STANDARD",Eingaben!$B$12,IF(AND(F1758="HEAT",ISNUMBER(Eingaben!$B$13)),Eingaben!$B$13,"")))</f>
        <v>28.2744</v>
      </c>
      <c r="I1758" s="6">
        <f>INDEX(Netzzeiten!$C$6:$C$29,HOUR(B1758)+1)</f>
        <v>5.48</v>
      </c>
      <c r="J1758" t="str">
        <f>IF(C1758="","FEHLT",IF(NOT(ISNUMBER(C1758)),"MESSWERT UNGUELTIG",IF(C1758&lt;0,"MESSWERT UNGUELTIG",IF(H1758="","TARIFPREIS FEHLT","OK"))))</f>
        <v>FEHLT</v>
      </c>
      <c r="K1758" s="7">
        <f>IF(J1758&lt;&gt;"OK","",C1758*I1758/100)</f>
        <v/>
      </c>
    </row>
    <row r="1759" spans="1:11">
      <c r="A1759" s="14">
        <v>46161</v>
      </c>
      <c r="B1759" s="15">
        <v>0.2604166666666667</v>
      </c>
      <c r="C1759" s="5">
        <f>IF('96 Werte'!AA24="","",'96 Werte'!AA24)</f>
        <v/>
      </c>
      <c r="D1759" t="str">
        <f>IF(IF(Eingaben!$B$21&lt;Eingaben!$B$22,AND(B1759&gt;=Eingaben!$B$21,B1759&lt;Eingaben!$B$22),OR(B1759&gt;=Eingaben!$B$21,B1759&lt;Eingaben!$B$22)),"GO",IF(AND(ISNUMBER(Eingaben!$B$23),ISNUMBER(Eingaben!$B$24),IF(Eingaben!$B$23&lt;Eingaben!$B$24,AND(B1759&gt;=Eingaben!$B$23,B1759&lt;Eingaben!$B$24),OR(B1759&gt;=Eingaben!$B$23,B1759&lt;Eingaben!$B$24))),"HEAT","STANDARD"))</f>
        <v>STANDARD</v>
      </c>
      <c r="E1759" s="9"/>
      <c r="F1759" t="str">
        <f>IF(E1759="",D1759,E1759)</f>
        <v>STANDARD</v>
      </c>
      <c r="G1759" t="str">
        <f>INDEX(Netzzeiten!$B$6:$B$29,HOUR(B1759)+1)</f>
        <v>ST</v>
      </c>
      <c r="H1759" s="6">
        <f>IF(F1759="GO",Eingaben!$B$11,IF(F1759="STANDARD",Eingaben!$B$12,IF(AND(F1759="HEAT",ISNUMBER(Eingaben!$B$13)),Eingaben!$B$13,"")))</f>
        <v>28.2744</v>
      </c>
      <c r="I1759" s="6">
        <f>INDEX(Netzzeiten!$C$6:$C$29,HOUR(B1759)+1)</f>
        <v>5.48</v>
      </c>
      <c r="J1759" t="str">
        <f>IF(C1759="","FEHLT",IF(NOT(ISNUMBER(C1759)),"MESSWERT UNGUELTIG",IF(C1759&lt;0,"MESSWERT UNGUELTIG",IF(H1759="","TARIFPREIS FEHLT","OK"))))</f>
        <v>FEHLT</v>
      </c>
      <c r="K1759" s="7">
        <f>IF(J1759&lt;&gt;"OK","",C1759*I1759/100)</f>
        <v/>
      </c>
    </row>
    <row r="1760" spans="1:11">
      <c r="A1760" s="14">
        <v>46161</v>
      </c>
      <c r="B1760" s="15">
        <v>0.2708333333333333</v>
      </c>
      <c r="C1760" s="5">
        <f>IF('96 Werte'!AB24="","",'96 Werte'!AB24)</f>
        <v/>
      </c>
      <c r="D1760" t="str">
        <f>IF(IF(Eingaben!$B$21&lt;Eingaben!$B$22,AND(B1760&gt;=Eingaben!$B$21,B1760&lt;Eingaben!$B$22),OR(B1760&gt;=Eingaben!$B$21,B1760&lt;Eingaben!$B$22)),"GO",IF(AND(ISNUMBER(Eingaben!$B$23),ISNUMBER(Eingaben!$B$24),IF(Eingaben!$B$23&lt;Eingaben!$B$24,AND(B1760&gt;=Eingaben!$B$23,B1760&lt;Eingaben!$B$24),OR(B1760&gt;=Eingaben!$B$23,B1760&lt;Eingaben!$B$24))),"HEAT","STANDARD"))</f>
        <v>STANDARD</v>
      </c>
      <c r="E1760" s="9"/>
      <c r="F1760" t="str">
        <f>IF(E1760="",D1760,E1760)</f>
        <v>STANDARD</v>
      </c>
      <c r="G1760" t="str">
        <f>INDEX(Netzzeiten!$B$6:$B$29,HOUR(B1760)+1)</f>
        <v>ST</v>
      </c>
      <c r="H1760" s="6">
        <f>IF(F1760="GO",Eingaben!$B$11,IF(F1760="STANDARD",Eingaben!$B$12,IF(AND(F1760="HEAT",ISNUMBER(Eingaben!$B$13)),Eingaben!$B$13,"")))</f>
        <v>28.2744</v>
      </c>
      <c r="I1760" s="6">
        <f>INDEX(Netzzeiten!$C$6:$C$29,HOUR(B1760)+1)</f>
        <v>5.48</v>
      </c>
      <c r="J1760" t="str">
        <f>IF(C1760="","FEHLT",IF(NOT(ISNUMBER(C1760)),"MESSWERT UNGUELTIG",IF(C1760&lt;0,"MESSWERT UNGUELTIG",IF(H1760="","TARIFPREIS FEHLT","OK"))))</f>
        <v>FEHLT</v>
      </c>
      <c r="K1760" s="7">
        <f>IF(J1760&lt;&gt;"OK","",C1760*I1760/100)</f>
        <v/>
      </c>
    </row>
    <row r="1761" spans="1:11">
      <c r="A1761" s="14">
        <v>46161</v>
      </c>
      <c r="B1761" s="15">
        <v>0.28125</v>
      </c>
      <c r="C1761" s="5">
        <f>IF('96 Werte'!AC24="","",'96 Werte'!AC24)</f>
        <v/>
      </c>
      <c r="D1761" t="str">
        <f>IF(IF(Eingaben!$B$21&lt;Eingaben!$B$22,AND(B1761&gt;=Eingaben!$B$21,B1761&lt;Eingaben!$B$22),OR(B1761&gt;=Eingaben!$B$21,B1761&lt;Eingaben!$B$22)),"GO",IF(AND(ISNUMBER(Eingaben!$B$23),ISNUMBER(Eingaben!$B$24),IF(Eingaben!$B$23&lt;Eingaben!$B$24,AND(B1761&gt;=Eingaben!$B$23,B1761&lt;Eingaben!$B$24),OR(B1761&gt;=Eingaben!$B$23,B1761&lt;Eingaben!$B$24))),"HEAT","STANDARD"))</f>
        <v>STANDARD</v>
      </c>
      <c r="E1761" s="9"/>
      <c r="F1761" t="str">
        <f>IF(E1761="",D1761,E1761)</f>
        <v>STANDARD</v>
      </c>
      <c r="G1761" t="str">
        <f>INDEX(Netzzeiten!$B$6:$B$29,HOUR(B1761)+1)</f>
        <v>ST</v>
      </c>
      <c r="H1761" s="6">
        <f>IF(F1761="GO",Eingaben!$B$11,IF(F1761="STANDARD",Eingaben!$B$12,IF(AND(F1761="HEAT",ISNUMBER(Eingaben!$B$13)),Eingaben!$B$13,"")))</f>
        <v>28.2744</v>
      </c>
      <c r="I1761" s="6">
        <f>INDEX(Netzzeiten!$C$6:$C$29,HOUR(B1761)+1)</f>
        <v>5.48</v>
      </c>
      <c r="J1761" t="str">
        <f>IF(C1761="","FEHLT",IF(NOT(ISNUMBER(C1761)),"MESSWERT UNGUELTIG",IF(C1761&lt;0,"MESSWERT UNGUELTIG",IF(H1761="","TARIFPREIS FEHLT","OK"))))</f>
        <v>FEHLT</v>
      </c>
      <c r="K1761" s="7">
        <f>IF(J1761&lt;&gt;"OK","",C1761*I1761/100)</f>
        <v/>
      </c>
    </row>
    <row r="1762" spans="1:11">
      <c r="A1762" s="14">
        <v>46161</v>
      </c>
      <c r="B1762" s="15">
        <v>0.2916666666666667</v>
      </c>
      <c r="C1762" s="5">
        <f>IF('96 Werte'!AD24="","",'96 Werte'!AD24)</f>
        <v/>
      </c>
      <c r="D1762" t="str">
        <f>IF(IF(Eingaben!$B$21&lt;Eingaben!$B$22,AND(B1762&gt;=Eingaben!$B$21,B1762&lt;Eingaben!$B$22),OR(B1762&gt;=Eingaben!$B$21,B1762&lt;Eingaben!$B$22)),"GO",IF(AND(ISNUMBER(Eingaben!$B$23),ISNUMBER(Eingaben!$B$24),IF(Eingaben!$B$23&lt;Eingaben!$B$24,AND(B1762&gt;=Eingaben!$B$23,B1762&lt;Eingaben!$B$24),OR(B1762&gt;=Eingaben!$B$23,B1762&lt;Eingaben!$B$24))),"HEAT","STANDARD"))</f>
        <v>STANDARD</v>
      </c>
      <c r="E1762" s="9"/>
      <c r="F1762" t="str">
        <f>IF(E1762="",D1762,E1762)</f>
        <v>STANDARD</v>
      </c>
      <c r="G1762" t="str">
        <f>INDEX(Netzzeiten!$B$6:$B$29,HOUR(B1762)+1)</f>
        <v>ST</v>
      </c>
      <c r="H1762" s="6">
        <f>IF(F1762="GO",Eingaben!$B$11,IF(F1762="STANDARD",Eingaben!$B$12,IF(AND(F1762="HEAT",ISNUMBER(Eingaben!$B$13)),Eingaben!$B$13,"")))</f>
        <v>28.2744</v>
      </c>
      <c r="I1762" s="6">
        <f>INDEX(Netzzeiten!$C$6:$C$29,HOUR(B1762)+1)</f>
        <v>5.48</v>
      </c>
      <c r="J1762" t="str">
        <f>IF(C1762="","FEHLT",IF(NOT(ISNUMBER(C1762)),"MESSWERT UNGUELTIG",IF(C1762&lt;0,"MESSWERT UNGUELTIG",IF(H1762="","TARIFPREIS FEHLT","OK"))))</f>
        <v>FEHLT</v>
      </c>
      <c r="K1762" s="7">
        <f>IF(J1762&lt;&gt;"OK","",C1762*I1762/100)</f>
        <v/>
      </c>
    </row>
    <row r="1763" spans="1:11">
      <c r="A1763" s="14">
        <v>46161</v>
      </c>
      <c r="B1763" s="15">
        <v>0.3020833333333333</v>
      </c>
      <c r="C1763" s="5">
        <f>IF('96 Werte'!AE24="","",'96 Werte'!AE24)</f>
        <v/>
      </c>
      <c r="D1763" t="str">
        <f>IF(IF(Eingaben!$B$21&lt;Eingaben!$B$22,AND(B1763&gt;=Eingaben!$B$21,B1763&lt;Eingaben!$B$22),OR(B1763&gt;=Eingaben!$B$21,B1763&lt;Eingaben!$B$22)),"GO",IF(AND(ISNUMBER(Eingaben!$B$23),ISNUMBER(Eingaben!$B$24),IF(Eingaben!$B$23&lt;Eingaben!$B$24,AND(B1763&gt;=Eingaben!$B$23,B1763&lt;Eingaben!$B$24),OR(B1763&gt;=Eingaben!$B$23,B1763&lt;Eingaben!$B$24))),"HEAT","STANDARD"))</f>
        <v>STANDARD</v>
      </c>
      <c r="E1763" s="9"/>
      <c r="F1763" t="str">
        <f>IF(E1763="",D1763,E1763)</f>
        <v>STANDARD</v>
      </c>
      <c r="G1763" t="str">
        <f>INDEX(Netzzeiten!$B$6:$B$29,HOUR(B1763)+1)</f>
        <v>ST</v>
      </c>
      <c r="H1763" s="6">
        <f>IF(F1763="GO",Eingaben!$B$11,IF(F1763="STANDARD",Eingaben!$B$12,IF(AND(F1763="HEAT",ISNUMBER(Eingaben!$B$13)),Eingaben!$B$13,"")))</f>
        <v>28.2744</v>
      </c>
      <c r="I1763" s="6">
        <f>INDEX(Netzzeiten!$C$6:$C$29,HOUR(B1763)+1)</f>
        <v>5.48</v>
      </c>
      <c r="J1763" t="str">
        <f>IF(C1763="","FEHLT",IF(NOT(ISNUMBER(C1763)),"MESSWERT UNGUELTIG",IF(C1763&lt;0,"MESSWERT UNGUELTIG",IF(H1763="","TARIFPREIS FEHLT","OK"))))</f>
        <v>FEHLT</v>
      </c>
      <c r="K1763" s="7">
        <f>IF(J1763&lt;&gt;"OK","",C1763*I1763/100)</f>
        <v/>
      </c>
    </row>
    <row r="1764" spans="1:11">
      <c r="A1764" s="14">
        <v>46161</v>
      </c>
      <c r="B1764" s="15">
        <v>0.3125</v>
      </c>
      <c r="C1764" s="5">
        <f>IF('96 Werte'!AF24="","",'96 Werte'!AF24)</f>
        <v/>
      </c>
      <c r="D1764" t="str">
        <f>IF(IF(Eingaben!$B$21&lt;Eingaben!$B$22,AND(B1764&gt;=Eingaben!$B$21,B1764&lt;Eingaben!$B$22),OR(B1764&gt;=Eingaben!$B$21,B1764&lt;Eingaben!$B$22)),"GO",IF(AND(ISNUMBER(Eingaben!$B$23),ISNUMBER(Eingaben!$B$24),IF(Eingaben!$B$23&lt;Eingaben!$B$24,AND(B1764&gt;=Eingaben!$B$23,B1764&lt;Eingaben!$B$24),OR(B1764&gt;=Eingaben!$B$23,B1764&lt;Eingaben!$B$24))),"HEAT","STANDARD"))</f>
        <v>STANDARD</v>
      </c>
      <c r="E1764" s="9"/>
      <c r="F1764" t="str">
        <f>IF(E1764="",D1764,E1764)</f>
        <v>STANDARD</v>
      </c>
      <c r="G1764" t="str">
        <f>INDEX(Netzzeiten!$B$6:$B$29,HOUR(B1764)+1)</f>
        <v>ST</v>
      </c>
      <c r="H1764" s="6">
        <f>IF(F1764="GO",Eingaben!$B$11,IF(F1764="STANDARD",Eingaben!$B$12,IF(AND(F1764="HEAT",ISNUMBER(Eingaben!$B$13)),Eingaben!$B$13,"")))</f>
        <v>28.2744</v>
      </c>
      <c r="I1764" s="6">
        <f>INDEX(Netzzeiten!$C$6:$C$29,HOUR(B1764)+1)</f>
        <v>5.48</v>
      </c>
      <c r="J1764" t="str">
        <f>IF(C1764="","FEHLT",IF(NOT(ISNUMBER(C1764)),"MESSWERT UNGUELTIG",IF(C1764&lt;0,"MESSWERT UNGUELTIG",IF(H1764="","TARIFPREIS FEHLT","OK"))))</f>
        <v>FEHLT</v>
      </c>
      <c r="K1764" s="7">
        <f>IF(J1764&lt;&gt;"OK","",C1764*I1764/100)</f>
        <v/>
      </c>
    </row>
    <row r="1765" spans="1:11">
      <c r="A1765" s="14">
        <v>46161</v>
      </c>
      <c r="B1765" s="15">
        <v>0.3229166666666667</v>
      </c>
      <c r="C1765" s="5">
        <f>IF('96 Werte'!AG24="","",'96 Werte'!AG24)</f>
        <v/>
      </c>
      <c r="D1765" t="str">
        <f>IF(IF(Eingaben!$B$21&lt;Eingaben!$B$22,AND(B1765&gt;=Eingaben!$B$21,B1765&lt;Eingaben!$B$22),OR(B1765&gt;=Eingaben!$B$21,B1765&lt;Eingaben!$B$22)),"GO",IF(AND(ISNUMBER(Eingaben!$B$23),ISNUMBER(Eingaben!$B$24),IF(Eingaben!$B$23&lt;Eingaben!$B$24,AND(B1765&gt;=Eingaben!$B$23,B1765&lt;Eingaben!$B$24),OR(B1765&gt;=Eingaben!$B$23,B1765&lt;Eingaben!$B$24))),"HEAT","STANDARD"))</f>
        <v>STANDARD</v>
      </c>
      <c r="E1765" s="9"/>
      <c r="F1765" t="str">
        <f>IF(E1765="",D1765,E1765)</f>
        <v>STANDARD</v>
      </c>
      <c r="G1765" t="str">
        <f>INDEX(Netzzeiten!$B$6:$B$29,HOUR(B1765)+1)</f>
        <v>ST</v>
      </c>
      <c r="H1765" s="6">
        <f>IF(F1765="GO",Eingaben!$B$11,IF(F1765="STANDARD",Eingaben!$B$12,IF(AND(F1765="HEAT",ISNUMBER(Eingaben!$B$13)),Eingaben!$B$13,"")))</f>
        <v>28.2744</v>
      </c>
      <c r="I1765" s="6">
        <f>INDEX(Netzzeiten!$C$6:$C$29,HOUR(B1765)+1)</f>
        <v>5.48</v>
      </c>
      <c r="J1765" t="str">
        <f>IF(C1765="","FEHLT",IF(NOT(ISNUMBER(C1765)),"MESSWERT UNGUELTIG",IF(C1765&lt;0,"MESSWERT UNGUELTIG",IF(H1765="","TARIFPREIS FEHLT","OK"))))</f>
        <v>FEHLT</v>
      </c>
      <c r="K1765" s="7">
        <f>IF(J1765&lt;&gt;"OK","",C1765*I1765/100)</f>
        <v/>
      </c>
    </row>
    <row r="1766" spans="1:11">
      <c r="A1766" s="14">
        <v>46161</v>
      </c>
      <c r="B1766" s="15">
        <v>0.3333333333333333</v>
      </c>
      <c r="C1766" s="5">
        <f>IF('96 Werte'!AH24="","",'96 Werte'!AH24)</f>
        <v/>
      </c>
      <c r="D1766" t="str">
        <f>IF(IF(Eingaben!$B$21&lt;Eingaben!$B$22,AND(B1766&gt;=Eingaben!$B$21,B1766&lt;Eingaben!$B$22),OR(B1766&gt;=Eingaben!$B$21,B1766&lt;Eingaben!$B$22)),"GO",IF(AND(ISNUMBER(Eingaben!$B$23),ISNUMBER(Eingaben!$B$24),IF(Eingaben!$B$23&lt;Eingaben!$B$24,AND(B1766&gt;=Eingaben!$B$23,B1766&lt;Eingaben!$B$24),OR(B1766&gt;=Eingaben!$B$23,B1766&lt;Eingaben!$B$24))),"HEAT","STANDARD"))</f>
        <v>STANDARD</v>
      </c>
      <c r="E1766" s="9"/>
      <c r="F1766" t="str">
        <f>IF(E1766="",D1766,E1766)</f>
        <v>STANDARD</v>
      </c>
      <c r="G1766" t="str">
        <f>INDEX(Netzzeiten!$B$6:$B$29,HOUR(B1766)+1)</f>
        <v>ST</v>
      </c>
      <c r="H1766" s="6">
        <f>IF(F1766="GO",Eingaben!$B$11,IF(F1766="STANDARD",Eingaben!$B$12,IF(AND(F1766="HEAT",ISNUMBER(Eingaben!$B$13)),Eingaben!$B$13,"")))</f>
        <v>28.2744</v>
      </c>
      <c r="I1766" s="6">
        <f>INDEX(Netzzeiten!$C$6:$C$29,HOUR(B1766)+1)</f>
        <v>5.48</v>
      </c>
      <c r="J1766" t="str">
        <f>IF(C1766="","FEHLT",IF(NOT(ISNUMBER(C1766)),"MESSWERT UNGUELTIG",IF(C1766&lt;0,"MESSWERT UNGUELTIG",IF(H1766="","TARIFPREIS FEHLT","OK"))))</f>
        <v>FEHLT</v>
      </c>
      <c r="K1766" s="7">
        <f>IF(J1766&lt;&gt;"OK","",C1766*I1766/100)</f>
        <v/>
      </c>
    </row>
    <row r="1767" spans="1:11">
      <c r="A1767" s="14">
        <v>46161</v>
      </c>
      <c r="B1767" s="15">
        <v>0.34375</v>
      </c>
      <c r="C1767" s="5">
        <f>IF('96 Werte'!AI24="","",'96 Werte'!AI24)</f>
        <v/>
      </c>
      <c r="D1767" t="str">
        <f>IF(IF(Eingaben!$B$21&lt;Eingaben!$B$22,AND(B1767&gt;=Eingaben!$B$21,B1767&lt;Eingaben!$B$22),OR(B1767&gt;=Eingaben!$B$21,B1767&lt;Eingaben!$B$22)),"GO",IF(AND(ISNUMBER(Eingaben!$B$23),ISNUMBER(Eingaben!$B$24),IF(Eingaben!$B$23&lt;Eingaben!$B$24,AND(B1767&gt;=Eingaben!$B$23,B1767&lt;Eingaben!$B$24),OR(B1767&gt;=Eingaben!$B$23,B1767&lt;Eingaben!$B$24))),"HEAT","STANDARD"))</f>
        <v>STANDARD</v>
      </c>
      <c r="E1767" s="9"/>
      <c r="F1767" t="str">
        <f>IF(E1767="",D1767,E1767)</f>
        <v>STANDARD</v>
      </c>
      <c r="G1767" t="str">
        <f>INDEX(Netzzeiten!$B$6:$B$29,HOUR(B1767)+1)</f>
        <v>ST</v>
      </c>
      <c r="H1767" s="6">
        <f>IF(F1767="GO",Eingaben!$B$11,IF(F1767="STANDARD",Eingaben!$B$12,IF(AND(F1767="HEAT",ISNUMBER(Eingaben!$B$13)),Eingaben!$B$13,"")))</f>
        <v>28.2744</v>
      </c>
      <c r="I1767" s="6">
        <f>INDEX(Netzzeiten!$C$6:$C$29,HOUR(B1767)+1)</f>
        <v>5.48</v>
      </c>
      <c r="J1767" t="str">
        <f>IF(C1767="","FEHLT",IF(NOT(ISNUMBER(C1767)),"MESSWERT UNGUELTIG",IF(C1767&lt;0,"MESSWERT UNGUELTIG",IF(H1767="","TARIFPREIS FEHLT","OK"))))</f>
        <v>FEHLT</v>
      </c>
      <c r="K1767" s="7">
        <f>IF(J1767&lt;&gt;"OK","",C1767*I1767/100)</f>
        <v/>
      </c>
    </row>
    <row r="1768" spans="1:11">
      <c r="A1768" s="14">
        <v>46161</v>
      </c>
      <c r="B1768" s="15">
        <v>0.3541666666666667</v>
      </c>
      <c r="C1768" s="5">
        <f>IF('96 Werte'!AJ24="","",'96 Werte'!AJ24)</f>
        <v/>
      </c>
      <c r="D1768" t="str">
        <f>IF(IF(Eingaben!$B$21&lt;Eingaben!$B$22,AND(B1768&gt;=Eingaben!$B$21,B1768&lt;Eingaben!$B$22),OR(B1768&gt;=Eingaben!$B$21,B1768&lt;Eingaben!$B$22)),"GO",IF(AND(ISNUMBER(Eingaben!$B$23),ISNUMBER(Eingaben!$B$24),IF(Eingaben!$B$23&lt;Eingaben!$B$24,AND(B1768&gt;=Eingaben!$B$23,B1768&lt;Eingaben!$B$24),OR(B1768&gt;=Eingaben!$B$23,B1768&lt;Eingaben!$B$24))),"HEAT","STANDARD"))</f>
        <v>STANDARD</v>
      </c>
      <c r="E1768" s="9"/>
      <c r="F1768" t="str">
        <f>IF(E1768="",D1768,E1768)</f>
        <v>STANDARD</v>
      </c>
      <c r="G1768" t="str">
        <f>INDEX(Netzzeiten!$B$6:$B$29,HOUR(B1768)+1)</f>
        <v>ST</v>
      </c>
      <c r="H1768" s="6">
        <f>IF(F1768="GO",Eingaben!$B$11,IF(F1768="STANDARD",Eingaben!$B$12,IF(AND(F1768="HEAT",ISNUMBER(Eingaben!$B$13)),Eingaben!$B$13,"")))</f>
        <v>28.2744</v>
      </c>
      <c r="I1768" s="6">
        <f>INDEX(Netzzeiten!$C$6:$C$29,HOUR(B1768)+1)</f>
        <v>5.48</v>
      </c>
      <c r="J1768" t="str">
        <f>IF(C1768="","FEHLT",IF(NOT(ISNUMBER(C1768)),"MESSWERT UNGUELTIG",IF(C1768&lt;0,"MESSWERT UNGUELTIG",IF(H1768="","TARIFPREIS FEHLT","OK"))))</f>
        <v>FEHLT</v>
      </c>
      <c r="K1768" s="7">
        <f>IF(J1768&lt;&gt;"OK","",C1768*I1768/100)</f>
        <v/>
      </c>
    </row>
    <row r="1769" spans="1:11">
      <c r="A1769" s="14">
        <v>46161</v>
      </c>
      <c r="B1769" s="15">
        <v>0.3645833333333333</v>
      </c>
      <c r="C1769" s="5">
        <f>IF('96 Werte'!AK24="","",'96 Werte'!AK24)</f>
        <v/>
      </c>
      <c r="D1769" t="str">
        <f>IF(IF(Eingaben!$B$21&lt;Eingaben!$B$22,AND(B1769&gt;=Eingaben!$B$21,B1769&lt;Eingaben!$B$22),OR(B1769&gt;=Eingaben!$B$21,B1769&lt;Eingaben!$B$22)),"GO",IF(AND(ISNUMBER(Eingaben!$B$23),ISNUMBER(Eingaben!$B$24),IF(Eingaben!$B$23&lt;Eingaben!$B$24,AND(B1769&gt;=Eingaben!$B$23,B1769&lt;Eingaben!$B$24),OR(B1769&gt;=Eingaben!$B$23,B1769&lt;Eingaben!$B$24))),"HEAT","STANDARD"))</f>
        <v>STANDARD</v>
      </c>
      <c r="E1769" s="9"/>
      <c r="F1769" t="str">
        <f>IF(E1769="",D1769,E1769)</f>
        <v>STANDARD</v>
      </c>
      <c r="G1769" t="str">
        <f>INDEX(Netzzeiten!$B$6:$B$29,HOUR(B1769)+1)</f>
        <v>ST</v>
      </c>
      <c r="H1769" s="6">
        <f>IF(F1769="GO",Eingaben!$B$11,IF(F1769="STANDARD",Eingaben!$B$12,IF(AND(F1769="HEAT",ISNUMBER(Eingaben!$B$13)),Eingaben!$B$13,"")))</f>
        <v>28.2744</v>
      </c>
      <c r="I1769" s="6">
        <f>INDEX(Netzzeiten!$C$6:$C$29,HOUR(B1769)+1)</f>
        <v>5.48</v>
      </c>
      <c r="J1769" t="str">
        <f>IF(C1769="","FEHLT",IF(NOT(ISNUMBER(C1769)),"MESSWERT UNGUELTIG",IF(C1769&lt;0,"MESSWERT UNGUELTIG",IF(H1769="","TARIFPREIS FEHLT","OK"))))</f>
        <v>FEHLT</v>
      </c>
      <c r="K1769" s="7">
        <f>IF(J1769&lt;&gt;"OK","",C1769*I1769/100)</f>
        <v/>
      </c>
    </row>
    <row r="1770" spans="1:11">
      <c r="A1770" s="14">
        <v>46161</v>
      </c>
      <c r="B1770" s="15">
        <v>0.375</v>
      </c>
      <c r="C1770" s="5">
        <f>IF('96 Werte'!AL24="","",'96 Werte'!AL24)</f>
        <v/>
      </c>
      <c r="D1770" t="str">
        <f>IF(IF(Eingaben!$B$21&lt;Eingaben!$B$22,AND(B1770&gt;=Eingaben!$B$21,B1770&lt;Eingaben!$B$22),OR(B1770&gt;=Eingaben!$B$21,B1770&lt;Eingaben!$B$22)),"GO",IF(AND(ISNUMBER(Eingaben!$B$23),ISNUMBER(Eingaben!$B$24),IF(Eingaben!$B$23&lt;Eingaben!$B$24,AND(B1770&gt;=Eingaben!$B$23,B1770&lt;Eingaben!$B$24),OR(B1770&gt;=Eingaben!$B$23,B1770&lt;Eingaben!$B$24))),"HEAT","STANDARD"))</f>
        <v>STANDARD</v>
      </c>
      <c r="E1770" s="9"/>
      <c r="F1770" t="str">
        <f>IF(E1770="",D1770,E1770)</f>
        <v>STANDARD</v>
      </c>
      <c r="G1770" t="str">
        <f>INDEX(Netzzeiten!$B$6:$B$29,HOUR(B1770)+1)</f>
        <v>ST</v>
      </c>
      <c r="H1770" s="6">
        <f>IF(F1770="GO",Eingaben!$B$11,IF(F1770="STANDARD",Eingaben!$B$12,IF(AND(F1770="HEAT",ISNUMBER(Eingaben!$B$13)),Eingaben!$B$13,"")))</f>
        <v>28.2744</v>
      </c>
      <c r="I1770" s="6">
        <f>INDEX(Netzzeiten!$C$6:$C$29,HOUR(B1770)+1)</f>
        <v>5.48</v>
      </c>
      <c r="J1770" t="str">
        <f>IF(C1770="","FEHLT",IF(NOT(ISNUMBER(C1770)),"MESSWERT UNGUELTIG",IF(C1770&lt;0,"MESSWERT UNGUELTIG",IF(H1770="","TARIFPREIS FEHLT","OK"))))</f>
        <v>FEHLT</v>
      </c>
      <c r="K1770" s="7">
        <f>IF(J1770&lt;&gt;"OK","",C1770*I1770/100)</f>
        <v/>
      </c>
    </row>
    <row r="1771" spans="1:11">
      <c r="A1771" s="14">
        <v>46161</v>
      </c>
      <c r="B1771" s="15">
        <v>0.3854166666666667</v>
      </c>
      <c r="C1771" s="5">
        <f>IF('96 Werte'!AM24="","",'96 Werte'!AM24)</f>
        <v/>
      </c>
      <c r="D1771" t="str">
        <f>IF(IF(Eingaben!$B$21&lt;Eingaben!$B$22,AND(B1771&gt;=Eingaben!$B$21,B1771&lt;Eingaben!$B$22),OR(B1771&gt;=Eingaben!$B$21,B1771&lt;Eingaben!$B$22)),"GO",IF(AND(ISNUMBER(Eingaben!$B$23),ISNUMBER(Eingaben!$B$24),IF(Eingaben!$B$23&lt;Eingaben!$B$24,AND(B1771&gt;=Eingaben!$B$23,B1771&lt;Eingaben!$B$24),OR(B1771&gt;=Eingaben!$B$23,B1771&lt;Eingaben!$B$24))),"HEAT","STANDARD"))</f>
        <v>STANDARD</v>
      </c>
      <c r="E1771" s="9"/>
      <c r="F1771" t="str">
        <f>IF(E1771="",D1771,E1771)</f>
        <v>STANDARD</v>
      </c>
      <c r="G1771" t="str">
        <f>INDEX(Netzzeiten!$B$6:$B$29,HOUR(B1771)+1)</f>
        <v>ST</v>
      </c>
      <c r="H1771" s="6">
        <f>IF(F1771="GO",Eingaben!$B$11,IF(F1771="STANDARD",Eingaben!$B$12,IF(AND(F1771="HEAT",ISNUMBER(Eingaben!$B$13)),Eingaben!$B$13,"")))</f>
        <v>28.2744</v>
      </c>
      <c r="I1771" s="6">
        <f>INDEX(Netzzeiten!$C$6:$C$29,HOUR(B1771)+1)</f>
        <v>5.48</v>
      </c>
      <c r="J1771" t="str">
        <f>IF(C1771="","FEHLT",IF(NOT(ISNUMBER(C1771)),"MESSWERT UNGUELTIG",IF(C1771&lt;0,"MESSWERT UNGUELTIG",IF(H1771="","TARIFPREIS FEHLT","OK"))))</f>
        <v>FEHLT</v>
      </c>
      <c r="K1771" s="7">
        <f>IF(J1771&lt;&gt;"OK","",C1771*I1771/100)</f>
        <v/>
      </c>
    </row>
    <row r="1772" spans="1:11">
      <c r="A1772" s="14">
        <v>46161</v>
      </c>
      <c r="B1772" s="15">
        <v>0.3958333333333333</v>
      </c>
      <c r="C1772" s="5">
        <f>IF('96 Werte'!AN24="","",'96 Werte'!AN24)</f>
        <v/>
      </c>
      <c r="D1772" t="str">
        <f>IF(IF(Eingaben!$B$21&lt;Eingaben!$B$22,AND(B1772&gt;=Eingaben!$B$21,B1772&lt;Eingaben!$B$22),OR(B1772&gt;=Eingaben!$B$21,B1772&lt;Eingaben!$B$22)),"GO",IF(AND(ISNUMBER(Eingaben!$B$23),ISNUMBER(Eingaben!$B$24),IF(Eingaben!$B$23&lt;Eingaben!$B$24,AND(B1772&gt;=Eingaben!$B$23,B1772&lt;Eingaben!$B$24),OR(B1772&gt;=Eingaben!$B$23,B1772&lt;Eingaben!$B$24))),"HEAT","STANDARD"))</f>
        <v>STANDARD</v>
      </c>
      <c r="E1772" s="9"/>
      <c r="F1772" t="str">
        <f>IF(E1772="",D1772,E1772)</f>
        <v>STANDARD</v>
      </c>
      <c r="G1772" t="str">
        <f>INDEX(Netzzeiten!$B$6:$B$29,HOUR(B1772)+1)</f>
        <v>ST</v>
      </c>
      <c r="H1772" s="6">
        <f>IF(F1772="GO",Eingaben!$B$11,IF(F1772="STANDARD",Eingaben!$B$12,IF(AND(F1772="HEAT",ISNUMBER(Eingaben!$B$13)),Eingaben!$B$13,"")))</f>
        <v>28.2744</v>
      </c>
      <c r="I1772" s="6">
        <f>INDEX(Netzzeiten!$C$6:$C$29,HOUR(B1772)+1)</f>
        <v>5.48</v>
      </c>
      <c r="J1772" t="str">
        <f>IF(C1772="","FEHLT",IF(NOT(ISNUMBER(C1772)),"MESSWERT UNGUELTIG",IF(C1772&lt;0,"MESSWERT UNGUELTIG",IF(H1772="","TARIFPREIS FEHLT","OK"))))</f>
        <v>FEHLT</v>
      </c>
      <c r="K1772" s="7">
        <f>IF(J1772&lt;&gt;"OK","",C1772*I1772/100)</f>
        <v/>
      </c>
    </row>
    <row r="1773" spans="1:11">
      <c r="A1773" s="14">
        <v>46161</v>
      </c>
      <c r="B1773" s="15">
        <v>0.40625</v>
      </c>
      <c r="C1773" s="5">
        <f>IF('96 Werte'!AO24="","",'96 Werte'!AO24)</f>
        <v/>
      </c>
      <c r="D1773" t="str">
        <f>IF(IF(Eingaben!$B$21&lt;Eingaben!$B$22,AND(B1773&gt;=Eingaben!$B$21,B1773&lt;Eingaben!$B$22),OR(B1773&gt;=Eingaben!$B$21,B1773&lt;Eingaben!$B$22)),"GO",IF(AND(ISNUMBER(Eingaben!$B$23),ISNUMBER(Eingaben!$B$24),IF(Eingaben!$B$23&lt;Eingaben!$B$24,AND(B1773&gt;=Eingaben!$B$23,B1773&lt;Eingaben!$B$24),OR(B1773&gt;=Eingaben!$B$23,B1773&lt;Eingaben!$B$24))),"HEAT","STANDARD"))</f>
        <v>STANDARD</v>
      </c>
      <c r="E1773" s="9"/>
      <c r="F1773" t="str">
        <f>IF(E1773="",D1773,E1773)</f>
        <v>STANDARD</v>
      </c>
      <c r="G1773" t="str">
        <f>INDEX(Netzzeiten!$B$6:$B$29,HOUR(B1773)+1)</f>
        <v>ST</v>
      </c>
      <c r="H1773" s="6">
        <f>IF(F1773="GO",Eingaben!$B$11,IF(F1773="STANDARD",Eingaben!$B$12,IF(AND(F1773="HEAT",ISNUMBER(Eingaben!$B$13)),Eingaben!$B$13,"")))</f>
        <v>28.2744</v>
      </c>
      <c r="I1773" s="6">
        <f>INDEX(Netzzeiten!$C$6:$C$29,HOUR(B1773)+1)</f>
        <v>5.48</v>
      </c>
      <c r="J1773" t="str">
        <f>IF(C1773="","FEHLT",IF(NOT(ISNUMBER(C1773)),"MESSWERT UNGUELTIG",IF(C1773&lt;0,"MESSWERT UNGUELTIG",IF(H1773="","TARIFPREIS FEHLT","OK"))))</f>
        <v>FEHLT</v>
      </c>
      <c r="K1773" s="7">
        <f>IF(J1773&lt;&gt;"OK","",C1773*I1773/100)</f>
        <v/>
      </c>
    </row>
    <row r="1774" spans="1:11">
      <c r="A1774" s="14">
        <v>46161</v>
      </c>
      <c r="B1774" s="15">
        <v>0.4166666666666667</v>
      </c>
      <c r="C1774" s="5">
        <f>IF('96 Werte'!AP24="","",'96 Werte'!AP24)</f>
        <v/>
      </c>
      <c r="D1774" t="str">
        <f>IF(IF(Eingaben!$B$21&lt;Eingaben!$B$22,AND(B1774&gt;=Eingaben!$B$21,B1774&lt;Eingaben!$B$22),OR(B1774&gt;=Eingaben!$B$21,B1774&lt;Eingaben!$B$22)),"GO",IF(AND(ISNUMBER(Eingaben!$B$23),ISNUMBER(Eingaben!$B$24),IF(Eingaben!$B$23&lt;Eingaben!$B$24,AND(B1774&gt;=Eingaben!$B$23,B1774&lt;Eingaben!$B$24),OR(B1774&gt;=Eingaben!$B$23,B1774&lt;Eingaben!$B$24))),"HEAT","STANDARD"))</f>
        <v>STANDARD</v>
      </c>
      <c r="E1774" s="9"/>
      <c r="F1774" t="str">
        <f>IF(E1774="",D1774,E1774)</f>
        <v>STANDARD</v>
      </c>
      <c r="G1774" t="str">
        <f>INDEX(Netzzeiten!$B$6:$B$29,HOUR(B1774)+1)</f>
        <v>ST</v>
      </c>
      <c r="H1774" s="6">
        <f>IF(F1774="GO",Eingaben!$B$11,IF(F1774="STANDARD",Eingaben!$B$12,IF(AND(F1774="HEAT",ISNUMBER(Eingaben!$B$13)),Eingaben!$B$13,"")))</f>
        <v>28.2744</v>
      </c>
      <c r="I1774" s="6">
        <f>INDEX(Netzzeiten!$C$6:$C$29,HOUR(B1774)+1)</f>
        <v>5.48</v>
      </c>
      <c r="J1774" t="str">
        <f>IF(C1774="","FEHLT",IF(NOT(ISNUMBER(C1774)),"MESSWERT UNGUELTIG",IF(C1774&lt;0,"MESSWERT UNGUELTIG",IF(H1774="","TARIFPREIS FEHLT","OK"))))</f>
        <v>FEHLT</v>
      </c>
      <c r="K1774" s="7">
        <f>IF(J1774&lt;&gt;"OK","",C1774*I1774/100)</f>
        <v/>
      </c>
    </row>
    <row r="1775" spans="1:11">
      <c r="A1775" s="14">
        <v>46161</v>
      </c>
      <c r="B1775" s="15">
        <v>0.4270833333333333</v>
      </c>
      <c r="C1775" s="5">
        <f>IF('96 Werte'!AQ24="","",'96 Werte'!AQ24)</f>
        <v/>
      </c>
      <c r="D1775" t="str">
        <f>IF(IF(Eingaben!$B$21&lt;Eingaben!$B$22,AND(B1775&gt;=Eingaben!$B$21,B1775&lt;Eingaben!$B$22),OR(B1775&gt;=Eingaben!$B$21,B1775&lt;Eingaben!$B$22)),"GO",IF(AND(ISNUMBER(Eingaben!$B$23),ISNUMBER(Eingaben!$B$24),IF(Eingaben!$B$23&lt;Eingaben!$B$24,AND(B1775&gt;=Eingaben!$B$23,B1775&lt;Eingaben!$B$24),OR(B1775&gt;=Eingaben!$B$23,B1775&lt;Eingaben!$B$24))),"HEAT","STANDARD"))</f>
        <v>STANDARD</v>
      </c>
      <c r="E1775" s="9"/>
      <c r="F1775" t="str">
        <f>IF(E1775="",D1775,E1775)</f>
        <v>STANDARD</v>
      </c>
      <c r="G1775" t="str">
        <f>INDEX(Netzzeiten!$B$6:$B$29,HOUR(B1775)+1)</f>
        <v>ST</v>
      </c>
      <c r="H1775" s="6">
        <f>IF(F1775="GO",Eingaben!$B$11,IF(F1775="STANDARD",Eingaben!$B$12,IF(AND(F1775="HEAT",ISNUMBER(Eingaben!$B$13)),Eingaben!$B$13,"")))</f>
        <v>28.2744</v>
      </c>
      <c r="I1775" s="6">
        <f>INDEX(Netzzeiten!$C$6:$C$29,HOUR(B1775)+1)</f>
        <v>5.48</v>
      </c>
      <c r="J1775" t="str">
        <f>IF(C1775="","FEHLT",IF(NOT(ISNUMBER(C1775)),"MESSWERT UNGUELTIG",IF(C1775&lt;0,"MESSWERT UNGUELTIG",IF(H1775="","TARIFPREIS FEHLT","OK"))))</f>
        <v>FEHLT</v>
      </c>
      <c r="K1775" s="7">
        <f>IF(J1775&lt;&gt;"OK","",C1775*I1775/100)</f>
        <v/>
      </c>
    </row>
    <row r="1776" spans="1:11">
      <c r="A1776" s="14">
        <v>46161</v>
      </c>
      <c r="B1776" s="15">
        <v>0.4375</v>
      </c>
      <c r="C1776" s="5">
        <f>IF('96 Werte'!AR24="","",'96 Werte'!AR24)</f>
        <v/>
      </c>
      <c r="D1776" t="str">
        <f>IF(IF(Eingaben!$B$21&lt;Eingaben!$B$22,AND(B1776&gt;=Eingaben!$B$21,B1776&lt;Eingaben!$B$22),OR(B1776&gt;=Eingaben!$B$21,B1776&lt;Eingaben!$B$22)),"GO",IF(AND(ISNUMBER(Eingaben!$B$23),ISNUMBER(Eingaben!$B$24),IF(Eingaben!$B$23&lt;Eingaben!$B$24,AND(B1776&gt;=Eingaben!$B$23,B1776&lt;Eingaben!$B$24),OR(B1776&gt;=Eingaben!$B$23,B1776&lt;Eingaben!$B$24))),"HEAT","STANDARD"))</f>
        <v>STANDARD</v>
      </c>
      <c r="E1776" s="9"/>
      <c r="F1776" t="str">
        <f>IF(E1776="",D1776,E1776)</f>
        <v>STANDARD</v>
      </c>
      <c r="G1776" t="str">
        <f>INDEX(Netzzeiten!$B$6:$B$29,HOUR(B1776)+1)</f>
        <v>ST</v>
      </c>
      <c r="H1776" s="6">
        <f>IF(F1776="GO",Eingaben!$B$11,IF(F1776="STANDARD",Eingaben!$B$12,IF(AND(F1776="HEAT",ISNUMBER(Eingaben!$B$13)),Eingaben!$B$13,"")))</f>
        <v>28.2744</v>
      </c>
      <c r="I1776" s="6">
        <f>INDEX(Netzzeiten!$C$6:$C$29,HOUR(B1776)+1)</f>
        <v>5.48</v>
      </c>
      <c r="J1776" t="str">
        <f>IF(C1776="","FEHLT",IF(NOT(ISNUMBER(C1776)),"MESSWERT UNGUELTIG",IF(C1776&lt;0,"MESSWERT UNGUELTIG",IF(H1776="","TARIFPREIS FEHLT","OK"))))</f>
        <v>FEHLT</v>
      </c>
      <c r="K1776" s="7">
        <f>IF(J1776&lt;&gt;"OK","",C1776*I1776/100)</f>
        <v/>
      </c>
    </row>
    <row r="1777" spans="1:11">
      <c r="A1777" s="14">
        <v>46161</v>
      </c>
      <c r="B1777" s="15">
        <v>0.4479166666666667</v>
      </c>
      <c r="C1777" s="5">
        <f>IF('96 Werte'!AS24="","",'96 Werte'!AS24)</f>
        <v/>
      </c>
      <c r="D1777" t="str">
        <f>IF(IF(Eingaben!$B$21&lt;Eingaben!$B$22,AND(B1777&gt;=Eingaben!$B$21,B1777&lt;Eingaben!$B$22),OR(B1777&gt;=Eingaben!$B$21,B1777&lt;Eingaben!$B$22)),"GO",IF(AND(ISNUMBER(Eingaben!$B$23),ISNUMBER(Eingaben!$B$24),IF(Eingaben!$B$23&lt;Eingaben!$B$24,AND(B1777&gt;=Eingaben!$B$23,B1777&lt;Eingaben!$B$24),OR(B1777&gt;=Eingaben!$B$23,B1777&lt;Eingaben!$B$24))),"HEAT","STANDARD"))</f>
        <v>STANDARD</v>
      </c>
      <c r="E1777" s="9"/>
      <c r="F1777" t="str">
        <f>IF(E1777="",D1777,E1777)</f>
        <v>STANDARD</v>
      </c>
      <c r="G1777" t="str">
        <f>INDEX(Netzzeiten!$B$6:$B$29,HOUR(B1777)+1)</f>
        <v>ST</v>
      </c>
      <c r="H1777" s="6">
        <f>IF(F1777="GO",Eingaben!$B$11,IF(F1777="STANDARD",Eingaben!$B$12,IF(AND(F1777="HEAT",ISNUMBER(Eingaben!$B$13)),Eingaben!$B$13,"")))</f>
        <v>28.2744</v>
      </c>
      <c r="I1777" s="6">
        <f>INDEX(Netzzeiten!$C$6:$C$29,HOUR(B1777)+1)</f>
        <v>5.48</v>
      </c>
      <c r="J1777" t="str">
        <f>IF(C1777="","FEHLT",IF(NOT(ISNUMBER(C1777)),"MESSWERT UNGUELTIG",IF(C1777&lt;0,"MESSWERT UNGUELTIG",IF(H1777="","TARIFPREIS FEHLT","OK"))))</f>
        <v>FEHLT</v>
      </c>
      <c r="K1777" s="7">
        <f>IF(J1777&lt;&gt;"OK","",C1777*I1777/100)</f>
        <v/>
      </c>
    </row>
    <row r="1778" spans="1:11">
      <c r="A1778" s="14">
        <v>46161</v>
      </c>
      <c r="B1778" s="15">
        <v>0.4583333333333333</v>
      </c>
      <c r="C1778" s="5">
        <f>IF('96 Werte'!AT24="","",'96 Werte'!AT24)</f>
        <v/>
      </c>
      <c r="D1778" t="str">
        <f>IF(IF(Eingaben!$B$21&lt;Eingaben!$B$22,AND(B1778&gt;=Eingaben!$B$21,B1778&lt;Eingaben!$B$22),OR(B1778&gt;=Eingaben!$B$21,B1778&lt;Eingaben!$B$22)),"GO",IF(AND(ISNUMBER(Eingaben!$B$23),ISNUMBER(Eingaben!$B$24),IF(Eingaben!$B$23&lt;Eingaben!$B$24,AND(B1778&gt;=Eingaben!$B$23,B1778&lt;Eingaben!$B$24),OR(B1778&gt;=Eingaben!$B$23,B1778&lt;Eingaben!$B$24))),"HEAT","STANDARD"))</f>
        <v>STANDARD</v>
      </c>
      <c r="E1778" s="9"/>
      <c r="F1778" t="str">
        <f>IF(E1778="",D1778,E1778)</f>
        <v>STANDARD</v>
      </c>
      <c r="G1778" t="str">
        <f>INDEX(Netzzeiten!$B$6:$B$29,HOUR(B1778)+1)</f>
        <v>NT</v>
      </c>
      <c r="H1778" s="6">
        <f>IF(F1778="GO",Eingaben!$B$11,IF(F1778="STANDARD",Eingaben!$B$12,IF(AND(F1778="HEAT",ISNUMBER(Eingaben!$B$13)),Eingaben!$B$13,"")))</f>
        <v>28.2744</v>
      </c>
      <c r="I1778" s="6">
        <f>INDEX(Netzzeiten!$C$6:$C$29,HOUR(B1778)+1)</f>
        <v>1.64</v>
      </c>
      <c r="J1778" t="str">
        <f>IF(C1778="","FEHLT",IF(NOT(ISNUMBER(C1778)),"MESSWERT UNGUELTIG",IF(C1778&lt;0,"MESSWERT UNGUELTIG",IF(H1778="","TARIFPREIS FEHLT","OK"))))</f>
        <v>FEHLT</v>
      </c>
      <c r="K1778" s="7">
        <f>IF(J1778&lt;&gt;"OK","",C1778*I1778/100)</f>
        <v/>
      </c>
    </row>
    <row r="1779" spans="1:11">
      <c r="A1779" s="14">
        <v>46161</v>
      </c>
      <c r="B1779" s="15">
        <v>0.46875</v>
      </c>
      <c r="C1779" s="5">
        <f>IF('96 Werte'!AU24="","",'96 Werte'!AU24)</f>
        <v/>
      </c>
      <c r="D1779" t="str">
        <f>IF(IF(Eingaben!$B$21&lt;Eingaben!$B$22,AND(B1779&gt;=Eingaben!$B$21,B1779&lt;Eingaben!$B$22),OR(B1779&gt;=Eingaben!$B$21,B1779&lt;Eingaben!$B$22)),"GO",IF(AND(ISNUMBER(Eingaben!$B$23),ISNUMBER(Eingaben!$B$24),IF(Eingaben!$B$23&lt;Eingaben!$B$24,AND(B1779&gt;=Eingaben!$B$23,B1779&lt;Eingaben!$B$24),OR(B1779&gt;=Eingaben!$B$23,B1779&lt;Eingaben!$B$24))),"HEAT","STANDARD"))</f>
        <v>STANDARD</v>
      </c>
      <c r="E1779" s="9"/>
      <c r="F1779" t="str">
        <f>IF(E1779="",D1779,E1779)</f>
        <v>STANDARD</v>
      </c>
      <c r="G1779" t="str">
        <f>INDEX(Netzzeiten!$B$6:$B$29,HOUR(B1779)+1)</f>
        <v>NT</v>
      </c>
      <c r="H1779" s="6">
        <f>IF(F1779="GO",Eingaben!$B$11,IF(F1779="STANDARD",Eingaben!$B$12,IF(AND(F1779="HEAT",ISNUMBER(Eingaben!$B$13)),Eingaben!$B$13,"")))</f>
        <v>28.2744</v>
      </c>
      <c r="I1779" s="6">
        <f>INDEX(Netzzeiten!$C$6:$C$29,HOUR(B1779)+1)</f>
        <v>1.64</v>
      </c>
      <c r="J1779" t="str">
        <f>IF(C1779="","FEHLT",IF(NOT(ISNUMBER(C1779)),"MESSWERT UNGUELTIG",IF(C1779&lt;0,"MESSWERT UNGUELTIG",IF(H1779="","TARIFPREIS FEHLT","OK"))))</f>
        <v>FEHLT</v>
      </c>
      <c r="K1779" s="7">
        <f>IF(J1779&lt;&gt;"OK","",C1779*I1779/100)</f>
        <v/>
      </c>
    </row>
    <row r="1780" spans="1:11">
      <c r="A1780" s="14">
        <v>46161</v>
      </c>
      <c r="B1780" s="15">
        <v>0.4791666666666667</v>
      </c>
      <c r="C1780" s="5">
        <f>IF('96 Werte'!AV24="","",'96 Werte'!AV24)</f>
        <v/>
      </c>
      <c r="D1780" t="str">
        <f>IF(IF(Eingaben!$B$21&lt;Eingaben!$B$22,AND(B1780&gt;=Eingaben!$B$21,B1780&lt;Eingaben!$B$22),OR(B1780&gt;=Eingaben!$B$21,B1780&lt;Eingaben!$B$22)),"GO",IF(AND(ISNUMBER(Eingaben!$B$23),ISNUMBER(Eingaben!$B$24),IF(Eingaben!$B$23&lt;Eingaben!$B$24,AND(B1780&gt;=Eingaben!$B$23,B1780&lt;Eingaben!$B$24),OR(B1780&gt;=Eingaben!$B$23,B1780&lt;Eingaben!$B$24))),"HEAT","STANDARD"))</f>
        <v>STANDARD</v>
      </c>
      <c r="E1780" s="9"/>
      <c r="F1780" t="str">
        <f>IF(E1780="",D1780,E1780)</f>
        <v>STANDARD</v>
      </c>
      <c r="G1780" t="str">
        <f>INDEX(Netzzeiten!$B$6:$B$29,HOUR(B1780)+1)</f>
        <v>NT</v>
      </c>
      <c r="H1780" s="6">
        <f>IF(F1780="GO",Eingaben!$B$11,IF(F1780="STANDARD",Eingaben!$B$12,IF(AND(F1780="HEAT",ISNUMBER(Eingaben!$B$13)),Eingaben!$B$13,"")))</f>
        <v>28.2744</v>
      </c>
      <c r="I1780" s="6">
        <f>INDEX(Netzzeiten!$C$6:$C$29,HOUR(B1780)+1)</f>
        <v>1.64</v>
      </c>
      <c r="J1780" t="str">
        <f>IF(C1780="","FEHLT",IF(NOT(ISNUMBER(C1780)),"MESSWERT UNGUELTIG",IF(C1780&lt;0,"MESSWERT UNGUELTIG",IF(H1780="","TARIFPREIS FEHLT","OK"))))</f>
        <v>FEHLT</v>
      </c>
      <c r="K1780" s="7">
        <f>IF(J1780&lt;&gt;"OK","",C1780*I1780/100)</f>
        <v/>
      </c>
    </row>
    <row r="1781" spans="1:11">
      <c r="A1781" s="14">
        <v>46161</v>
      </c>
      <c r="B1781" s="15">
        <v>0.4895833333333333</v>
      </c>
      <c r="C1781" s="5">
        <f>IF('96 Werte'!AW24="","",'96 Werte'!AW24)</f>
        <v/>
      </c>
      <c r="D1781" t="str">
        <f>IF(IF(Eingaben!$B$21&lt;Eingaben!$B$22,AND(B1781&gt;=Eingaben!$B$21,B1781&lt;Eingaben!$B$22),OR(B1781&gt;=Eingaben!$B$21,B1781&lt;Eingaben!$B$22)),"GO",IF(AND(ISNUMBER(Eingaben!$B$23),ISNUMBER(Eingaben!$B$24),IF(Eingaben!$B$23&lt;Eingaben!$B$24,AND(B1781&gt;=Eingaben!$B$23,B1781&lt;Eingaben!$B$24),OR(B1781&gt;=Eingaben!$B$23,B1781&lt;Eingaben!$B$24))),"HEAT","STANDARD"))</f>
        <v>STANDARD</v>
      </c>
      <c r="E1781" s="9"/>
      <c r="F1781" t="str">
        <f>IF(E1781="",D1781,E1781)</f>
        <v>STANDARD</v>
      </c>
      <c r="G1781" t="str">
        <f>INDEX(Netzzeiten!$B$6:$B$29,HOUR(B1781)+1)</f>
        <v>NT</v>
      </c>
      <c r="H1781" s="6">
        <f>IF(F1781="GO",Eingaben!$B$11,IF(F1781="STANDARD",Eingaben!$B$12,IF(AND(F1781="HEAT",ISNUMBER(Eingaben!$B$13)),Eingaben!$B$13,"")))</f>
        <v>28.2744</v>
      </c>
      <c r="I1781" s="6">
        <f>INDEX(Netzzeiten!$C$6:$C$29,HOUR(B1781)+1)</f>
        <v>1.64</v>
      </c>
      <c r="J1781" t="str">
        <f>IF(C1781="","FEHLT",IF(NOT(ISNUMBER(C1781)),"MESSWERT UNGUELTIG",IF(C1781&lt;0,"MESSWERT UNGUELTIG",IF(H1781="","TARIFPREIS FEHLT","OK"))))</f>
        <v>FEHLT</v>
      </c>
      <c r="K1781" s="7">
        <f>IF(J1781&lt;&gt;"OK","",C1781*I1781/100)</f>
        <v/>
      </c>
    </row>
    <row r="1782" spans="1:11">
      <c r="A1782" s="14">
        <v>46161</v>
      </c>
      <c r="B1782" s="15">
        <v>0.5</v>
      </c>
      <c r="C1782" s="5">
        <f>IF('96 Werte'!AX24="","",'96 Werte'!AX24)</f>
        <v/>
      </c>
      <c r="D1782" t="str">
        <f>IF(IF(Eingaben!$B$21&lt;Eingaben!$B$22,AND(B1782&gt;=Eingaben!$B$21,B1782&lt;Eingaben!$B$22),OR(B1782&gt;=Eingaben!$B$21,B1782&lt;Eingaben!$B$22)),"GO",IF(AND(ISNUMBER(Eingaben!$B$23),ISNUMBER(Eingaben!$B$24),IF(Eingaben!$B$23&lt;Eingaben!$B$24,AND(B1782&gt;=Eingaben!$B$23,B1782&lt;Eingaben!$B$24),OR(B1782&gt;=Eingaben!$B$23,B1782&lt;Eingaben!$B$24))),"HEAT","STANDARD"))</f>
        <v>STANDARD</v>
      </c>
      <c r="E1782" s="9"/>
      <c r="F1782" t="str">
        <f>IF(E1782="",D1782,E1782)</f>
        <v>STANDARD</v>
      </c>
      <c r="G1782" t="str">
        <f>INDEX(Netzzeiten!$B$6:$B$29,HOUR(B1782)+1)</f>
        <v>NT</v>
      </c>
      <c r="H1782" s="6">
        <f>IF(F1782="GO",Eingaben!$B$11,IF(F1782="STANDARD",Eingaben!$B$12,IF(AND(F1782="HEAT",ISNUMBER(Eingaben!$B$13)),Eingaben!$B$13,"")))</f>
        <v>28.2744</v>
      </c>
      <c r="I1782" s="6">
        <f>INDEX(Netzzeiten!$C$6:$C$29,HOUR(B1782)+1)</f>
        <v>1.64</v>
      </c>
      <c r="J1782" t="str">
        <f>IF(C1782="","FEHLT",IF(NOT(ISNUMBER(C1782)),"MESSWERT UNGUELTIG",IF(C1782&lt;0,"MESSWERT UNGUELTIG",IF(H1782="","TARIFPREIS FEHLT","OK"))))</f>
        <v>FEHLT</v>
      </c>
      <c r="K1782" s="7">
        <f>IF(J1782&lt;&gt;"OK","",C1782*I1782/100)</f>
        <v/>
      </c>
    </row>
    <row r="1783" spans="1:11">
      <c r="A1783" s="14">
        <v>46161</v>
      </c>
      <c r="B1783" s="15">
        <v>0.5104166666666666</v>
      </c>
      <c r="C1783" s="5">
        <f>IF('96 Werte'!AY24="","",'96 Werte'!AY24)</f>
        <v/>
      </c>
      <c r="D1783" t="str">
        <f>IF(IF(Eingaben!$B$21&lt;Eingaben!$B$22,AND(B1783&gt;=Eingaben!$B$21,B1783&lt;Eingaben!$B$22),OR(B1783&gt;=Eingaben!$B$21,B1783&lt;Eingaben!$B$22)),"GO",IF(AND(ISNUMBER(Eingaben!$B$23),ISNUMBER(Eingaben!$B$24),IF(Eingaben!$B$23&lt;Eingaben!$B$24,AND(B1783&gt;=Eingaben!$B$23,B1783&lt;Eingaben!$B$24),OR(B1783&gt;=Eingaben!$B$23,B1783&lt;Eingaben!$B$24))),"HEAT","STANDARD"))</f>
        <v>STANDARD</v>
      </c>
      <c r="E1783" s="9"/>
      <c r="F1783" t="str">
        <f>IF(E1783="",D1783,E1783)</f>
        <v>STANDARD</v>
      </c>
      <c r="G1783" t="str">
        <f>INDEX(Netzzeiten!$B$6:$B$29,HOUR(B1783)+1)</f>
        <v>NT</v>
      </c>
      <c r="H1783" s="6">
        <f>IF(F1783="GO",Eingaben!$B$11,IF(F1783="STANDARD",Eingaben!$B$12,IF(AND(F1783="HEAT",ISNUMBER(Eingaben!$B$13)),Eingaben!$B$13,"")))</f>
        <v>28.2744</v>
      </c>
      <c r="I1783" s="6">
        <f>INDEX(Netzzeiten!$C$6:$C$29,HOUR(B1783)+1)</f>
        <v>1.64</v>
      </c>
      <c r="J1783" t="str">
        <f>IF(C1783="","FEHLT",IF(NOT(ISNUMBER(C1783)),"MESSWERT UNGUELTIG",IF(C1783&lt;0,"MESSWERT UNGUELTIG",IF(H1783="","TARIFPREIS FEHLT","OK"))))</f>
        <v>FEHLT</v>
      </c>
      <c r="K1783" s="7">
        <f>IF(J1783&lt;&gt;"OK","",C1783*I1783/100)</f>
        <v/>
      </c>
    </row>
    <row r="1784" spans="1:11">
      <c r="A1784" s="14">
        <v>46161</v>
      </c>
      <c r="B1784" s="15">
        <v>0.5208333333333334</v>
      </c>
      <c r="C1784" s="5">
        <f>IF('96 Werte'!AZ24="","",'96 Werte'!AZ24)</f>
        <v/>
      </c>
      <c r="D1784" t="str">
        <f>IF(IF(Eingaben!$B$21&lt;Eingaben!$B$22,AND(B1784&gt;=Eingaben!$B$21,B1784&lt;Eingaben!$B$22),OR(B1784&gt;=Eingaben!$B$21,B1784&lt;Eingaben!$B$22)),"GO",IF(AND(ISNUMBER(Eingaben!$B$23),ISNUMBER(Eingaben!$B$24),IF(Eingaben!$B$23&lt;Eingaben!$B$24,AND(B1784&gt;=Eingaben!$B$23,B1784&lt;Eingaben!$B$24),OR(B1784&gt;=Eingaben!$B$23,B1784&lt;Eingaben!$B$24))),"HEAT","STANDARD"))</f>
        <v>STANDARD</v>
      </c>
      <c r="E1784" s="9"/>
      <c r="F1784" t="str">
        <f>IF(E1784="",D1784,E1784)</f>
        <v>STANDARD</v>
      </c>
      <c r="G1784" t="str">
        <f>INDEX(Netzzeiten!$B$6:$B$29,HOUR(B1784)+1)</f>
        <v>NT</v>
      </c>
      <c r="H1784" s="6">
        <f>IF(F1784="GO",Eingaben!$B$11,IF(F1784="STANDARD",Eingaben!$B$12,IF(AND(F1784="HEAT",ISNUMBER(Eingaben!$B$13)),Eingaben!$B$13,"")))</f>
        <v>28.2744</v>
      </c>
      <c r="I1784" s="6">
        <f>INDEX(Netzzeiten!$C$6:$C$29,HOUR(B1784)+1)</f>
        <v>1.64</v>
      </c>
      <c r="J1784" t="str">
        <f>IF(C1784="","FEHLT",IF(NOT(ISNUMBER(C1784)),"MESSWERT UNGUELTIG",IF(C1784&lt;0,"MESSWERT UNGUELTIG",IF(H1784="","TARIFPREIS FEHLT","OK"))))</f>
        <v>FEHLT</v>
      </c>
      <c r="K1784" s="7">
        <f>IF(J1784&lt;&gt;"OK","",C1784*I1784/100)</f>
        <v/>
      </c>
    </row>
    <row r="1785" spans="1:11">
      <c r="A1785" s="14">
        <v>46161</v>
      </c>
      <c r="B1785" s="15">
        <v>0.53125</v>
      </c>
      <c r="C1785" s="5">
        <f>IF('96 Werte'!BA24="","",'96 Werte'!BA24)</f>
        <v/>
      </c>
      <c r="D1785" t="str">
        <f>IF(IF(Eingaben!$B$21&lt;Eingaben!$B$22,AND(B1785&gt;=Eingaben!$B$21,B1785&lt;Eingaben!$B$22),OR(B1785&gt;=Eingaben!$B$21,B1785&lt;Eingaben!$B$22)),"GO",IF(AND(ISNUMBER(Eingaben!$B$23),ISNUMBER(Eingaben!$B$24),IF(Eingaben!$B$23&lt;Eingaben!$B$24,AND(B1785&gt;=Eingaben!$B$23,B1785&lt;Eingaben!$B$24),OR(B1785&gt;=Eingaben!$B$23,B1785&lt;Eingaben!$B$24))),"HEAT","STANDARD"))</f>
        <v>STANDARD</v>
      </c>
      <c r="E1785" s="9"/>
      <c r="F1785" t="str">
        <f>IF(E1785="",D1785,E1785)</f>
        <v>STANDARD</v>
      </c>
      <c r="G1785" t="str">
        <f>INDEX(Netzzeiten!$B$6:$B$29,HOUR(B1785)+1)</f>
        <v>NT</v>
      </c>
      <c r="H1785" s="6">
        <f>IF(F1785="GO",Eingaben!$B$11,IF(F1785="STANDARD",Eingaben!$B$12,IF(AND(F1785="HEAT",ISNUMBER(Eingaben!$B$13)),Eingaben!$B$13,"")))</f>
        <v>28.2744</v>
      </c>
      <c r="I1785" s="6">
        <f>INDEX(Netzzeiten!$C$6:$C$29,HOUR(B1785)+1)</f>
        <v>1.64</v>
      </c>
      <c r="J1785" t="str">
        <f>IF(C1785="","FEHLT",IF(NOT(ISNUMBER(C1785)),"MESSWERT UNGUELTIG",IF(C1785&lt;0,"MESSWERT UNGUELTIG",IF(H1785="","TARIFPREIS FEHLT","OK"))))</f>
        <v>FEHLT</v>
      </c>
      <c r="K1785" s="7">
        <f>IF(J1785&lt;&gt;"OK","",C1785*I1785/100)</f>
        <v/>
      </c>
    </row>
    <row r="1786" spans="1:11">
      <c r="A1786" s="14">
        <v>46161</v>
      </c>
      <c r="B1786" s="15">
        <v>0.5416666666666666</v>
      </c>
      <c r="C1786" s="5">
        <f>IF('96 Werte'!BB24="","",'96 Werte'!BB24)</f>
        <v/>
      </c>
      <c r="D1786" t="str">
        <f>IF(IF(Eingaben!$B$21&lt;Eingaben!$B$22,AND(B1786&gt;=Eingaben!$B$21,B1786&lt;Eingaben!$B$22),OR(B1786&gt;=Eingaben!$B$21,B1786&lt;Eingaben!$B$22)),"GO",IF(AND(ISNUMBER(Eingaben!$B$23),ISNUMBER(Eingaben!$B$24),IF(Eingaben!$B$23&lt;Eingaben!$B$24,AND(B1786&gt;=Eingaben!$B$23,B1786&lt;Eingaben!$B$24),OR(B1786&gt;=Eingaben!$B$23,B1786&lt;Eingaben!$B$24))),"HEAT","STANDARD"))</f>
        <v>STANDARD</v>
      </c>
      <c r="E1786" s="9"/>
      <c r="F1786" t="str">
        <f>IF(E1786="",D1786,E1786)</f>
        <v>STANDARD</v>
      </c>
      <c r="G1786" t="str">
        <f>INDEX(Netzzeiten!$B$6:$B$29,HOUR(B1786)+1)</f>
        <v>NT</v>
      </c>
      <c r="H1786" s="6">
        <f>IF(F1786="GO",Eingaben!$B$11,IF(F1786="STANDARD",Eingaben!$B$12,IF(AND(F1786="HEAT",ISNUMBER(Eingaben!$B$13)),Eingaben!$B$13,"")))</f>
        <v>28.2744</v>
      </c>
      <c r="I1786" s="6">
        <f>INDEX(Netzzeiten!$C$6:$C$29,HOUR(B1786)+1)</f>
        <v>1.64</v>
      </c>
      <c r="J1786" t="str">
        <f>IF(C1786="","FEHLT",IF(NOT(ISNUMBER(C1786)),"MESSWERT UNGUELTIG",IF(C1786&lt;0,"MESSWERT UNGUELTIG",IF(H1786="","TARIFPREIS FEHLT","OK"))))</f>
        <v>FEHLT</v>
      </c>
      <c r="K1786" s="7">
        <f>IF(J1786&lt;&gt;"OK","",C1786*I1786/100)</f>
        <v/>
      </c>
    </row>
    <row r="1787" spans="1:11">
      <c r="A1787" s="14">
        <v>46161</v>
      </c>
      <c r="B1787" s="15">
        <v>0.5520833333333334</v>
      </c>
      <c r="C1787" s="5">
        <f>IF('96 Werte'!BC24="","",'96 Werte'!BC24)</f>
        <v/>
      </c>
      <c r="D1787" t="str">
        <f>IF(IF(Eingaben!$B$21&lt;Eingaben!$B$22,AND(B1787&gt;=Eingaben!$B$21,B1787&lt;Eingaben!$B$22),OR(B1787&gt;=Eingaben!$B$21,B1787&lt;Eingaben!$B$22)),"GO",IF(AND(ISNUMBER(Eingaben!$B$23),ISNUMBER(Eingaben!$B$24),IF(Eingaben!$B$23&lt;Eingaben!$B$24,AND(B1787&gt;=Eingaben!$B$23,B1787&lt;Eingaben!$B$24),OR(B1787&gt;=Eingaben!$B$23,B1787&lt;Eingaben!$B$24))),"HEAT","STANDARD"))</f>
        <v>STANDARD</v>
      </c>
      <c r="E1787" s="9"/>
      <c r="F1787" t="str">
        <f>IF(E1787="",D1787,E1787)</f>
        <v>STANDARD</v>
      </c>
      <c r="G1787" t="str">
        <f>INDEX(Netzzeiten!$B$6:$B$29,HOUR(B1787)+1)</f>
        <v>NT</v>
      </c>
      <c r="H1787" s="6">
        <f>IF(F1787="GO",Eingaben!$B$11,IF(F1787="STANDARD",Eingaben!$B$12,IF(AND(F1787="HEAT",ISNUMBER(Eingaben!$B$13)),Eingaben!$B$13,"")))</f>
        <v>28.2744</v>
      </c>
      <c r="I1787" s="6">
        <f>INDEX(Netzzeiten!$C$6:$C$29,HOUR(B1787)+1)</f>
        <v>1.64</v>
      </c>
      <c r="J1787" t="str">
        <f>IF(C1787="","FEHLT",IF(NOT(ISNUMBER(C1787)),"MESSWERT UNGUELTIG",IF(C1787&lt;0,"MESSWERT UNGUELTIG",IF(H1787="","TARIFPREIS FEHLT","OK"))))</f>
        <v>FEHLT</v>
      </c>
      <c r="K1787" s="7">
        <f>IF(J1787&lt;&gt;"OK","",C1787*I1787/100)</f>
        <v/>
      </c>
    </row>
    <row r="1788" spans="1:11">
      <c r="A1788" s="14">
        <v>46161</v>
      </c>
      <c r="B1788" s="15">
        <v>0.5625</v>
      </c>
      <c r="C1788" s="5">
        <f>IF('96 Werte'!BD24="","",'96 Werte'!BD24)</f>
        <v/>
      </c>
      <c r="D1788" t="str">
        <f>IF(IF(Eingaben!$B$21&lt;Eingaben!$B$22,AND(B1788&gt;=Eingaben!$B$21,B1788&lt;Eingaben!$B$22),OR(B1788&gt;=Eingaben!$B$21,B1788&lt;Eingaben!$B$22)),"GO",IF(AND(ISNUMBER(Eingaben!$B$23),ISNUMBER(Eingaben!$B$24),IF(Eingaben!$B$23&lt;Eingaben!$B$24,AND(B1788&gt;=Eingaben!$B$23,B1788&lt;Eingaben!$B$24),OR(B1788&gt;=Eingaben!$B$23,B1788&lt;Eingaben!$B$24))),"HEAT","STANDARD"))</f>
        <v>STANDARD</v>
      </c>
      <c r="E1788" s="9"/>
      <c r="F1788" t="str">
        <f>IF(E1788="",D1788,E1788)</f>
        <v>STANDARD</v>
      </c>
      <c r="G1788" t="str">
        <f>INDEX(Netzzeiten!$B$6:$B$29,HOUR(B1788)+1)</f>
        <v>NT</v>
      </c>
      <c r="H1788" s="6">
        <f>IF(F1788="GO",Eingaben!$B$11,IF(F1788="STANDARD",Eingaben!$B$12,IF(AND(F1788="HEAT",ISNUMBER(Eingaben!$B$13)),Eingaben!$B$13,"")))</f>
        <v>28.2744</v>
      </c>
      <c r="I1788" s="6">
        <f>INDEX(Netzzeiten!$C$6:$C$29,HOUR(B1788)+1)</f>
        <v>1.64</v>
      </c>
      <c r="J1788" t="str">
        <f>IF(C1788="","FEHLT",IF(NOT(ISNUMBER(C1788)),"MESSWERT UNGUELTIG",IF(C1788&lt;0,"MESSWERT UNGUELTIG",IF(H1788="","TARIFPREIS FEHLT","OK"))))</f>
        <v>FEHLT</v>
      </c>
      <c r="K1788" s="7">
        <f>IF(J1788&lt;&gt;"OK","",C1788*I1788/100)</f>
        <v/>
      </c>
    </row>
    <row r="1789" spans="1:11">
      <c r="A1789" s="14">
        <v>46161</v>
      </c>
      <c r="B1789" s="15">
        <v>0.5729166666666666</v>
      </c>
      <c r="C1789" s="5">
        <f>IF('96 Werte'!BE24="","",'96 Werte'!BE24)</f>
        <v/>
      </c>
      <c r="D1789" t="str">
        <f>IF(IF(Eingaben!$B$21&lt;Eingaben!$B$22,AND(B1789&gt;=Eingaben!$B$21,B1789&lt;Eingaben!$B$22),OR(B1789&gt;=Eingaben!$B$21,B1789&lt;Eingaben!$B$22)),"GO",IF(AND(ISNUMBER(Eingaben!$B$23),ISNUMBER(Eingaben!$B$24),IF(Eingaben!$B$23&lt;Eingaben!$B$24,AND(B1789&gt;=Eingaben!$B$23,B1789&lt;Eingaben!$B$24),OR(B1789&gt;=Eingaben!$B$23,B1789&lt;Eingaben!$B$24))),"HEAT","STANDARD"))</f>
        <v>STANDARD</v>
      </c>
      <c r="E1789" s="9"/>
      <c r="F1789" t="str">
        <f>IF(E1789="",D1789,E1789)</f>
        <v>STANDARD</v>
      </c>
      <c r="G1789" t="str">
        <f>INDEX(Netzzeiten!$B$6:$B$29,HOUR(B1789)+1)</f>
        <v>NT</v>
      </c>
      <c r="H1789" s="6">
        <f>IF(F1789="GO",Eingaben!$B$11,IF(F1789="STANDARD",Eingaben!$B$12,IF(AND(F1789="HEAT",ISNUMBER(Eingaben!$B$13)),Eingaben!$B$13,"")))</f>
        <v>28.2744</v>
      </c>
      <c r="I1789" s="6">
        <f>INDEX(Netzzeiten!$C$6:$C$29,HOUR(B1789)+1)</f>
        <v>1.64</v>
      </c>
      <c r="J1789" t="str">
        <f>IF(C1789="","FEHLT",IF(NOT(ISNUMBER(C1789)),"MESSWERT UNGUELTIG",IF(C1789&lt;0,"MESSWERT UNGUELTIG",IF(H1789="","TARIFPREIS FEHLT","OK"))))</f>
        <v>FEHLT</v>
      </c>
      <c r="K1789" s="7">
        <f>IF(J1789&lt;&gt;"OK","",C1789*I1789/100)</f>
        <v/>
      </c>
    </row>
    <row r="1790" spans="1:11">
      <c r="A1790" s="14">
        <v>46161</v>
      </c>
      <c r="B1790" s="15">
        <v>0.5833333333333334</v>
      </c>
      <c r="C1790" s="5">
        <f>IF('96 Werte'!BF24="","",'96 Werte'!BF24)</f>
        <v/>
      </c>
      <c r="D1790" t="str">
        <f>IF(IF(Eingaben!$B$21&lt;Eingaben!$B$22,AND(B1790&gt;=Eingaben!$B$21,B1790&lt;Eingaben!$B$22),OR(B1790&gt;=Eingaben!$B$21,B1790&lt;Eingaben!$B$22)),"GO",IF(AND(ISNUMBER(Eingaben!$B$23),ISNUMBER(Eingaben!$B$24),IF(Eingaben!$B$23&lt;Eingaben!$B$24,AND(B1790&gt;=Eingaben!$B$23,B1790&lt;Eingaben!$B$24),OR(B1790&gt;=Eingaben!$B$23,B1790&lt;Eingaben!$B$24))),"HEAT","STANDARD"))</f>
        <v>STANDARD</v>
      </c>
      <c r="E1790" s="9"/>
      <c r="F1790" t="str">
        <f>IF(E1790="",D1790,E1790)</f>
        <v>STANDARD</v>
      </c>
      <c r="G1790" t="str">
        <f>INDEX(Netzzeiten!$B$6:$B$29,HOUR(B1790)+1)</f>
        <v>NT</v>
      </c>
      <c r="H1790" s="6">
        <f>IF(F1790="GO",Eingaben!$B$11,IF(F1790="STANDARD",Eingaben!$B$12,IF(AND(F1790="HEAT",ISNUMBER(Eingaben!$B$13)),Eingaben!$B$13,"")))</f>
        <v>28.2744</v>
      </c>
      <c r="I1790" s="6">
        <f>INDEX(Netzzeiten!$C$6:$C$29,HOUR(B1790)+1)</f>
        <v>1.64</v>
      </c>
      <c r="J1790" t="str">
        <f>IF(C1790="","FEHLT",IF(NOT(ISNUMBER(C1790)),"MESSWERT UNGUELTIG",IF(C1790&lt;0,"MESSWERT UNGUELTIG",IF(H1790="","TARIFPREIS FEHLT","OK"))))</f>
        <v>FEHLT</v>
      </c>
      <c r="K1790" s="7">
        <f>IF(J1790&lt;&gt;"OK","",C1790*I1790/100)</f>
        <v/>
      </c>
    </row>
    <row r="1791" spans="1:11">
      <c r="A1791" s="14">
        <v>46161</v>
      </c>
      <c r="B1791" s="15">
        <v>0.59375</v>
      </c>
      <c r="C1791" s="5">
        <f>IF('96 Werte'!BG24="","",'96 Werte'!BG24)</f>
        <v/>
      </c>
      <c r="D1791" t="str">
        <f>IF(IF(Eingaben!$B$21&lt;Eingaben!$B$22,AND(B1791&gt;=Eingaben!$B$21,B1791&lt;Eingaben!$B$22),OR(B1791&gt;=Eingaben!$B$21,B1791&lt;Eingaben!$B$22)),"GO",IF(AND(ISNUMBER(Eingaben!$B$23),ISNUMBER(Eingaben!$B$24),IF(Eingaben!$B$23&lt;Eingaben!$B$24,AND(B1791&gt;=Eingaben!$B$23,B1791&lt;Eingaben!$B$24),OR(B1791&gt;=Eingaben!$B$23,B1791&lt;Eingaben!$B$24))),"HEAT","STANDARD"))</f>
        <v>STANDARD</v>
      </c>
      <c r="E1791" s="9"/>
      <c r="F1791" t="str">
        <f>IF(E1791="",D1791,E1791)</f>
        <v>STANDARD</v>
      </c>
      <c r="G1791" t="str">
        <f>INDEX(Netzzeiten!$B$6:$B$29,HOUR(B1791)+1)</f>
        <v>NT</v>
      </c>
      <c r="H1791" s="6">
        <f>IF(F1791="GO",Eingaben!$B$11,IF(F1791="STANDARD",Eingaben!$B$12,IF(AND(F1791="HEAT",ISNUMBER(Eingaben!$B$13)),Eingaben!$B$13,"")))</f>
        <v>28.2744</v>
      </c>
      <c r="I1791" s="6">
        <f>INDEX(Netzzeiten!$C$6:$C$29,HOUR(B1791)+1)</f>
        <v>1.64</v>
      </c>
      <c r="J1791" t="str">
        <f>IF(C1791="","FEHLT",IF(NOT(ISNUMBER(C1791)),"MESSWERT UNGUELTIG",IF(C1791&lt;0,"MESSWERT UNGUELTIG",IF(H1791="","TARIFPREIS FEHLT","OK"))))</f>
        <v>FEHLT</v>
      </c>
      <c r="K1791" s="7">
        <f>IF(J1791&lt;&gt;"OK","",C1791*I1791/100)</f>
        <v/>
      </c>
    </row>
    <row r="1792" spans="1:11">
      <c r="A1792" s="14">
        <v>46161</v>
      </c>
      <c r="B1792" s="15">
        <v>0.6041666666666666</v>
      </c>
      <c r="C1792" s="5">
        <f>IF('96 Werte'!BH24="","",'96 Werte'!BH24)</f>
        <v/>
      </c>
      <c r="D1792" t="str">
        <f>IF(IF(Eingaben!$B$21&lt;Eingaben!$B$22,AND(B1792&gt;=Eingaben!$B$21,B1792&lt;Eingaben!$B$22),OR(B1792&gt;=Eingaben!$B$21,B1792&lt;Eingaben!$B$22)),"GO",IF(AND(ISNUMBER(Eingaben!$B$23),ISNUMBER(Eingaben!$B$24),IF(Eingaben!$B$23&lt;Eingaben!$B$24,AND(B1792&gt;=Eingaben!$B$23,B1792&lt;Eingaben!$B$24),OR(B1792&gt;=Eingaben!$B$23,B1792&lt;Eingaben!$B$24))),"HEAT","STANDARD"))</f>
        <v>STANDARD</v>
      </c>
      <c r="E1792" s="9"/>
      <c r="F1792" t="str">
        <f>IF(E1792="",D1792,E1792)</f>
        <v>STANDARD</v>
      </c>
      <c r="G1792" t="str">
        <f>INDEX(Netzzeiten!$B$6:$B$29,HOUR(B1792)+1)</f>
        <v>NT</v>
      </c>
      <c r="H1792" s="6">
        <f>IF(F1792="GO",Eingaben!$B$11,IF(F1792="STANDARD",Eingaben!$B$12,IF(AND(F1792="HEAT",ISNUMBER(Eingaben!$B$13)),Eingaben!$B$13,"")))</f>
        <v>28.2744</v>
      </c>
      <c r="I1792" s="6">
        <f>INDEX(Netzzeiten!$C$6:$C$29,HOUR(B1792)+1)</f>
        <v>1.64</v>
      </c>
      <c r="J1792" t="str">
        <f>IF(C1792="","FEHLT",IF(NOT(ISNUMBER(C1792)),"MESSWERT UNGUELTIG",IF(C1792&lt;0,"MESSWERT UNGUELTIG",IF(H1792="","TARIFPREIS FEHLT","OK"))))</f>
        <v>FEHLT</v>
      </c>
      <c r="K1792" s="7">
        <f>IF(J1792&lt;&gt;"OK","",C1792*I1792/100)</f>
        <v/>
      </c>
    </row>
    <row r="1793" spans="1:11">
      <c r="A1793" s="14">
        <v>46161</v>
      </c>
      <c r="B1793" s="15">
        <v>0.6145833333333334</v>
      </c>
      <c r="C1793" s="5">
        <f>IF('96 Werte'!BI24="","",'96 Werte'!BI24)</f>
        <v/>
      </c>
      <c r="D1793" t="str">
        <f>IF(IF(Eingaben!$B$21&lt;Eingaben!$B$22,AND(B1793&gt;=Eingaben!$B$21,B1793&lt;Eingaben!$B$22),OR(B1793&gt;=Eingaben!$B$21,B1793&lt;Eingaben!$B$22)),"GO",IF(AND(ISNUMBER(Eingaben!$B$23),ISNUMBER(Eingaben!$B$24),IF(Eingaben!$B$23&lt;Eingaben!$B$24,AND(B1793&gt;=Eingaben!$B$23,B1793&lt;Eingaben!$B$24),OR(B1793&gt;=Eingaben!$B$23,B1793&lt;Eingaben!$B$24))),"HEAT","STANDARD"))</f>
        <v>STANDARD</v>
      </c>
      <c r="E1793" s="9"/>
      <c r="F1793" t="str">
        <f>IF(E1793="",D1793,E1793)</f>
        <v>STANDARD</v>
      </c>
      <c r="G1793" t="str">
        <f>INDEX(Netzzeiten!$B$6:$B$29,HOUR(B1793)+1)</f>
        <v>NT</v>
      </c>
      <c r="H1793" s="6">
        <f>IF(F1793="GO",Eingaben!$B$11,IF(F1793="STANDARD",Eingaben!$B$12,IF(AND(F1793="HEAT",ISNUMBER(Eingaben!$B$13)),Eingaben!$B$13,"")))</f>
        <v>28.2744</v>
      </c>
      <c r="I1793" s="6">
        <f>INDEX(Netzzeiten!$C$6:$C$29,HOUR(B1793)+1)</f>
        <v>1.64</v>
      </c>
      <c r="J1793" t="str">
        <f>IF(C1793="","FEHLT",IF(NOT(ISNUMBER(C1793)),"MESSWERT UNGUELTIG",IF(C1793&lt;0,"MESSWERT UNGUELTIG",IF(H1793="","TARIFPREIS FEHLT","OK"))))</f>
        <v>FEHLT</v>
      </c>
      <c r="K1793" s="7">
        <f>IF(J1793&lt;&gt;"OK","",C1793*I1793/100)</f>
        <v/>
      </c>
    </row>
    <row r="1794" spans="1:11">
      <c r="A1794" s="14">
        <v>46161</v>
      </c>
      <c r="B1794" s="15">
        <v>0.625</v>
      </c>
      <c r="C1794" s="5">
        <f>IF('96 Werte'!BJ24="","",'96 Werte'!BJ24)</f>
        <v/>
      </c>
      <c r="D1794" t="str">
        <f>IF(IF(Eingaben!$B$21&lt;Eingaben!$B$22,AND(B1794&gt;=Eingaben!$B$21,B1794&lt;Eingaben!$B$22),OR(B1794&gt;=Eingaben!$B$21,B1794&lt;Eingaben!$B$22)),"GO",IF(AND(ISNUMBER(Eingaben!$B$23),ISNUMBER(Eingaben!$B$24),IF(Eingaben!$B$23&lt;Eingaben!$B$24,AND(B1794&gt;=Eingaben!$B$23,B1794&lt;Eingaben!$B$24),OR(B1794&gt;=Eingaben!$B$23,B1794&lt;Eingaben!$B$24))),"HEAT","STANDARD"))</f>
        <v>STANDARD</v>
      </c>
      <c r="E1794" s="9"/>
      <c r="F1794" t="str">
        <f>IF(E1794="",D1794,E1794)</f>
        <v>STANDARD</v>
      </c>
      <c r="G1794" t="str">
        <f>INDEX(Netzzeiten!$B$6:$B$29,HOUR(B1794)+1)</f>
        <v>ST</v>
      </c>
      <c r="H1794" s="6">
        <f>IF(F1794="GO",Eingaben!$B$11,IF(F1794="STANDARD",Eingaben!$B$12,IF(AND(F1794="HEAT",ISNUMBER(Eingaben!$B$13)),Eingaben!$B$13,"")))</f>
        <v>28.2744</v>
      </c>
      <c r="I1794" s="6">
        <f>INDEX(Netzzeiten!$C$6:$C$29,HOUR(B1794)+1)</f>
        <v>5.48</v>
      </c>
      <c r="J1794" t="str">
        <f>IF(C1794="","FEHLT",IF(NOT(ISNUMBER(C1794)),"MESSWERT UNGUELTIG",IF(C1794&lt;0,"MESSWERT UNGUELTIG",IF(H1794="","TARIFPREIS FEHLT","OK"))))</f>
        <v>FEHLT</v>
      </c>
      <c r="K1794" s="7">
        <f>IF(J1794&lt;&gt;"OK","",C1794*I1794/100)</f>
        <v/>
      </c>
    </row>
    <row r="1795" spans="1:11">
      <c r="A1795" s="14">
        <v>46161</v>
      </c>
      <c r="B1795" s="15">
        <v>0.6354166666666666</v>
      </c>
      <c r="C1795" s="5">
        <f>IF('96 Werte'!BK24="","",'96 Werte'!BK24)</f>
        <v/>
      </c>
      <c r="D1795" t="str">
        <f>IF(IF(Eingaben!$B$21&lt;Eingaben!$B$22,AND(B1795&gt;=Eingaben!$B$21,B1795&lt;Eingaben!$B$22),OR(B1795&gt;=Eingaben!$B$21,B1795&lt;Eingaben!$B$22)),"GO",IF(AND(ISNUMBER(Eingaben!$B$23),ISNUMBER(Eingaben!$B$24),IF(Eingaben!$B$23&lt;Eingaben!$B$24,AND(B1795&gt;=Eingaben!$B$23,B1795&lt;Eingaben!$B$24),OR(B1795&gt;=Eingaben!$B$23,B1795&lt;Eingaben!$B$24))),"HEAT","STANDARD"))</f>
        <v>STANDARD</v>
      </c>
      <c r="E1795" s="9"/>
      <c r="F1795" t="str">
        <f>IF(E1795="",D1795,E1795)</f>
        <v>STANDARD</v>
      </c>
      <c r="G1795" t="str">
        <f>INDEX(Netzzeiten!$B$6:$B$29,HOUR(B1795)+1)</f>
        <v>ST</v>
      </c>
      <c r="H1795" s="6">
        <f>IF(F1795="GO",Eingaben!$B$11,IF(F1795="STANDARD",Eingaben!$B$12,IF(AND(F1795="HEAT",ISNUMBER(Eingaben!$B$13)),Eingaben!$B$13,"")))</f>
        <v>28.2744</v>
      </c>
      <c r="I1795" s="6">
        <f>INDEX(Netzzeiten!$C$6:$C$29,HOUR(B1795)+1)</f>
        <v>5.48</v>
      </c>
      <c r="J1795" t="str">
        <f>IF(C1795="","FEHLT",IF(NOT(ISNUMBER(C1795)),"MESSWERT UNGUELTIG",IF(C1795&lt;0,"MESSWERT UNGUELTIG",IF(H1795="","TARIFPREIS FEHLT","OK"))))</f>
        <v>FEHLT</v>
      </c>
      <c r="K1795" s="7">
        <f>IF(J1795&lt;&gt;"OK","",C1795*I1795/100)</f>
        <v/>
      </c>
    </row>
    <row r="1796" spans="1:11">
      <c r="A1796" s="14">
        <v>46161</v>
      </c>
      <c r="B1796" s="15">
        <v>0.6458333333333334</v>
      </c>
      <c r="C1796" s="5">
        <f>IF('96 Werte'!BL24="","",'96 Werte'!BL24)</f>
        <v/>
      </c>
      <c r="D1796" t="str">
        <f>IF(IF(Eingaben!$B$21&lt;Eingaben!$B$22,AND(B1796&gt;=Eingaben!$B$21,B1796&lt;Eingaben!$B$22),OR(B1796&gt;=Eingaben!$B$21,B1796&lt;Eingaben!$B$22)),"GO",IF(AND(ISNUMBER(Eingaben!$B$23),ISNUMBER(Eingaben!$B$24),IF(Eingaben!$B$23&lt;Eingaben!$B$24,AND(B1796&gt;=Eingaben!$B$23,B1796&lt;Eingaben!$B$24),OR(B1796&gt;=Eingaben!$B$23,B1796&lt;Eingaben!$B$24))),"HEAT","STANDARD"))</f>
        <v>STANDARD</v>
      </c>
      <c r="E1796" s="9"/>
      <c r="F1796" t="str">
        <f>IF(E1796="",D1796,E1796)</f>
        <v>STANDARD</v>
      </c>
      <c r="G1796" t="str">
        <f>INDEX(Netzzeiten!$B$6:$B$29,HOUR(B1796)+1)</f>
        <v>ST</v>
      </c>
      <c r="H1796" s="6">
        <f>IF(F1796="GO",Eingaben!$B$11,IF(F1796="STANDARD",Eingaben!$B$12,IF(AND(F1796="HEAT",ISNUMBER(Eingaben!$B$13)),Eingaben!$B$13,"")))</f>
        <v>28.2744</v>
      </c>
      <c r="I1796" s="6">
        <f>INDEX(Netzzeiten!$C$6:$C$29,HOUR(B1796)+1)</f>
        <v>5.48</v>
      </c>
      <c r="J1796" t="str">
        <f>IF(C1796="","FEHLT",IF(NOT(ISNUMBER(C1796)),"MESSWERT UNGUELTIG",IF(C1796&lt;0,"MESSWERT UNGUELTIG",IF(H1796="","TARIFPREIS FEHLT","OK"))))</f>
        <v>FEHLT</v>
      </c>
      <c r="K1796" s="7">
        <f>IF(J1796&lt;&gt;"OK","",C1796*I1796/100)</f>
        <v/>
      </c>
    </row>
    <row r="1797" spans="1:11">
      <c r="A1797" s="14">
        <v>46161</v>
      </c>
      <c r="B1797" s="15">
        <v>0.65625</v>
      </c>
      <c r="C1797" s="5">
        <f>IF('96 Werte'!BM24="","",'96 Werte'!BM24)</f>
        <v/>
      </c>
      <c r="D1797" t="str">
        <f>IF(IF(Eingaben!$B$21&lt;Eingaben!$B$22,AND(B1797&gt;=Eingaben!$B$21,B1797&lt;Eingaben!$B$22),OR(B1797&gt;=Eingaben!$B$21,B1797&lt;Eingaben!$B$22)),"GO",IF(AND(ISNUMBER(Eingaben!$B$23),ISNUMBER(Eingaben!$B$24),IF(Eingaben!$B$23&lt;Eingaben!$B$24,AND(B1797&gt;=Eingaben!$B$23,B1797&lt;Eingaben!$B$24),OR(B1797&gt;=Eingaben!$B$23,B1797&lt;Eingaben!$B$24))),"HEAT","STANDARD"))</f>
        <v>STANDARD</v>
      </c>
      <c r="E1797" s="9"/>
      <c r="F1797" t="str">
        <f>IF(E1797="",D1797,E1797)</f>
        <v>STANDARD</v>
      </c>
      <c r="G1797" t="str">
        <f>INDEX(Netzzeiten!$B$6:$B$29,HOUR(B1797)+1)</f>
        <v>ST</v>
      </c>
      <c r="H1797" s="6">
        <f>IF(F1797="GO",Eingaben!$B$11,IF(F1797="STANDARD",Eingaben!$B$12,IF(AND(F1797="HEAT",ISNUMBER(Eingaben!$B$13)),Eingaben!$B$13,"")))</f>
        <v>28.2744</v>
      </c>
      <c r="I1797" s="6">
        <f>INDEX(Netzzeiten!$C$6:$C$29,HOUR(B1797)+1)</f>
        <v>5.48</v>
      </c>
      <c r="J1797" t="str">
        <f>IF(C1797="","FEHLT",IF(NOT(ISNUMBER(C1797)),"MESSWERT UNGUELTIG",IF(C1797&lt;0,"MESSWERT UNGUELTIG",IF(H1797="","TARIFPREIS FEHLT","OK"))))</f>
        <v>FEHLT</v>
      </c>
      <c r="K1797" s="7">
        <f>IF(J1797&lt;&gt;"OK","",C1797*I1797/100)</f>
        <v/>
      </c>
    </row>
    <row r="1798" spans="1:11">
      <c r="A1798" s="14">
        <v>46161</v>
      </c>
      <c r="B1798" s="15">
        <v>0.6666666666666666</v>
      </c>
      <c r="C1798" s="5">
        <f>IF('96 Werte'!BN24="","",'96 Werte'!BN24)</f>
        <v/>
      </c>
      <c r="D1798" t="str">
        <f>IF(IF(Eingaben!$B$21&lt;Eingaben!$B$22,AND(B1798&gt;=Eingaben!$B$21,B1798&lt;Eingaben!$B$22),OR(B1798&gt;=Eingaben!$B$21,B1798&lt;Eingaben!$B$22)),"GO",IF(AND(ISNUMBER(Eingaben!$B$23),ISNUMBER(Eingaben!$B$24),IF(Eingaben!$B$23&lt;Eingaben!$B$24,AND(B1798&gt;=Eingaben!$B$23,B1798&lt;Eingaben!$B$24),OR(B1798&gt;=Eingaben!$B$23,B1798&lt;Eingaben!$B$24))),"HEAT","STANDARD"))</f>
        <v>STANDARD</v>
      </c>
      <c r="E1798" s="9"/>
      <c r="F1798" t="str">
        <f>IF(E1798="",D1798,E1798)</f>
        <v>STANDARD</v>
      </c>
      <c r="G1798" t="str">
        <f>INDEX(Netzzeiten!$B$6:$B$29,HOUR(B1798)+1)</f>
        <v>ST</v>
      </c>
      <c r="H1798" s="6">
        <f>IF(F1798="GO",Eingaben!$B$11,IF(F1798="STANDARD",Eingaben!$B$12,IF(AND(F1798="HEAT",ISNUMBER(Eingaben!$B$13)),Eingaben!$B$13,"")))</f>
        <v>28.2744</v>
      </c>
      <c r="I1798" s="6">
        <f>INDEX(Netzzeiten!$C$6:$C$29,HOUR(B1798)+1)</f>
        <v>5.48</v>
      </c>
      <c r="J1798" t="str">
        <f>IF(C1798="","FEHLT",IF(NOT(ISNUMBER(C1798)),"MESSWERT UNGUELTIG",IF(C1798&lt;0,"MESSWERT UNGUELTIG",IF(H1798="","TARIFPREIS FEHLT","OK"))))</f>
        <v>FEHLT</v>
      </c>
      <c r="K1798" s="7">
        <f>IF(J1798&lt;&gt;"OK","",C1798*I1798/100)</f>
        <v/>
      </c>
    </row>
    <row r="1799" spans="1:11">
      <c r="A1799" s="14">
        <v>46161</v>
      </c>
      <c r="B1799" s="15">
        <v>0.6770833333333334</v>
      </c>
      <c r="C1799" s="5">
        <f>IF('96 Werte'!BO24="","",'96 Werte'!BO24)</f>
        <v/>
      </c>
      <c r="D1799" t="str">
        <f>IF(IF(Eingaben!$B$21&lt;Eingaben!$B$22,AND(B1799&gt;=Eingaben!$B$21,B1799&lt;Eingaben!$B$22),OR(B1799&gt;=Eingaben!$B$21,B1799&lt;Eingaben!$B$22)),"GO",IF(AND(ISNUMBER(Eingaben!$B$23),ISNUMBER(Eingaben!$B$24),IF(Eingaben!$B$23&lt;Eingaben!$B$24,AND(B1799&gt;=Eingaben!$B$23,B1799&lt;Eingaben!$B$24),OR(B1799&gt;=Eingaben!$B$23,B1799&lt;Eingaben!$B$24))),"HEAT","STANDARD"))</f>
        <v>STANDARD</v>
      </c>
      <c r="E1799" s="9"/>
      <c r="F1799" t="str">
        <f>IF(E1799="",D1799,E1799)</f>
        <v>STANDARD</v>
      </c>
      <c r="G1799" t="str">
        <f>INDEX(Netzzeiten!$B$6:$B$29,HOUR(B1799)+1)</f>
        <v>ST</v>
      </c>
      <c r="H1799" s="6">
        <f>IF(F1799="GO",Eingaben!$B$11,IF(F1799="STANDARD",Eingaben!$B$12,IF(AND(F1799="HEAT",ISNUMBER(Eingaben!$B$13)),Eingaben!$B$13,"")))</f>
        <v>28.2744</v>
      </c>
      <c r="I1799" s="6">
        <f>INDEX(Netzzeiten!$C$6:$C$29,HOUR(B1799)+1)</f>
        <v>5.48</v>
      </c>
      <c r="J1799" t="str">
        <f>IF(C1799="","FEHLT",IF(NOT(ISNUMBER(C1799)),"MESSWERT UNGUELTIG",IF(C1799&lt;0,"MESSWERT UNGUELTIG",IF(H1799="","TARIFPREIS FEHLT","OK"))))</f>
        <v>FEHLT</v>
      </c>
      <c r="K1799" s="7">
        <f>IF(J1799&lt;&gt;"OK","",C1799*I1799/100)</f>
        <v/>
      </c>
    </row>
    <row r="1800" spans="1:11">
      <c r="A1800" s="14">
        <v>46161</v>
      </c>
      <c r="B1800" s="15">
        <v>0.6875</v>
      </c>
      <c r="C1800" s="5">
        <f>IF('96 Werte'!BP24="","",'96 Werte'!BP24)</f>
        <v/>
      </c>
      <c r="D1800" t="str">
        <f>IF(IF(Eingaben!$B$21&lt;Eingaben!$B$22,AND(B1800&gt;=Eingaben!$B$21,B1800&lt;Eingaben!$B$22),OR(B1800&gt;=Eingaben!$B$21,B1800&lt;Eingaben!$B$22)),"GO",IF(AND(ISNUMBER(Eingaben!$B$23),ISNUMBER(Eingaben!$B$24),IF(Eingaben!$B$23&lt;Eingaben!$B$24,AND(B1800&gt;=Eingaben!$B$23,B1800&lt;Eingaben!$B$24),OR(B1800&gt;=Eingaben!$B$23,B1800&lt;Eingaben!$B$24))),"HEAT","STANDARD"))</f>
        <v>STANDARD</v>
      </c>
      <c r="E1800" s="9"/>
      <c r="F1800" t="str">
        <f>IF(E1800="",D1800,E1800)</f>
        <v>STANDARD</v>
      </c>
      <c r="G1800" t="str">
        <f>INDEX(Netzzeiten!$B$6:$B$29,HOUR(B1800)+1)</f>
        <v>ST</v>
      </c>
      <c r="H1800" s="6">
        <f>IF(F1800="GO",Eingaben!$B$11,IF(F1800="STANDARD",Eingaben!$B$12,IF(AND(F1800="HEAT",ISNUMBER(Eingaben!$B$13)),Eingaben!$B$13,"")))</f>
        <v>28.2744</v>
      </c>
      <c r="I1800" s="6">
        <f>INDEX(Netzzeiten!$C$6:$C$29,HOUR(B1800)+1)</f>
        <v>5.48</v>
      </c>
      <c r="J1800" t="str">
        <f>IF(C1800="","FEHLT",IF(NOT(ISNUMBER(C1800)),"MESSWERT UNGUELTIG",IF(C1800&lt;0,"MESSWERT UNGUELTIG",IF(H1800="","TARIFPREIS FEHLT","OK"))))</f>
        <v>FEHLT</v>
      </c>
      <c r="K1800" s="7">
        <f>IF(J1800&lt;&gt;"OK","",C1800*I1800/100)</f>
        <v/>
      </c>
    </row>
    <row r="1801" spans="1:11">
      <c r="A1801" s="14">
        <v>46161</v>
      </c>
      <c r="B1801" s="15">
        <v>0.6979166666666666</v>
      </c>
      <c r="C1801" s="5">
        <f>IF('96 Werte'!BQ24="","",'96 Werte'!BQ24)</f>
        <v/>
      </c>
      <c r="D1801" t="str">
        <f>IF(IF(Eingaben!$B$21&lt;Eingaben!$B$22,AND(B1801&gt;=Eingaben!$B$21,B1801&lt;Eingaben!$B$22),OR(B1801&gt;=Eingaben!$B$21,B1801&lt;Eingaben!$B$22)),"GO",IF(AND(ISNUMBER(Eingaben!$B$23),ISNUMBER(Eingaben!$B$24),IF(Eingaben!$B$23&lt;Eingaben!$B$24,AND(B1801&gt;=Eingaben!$B$23,B1801&lt;Eingaben!$B$24),OR(B1801&gt;=Eingaben!$B$23,B1801&lt;Eingaben!$B$24))),"HEAT","STANDARD"))</f>
        <v>STANDARD</v>
      </c>
      <c r="E1801" s="9"/>
      <c r="F1801" t="str">
        <f>IF(E1801="",D1801,E1801)</f>
        <v>STANDARD</v>
      </c>
      <c r="G1801" t="str">
        <f>INDEX(Netzzeiten!$B$6:$B$29,HOUR(B1801)+1)</f>
        <v>ST</v>
      </c>
      <c r="H1801" s="6">
        <f>IF(F1801="GO",Eingaben!$B$11,IF(F1801="STANDARD",Eingaben!$B$12,IF(AND(F1801="HEAT",ISNUMBER(Eingaben!$B$13)),Eingaben!$B$13,"")))</f>
        <v>28.2744</v>
      </c>
      <c r="I1801" s="6">
        <f>INDEX(Netzzeiten!$C$6:$C$29,HOUR(B1801)+1)</f>
        <v>5.48</v>
      </c>
      <c r="J1801" t="str">
        <f>IF(C1801="","FEHLT",IF(NOT(ISNUMBER(C1801)),"MESSWERT UNGUELTIG",IF(C1801&lt;0,"MESSWERT UNGUELTIG",IF(H1801="","TARIFPREIS FEHLT","OK"))))</f>
        <v>FEHLT</v>
      </c>
      <c r="K1801" s="7">
        <f>IF(J1801&lt;&gt;"OK","",C1801*I1801/100)</f>
        <v/>
      </c>
    </row>
    <row r="1802" spans="1:11">
      <c r="A1802" s="14">
        <v>46161</v>
      </c>
      <c r="B1802" s="15">
        <v>0.7083333333333334</v>
      </c>
      <c r="C1802" s="5">
        <f>IF('96 Werte'!BR24="","",'96 Werte'!BR24)</f>
        <v/>
      </c>
      <c r="D1802" t="str">
        <f>IF(IF(Eingaben!$B$21&lt;Eingaben!$B$22,AND(B1802&gt;=Eingaben!$B$21,B1802&lt;Eingaben!$B$22),OR(B1802&gt;=Eingaben!$B$21,B1802&lt;Eingaben!$B$22)),"GO",IF(AND(ISNUMBER(Eingaben!$B$23),ISNUMBER(Eingaben!$B$24),IF(Eingaben!$B$23&lt;Eingaben!$B$24,AND(B1802&gt;=Eingaben!$B$23,B1802&lt;Eingaben!$B$24),OR(B1802&gt;=Eingaben!$B$23,B1802&lt;Eingaben!$B$24))),"HEAT","STANDARD"))</f>
        <v>STANDARD</v>
      </c>
      <c r="E1802" s="9"/>
      <c r="F1802" t="str">
        <f>IF(E1802="",D1802,E1802)</f>
        <v>STANDARD</v>
      </c>
      <c r="G1802" t="str">
        <f>INDEX(Netzzeiten!$B$6:$B$29,HOUR(B1802)+1)</f>
        <v>HT</v>
      </c>
      <c r="H1802" s="6">
        <f>IF(F1802="GO",Eingaben!$B$11,IF(F1802="STANDARD",Eingaben!$B$12,IF(AND(F1802="HEAT",ISNUMBER(Eingaben!$B$13)),Eingaben!$B$13,"")))</f>
        <v>28.2744</v>
      </c>
      <c r="I1802" s="6">
        <f>INDEX(Netzzeiten!$C$6:$C$29,HOUR(B1802)+1)</f>
        <v>10.52</v>
      </c>
      <c r="J1802" t="str">
        <f>IF(C1802="","FEHLT",IF(NOT(ISNUMBER(C1802)),"MESSWERT UNGUELTIG",IF(C1802&lt;0,"MESSWERT UNGUELTIG",IF(H1802="","TARIFPREIS FEHLT","OK"))))</f>
        <v>FEHLT</v>
      </c>
      <c r="K1802" s="7">
        <f>IF(J1802&lt;&gt;"OK","",C1802*I1802/100)</f>
        <v/>
      </c>
    </row>
    <row r="1803" spans="1:11">
      <c r="A1803" s="14">
        <v>46161</v>
      </c>
      <c r="B1803" s="15">
        <v>0.71875</v>
      </c>
      <c r="C1803" s="5">
        <f>IF('96 Werte'!BS24="","",'96 Werte'!BS24)</f>
        <v/>
      </c>
      <c r="D1803" t="str">
        <f>IF(IF(Eingaben!$B$21&lt;Eingaben!$B$22,AND(B1803&gt;=Eingaben!$B$21,B1803&lt;Eingaben!$B$22),OR(B1803&gt;=Eingaben!$B$21,B1803&lt;Eingaben!$B$22)),"GO",IF(AND(ISNUMBER(Eingaben!$B$23),ISNUMBER(Eingaben!$B$24),IF(Eingaben!$B$23&lt;Eingaben!$B$24,AND(B1803&gt;=Eingaben!$B$23,B1803&lt;Eingaben!$B$24),OR(B1803&gt;=Eingaben!$B$23,B1803&lt;Eingaben!$B$24))),"HEAT","STANDARD"))</f>
        <v>STANDARD</v>
      </c>
      <c r="E1803" s="9"/>
      <c r="F1803" t="str">
        <f>IF(E1803="",D1803,E1803)</f>
        <v>STANDARD</v>
      </c>
      <c r="G1803" t="str">
        <f>INDEX(Netzzeiten!$B$6:$B$29,HOUR(B1803)+1)</f>
        <v>HT</v>
      </c>
      <c r="H1803" s="6">
        <f>IF(F1803="GO",Eingaben!$B$11,IF(F1803="STANDARD",Eingaben!$B$12,IF(AND(F1803="HEAT",ISNUMBER(Eingaben!$B$13)),Eingaben!$B$13,"")))</f>
        <v>28.2744</v>
      </c>
      <c r="I1803" s="6">
        <f>INDEX(Netzzeiten!$C$6:$C$29,HOUR(B1803)+1)</f>
        <v>10.52</v>
      </c>
      <c r="J1803" t="str">
        <f>IF(C1803="","FEHLT",IF(NOT(ISNUMBER(C1803)),"MESSWERT UNGUELTIG",IF(C1803&lt;0,"MESSWERT UNGUELTIG",IF(H1803="","TARIFPREIS FEHLT","OK"))))</f>
        <v>FEHLT</v>
      </c>
      <c r="K1803" s="7">
        <f>IF(J1803&lt;&gt;"OK","",C1803*I1803/100)</f>
        <v/>
      </c>
    </row>
    <row r="1804" spans="1:11">
      <c r="A1804" s="14">
        <v>46161</v>
      </c>
      <c r="B1804" s="15">
        <v>0.7291666666666666</v>
      </c>
      <c r="C1804" s="5">
        <f>IF('96 Werte'!BT24="","",'96 Werte'!BT24)</f>
        <v/>
      </c>
      <c r="D1804" t="str">
        <f>IF(IF(Eingaben!$B$21&lt;Eingaben!$B$22,AND(B1804&gt;=Eingaben!$B$21,B1804&lt;Eingaben!$B$22),OR(B1804&gt;=Eingaben!$B$21,B1804&lt;Eingaben!$B$22)),"GO",IF(AND(ISNUMBER(Eingaben!$B$23),ISNUMBER(Eingaben!$B$24),IF(Eingaben!$B$23&lt;Eingaben!$B$24,AND(B1804&gt;=Eingaben!$B$23,B1804&lt;Eingaben!$B$24),OR(B1804&gt;=Eingaben!$B$23,B1804&lt;Eingaben!$B$24))),"HEAT","STANDARD"))</f>
        <v>STANDARD</v>
      </c>
      <c r="E1804" s="9"/>
      <c r="F1804" t="str">
        <f>IF(E1804="",D1804,E1804)</f>
        <v>STANDARD</v>
      </c>
      <c r="G1804" t="str">
        <f>INDEX(Netzzeiten!$B$6:$B$29,HOUR(B1804)+1)</f>
        <v>HT</v>
      </c>
      <c r="H1804" s="6">
        <f>IF(F1804="GO",Eingaben!$B$11,IF(F1804="STANDARD",Eingaben!$B$12,IF(AND(F1804="HEAT",ISNUMBER(Eingaben!$B$13)),Eingaben!$B$13,"")))</f>
        <v>28.2744</v>
      </c>
      <c r="I1804" s="6">
        <f>INDEX(Netzzeiten!$C$6:$C$29,HOUR(B1804)+1)</f>
        <v>10.52</v>
      </c>
      <c r="J1804" t="str">
        <f>IF(C1804="","FEHLT",IF(NOT(ISNUMBER(C1804)),"MESSWERT UNGUELTIG",IF(C1804&lt;0,"MESSWERT UNGUELTIG",IF(H1804="","TARIFPREIS FEHLT","OK"))))</f>
        <v>FEHLT</v>
      </c>
      <c r="K1804" s="7">
        <f>IF(J1804&lt;&gt;"OK","",C1804*I1804/100)</f>
        <v/>
      </c>
    </row>
    <row r="1805" spans="1:11">
      <c r="A1805" s="14">
        <v>46161</v>
      </c>
      <c r="B1805" s="15">
        <v>0.7395833333333334</v>
      </c>
      <c r="C1805" s="5">
        <f>IF('96 Werte'!BU24="","",'96 Werte'!BU24)</f>
        <v/>
      </c>
      <c r="D1805" t="str">
        <f>IF(IF(Eingaben!$B$21&lt;Eingaben!$B$22,AND(B1805&gt;=Eingaben!$B$21,B1805&lt;Eingaben!$B$22),OR(B1805&gt;=Eingaben!$B$21,B1805&lt;Eingaben!$B$22)),"GO",IF(AND(ISNUMBER(Eingaben!$B$23),ISNUMBER(Eingaben!$B$24),IF(Eingaben!$B$23&lt;Eingaben!$B$24,AND(B1805&gt;=Eingaben!$B$23,B1805&lt;Eingaben!$B$24),OR(B1805&gt;=Eingaben!$B$23,B1805&lt;Eingaben!$B$24))),"HEAT","STANDARD"))</f>
        <v>STANDARD</v>
      </c>
      <c r="E1805" s="9"/>
      <c r="F1805" t="str">
        <f>IF(E1805="",D1805,E1805)</f>
        <v>STANDARD</v>
      </c>
      <c r="G1805" t="str">
        <f>INDEX(Netzzeiten!$B$6:$B$29,HOUR(B1805)+1)</f>
        <v>HT</v>
      </c>
      <c r="H1805" s="6">
        <f>IF(F1805="GO",Eingaben!$B$11,IF(F1805="STANDARD",Eingaben!$B$12,IF(AND(F1805="HEAT",ISNUMBER(Eingaben!$B$13)),Eingaben!$B$13,"")))</f>
        <v>28.2744</v>
      </c>
      <c r="I1805" s="6">
        <f>INDEX(Netzzeiten!$C$6:$C$29,HOUR(B1805)+1)</f>
        <v>10.52</v>
      </c>
      <c r="J1805" t="str">
        <f>IF(C1805="","FEHLT",IF(NOT(ISNUMBER(C1805)),"MESSWERT UNGUELTIG",IF(C1805&lt;0,"MESSWERT UNGUELTIG",IF(H1805="","TARIFPREIS FEHLT","OK"))))</f>
        <v>FEHLT</v>
      </c>
      <c r="K1805" s="7">
        <f>IF(J1805&lt;&gt;"OK","",C1805*I1805/100)</f>
        <v/>
      </c>
    </row>
    <row r="1806" spans="1:11">
      <c r="A1806" s="14">
        <v>46161</v>
      </c>
      <c r="B1806" s="15">
        <v>0.75</v>
      </c>
      <c r="C1806" s="5">
        <f>IF('96 Werte'!BV24="","",'96 Werte'!BV24)</f>
        <v/>
      </c>
      <c r="D1806" t="str">
        <f>IF(IF(Eingaben!$B$21&lt;Eingaben!$B$22,AND(B1806&gt;=Eingaben!$B$21,B1806&lt;Eingaben!$B$22),OR(B1806&gt;=Eingaben!$B$21,B1806&lt;Eingaben!$B$22)),"GO",IF(AND(ISNUMBER(Eingaben!$B$23),ISNUMBER(Eingaben!$B$24),IF(Eingaben!$B$23&lt;Eingaben!$B$24,AND(B1806&gt;=Eingaben!$B$23,B1806&lt;Eingaben!$B$24),OR(B1806&gt;=Eingaben!$B$23,B1806&lt;Eingaben!$B$24))),"HEAT","STANDARD"))</f>
        <v>STANDARD</v>
      </c>
      <c r="E1806" s="9"/>
      <c r="F1806" t="str">
        <f>IF(E1806="",D1806,E1806)</f>
        <v>STANDARD</v>
      </c>
      <c r="G1806" t="str">
        <f>INDEX(Netzzeiten!$B$6:$B$29,HOUR(B1806)+1)</f>
        <v>HT</v>
      </c>
      <c r="H1806" s="6">
        <f>IF(F1806="GO",Eingaben!$B$11,IF(F1806="STANDARD",Eingaben!$B$12,IF(AND(F1806="HEAT",ISNUMBER(Eingaben!$B$13)),Eingaben!$B$13,"")))</f>
        <v>28.2744</v>
      </c>
      <c r="I1806" s="6">
        <f>INDEX(Netzzeiten!$C$6:$C$29,HOUR(B1806)+1)</f>
        <v>10.52</v>
      </c>
      <c r="J1806" t="str">
        <f>IF(C1806="","FEHLT",IF(NOT(ISNUMBER(C1806)),"MESSWERT UNGUELTIG",IF(C1806&lt;0,"MESSWERT UNGUELTIG",IF(H1806="","TARIFPREIS FEHLT","OK"))))</f>
        <v>FEHLT</v>
      </c>
      <c r="K1806" s="7">
        <f>IF(J1806&lt;&gt;"OK","",C1806*I1806/100)</f>
        <v/>
      </c>
    </row>
    <row r="1807" spans="1:11">
      <c r="A1807" s="14">
        <v>46161</v>
      </c>
      <c r="B1807" s="15">
        <v>0.7604166666666666</v>
      </c>
      <c r="C1807" s="5">
        <f>IF('96 Werte'!BW24="","",'96 Werte'!BW24)</f>
        <v/>
      </c>
      <c r="D1807" t="str">
        <f>IF(IF(Eingaben!$B$21&lt;Eingaben!$B$22,AND(B1807&gt;=Eingaben!$B$21,B1807&lt;Eingaben!$B$22),OR(B1807&gt;=Eingaben!$B$21,B1807&lt;Eingaben!$B$22)),"GO",IF(AND(ISNUMBER(Eingaben!$B$23),ISNUMBER(Eingaben!$B$24),IF(Eingaben!$B$23&lt;Eingaben!$B$24,AND(B1807&gt;=Eingaben!$B$23,B1807&lt;Eingaben!$B$24),OR(B1807&gt;=Eingaben!$B$23,B1807&lt;Eingaben!$B$24))),"HEAT","STANDARD"))</f>
        <v>STANDARD</v>
      </c>
      <c r="E1807" s="9"/>
      <c r="F1807" t="str">
        <f>IF(E1807="",D1807,E1807)</f>
        <v>STANDARD</v>
      </c>
      <c r="G1807" t="str">
        <f>INDEX(Netzzeiten!$B$6:$B$29,HOUR(B1807)+1)</f>
        <v>HT</v>
      </c>
      <c r="H1807" s="6">
        <f>IF(F1807="GO",Eingaben!$B$11,IF(F1807="STANDARD",Eingaben!$B$12,IF(AND(F1807="HEAT",ISNUMBER(Eingaben!$B$13)),Eingaben!$B$13,"")))</f>
        <v>28.2744</v>
      </c>
      <c r="I1807" s="6">
        <f>INDEX(Netzzeiten!$C$6:$C$29,HOUR(B1807)+1)</f>
        <v>10.52</v>
      </c>
      <c r="J1807" t="str">
        <f>IF(C1807="","FEHLT",IF(NOT(ISNUMBER(C1807)),"MESSWERT UNGUELTIG",IF(C1807&lt;0,"MESSWERT UNGUELTIG",IF(H1807="","TARIFPREIS FEHLT","OK"))))</f>
        <v>FEHLT</v>
      </c>
      <c r="K1807" s="7">
        <f>IF(J1807&lt;&gt;"OK","",C1807*I1807/100)</f>
        <v/>
      </c>
    </row>
    <row r="1808" spans="1:11">
      <c r="A1808" s="14">
        <v>46161</v>
      </c>
      <c r="B1808" s="15">
        <v>0.7708333333333334</v>
      </c>
      <c r="C1808" s="5">
        <f>IF('96 Werte'!BX24="","",'96 Werte'!BX24)</f>
        <v/>
      </c>
      <c r="D1808" t="str">
        <f>IF(IF(Eingaben!$B$21&lt;Eingaben!$B$22,AND(B1808&gt;=Eingaben!$B$21,B1808&lt;Eingaben!$B$22),OR(B1808&gt;=Eingaben!$B$21,B1808&lt;Eingaben!$B$22)),"GO",IF(AND(ISNUMBER(Eingaben!$B$23),ISNUMBER(Eingaben!$B$24),IF(Eingaben!$B$23&lt;Eingaben!$B$24,AND(B1808&gt;=Eingaben!$B$23,B1808&lt;Eingaben!$B$24),OR(B1808&gt;=Eingaben!$B$23,B1808&lt;Eingaben!$B$24))),"HEAT","STANDARD"))</f>
        <v>STANDARD</v>
      </c>
      <c r="E1808" s="9"/>
      <c r="F1808" t="str">
        <f>IF(E1808="",D1808,E1808)</f>
        <v>STANDARD</v>
      </c>
      <c r="G1808" t="str">
        <f>INDEX(Netzzeiten!$B$6:$B$29,HOUR(B1808)+1)</f>
        <v>HT</v>
      </c>
      <c r="H1808" s="6">
        <f>IF(F1808="GO",Eingaben!$B$11,IF(F1808="STANDARD",Eingaben!$B$12,IF(AND(F1808="HEAT",ISNUMBER(Eingaben!$B$13)),Eingaben!$B$13,"")))</f>
        <v>28.2744</v>
      </c>
      <c r="I1808" s="6">
        <f>INDEX(Netzzeiten!$C$6:$C$29,HOUR(B1808)+1)</f>
        <v>10.52</v>
      </c>
      <c r="J1808" t="str">
        <f>IF(C1808="","FEHLT",IF(NOT(ISNUMBER(C1808)),"MESSWERT UNGUELTIG",IF(C1808&lt;0,"MESSWERT UNGUELTIG",IF(H1808="","TARIFPREIS FEHLT","OK"))))</f>
        <v>FEHLT</v>
      </c>
      <c r="K1808" s="7">
        <f>IF(J1808&lt;&gt;"OK","",C1808*I1808/100)</f>
        <v/>
      </c>
    </row>
    <row r="1809" spans="1:11">
      <c r="A1809" s="14">
        <v>46161</v>
      </c>
      <c r="B1809" s="15">
        <v>0.78125</v>
      </c>
      <c r="C1809" s="5">
        <f>IF('96 Werte'!BY24="","",'96 Werte'!BY24)</f>
        <v/>
      </c>
      <c r="D1809" t="str">
        <f>IF(IF(Eingaben!$B$21&lt;Eingaben!$B$22,AND(B1809&gt;=Eingaben!$B$21,B1809&lt;Eingaben!$B$22),OR(B1809&gt;=Eingaben!$B$21,B1809&lt;Eingaben!$B$22)),"GO",IF(AND(ISNUMBER(Eingaben!$B$23),ISNUMBER(Eingaben!$B$24),IF(Eingaben!$B$23&lt;Eingaben!$B$24,AND(B1809&gt;=Eingaben!$B$23,B1809&lt;Eingaben!$B$24),OR(B1809&gt;=Eingaben!$B$23,B1809&lt;Eingaben!$B$24))),"HEAT","STANDARD"))</f>
        <v>STANDARD</v>
      </c>
      <c r="E1809" s="9"/>
      <c r="F1809" t="str">
        <f>IF(E1809="",D1809,E1809)</f>
        <v>STANDARD</v>
      </c>
      <c r="G1809" t="str">
        <f>INDEX(Netzzeiten!$B$6:$B$29,HOUR(B1809)+1)</f>
        <v>HT</v>
      </c>
      <c r="H1809" s="6">
        <f>IF(F1809="GO",Eingaben!$B$11,IF(F1809="STANDARD",Eingaben!$B$12,IF(AND(F1809="HEAT",ISNUMBER(Eingaben!$B$13)),Eingaben!$B$13,"")))</f>
        <v>28.2744</v>
      </c>
      <c r="I1809" s="6">
        <f>INDEX(Netzzeiten!$C$6:$C$29,HOUR(B1809)+1)</f>
        <v>10.52</v>
      </c>
      <c r="J1809" t="str">
        <f>IF(C1809="","FEHLT",IF(NOT(ISNUMBER(C1809)),"MESSWERT UNGUELTIG",IF(C1809&lt;0,"MESSWERT UNGUELTIG",IF(H1809="","TARIFPREIS FEHLT","OK"))))</f>
        <v>FEHLT</v>
      </c>
      <c r="K1809" s="7">
        <f>IF(J1809&lt;&gt;"OK","",C1809*I1809/100)</f>
        <v/>
      </c>
    </row>
    <row r="1810" spans="1:11">
      <c r="A1810" s="14">
        <v>46161</v>
      </c>
      <c r="B1810" s="15">
        <v>0.7916666666666666</v>
      </c>
      <c r="C1810" s="5">
        <f>IF('96 Werte'!BZ24="","",'96 Werte'!BZ24)</f>
        <v/>
      </c>
      <c r="D1810" t="str">
        <f>IF(IF(Eingaben!$B$21&lt;Eingaben!$B$22,AND(B1810&gt;=Eingaben!$B$21,B1810&lt;Eingaben!$B$22),OR(B1810&gt;=Eingaben!$B$21,B1810&lt;Eingaben!$B$22)),"GO",IF(AND(ISNUMBER(Eingaben!$B$23),ISNUMBER(Eingaben!$B$24),IF(Eingaben!$B$23&lt;Eingaben!$B$24,AND(B1810&gt;=Eingaben!$B$23,B1810&lt;Eingaben!$B$24),OR(B1810&gt;=Eingaben!$B$23,B1810&lt;Eingaben!$B$24))),"HEAT","STANDARD"))</f>
        <v>STANDARD</v>
      </c>
      <c r="E1810" s="9"/>
      <c r="F1810" t="str">
        <f>IF(E1810="",D1810,E1810)</f>
        <v>STANDARD</v>
      </c>
      <c r="G1810" t="str">
        <f>INDEX(Netzzeiten!$B$6:$B$29,HOUR(B1810)+1)</f>
        <v>HT</v>
      </c>
      <c r="H1810" s="6">
        <f>IF(F1810="GO",Eingaben!$B$11,IF(F1810="STANDARD",Eingaben!$B$12,IF(AND(F1810="HEAT",ISNUMBER(Eingaben!$B$13)),Eingaben!$B$13,"")))</f>
        <v>28.2744</v>
      </c>
      <c r="I1810" s="6">
        <f>INDEX(Netzzeiten!$C$6:$C$29,HOUR(B1810)+1)</f>
        <v>10.52</v>
      </c>
      <c r="J1810" t="str">
        <f>IF(C1810="","FEHLT",IF(NOT(ISNUMBER(C1810)),"MESSWERT UNGUELTIG",IF(C1810&lt;0,"MESSWERT UNGUELTIG",IF(H1810="","TARIFPREIS FEHLT","OK"))))</f>
        <v>FEHLT</v>
      </c>
      <c r="K1810" s="7">
        <f>IF(J1810&lt;&gt;"OK","",C1810*I1810/100)</f>
        <v/>
      </c>
    </row>
    <row r="1811" spans="1:11">
      <c r="A1811" s="14">
        <v>46161</v>
      </c>
      <c r="B1811" s="15">
        <v>0.8020833333333334</v>
      </c>
      <c r="C1811" s="5">
        <f>IF('96 Werte'!CA24="","",'96 Werte'!CA24)</f>
        <v/>
      </c>
      <c r="D1811" t="str">
        <f>IF(IF(Eingaben!$B$21&lt;Eingaben!$B$22,AND(B1811&gt;=Eingaben!$B$21,B1811&lt;Eingaben!$B$22),OR(B1811&gt;=Eingaben!$B$21,B1811&lt;Eingaben!$B$22)),"GO",IF(AND(ISNUMBER(Eingaben!$B$23),ISNUMBER(Eingaben!$B$24),IF(Eingaben!$B$23&lt;Eingaben!$B$24,AND(B1811&gt;=Eingaben!$B$23,B1811&lt;Eingaben!$B$24),OR(B1811&gt;=Eingaben!$B$23,B1811&lt;Eingaben!$B$24))),"HEAT","STANDARD"))</f>
        <v>STANDARD</v>
      </c>
      <c r="E1811" s="9"/>
      <c r="F1811" t="str">
        <f>IF(E1811="",D1811,E1811)</f>
        <v>STANDARD</v>
      </c>
      <c r="G1811" t="str">
        <f>INDEX(Netzzeiten!$B$6:$B$29,HOUR(B1811)+1)</f>
        <v>HT</v>
      </c>
      <c r="H1811" s="6">
        <f>IF(F1811="GO",Eingaben!$B$11,IF(F1811="STANDARD",Eingaben!$B$12,IF(AND(F1811="HEAT",ISNUMBER(Eingaben!$B$13)),Eingaben!$B$13,"")))</f>
        <v>28.2744</v>
      </c>
      <c r="I1811" s="6">
        <f>INDEX(Netzzeiten!$C$6:$C$29,HOUR(B1811)+1)</f>
        <v>10.52</v>
      </c>
      <c r="J1811" t="str">
        <f>IF(C1811="","FEHLT",IF(NOT(ISNUMBER(C1811)),"MESSWERT UNGUELTIG",IF(C1811&lt;0,"MESSWERT UNGUELTIG",IF(H1811="","TARIFPREIS FEHLT","OK"))))</f>
        <v>FEHLT</v>
      </c>
      <c r="K1811" s="7">
        <f>IF(J1811&lt;&gt;"OK","",C1811*I1811/100)</f>
        <v/>
      </c>
    </row>
    <row r="1812" spans="1:11">
      <c r="A1812" s="14">
        <v>46161</v>
      </c>
      <c r="B1812" s="15">
        <v>0.8125</v>
      </c>
      <c r="C1812" s="5">
        <f>IF('96 Werte'!CB24="","",'96 Werte'!CB24)</f>
        <v/>
      </c>
      <c r="D1812" t="str">
        <f>IF(IF(Eingaben!$B$21&lt;Eingaben!$B$22,AND(B1812&gt;=Eingaben!$B$21,B1812&lt;Eingaben!$B$22),OR(B1812&gt;=Eingaben!$B$21,B1812&lt;Eingaben!$B$22)),"GO",IF(AND(ISNUMBER(Eingaben!$B$23),ISNUMBER(Eingaben!$B$24),IF(Eingaben!$B$23&lt;Eingaben!$B$24,AND(B1812&gt;=Eingaben!$B$23,B1812&lt;Eingaben!$B$24),OR(B1812&gt;=Eingaben!$B$23,B1812&lt;Eingaben!$B$24))),"HEAT","STANDARD"))</f>
        <v>STANDARD</v>
      </c>
      <c r="E1812" s="9"/>
      <c r="F1812" t="str">
        <f>IF(E1812="",D1812,E1812)</f>
        <v>STANDARD</v>
      </c>
      <c r="G1812" t="str">
        <f>INDEX(Netzzeiten!$B$6:$B$29,HOUR(B1812)+1)</f>
        <v>HT</v>
      </c>
      <c r="H1812" s="6">
        <f>IF(F1812="GO",Eingaben!$B$11,IF(F1812="STANDARD",Eingaben!$B$12,IF(AND(F1812="HEAT",ISNUMBER(Eingaben!$B$13)),Eingaben!$B$13,"")))</f>
        <v>28.2744</v>
      </c>
      <c r="I1812" s="6">
        <f>INDEX(Netzzeiten!$C$6:$C$29,HOUR(B1812)+1)</f>
        <v>10.52</v>
      </c>
      <c r="J1812" t="str">
        <f>IF(C1812="","FEHLT",IF(NOT(ISNUMBER(C1812)),"MESSWERT UNGUELTIG",IF(C1812&lt;0,"MESSWERT UNGUELTIG",IF(H1812="","TARIFPREIS FEHLT","OK"))))</f>
        <v>FEHLT</v>
      </c>
      <c r="K1812" s="7">
        <f>IF(J1812&lt;&gt;"OK","",C1812*I1812/100)</f>
        <v/>
      </c>
    </row>
    <row r="1813" spans="1:11">
      <c r="A1813" s="14">
        <v>46161</v>
      </c>
      <c r="B1813" s="15">
        <v>0.8229166666666666</v>
      </c>
      <c r="C1813" s="5">
        <f>IF('96 Werte'!CC24="","",'96 Werte'!CC24)</f>
        <v/>
      </c>
      <c r="D1813" t="str">
        <f>IF(IF(Eingaben!$B$21&lt;Eingaben!$B$22,AND(B1813&gt;=Eingaben!$B$21,B1813&lt;Eingaben!$B$22),OR(B1813&gt;=Eingaben!$B$21,B1813&lt;Eingaben!$B$22)),"GO",IF(AND(ISNUMBER(Eingaben!$B$23),ISNUMBER(Eingaben!$B$24),IF(Eingaben!$B$23&lt;Eingaben!$B$24,AND(B1813&gt;=Eingaben!$B$23,B1813&lt;Eingaben!$B$24),OR(B1813&gt;=Eingaben!$B$23,B1813&lt;Eingaben!$B$24))),"HEAT","STANDARD"))</f>
        <v>STANDARD</v>
      </c>
      <c r="E1813" s="9"/>
      <c r="F1813" t="str">
        <f>IF(E1813="",D1813,E1813)</f>
        <v>STANDARD</v>
      </c>
      <c r="G1813" t="str">
        <f>INDEX(Netzzeiten!$B$6:$B$29,HOUR(B1813)+1)</f>
        <v>HT</v>
      </c>
      <c r="H1813" s="6">
        <f>IF(F1813="GO",Eingaben!$B$11,IF(F1813="STANDARD",Eingaben!$B$12,IF(AND(F1813="HEAT",ISNUMBER(Eingaben!$B$13)),Eingaben!$B$13,"")))</f>
        <v>28.2744</v>
      </c>
      <c r="I1813" s="6">
        <f>INDEX(Netzzeiten!$C$6:$C$29,HOUR(B1813)+1)</f>
        <v>10.52</v>
      </c>
      <c r="J1813" t="str">
        <f>IF(C1813="","FEHLT",IF(NOT(ISNUMBER(C1813)),"MESSWERT UNGUELTIG",IF(C1813&lt;0,"MESSWERT UNGUELTIG",IF(H1813="","TARIFPREIS FEHLT","OK"))))</f>
        <v>FEHLT</v>
      </c>
      <c r="K1813" s="7">
        <f>IF(J1813&lt;&gt;"OK","",C1813*I1813/100)</f>
        <v/>
      </c>
    </row>
    <row r="1814" spans="1:11">
      <c r="A1814" s="14">
        <v>46161</v>
      </c>
      <c r="B1814" s="15">
        <v>0.8333333333333334</v>
      </c>
      <c r="C1814" s="5">
        <f>IF('96 Werte'!CD24="","",'96 Werte'!CD24)</f>
        <v/>
      </c>
      <c r="D1814" t="str">
        <f>IF(IF(Eingaben!$B$21&lt;Eingaben!$B$22,AND(B1814&gt;=Eingaben!$B$21,B1814&lt;Eingaben!$B$22),OR(B1814&gt;=Eingaben!$B$21,B1814&lt;Eingaben!$B$22)),"GO",IF(AND(ISNUMBER(Eingaben!$B$23),ISNUMBER(Eingaben!$B$24),IF(Eingaben!$B$23&lt;Eingaben!$B$24,AND(B1814&gt;=Eingaben!$B$23,B1814&lt;Eingaben!$B$24),OR(B1814&gt;=Eingaben!$B$23,B1814&lt;Eingaben!$B$24))),"HEAT","STANDARD"))</f>
        <v>STANDARD</v>
      </c>
      <c r="E1814" s="9"/>
      <c r="F1814" t="str">
        <f>IF(E1814="",D1814,E1814)</f>
        <v>STANDARD</v>
      </c>
      <c r="G1814" t="str">
        <f>INDEX(Netzzeiten!$B$6:$B$29,HOUR(B1814)+1)</f>
        <v>HT</v>
      </c>
      <c r="H1814" s="6">
        <f>IF(F1814="GO",Eingaben!$B$11,IF(F1814="STANDARD",Eingaben!$B$12,IF(AND(F1814="HEAT",ISNUMBER(Eingaben!$B$13)),Eingaben!$B$13,"")))</f>
        <v>28.2744</v>
      </c>
      <c r="I1814" s="6">
        <f>INDEX(Netzzeiten!$C$6:$C$29,HOUR(B1814)+1)</f>
        <v>10.52</v>
      </c>
      <c r="J1814" t="str">
        <f>IF(C1814="","FEHLT",IF(NOT(ISNUMBER(C1814)),"MESSWERT UNGUELTIG",IF(C1814&lt;0,"MESSWERT UNGUELTIG",IF(H1814="","TARIFPREIS FEHLT","OK"))))</f>
        <v>FEHLT</v>
      </c>
      <c r="K1814" s="7">
        <f>IF(J1814&lt;&gt;"OK","",C1814*I1814/100)</f>
        <v/>
      </c>
    </row>
    <row r="1815" spans="1:11">
      <c r="A1815" s="14">
        <v>46161</v>
      </c>
      <c r="B1815" s="15">
        <v>0.84375</v>
      </c>
      <c r="C1815" s="5">
        <f>IF('96 Werte'!CE24="","",'96 Werte'!CE24)</f>
        <v/>
      </c>
      <c r="D1815" t="str">
        <f>IF(IF(Eingaben!$B$21&lt;Eingaben!$B$22,AND(B1815&gt;=Eingaben!$B$21,B1815&lt;Eingaben!$B$22),OR(B1815&gt;=Eingaben!$B$21,B1815&lt;Eingaben!$B$22)),"GO",IF(AND(ISNUMBER(Eingaben!$B$23),ISNUMBER(Eingaben!$B$24),IF(Eingaben!$B$23&lt;Eingaben!$B$24,AND(B1815&gt;=Eingaben!$B$23,B1815&lt;Eingaben!$B$24),OR(B1815&gt;=Eingaben!$B$23,B1815&lt;Eingaben!$B$24))),"HEAT","STANDARD"))</f>
        <v>STANDARD</v>
      </c>
      <c r="E1815" s="9"/>
      <c r="F1815" t="str">
        <f>IF(E1815="",D1815,E1815)</f>
        <v>STANDARD</v>
      </c>
      <c r="G1815" t="str">
        <f>INDEX(Netzzeiten!$B$6:$B$29,HOUR(B1815)+1)</f>
        <v>HT</v>
      </c>
      <c r="H1815" s="6">
        <f>IF(F1815="GO",Eingaben!$B$11,IF(F1815="STANDARD",Eingaben!$B$12,IF(AND(F1815="HEAT",ISNUMBER(Eingaben!$B$13)),Eingaben!$B$13,"")))</f>
        <v>28.2744</v>
      </c>
      <c r="I1815" s="6">
        <f>INDEX(Netzzeiten!$C$6:$C$29,HOUR(B1815)+1)</f>
        <v>10.52</v>
      </c>
      <c r="J1815" t="str">
        <f>IF(C1815="","FEHLT",IF(NOT(ISNUMBER(C1815)),"MESSWERT UNGUELTIG",IF(C1815&lt;0,"MESSWERT UNGUELTIG",IF(H1815="","TARIFPREIS FEHLT","OK"))))</f>
        <v>FEHLT</v>
      </c>
      <c r="K1815" s="7">
        <f>IF(J1815&lt;&gt;"OK","",C1815*I1815/100)</f>
        <v/>
      </c>
    </row>
    <row r="1816" spans="1:11">
      <c r="A1816" s="14">
        <v>46161</v>
      </c>
      <c r="B1816" s="15">
        <v>0.8541666666666666</v>
      </c>
      <c r="C1816" s="5">
        <f>IF('96 Werte'!CF24="","",'96 Werte'!CF24)</f>
        <v/>
      </c>
      <c r="D1816" t="str">
        <f>IF(IF(Eingaben!$B$21&lt;Eingaben!$B$22,AND(B1816&gt;=Eingaben!$B$21,B1816&lt;Eingaben!$B$22),OR(B1816&gt;=Eingaben!$B$21,B1816&lt;Eingaben!$B$22)),"GO",IF(AND(ISNUMBER(Eingaben!$B$23),ISNUMBER(Eingaben!$B$24),IF(Eingaben!$B$23&lt;Eingaben!$B$24,AND(B1816&gt;=Eingaben!$B$23,B1816&lt;Eingaben!$B$24),OR(B1816&gt;=Eingaben!$B$23,B1816&lt;Eingaben!$B$24))),"HEAT","STANDARD"))</f>
        <v>STANDARD</v>
      </c>
      <c r="E1816" s="9"/>
      <c r="F1816" t="str">
        <f>IF(E1816="",D1816,E1816)</f>
        <v>STANDARD</v>
      </c>
      <c r="G1816" t="str">
        <f>INDEX(Netzzeiten!$B$6:$B$29,HOUR(B1816)+1)</f>
        <v>HT</v>
      </c>
      <c r="H1816" s="6">
        <f>IF(F1816="GO",Eingaben!$B$11,IF(F1816="STANDARD",Eingaben!$B$12,IF(AND(F1816="HEAT",ISNUMBER(Eingaben!$B$13)),Eingaben!$B$13,"")))</f>
        <v>28.2744</v>
      </c>
      <c r="I1816" s="6">
        <f>INDEX(Netzzeiten!$C$6:$C$29,HOUR(B1816)+1)</f>
        <v>10.52</v>
      </c>
      <c r="J1816" t="str">
        <f>IF(C1816="","FEHLT",IF(NOT(ISNUMBER(C1816)),"MESSWERT UNGUELTIG",IF(C1816&lt;0,"MESSWERT UNGUELTIG",IF(H1816="","TARIFPREIS FEHLT","OK"))))</f>
        <v>FEHLT</v>
      </c>
      <c r="K1816" s="7">
        <f>IF(J1816&lt;&gt;"OK","",C1816*I1816/100)</f>
        <v/>
      </c>
    </row>
    <row r="1817" spans="1:11">
      <c r="A1817" s="14">
        <v>46161</v>
      </c>
      <c r="B1817" s="15">
        <v>0.8645833333333334</v>
      </c>
      <c r="C1817" s="5">
        <f>IF('96 Werte'!CG24="","",'96 Werte'!CG24)</f>
        <v/>
      </c>
      <c r="D1817" t="str">
        <f>IF(IF(Eingaben!$B$21&lt;Eingaben!$B$22,AND(B1817&gt;=Eingaben!$B$21,B1817&lt;Eingaben!$B$22),OR(B1817&gt;=Eingaben!$B$21,B1817&lt;Eingaben!$B$22)),"GO",IF(AND(ISNUMBER(Eingaben!$B$23),ISNUMBER(Eingaben!$B$24),IF(Eingaben!$B$23&lt;Eingaben!$B$24,AND(B1817&gt;=Eingaben!$B$23,B1817&lt;Eingaben!$B$24),OR(B1817&gt;=Eingaben!$B$23,B1817&lt;Eingaben!$B$24))),"HEAT","STANDARD"))</f>
        <v>STANDARD</v>
      </c>
      <c r="E1817" s="9"/>
      <c r="F1817" t="str">
        <f>IF(E1817="",D1817,E1817)</f>
        <v>STANDARD</v>
      </c>
      <c r="G1817" t="str">
        <f>INDEX(Netzzeiten!$B$6:$B$29,HOUR(B1817)+1)</f>
        <v>HT</v>
      </c>
      <c r="H1817" s="6">
        <f>IF(F1817="GO",Eingaben!$B$11,IF(F1817="STANDARD",Eingaben!$B$12,IF(AND(F1817="HEAT",ISNUMBER(Eingaben!$B$13)),Eingaben!$B$13,"")))</f>
        <v>28.2744</v>
      </c>
      <c r="I1817" s="6">
        <f>INDEX(Netzzeiten!$C$6:$C$29,HOUR(B1817)+1)</f>
        <v>10.52</v>
      </c>
      <c r="J1817" t="str">
        <f>IF(C1817="","FEHLT",IF(NOT(ISNUMBER(C1817)),"MESSWERT UNGUELTIG",IF(C1817&lt;0,"MESSWERT UNGUELTIG",IF(H1817="","TARIFPREIS FEHLT","OK"))))</f>
        <v>FEHLT</v>
      </c>
      <c r="K1817" s="7">
        <f>IF(J1817&lt;&gt;"OK","",C1817*I1817/100)</f>
        <v/>
      </c>
    </row>
    <row r="1818" spans="1:11">
      <c r="A1818" s="14">
        <v>46161</v>
      </c>
      <c r="B1818" s="15">
        <v>0.875</v>
      </c>
      <c r="C1818" s="5">
        <f>IF('96 Werte'!CH24="","",'96 Werte'!CH24)</f>
        <v/>
      </c>
      <c r="D1818" t="str">
        <f>IF(IF(Eingaben!$B$21&lt;Eingaben!$B$22,AND(B1818&gt;=Eingaben!$B$21,B1818&lt;Eingaben!$B$22),OR(B1818&gt;=Eingaben!$B$21,B1818&lt;Eingaben!$B$22)),"GO",IF(AND(ISNUMBER(Eingaben!$B$23),ISNUMBER(Eingaben!$B$24),IF(Eingaben!$B$23&lt;Eingaben!$B$24,AND(B1818&gt;=Eingaben!$B$23,B1818&lt;Eingaben!$B$24),OR(B1818&gt;=Eingaben!$B$23,B1818&lt;Eingaben!$B$24))),"HEAT","STANDARD"))</f>
        <v>STANDARD</v>
      </c>
      <c r="E1818" s="9"/>
      <c r="F1818" t="str">
        <f>IF(E1818="",D1818,E1818)</f>
        <v>STANDARD</v>
      </c>
      <c r="G1818" t="str">
        <f>INDEX(Netzzeiten!$B$6:$B$29,HOUR(B1818)+1)</f>
        <v>HT</v>
      </c>
      <c r="H1818" s="6">
        <f>IF(F1818="GO",Eingaben!$B$11,IF(F1818="STANDARD",Eingaben!$B$12,IF(AND(F1818="HEAT",ISNUMBER(Eingaben!$B$13)),Eingaben!$B$13,"")))</f>
        <v>28.2744</v>
      </c>
      <c r="I1818" s="6">
        <f>INDEX(Netzzeiten!$C$6:$C$29,HOUR(B1818)+1)</f>
        <v>10.52</v>
      </c>
      <c r="J1818" t="str">
        <f>IF(C1818="","FEHLT",IF(NOT(ISNUMBER(C1818)),"MESSWERT UNGUELTIG",IF(C1818&lt;0,"MESSWERT UNGUELTIG",IF(H1818="","TARIFPREIS FEHLT","OK"))))</f>
        <v>FEHLT</v>
      </c>
      <c r="K1818" s="7">
        <f>IF(J1818&lt;&gt;"OK","",C1818*I1818/100)</f>
        <v/>
      </c>
    </row>
    <row r="1819" spans="1:11">
      <c r="A1819" s="14">
        <v>46161</v>
      </c>
      <c r="B1819" s="15">
        <v>0.8854166666666666</v>
      </c>
      <c r="C1819" s="5">
        <f>IF('96 Werte'!CI24="","",'96 Werte'!CI24)</f>
        <v/>
      </c>
      <c r="D1819" t="str">
        <f>IF(IF(Eingaben!$B$21&lt;Eingaben!$B$22,AND(B1819&gt;=Eingaben!$B$21,B1819&lt;Eingaben!$B$22),OR(B1819&gt;=Eingaben!$B$21,B1819&lt;Eingaben!$B$22)),"GO",IF(AND(ISNUMBER(Eingaben!$B$23),ISNUMBER(Eingaben!$B$24),IF(Eingaben!$B$23&lt;Eingaben!$B$24,AND(B1819&gt;=Eingaben!$B$23,B1819&lt;Eingaben!$B$24),OR(B1819&gt;=Eingaben!$B$23,B1819&lt;Eingaben!$B$24))),"HEAT","STANDARD"))</f>
        <v>STANDARD</v>
      </c>
      <c r="E1819" s="9"/>
      <c r="F1819" t="str">
        <f>IF(E1819="",D1819,E1819)</f>
        <v>STANDARD</v>
      </c>
      <c r="G1819" t="str">
        <f>INDEX(Netzzeiten!$B$6:$B$29,HOUR(B1819)+1)</f>
        <v>HT</v>
      </c>
      <c r="H1819" s="6">
        <f>IF(F1819="GO",Eingaben!$B$11,IF(F1819="STANDARD",Eingaben!$B$12,IF(AND(F1819="HEAT",ISNUMBER(Eingaben!$B$13)),Eingaben!$B$13,"")))</f>
        <v>28.2744</v>
      </c>
      <c r="I1819" s="6">
        <f>INDEX(Netzzeiten!$C$6:$C$29,HOUR(B1819)+1)</f>
        <v>10.52</v>
      </c>
      <c r="J1819" t="str">
        <f>IF(C1819="","FEHLT",IF(NOT(ISNUMBER(C1819)),"MESSWERT UNGUELTIG",IF(C1819&lt;0,"MESSWERT UNGUELTIG",IF(H1819="","TARIFPREIS FEHLT","OK"))))</f>
        <v>FEHLT</v>
      </c>
      <c r="K1819" s="7">
        <f>IF(J1819&lt;&gt;"OK","",C1819*I1819/100)</f>
        <v/>
      </c>
    </row>
    <row r="1820" spans="1:11">
      <c r="A1820" s="14">
        <v>46161</v>
      </c>
      <c r="B1820" s="15">
        <v>0.8958333333333334</v>
      </c>
      <c r="C1820" s="5">
        <f>IF('96 Werte'!CJ24="","",'96 Werte'!CJ24)</f>
        <v/>
      </c>
      <c r="D1820" t="str">
        <f>IF(IF(Eingaben!$B$21&lt;Eingaben!$B$22,AND(B1820&gt;=Eingaben!$B$21,B1820&lt;Eingaben!$B$22),OR(B1820&gt;=Eingaben!$B$21,B1820&lt;Eingaben!$B$22)),"GO",IF(AND(ISNUMBER(Eingaben!$B$23),ISNUMBER(Eingaben!$B$24),IF(Eingaben!$B$23&lt;Eingaben!$B$24,AND(B1820&gt;=Eingaben!$B$23,B1820&lt;Eingaben!$B$24),OR(B1820&gt;=Eingaben!$B$23,B1820&lt;Eingaben!$B$24))),"HEAT","STANDARD"))</f>
        <v>STANDARD</v>
      </c>
      <c r="E1820" s="9"/>
      <c r="F1820" t="str">
        <f>IF(E1820="",D1820,E1820)</f>
        <v>STANDARD</v>
      </c>
      <c r="G1820" t="str">
        <f>INDEX(Netzzeiten!$B$6:$B$29,HOUR(B1820)+1)</f>
        <v>HT</v>
      </c>
      <c r="H1820" s="6">
        <f>IF(F1820="GO",Eingaben!$B$11,IF(F1820="STANDARD",Eingaben!$B$12,IF(AND(F1820="HEAT",ISNUMBER(Eingaben!$B$13)),Eingaben!$B$13,"")))</f>
        <v>28.2744</v>
      </c>
      <c r="I1820" s="6">
        <f>INDEX(Netzzeiten!$C$6:$C$29,HOUR(B1820)+1)</f>
        <v>10.52</v>
      </c>
      <c r="J1820" t="str">
        <f>IF(C1820="","FEHLT",IF(NOT(ISNUMBER(C1820)),"MESSWERT UNGUELTIG",IF(C1820&lt;0,"MESSWERT UNGUELTIG",IF(H1820="","TARIFPREIS FEHLT","OK"))))</f>
        <v>FEHLT</v>
      </c>
      <c r="K1820" s="7">
        <f>IF(J1820&lt;&gt;"OK","",C1820*I1820/100)</f>
        <v/>
      </c>
    </row>
    <row r="1821" spans="1:11">
      <c r="A1821" s="14">
        <v>46161</v>
      </c>
      <c r="B1821" s="15">
        <v>0.90625</v>
      </c>
      <c r="C1821" s="5">
        <f>IF('96 Werte'!CK24="","",'96 Werte'!CK24)</f>
        <v/>
      </c>
      <c r="D1821" t="str">
        <f>IF(IF(Eingaben!$B$21&lt;Eingaben!$B$22,AND(B1821&gt;=Eingaben!$B$21,B1821&lt;Eingaben!$B$22),OR(B1821&gt;=Eingaben!$B$21,B1821&lt;Eingaben!$B$22)),"GO",IF(AND(ISNUMBER(Eingaben!$B$23),ISNUMBER(Eingaben!$B$24),IF(Eingaben!$B$23&lt;Eingaben!$B$24,AND(B1821&gt;=Eingaben!$B$23,B1821&lt;Eingaben!$B$24),OR(B1821&gt;=Eingaben!$B$23,B1821&lt;Eingaben!$B$24))),"HEAT","STANDARD"))</f>
        <v>STANDARD</v>
      </c>
      <c r="E1821" s="9"/>
      <c r="F1821" t="str">
        <f>IF(E1821="",D1821,E1821)</f>
        <v>STANDARD</v>
      </c>
      <c r="G1821" t="str">
        <f>INDEX(Netzzeiten!$B$6:$B$29,HOUR(B1821)+1)</f>
        <v>HT</v>
      </c>
      <c r="H1821" s="6">
        <f>IF(F1821="GO",Eingaben!$B$11,IF(F1821="STANDARD",Eingaben!$B$12,IF(AND(F1821="HEAT",ISNUMBER(Eingaben!$B$13)),Eingaben!$B$13,"")))</f>
        <v>28.2744</v>
      </c>
      <c r="I1821" s="6">
        <f>INDEX(Netzzeiten!$C$6:$C$29,HOUR(B1821)+1)</f>
        <v>10.52</v>
      </c>
      <c r="J1821" t="str">
        <f>IF(C1821="","FEHLT",IF(NOT(ISNUMBER(C1821)),"MESSWERT UNGUELTIG",IF(C1821&lt;0,"MESSWERT UNGUELTIG",IF(H1821="","TARIFPREIS FEHLT","OK"))))</f>
        <v>FEHLT</v>
      </c>
      <c r="K1821" s="7">
        <f>IF(J1821&lt;&gt;"OK","",C1821*I1821/100)</f>
        <v/>
      </c>
    </row>
    <row r="1822" spans="1:11">
      <c r="A1822" s="14">
        <v>46161</v>
      </c>
      <c r="B1822" s="15">
        <v>0.9166666666666666</v>
      </c>
      <c r="C1822" s="5">
        <f>IF('96 Werte'!CL24="","",'96 Werte'!CL24)</f>
        <v/>
      </c>
      <c r="D1822" t="str">
        <f>IF(IF(Eingaben!$B$21&lt;Eingaben!$B$22,AND(B1822&gt;=Eingaben!$B$21,B1822&lt;Eingaben!$B$22),OR(B1822&gt;=Eingaben!$B$21,B1822&lt;Eingaben!$B$22)),"GO",IF(AND(ISNUMBER(Eingaben!$B$23),ISNUMBER(Eingaben!$B$24),IF(Eingaben!$B$23&lt;Eingaben!$B$24,AND(B1822&gt;=Eingaben!$B$23,B1822&lt;Eingaben!$B$24),OR(B1822&gt;=Eingaben!$B$23,B1822&lt;Eingaben!$B$24))),"HEAT","STANDARD"))</f>
        <v>STANDARD</v>
      </c>
      <c r="E1822" s="9"/>
      <c r="F1822" t="str">
        <f>IF(E1822="",D1822,E1822)</f>
        <v>STANDARD</v>
      </c>
      <c r="G1822" t="str">
        <f>INDEX(Netzzeiten!$B$6:$B$29,HOUR(B1822)+1)</f>
        <v>ST</v>
      </c>
      <c r="H1822" s="6">
        <f>IF(F1822="GO",Eingaben!$B$11,IF(F1822="STANDARD",Eingaben!$B$12,IF(AND(F1822="HEAT",ISNUMBER(Eingaben!$B$13)),Eingaben!$B$13,"")))</f>
        <v>28.2744</v>
      </c>
      <c r="I1822" s="6">
        <f>INDEX(Netzzeiten!$C$6:$C$29,HOUR(B1822)+1)</f>
        <v>5.48</v>
      </c>
      <c r="J1822" t="str">
        <f>IF(C1822="","FEHLT",IF(NOT(ISNUMBER(C1822)),"MESSWERT UNGUELTIG",IF(C1822&lt;0,"MESSWERT UNGUELTIG",IF(H1822="","TARIFPREIS FEHLT","OK"))))</f>
        <v>FEHLT</v>
      </c>
      <c r="K1822" s="7">
        <f>IF(J1822&lt;&gt;"OK","",C1822*I1822/100)</f>
        <v/>
      </c>
    </row>
    <row r="1823" spans="1:11">
      <c r="A1823" s="14">
        <v>46161</v>
      </c>
      <c r="B1823" s="15">
        <v>0.9270833333333334</v>
      </c>
      <c r="C1823" s="5">
        <f>IF('96 Werte'!CM24="","",'96 Werte'!CM24)</f>
        <v/>
      </c>
      <c r="D1823" t="str">
        <f>IF(IF(Eingaben!$B$21&lt;Eingaben!$B$22,AND(B1823&gt;=Eingaben!$B$21,B1823&lt;Eingaben!$B$22),OR(B1823&gt;=Eingaben!$B$21,B1823&lt;Eingaben!$B$22)),"GO",IF(AND(ISNUMBER(Eingaben!$B$23),ISNUMBER(Eingaben!$B$24),IF(Eingaben!$B$23&lt;Eingaben!$B$24,AND(B1823&gt;=Eingaben!$B$23,B1823&lt;Eingaben!$B$24),OR(B1823&gt;=Eingaben!$B$23,B1823&lt;Eingaben!$B$24))),"HEAT","STANDARD"))</f>
        <v>STANDARD</v>
      </c>
      <c r="E1823" s="9"/>
      <c r="F1823" t="str">
        <f>IF(E1823="",D1823,E1823)</f>
        <v>STANDARD</v>
      </c>
      <c r="G1823" t="str">
        <f>INDEX(Netzzeiten!$B$6:$B$29,HOUR(B1823)+1)</f>
        <v>ST</v>
      </c>
      <c r="H1823" s="6">
        <f>IF(F1823="GO",Eingaben!$B$11,IF(F1823="STANDARD",Eingaben!$B$12,IF(AND(F1823="HEAT",ISNUMBER(Eingaben!$B$13)),Eingaben!$B$13,"")))</f>
        <v>28.2744</v>
      </c>
      <c r="I1823" s="6">
        <f>INDEX(Netzzeiten!$C$6:$C$29,HOUR(B1823)+1)</f>
        <v>5.48</v>
      </c>
      <c r="J1823" t="str">
        <f>IF(C1823="","FEHLT",IF(NOT(ISNUMBER(C1823)),"MESSWERT UNGUELTIG",IF(C1823&lt;0,"MESSWERT UNGUELTIG",IF(H1823="","TARIFPREIS FEHLT","OK"))))</f>
        <v>FEHLT</v>
      </c>
      <c r="K1823" s="7">
        <f>IF(J1823&lt;&gt;"OK","",C1823*I1823/100)</f>
        <v/>
      </c>
    </row>
    <row r="1824" spans="1:11">
      <c r="A1824" s="14">
        <v>46161</v>
      </c>
      <c r="B1824" s="15">
        <v>0.9375</v>
      </c>
      <c r="C1824" s="5">
        <f>IF('96 Werte'!CN24="","",'96 Werte'!CN24)</f>
        <v/>
      </c>
      <c r="D1824" t="str">
        <f>IF(IF(Eingaben!$B$21&lt;Eingaben!$B$22,AND(B1824&gt;=Eingaben!$B$21,B1824&lt;Eingaben!$B$22),OR(B1824&gt;=Eingaben!$B$21,B1824&lt;Eingaben!$B$22)),"GO",IF(AND(ISNUMBER(Eingaben!$B$23),ISNUMBER(Eingaben!$B$24),IF(Eingaben!$B$23&lt;Eingaben!$B$24,AND(B1824&gt;=Eingaben!$B$23,B1824&lt;Eingaben!$B$24),OR(B1824&gt;=Eingaben!$B$23,B1824&lt;Eingaben!$B$24))),"HEAT","STANDARD"))</f>
        <v>STANDARD</v>
      </c>
      <c r="E1824" s="9"/>
      <c r="F1824" t="str">
        <f>IF(E1824="",D1824,E1824)</f>
        <v>STANDARD</v>
      </c>
      <c r="G1824" t="str">
        <f>INDEX(Netzzeiten!$B$6:$B$29,HOUR(B1824)+1)</f>
        <v>ST</v>
      </c>
      <c r="H1824" s="6">
        <f>IF(F1824="GO",Eingaben!$B$11,IF(F1824="STANDARD",Eingaben!$B$12,IF(AND(F1824="HEAT",ISNUMBER(Eingaben!$B$13)),Eingaben!$B$13,"")))</f>
        <v>28.2744</v>
      </c>
      <c r="I1824" s="6">
        <f>INDEX(Netzzeiten!$C$6:$C$29,HOUR(B1824)+1)</f>
        <v>5.48</v>
      </c>
      <c r="J1824" t="str">
        <f>IF(C1824="","FEHLT",IF(NOT(ISNUMBER(C1824)),"MESSWERT UNGUELTIG",IF(C1824&lt;0,"MESSWERT UNGUELTIG",IF(H1824="","TARIFPREIS FEHLT","OK"))))</f>
        <v>FEHLT</v>
      </c>
      <c r="K1824" s="7">
        <f>IF(J1824&lt;&gt;"OK","",C1824*I1824/100)</f>
        <v/>
      </c>
    </row>
    <row r="1825" spans="1:11">
      <c r="A1825" s="14">
        <v>46161</v>
      </c>
      <c r="B1825" s="15">
        <v>0.9479166666666666</v>
      </c>
      <c r="C1825" s="5">
        <f>IF('96 Werte'!CO24="","",'96 Werte'!CO24)</f>
        <v/>
      </c>
      <c r="D1825" t="str">
        <f>IF(IF(Eingaben!$B$21&lt;Eingaben!$B$22,AND(B1825&gt;=Eingaben!$B$21,B1825&lt;Eingaben!$B$22),OR(B1825&gt;=Eingaben!$B$21,B1825&lt;Eingaben!$B$22)),"GO",IF(AND(ISNUMBER(Eingaben!$B$23),ISNUMBER(Eingaben!$B$24),IF(Eingaben!$B$23&lt;Eingaben!$B$24,AND(B1825&gt;=Eingaben!$B$23,B1825&lt;Eingaben!$B$24),OR(B1825&gt;=Eingaben!$B$23,B1825&lt;Eingaben!$B$24))),"HEAT","STANDARD"))</f>
        <v>STANDARD</v>
      </c>
      <c r="E1825" s="9"/>
      <c r="F1825" t="str">
        <f>IF(E1825="",D1825,E1825)</f>
        <v>STANDARD</v>
      </c>
      <c r="G1825" t="str">
        <f>INDEX(Netzzeiten!$B$6:$B$29,HOUR(B1825)+1)</f>
        <v>ST</v>
      </c>
      <c r="H1825" s="6">
        <f>IF(F1825="GO",Eingaben!$B$11,IF(F1825="STANDARD",Eingaben!$B$12,IF(AND(F1825="HEAT",ISNUMBER(Eingaben!$B$13)),Eingaben!$B$13,"")))</f>
        <v>28.2744</v>
      </c>
      <c r="I1825" s="6">
        <f>INDEX(Netzzeiten!$C$6:$C$29,HOUR(B1825)+1)</f>
        <v>5.48</v>
      </c>
      <c r="J1825" t="str">
        <f>IF(C1825="","FEHLT",IF(NOT(ISNUMBER(C1825)),"MESSWERT UNGUELTIG",IF(C1825&lt;0,"MESSWERT UNGUELTIG",IF(H1825="","TARIFPREIS FEHLT","OK"))))</f>
        <v>FEHLT</v>
      </c>
      <c r="K1825" s="7">
        <f>IF(J1825&lt;&gt;"OK","",C1825*I1825/100)</f>
        <v/>
      </c>
    </row>
    <row r="1826" spans="1:11">
      <c r="A1826" s="14">
        <v>46161</v>
      </c>
      <c r="B1826" s="15">
        <v>0.9583333333333334</v>
      </c>
      <c r="C1826" s="5">
        <f>IF('96 Werte'!CP24="","",'96 Werte'!CP24)</f>
        <v/>
      </c>
      <c r="D1826" t="str">
        <f>IF(IF(Eingaben!$B$21&lt;Eingaben!$B$22,AND(B1826&gt;=Eingaben!$B$21,B1826&lt;Eingaben!$B$22),OR(B1826&gt;=Eingaben!$B$21,B1826&lt;Eingaben!$B$22)),"GO",IF(AND(ISNUMBER(Eingaben!$B$23),ISNUMBER(Eingaben!$B$24),IF(Eingaben!$B$23&lt;Eingaben!$B$24,AND(B1826&gt;=Eingaben!$B$23,B1826&lt;Eingaben!$B$24),OR(B1826&gt;=Eingaben!$B$23,B1826&lt;Eingaben!$B$24))),"HEAT","STANDARD"))</f>
        <v>STANDARD</v>
      </c>
      <c r="E1826" s="9"/>
      <c r="F1826" t="str">
        <f>IF(E1826="",D1826,E1826)</f>
        <v>STANDARD</v>
      </c>
      <c r="G1826" t="str">
        <f>INDEX(Netzzeiten!$B$6:$B$29,HOUR(B1826)+1)</f>
        <v>NT</v>
      </c>
      <c r="H1826" s="6">
        <f>IF(F1826="GO",Eingaben!$B$11,IF(F1826="STANDARD",Eingaben!$B$12,IF(AND(F1826="HEAT",ISNUMBER(Eingaben!$B$13)),Eingaben!$B$13,"")))</f>
        <v>28.2744</v>
      </c>
      <c r="I1826" s="6">
        <f>INDEX(Netzzeiten!$C$6:$C$29,HOUR(B1826)+1)</f>
        <v>1.64</v>
      </c>
      <c r="J1826" t="str">
        <f>IF(C1826="","FEHLT",IF(NOT(ISNUMBER(C1826)),"MESSWERT UNGUELTIG",IF(C1826&lt;0,"MESSWERT UNGUELTIG",IF(H1826="","TARIFPREIS FEHLT","OK"))))</f>
        <v>FEHLT</v>
      </c>
      <c r="K1826" s="7">
        <f>IF(J1826&lt;&gt;"OK","",C1826*I1826/100)</f>
        <v/>
      </c>
    </row>
    <row r="1827" spans="1:11">
      <c r="A1827" s="14">
        <v>46161</v>
      </c>
      <c r="B1827" s="15">
        <v>0.96875</v>
      </c>
      <c r="C1827" s="5">
        <f>IF('96 Werte'!CQ24="","",'96 Werte'!CQ24)</f>
        <v/>
      </c>
      <c r="D1827" t="str">
        <f>IF(IF(Eingaben!$B$21&lt;Eingaben!$B$22,AND(B1827&gt;=Eingaben!$B$21,B1827&lt;Eingaben!$B$22),OR(B1827&gt;=Eingaben!$B$21,B1827&lt;Eingaben!$B$22)),"GO",IF(AND(ISNUMBER(Eingaben!$B$23),ISNUMBER(Eingaben!$B$24),IF(Eingaben!$B$23&lt;Eingaben!$B$24,AND(B1827&gt;=Eingaben!$B$23,B1827&lt;Eingaben!$B$24),OR(B1827&gt;=Eingaben!$B$23,B1827&lt;Eingaben!$B$24))),"HEAT","STANDARD"))</f>
        <v>STANDARD</v>
      </c>
      <c r="E1827" s="9"/>
      <c r="F1827" t="str">
        <f>IF(E1827="",D1827,E1827)</f>
        <v>STANDARD</v>
      </c>
      <c r="G1827" t="str">
        <f>INDEX(Netzzeiten!$B$6:$B$29,HOUR(B1827)+1)</f>
        <v>NT</v>
      </c>
      <c r="H1827" s="6">
        <f>IF(F1827="GO",Eingaben!$B$11,IF(F1827="STANDARD",Eingaben!$B$12,IF(AND(F1827="HEAT",ISNUMBER(Eingaben!$B$13)),Eingaben!$B$13,"")))</f>
        <v>28.2744</v>
      </c>
      <c r="I1827" s="6">
        <f>INDEX(Netzzeiten!$C$6:$C$29,HOUR(B1827)+1)</f>
        <v>1.64</v>
      </c>
      <c r="J1827" t="str">
        <f>IF(C1827="","FEHLT",IF(NOT(ISNUMBER(C1827)),"MESSWERT UNGUELTIG",IF(C1827&lt;0,"MESSWERT UNGUELTIG",IF(H1827="","TARIFPREIS FEHLT","OK"))))</f>
        <v>FEHLT</v>
      </c>
      <c r="K1827" s="7">
        <f>IF(J1827&lt;&gt;"OK","",C1827*I1827/100)</f>
        <v/>
      </c>
    </row>
    <row r="1828" spans="1:11">
      <c r="A1828" s="14">
        <v>46161</v>
      </c>
      <c r="B1828" s="15">
        <v>0.9791666666666666</v>
      </c>
      <c r="C1828" s="5">
        <f>IF('96 Werte'!CR24="","",'96 Werte'!CR24)</f>
        <v/>
      </c>
      <c r="D1828" t="str">
        <f>IF(IF(Eingaben!$B$21&lt;Eingaben!$B$22,AND(B1828&gt;=Eingaben!$B$21,B1828&lt;Eingaben!$B$22),OR(B1828&gt;=Eingaben!$B$21,B1828&lt;Eingaben!$B$22)),"GO",IF(AND(ISNUMBER(Eingaben!$B$23),ISNUMBER(Eingaben!$B$24),IF(Eingaben!$B$23&lt;Eingaben!$B$24,AND(B1828&gt;=Eingaben!$B$23,B1828&lt;Eingaben!$B$24),OR(B1828&gt;=Eingaben!$B$23,B1828&lt;Eingaben!$B$24))),"HEAT","STANDARD"))</f>
        <v>STANDARD</v>
      </c>
      <c r="E1828" s="9"/>
      <c r="F1828" t="str">
        <f>IF(E1828="",D1828,E1828)</f>
        <v>STANDARD</v>
      </c>
      <c r="G1828" t="str">
        <f>INDEX(Netzzeiten!$B$6:$B$29,HOUR(B1828)+1)</f>
        <v>NT</v>
      </c>
      <c r="H1828" s="6">
        <f>IF(F1828="GO",Eingaben!$B$11,IF(F1828="STANDARD",Eingaben!$B$12,IF(AND(F1828="HEAT",ISNUMBER(Eingaben!$B$13)),Eingaben!$B$13,"")))</f>
        <v>28.2744</v>
      </c>
      <c r="I1828" s="6">
        <f>INDEX(Netzzeiten!$C$6:$C$29,HOUR(B1828)+1)</f>
        <v>1.64</v>
      </c>
      <c r="J1828" t="str">
        <f>IF(C1828="","FEHLT",IF(NOT(ISNUMBER(C1828)),"MESSWERT UNGUELTIG",IF(C1828&lt;0,"MESSWERT UNGUELTIG",IF(H1828="","TARIFPREIS FEHLT","OK"))))</f>
        <v>FEHLT</v>
      </c>
      <c r="K1828" s="7">
        <f>IF(J1828&lt;&gt;"OK","",C1828*I1828/100)</f>
        <v/>
      </c>
    </row>
    <row r="1829" spans="1:11">
      <c r="A1829" s="14">
        <v>46161</v>
      </c>
      <c r="B1829" s="15">
        <v>0.9895833333333334</v>
      </c>
      <c r="C1829" s="5">
        <f>IF('96 Werte'!CS24="","",'96 Werte'!CS24)</f>
        <v/>
      </c>
      <c r="D1829" t="str">
        <f>IF(IF(Eingaben!$B$21&lt;Eingaben!$B$22,AND(B1829&gt;=Eingaben!$B$21,B1829&lt;Eingaben!$B$22),OR(B1829&gt;=Eingaben!$B$21,B1829&lt;Eingaben!$B$22)),"GO",IF(AND(ISNUMBER(Eingaben!$B$23),ISNUMBER(Eingaben!$B$24),IF(Eingaben!$B$23&lt;Eingaben!$B$24,AND(B1829&gt;=Eingaben!$B$23,B1829&lt;Eingaben!$B$24),OR(B1829&gt;=Eingaben!$B$23,B1829&lt;Eingaben!$B$24))),"HEAT","STANDARD"))</f>
        <v>STANDARD</v>
      </c>
      <c r="E1829" s="9"/>
      <c r="F1829" t="str">
        <f>IF(E1829="",D1829,E1829)</f>
        <v>STANDARD</v>
      </c>
      <c r="G1829" t="str">
        <f>INDEX(Netzzeiten!$B$6:$B$29,HOUR(B1829)+1)</f>
        <v>NT</v>
      </c>
      <c r="H1829" s="6">
        <f>IF(F1829="GO",Eingaben!$B$11,IF(F1829="STANDARD",Eingaben!$B$12,IF(AND(F1829="HEAT",ISNUMBER(Eingaben!$B$13)),Eingaben!$B$13,"")))</f>
        <v>28.2744</v>
      </c>
      <c r="I1829" s="6">
        <f>INDEX(Netzzeiten!$C$6:$C$29,HOUR(B1829)+1)</f>
        <v>1.64</v>
      </c>
      <c r="J1829" t="str">
        <f>IF(C1829="","FEHLT",IF(NOT(ISNUMBER(C1829)),"MESSWERT UNGUELTIG",IF(C1829&lt;0,"MESSWERT UNGUELTIG",IF(H1829="","TARIFPREIS FEHLT","OK"))))</f>
        <v>FEHLT</v>
      </c>
      <c r="K1829" s="7">
        <f>IF(J1829&lt;&gt;"OK","",C1829*I1829/100)</f>
        <v/>
      </c>
    </row>
    <row r="1830" spans="1:11">
      <c r="A1830" s="14">
        <v>46162</v>
      </c>
      <c r="B1830" s="15">
        <v>0</v>
      </c>
      <c r="C1830" s="5">
        <f>IF('96 Werte'!B25="","",'96 Werte'!B25)</f>
        <v/>
      </c>
      <c r="D1830" t="str">
        <f>IF(IF(Eingaben!$B$21&lt;Eingaben!$B$22,AND(B1830&gt;=Eingaben!$B$21,B1830&lt;Eingaben!$B$22),OR(B1830&gt;=Eingaben!$B$21,B1830&lt;Eingaben!$B$22)),"GO",IF(AND(ISNUMBER(Eingaben!$B$23),ISNUMBER(Eingaben!$B$24),IF(Eingaben!$B$23&lt;Eingaben!$B$24,AND(B1830&gt;=Eingaben!$B$23,B1830&lt;Eingaben!$B$24),OR(B1830&gt;=Eingaben!$B$23,B1830&lt;Eingaben!$B$24))),"HEAT","STANDARD"))</f>
        <v>GO</v>
      </c>
      <c r="E1830" s="9"/>
      <c r="F1830" t="str">
        <f>IF(E1830="",D1830,E1830)</f>
        <v>GO</v>
      </c>
      <c r="G1830" t="str">
        <f>INDEX(Netzzeiten!$B$6:$B$29,HOUR(B1830)+1)</f>
        <v>NT</v>
      </c>
      <c r="H1830" s="6">
        <f>IF(F1830="GO",Eingaben!$B$11,IF(F1830="STANDARD",Eingaben!$B$12,IF(AND(F1830="HEAT",ISNUMBER(Eingaben!$B$13)),Eingaben!$B$13,"")))</f>
        <v>15.0654</v>
      </c>
      <c r="I1830" s="6">
        <f>INDEX(Netzzeiten!$C$6:$C$29,HOUR(B1830)+1)</f>
        <v>1.64</v>
      </c>
      <c r="J1830" t="str">
        <f>IF(C1830="","FEHLT",IF(NOT(ISNUMBER(C1830)),"MESSWERT UNGUELTIG",IF(C1830&lt;0,"MESSWERT UNGUELTIG",IF(H1830="","TARIFPREIS FEHLT","OK"))))</f>
        <v>FEHLT</v>
      </c>
      <c r="K1830" s="7">
        <f>IF(J1830&lt;&gt;"OK","",C1830*I1830/100)</f>
        <v/>
      </c>
    </row>
    <row r="1831" spans="1:11">
      <c r="A1831" s="14">
        <v>46162</v>
      </c>
      <c r="B1831" s="15">
        <v>0.01041666666666667</v>
      </c>
      <c r="C1831" s="5">
        <f>IF('96 Werte'!C25="","",'96 Werte'!C25)</f>
        <v/>
      </c>
      <c r="D1831" t="str">
        <f>IF(IF(Eingaben!$B$21&lt;Eingaben!$B$22,AND(B1831&gt;=Eingaben!$B$21,B1831&lt;Eingaben!$B$22),OR(B1831&gt;=Eingaben!$B$21,B1831&lt;Eingaben!$B$22)),"GO",IF(AND(ISNUMBER(Eingaben!$B$23),ISNUMBER(Eingaben!$B$24),IF(Eingaben!$B$23&lt;Eingaben!$B$24,AND(B1831&gt;=Eingaben!$B$23,B1831&lt;Eingaben!$B$24),OR(B1831&gt;=Eingaben!$B$23,B1831&lt;Eingaben!$B$24))),"HEAT","STANDARD"))</f>
        <v>GO</v>
      </c>
      <c r="E1831" s="9"/>
      <c r="F1831" t="str">
        <f>IF(E1831="",D1831,E1831)</f>
        <v>GO</v>
      </c>
      <c r="G1831" t="str">
        <f>INDEX(Netzzeiten!$B$6:$B$29,HOUR(B1831)+1)</f>
        <v>NT</v>
      </c>
      <c r="H1831" s="6">
        <f>IF(F1831="GO",Eingaben!$B$11,IF(F1831="STANDARD",Eingaben!$B$12,IF(AND(F1831="HEAT",ISNUMBER(Eingaben!$B$13)),Eingaben!$B$13,"")))</f>
        <v>15.0654</v>
      </c>
      <c r="I1831" s="6">
        <f>INDEX(Netzzeiten!$C$6:$C$29,HOUR(B1831)+1)</f>
        <v>1.64</v>
      </c>
      <c r="J1831" t="str">
        <f>IF(C1831="","FEHLT",IF(NOT(ISNUMBER(C1831)),"MESSWERT UNGUELTIG",IF(C1831&lt;0,"MESSWERT UNGUELTIG",IF(H1831="","TARIFPREIS FEHLT","OK"))))</f>
        <v>FEHLT</v>
      </c>
      <c r="K1831" s="7">
        <f>IF(J1831&lt;&gt;"OK","",C1831*I1831/100)</f>
        <v/>
      </c>
    </row>
    <row r="1832" spans="1:11">
      <c r="A1832" s="14">
        <v>46162</v>
      </c>
      <c r="B1832" s="15">
        <v>0.02083333333333333</v>
      </c>
      <c r="C1832" s="5">
        <f>IF('96 Werte'!D25="","",'96 Werte'!D25)</f>
        <v/>
      </c>
      <c r="D1832" t="str">
        <f>IF(IF(Eingaben!$B$21&lt;Eingaben!$B$22,AND(B1832&gt;=Eingaben!$B$21,B1832&lt;Eingaben!$B$22),OR(B1832&gt;=Eingaben!$B$21,B1832&lt;Eingaben!$B$22)),"GO",IF(AND(ISNUMBER(Eingaben!$B$23),ISNUMBER(Eingaben!$B$24),IF(Eingaben!$B$23&lt;Eingaben!$B$24,AND(B1832&gt;=Eingaben!$B$23,B1832&lt;Eingaben!$B$24),OR(B1832&gt;=Eingaben!$B$23,B1832&lt;Eingaben!$B$24))),"HEAT","STANDARD"))</f>
        <v>GO</v>
      </c>
      <c r="E1832" s="9"/>
      <c r="F1832" t="str">
        <f>IF(E1832="",D1832,E1832)</f>
        <v>GO</v>
      </c>
      <c r="G1832" t="str">
        <f>INDEX(Netzzeiten!$B$6:$B$29,HOUR(B1832)+1)</f>
        <v>NT</v>
      </c>
      <c r="H1832" s="6">
        <f>IF(F1832="GO",Eingaben!$B$11,IF(F1832="STANDARD",Eingaben!$B$12,IF(AND(F1832="HEAT",ISNUMBER(Eingaben!$B$13)),Eingaben!$B$13,"")))</f>
        <v>15.0654</v>
      </c>
      <c r="I1832" s="6">
        <f>INDEX(Netzzeiten!$C$6:$C$29,HOUR(B1832)+1)</f>
        <v>1.64</v>
      </c>
      <c r="J1832" t="str">
        <f>IF(C1832="","FEHLT",IF(NOT(ISNUMBER(C1832)),"MESSWERT UNGUELTIG",IF(C1832&lt;0,"MESSWERT UNGUELTIG",IF(H1832="","TARIFPREIS FEHLT","OK"))))</f>
        <v>FEHLT</v>
      </c>
      <c r="K1832" s="7">
        <f>IF(J1832&lt;&gt;"OK","",C1832*I1832/100)</f>
        <v/>
      </c>
    </row>
    <row r="1833" spans="1:11">
      <c r="A1833" s="14">
        <v>46162</v>
      </c>
      <c r="B1833" s="15">
        <v>0.03125</v>
      </c>
      <c r="C1833" s="5">
        <f>IF('96 Werte'!E25="","",'96 Werte'!E25)</f>
        <v/>
      </c>
      <c r="D1833" t="str">
        <f>IF(IF(Eingaben!$B$21&lt;Eingaben!$B$22,AND(B1833&gt;=Eingaben!$B$21,B1833&lt;Eingaben!$B$22),OR(B1833&gt;=Eingaben!$B$21,B1833&lt;Eingaben!$B$22)),"GO",IF(AND(ISNUMBER(Eingaben!$B$23),ISNUMBER(Eingaben!$B$24),IF(Eingaben!$B$23&lt;Eingaben!$B$24,AND(B1833&gt;=Eingaben!$B$23,B1833&lt;Eingaben!$B$24),OR(B1833&gt;=Eingaben!$B$23,B1833&lt;Eingaben!$B$24))),"HEAT","STANDARD"))</f>
        <v>GO</v>
      </c>
      <c r="E1833" s="9"/>
      <c r="F1833" t="str">
        <f>IF(E1833="",D1833,E1833)</f>
        <v>GO</v>
      </c>
      <c r="G1833" t="str">
        <f>INDEX(Netzzeiten!$B$6:$B$29,HOUR(B1833)+1)</f>
        <v>NT</v>
      </c>
      <c r="H1833" s="6">
        <f>IF(F1833="GO",Eingaben!$B$11,IF(F1833="STANDARD",Eingaben!$B$12,IF(AND(F1833="HEAT",ISNUMBER(Eingaben!$B$13)),Eingaben!$B$13,"")))</f>
        <v>15.0654</v>
      </c>
      <c r="I1833" s="6">
        <f>INDEX(Netzzeiten!$C$6:$C$29,HOUR(B1833)+1)</f>
        <v>1.64</v>
      </c>
      <c r="J1833" t="str">
        <f>IF(C1833="","FEHLT",IF(NOT(ISNUMBER(C1833)),"MESSWERT UNGUELTIG",IF(C1833&lt;0,"MESSWERT UNGUELTIG",IF(H1833="","TARIFPREIS FEHLT","OK"))))</f>
        <v>FEHLT</v>
      </c>
      <c r="K1833" s="7">
        <f>IF(J1833&lt;&gt;"OK","",C1833*I1833/100)</f>
        <v/>
      </c>
    </row>
    <row r="1834" spans="1:11">
      <c r="A1834" s="14">
        <v>46162</v>
      </c>
      <c r="B1834" s="15">
        <v>0.04166666666666666</v>
      </c>
      <c r="C1834" s="5">
        <f>IF('96 Werte'!F25="","",'96 Werte'!F25)</f>
        <v/>
      </c>
      <c r="D1834" t="str">
        <f>IF(IF(Eingaben!$B$21&lt;Eingaben!$B$22,AND(B1834&gt;=Eingaben!$B$21,B1834&lt;Eingaben!$B$22),OR(B1834&gt;=Eingaben!$B$21,B1834&lt;Eingaben!$B$22)),"GO",IF(AND(ISNUMBER(Eingaben!$B$23),ISNUMBER(Eingaben!$B$24),IF(Eingaben!$B$23&lt;Eingaben!$B$24,AND(B1834&gt;=Eingaben!$B$23,B1834&lt;Eingaben!$B$24),OR(B1834&gt;=Eingaben!$B$23,B1834&lt;Eingaben!$B$24))),"HEAT","STANDARD"))</f>
        <v>GO</v>
      </c>
      <c r="E1834" s="9"/>
      <c r="F1834" t="str">
        <f>IF(E1834="",D1834,E1834)</f>
        <v>GO</v>
      </c>
      <c r="G1834" t="str">
        <f>INDEX(Netzzeiten!$B$6:$B$29,HOUR(B1834)+1)</f>
        <v>NT</v>
      </c>
      <c r="H1834" s="6">
        <f>IF(F1834="GO",Eingaben!$B$11,IF(F1834="STANDARD",Eingaben!$B$12,IF(AND(F1834="HEAT",ISNUMBER(Eingaben!$B$13)),Eingaben!$B$13,"")))</f>
        <v>15.0654</v>
      </c>
      <c r="I1834" s="6">
        <f>INDEX(Netzzeiten!$C$6:$C$29,HOUR(B1834)+1)</f>
        <v>1.64</v>
      </c>
      <c r="J1834" t="str">
        <f>IF(C1834="","FEHLT",IF(NOT(ISNUMBER(C1834)),"MESSWERT UNGUELTIG",IF(C1834&lt;0,"MESSWERT UNGUELTIG",IF(H1834="","TARIFPREIS FEHLT","OK"))))</f>
        <v>FEHLT</v>
      </c>
      <c r="K1834" s="7">
        <f>IF(J1834&lt;&gt;"OK","",C1834*I1834/100)</f>
        <v/>
      </c>
    </row>
    <row r="1835" spans="1:11">
      <c r="A1835" s="14">
        <v>46162</v>
      </c>
      <c r="B1835" s="15">
        <v>0.05208333333333334</v>
      </c>
      <c r="C1835" s="5">
        <f>IF('96 Werte'!G25="","",'96 Werte'!G25)</f>
        <v/>
      </c>
      <c r="D1835" t="str">
        <f>IF(IF(Eingaben!$B$21&lt;Eingaben!$B$22,AND(B1835&gt;=Eingaben!$B$21,B1835&lt;Eingaben!$B$22),OR(B1835&gt;=Eingaben!$B$21,B1835&lt;Eingaben!$B$22)),"GO",IF(AND(ISNUMBER(Eingaben!$B$23),ISNUMBER(Eingaben!$B$24),IF(Eingaben!$B$23&lt;Eingaben!$B$24,AND(B1835&gt;=Eingaben!$B$23,B1835&lt;Eingaben!$B$24),OR(B1835&gt;=Eingaben!$B$23,B1835&lt;Eingaben!$B$24))),"HEAT","STANDARD"))</f>
        <v>GO</v>
      </c>
      <c r="E1835" s="9"/>
      <c r="F1835" t="str">
        <f>IF(E1835="",D1835,E1835)</f>
        <v>GO</v>
      </c>
      <c r="G1835" t="str">
        <f>INDEX(Netzzeiten!$B$6:$B$29,HOUR(B1835)+1)</f>
        <v>NT</v>
      </c>
      <c r="H1835" s="6">
        <f>IF(F1835="GO",Eingaben!$B$11,IF(F1835="STANDARD",Eingaben!$B$12,IF(AND(F1835="HEAT",ISNUMBER(Eingaben!$B$13)),Eingaben!$B$13,"")))</f>
        <v>15.0654</v>
      </c>
      <c r="I1835" s="6">
        <f>INDEX(Netzzeiten!$C$6:$C$29,HOUR(B1835)+1)</f>
        <v>1.64</v>
      </c>
      <c r="J1835" t="str">
        <f>IF(C1835="","FEHLT",IF(NOT(ISNUMBER(C1835)),"MESSWERT UNGUELTIG",IF(C1835&lt;0,"MESSWERT UNGUELTIG",IF(H1835="","TARIFPREIS FEHLT","OK"))))</f>
        <v>FEHLT</v>
      </c>
      <c r="K1835" s="7">
        <f>IF(J1835&lt;&gt;"OK","",C1835*I1835/100)</f>
        <v/>
      </c>
    </row>
    <row r="1836" spans="1:11">
      <c r="A1836" s="14">
        <v>46162</v>
      </c>
      <c r="B1836" s="15">
        <v>0.0625</v>
      </c>
      <c r="C1836" s="5">
        <f>IF('96 Werte'!H25="","",'96 Werte'!H25)</f>
        <v/>
      </c>
      <c r="D1836" t="str">
        <f>IF(IF(Eingaben!$B$21&lt;Eingaben!$B$22,AND(B1836&gt;=Eingaben!$B$21,B1836&lt;Eingaben!$B$22),OR(B1836&gt;=Eingaben!$B$21,B1836&lt;Eingaben!$B$22)),"GO",IF(AND(ISNUMBER(Eingaben!$B$23),ISNUMBER(Eingaben!$B$24),IF(Eingaben!$B$23&lt;Eingaben!$B$24,AND(B1836&gt;=Eingaben!$B$23,B1836&lt;Eingaben!$B$24),OR(B1836&gt;=Eingaben!$B$23,B1836&lt;Eingaben!$B$24))),"HEAT","STANDARD"))</f>
        <v>GO</v>
      </c>
      <c r="E1836" s="9"/>
      <c r="F1836" t="str">
        <f>IF(E1836="",D1836,E1836)</f>
        <v>GO</v>
      </c>
      <c r="G1836" t="str">
        <f>INDEX(Netzzeiten!$B$6:$B$29,HOUR(B1836)+1)</f>
        <v>NT</v>
      </c>
      <c r="H1836" s="6">
        <f>IF(F1836="GO",Eingaben!$B$11,IF(F1836="STANDARD",Eingaben!$B$12,IF(AND(F1836="HEAT",ISNUMBER(Eingaben!$B$13)),Eingaben!$B$13,"")))</f>
        <v>15.0654</v>
      </c>
      <c r="I1836" s="6">
        <f>INDEX(Netzzeiten!$C$6:$C$29,HOUR(B1836)+1)</f>
        <v>1.64</v>
      </c>
      <c r="J1836" t="str">
        <f>IF(C1836="","FEHLT",IF(NOT(ISNUMBER(C1836)),"MESSWERT UNGUELTIG",IF(C1836&lt;0,"MESSWERT UNGUELTIG",IF(H1836="","TARIFPREIS FEHLT","OK"))))</f>
        <v>FEHLT</v>
      </c>
      <c r="K1836" s="7">
        <f>IF(J1836&lt;&gt;"OK","",C1836*I1836/100)</f>
        <v/>
      </c>
    </row>
    <row r="1837" spans="1:11">
      <c r="A1837" s="14">
        <v>46162</v>
      </c>
      <c r="B1837" s="15">
        <v>0.07291666666666667</v>
      </c>
      <c r="C1837" s="5">
        <f>IF('96 Werte'!I25="","",'96 Werte'!I25)</f>
        <v/>
      </c>
      <c r="D1837" t="str">
        <f>IF(IF(Eingaben!$B$21&lt;Eingaben!$B$22,AND(B1837&gt;=Eingaben!$B$21,B1837&lt;Eingaben!$B$22),OR(B1837&gt;=Eingaben!$B$21,B1837&lt;Eingaben!$B$22)),"GO",IF(AND(ISNUMBER(Eingaben!$B$23),ISNUMBER(Eingaben!$B$24),IF(Eingaben!$B$23&lt;Eingaben!$B$24,AND(B1837&gt;=Eingaben!$B$23,B1837&lt;Eingaben!$B$24),OR(B1837&gt;=Eingaben!$B$23,B1837&lt;Eingaben!$B$24))),"HEAT","STANDARD"))</f>
        <v>GO</v>
      </c>
      <c r="E1837" s="9"/>
      <c r="F1837" t="str">
        <f>IF(E1837="",D1837,E1837)</f>
        <v>GO</v>
      </c>
      <c r="G1837" t="str">
        <f>INDEX(Netzzeiten!$B$6:$B$29,HOUR(B1837)+1)</f>
        <v>NT</v>
      </c>
      <c r="H1837" s="6">
        <f>IF(F1837="GO",Eingaben!$B$11,IF(F1837="STANDARD",Eingaben!$B$12,IF(AND(F1837="HEAT",ISNUMBER(Eingaben!$B$13)),Eingaben!$B$13,"")))</f>
        <v>15.0654</v>
      </c>
      <c r="I1837" s="6">
        <f>INDEX(Netzzeiten!$C$6:$C$29,HOUR(B1837)+1)</f>
        <v>1.64</v>
      </c>
      <c r="J1837" t="str">
        <f>IF(C1837="","FEHLT",IF(NOT(ISNUMBER(C1837)),"MESSWERT UNGUELTIG",IF(C1837&lt;0,"MESSWERT UNGUELTIG",IF(H1837="","TARIFPREIS FEHLT","OK"))))</f>
        <v>FEHLT</v>
      </c>
      <c r="K1837" s="7">
        <f>IF(J1837&lt;&gt;"OK","",C1837*I1837/100)</f>
        <v/>
      </c>
    </row>
    <row r="1838" spans="1:11">
      <c r="A1838" s="14">
        <v>46162</v>
      </c>
      <c r="B1838" s="15">
        <v>0.08333333333333333</v>
      </c>
      <c r="C1838" s="5">
        <f>IF('96 Werte'!J25="","",'96 Werte'!J25)</f>
        <v/>
      </c>
      <c r="D1838" t="str">
        <f>IF(IF(Eingaben!$B$21&lt;Eingaben!$B$22,AND(B1838&gt;=Eingaben!$B$21,B1838&lt;Eingaben!$B$22),OR(B1838&gt;=Eingaben!$B$21,B1838&lt;Eingaben!$B$22)),"GO",IF(AND(ISNUMBER(Eingaben!$B$23),ISNUMBER(Eingaben!$B$24),IF(Eingaben!$B$23&lt;Eingaben!$B$24,AND(B1838&gt;=Eingaben!$B$23,B1838&lt;Eingaben!$B$24),OR(B1838&gt;=Eingaben!$B$23,B1838&lt;Eingaben!$B$24))),"HEAT","STANDARD"))</f>
        <v>GO</v>
      </c>
      <c r="E1838" s="9"/>
      <c r="F1838" t="str">
        <f>IF(E1838="",D1838,E1838)</f>
        <v>GO</v>
      </c>
      <c r="G1838" t="str">
        <f>INDEX(Netzzeiten!$B$6:$B$29,HOUR(B1838)+1)</f>
        <v>NT</v>
      </c>
      <c r="H1838" s="6">
        <f>IF(F1838="GO",Eingaben!$B$11,IF(F1838="STANDARD",Eingaben!$B$12,IF(AND(F1838="HEAT",ISNUMBER(Eingaben!$B$13)),Eingaben!$B$13,"")))</f>
        <v>15.0654</v>
      </c>
      <c r="I1838" s="6">
        <f>INDEX(Netzzeiten!$C$6:$C$29,HOUR(B1838)+1)</f>
        <v>1.64</v>
      </c>
      <c r="J1838" t="str">
        <f>IF(C1838="","FEHLT",IF(NOT(ISNUMBER(C1838)),"MESSWERT UNGUELTIG",IF(C1838&lt;0,"MESSWERT UNGUELTIG",IF(H1838="","TARIFPREIS FEHLT","OK"))))</f>
        <v>FEHLT</v>
      </c>
      <c r="K1838" s="7">
        <f>IF(J1838&lt;&gt;"OK","",C1838*I1838/100)</f>
        <v/>
      </c>
    </row>
    <row r="1839" spans="1:11">
      <c r="A1839" s="14">
        <v>46162</v>
      </c>
      <c r="B1839" s="15">
        <v>0.09375</v>
      </c>
      <c r="C1839" s="5">
        <f>IF('96 Werte'!K25="","",'96 Werte'!K25)</f>
        <v/>
      </c>
      <c r="D1839" t="str">
        <f>IF(IF(Eingaben!$B$21&lt;Eingaben!$B$22,AND(B1839&gt;=Eingaben!$B$21,B1839&lt;Eingaben!$B$22),OR(B1839&gt;=Eingaben!$B$21,B1839&lt;Eingaben!$B$22)),"GO",IF(AND(ISNUMBER(Eingaben!$B$23),ISNUMBER(Eingaben!$B$24),IF(Eingaben!$B$23&lt;Eingaben!$B$24,AND(B1839&gt;=Eingaben!$B$23,B1839&lt;Eingaben!$B$24),OR(B1839&gt;=Eingaben!$B$23,B1839&lt;Eingaben!$B$24))),"HEAT","STANDARD"))</f>
        <v>GO</v>
      </c>
      <c r="E1839" s="9"/>
      <c r="F1839" t="str">
        <f>IF(E1839="",D1839,E1839)</f>
        <v>GO</v>
      </c>
      <c r="G1839" t="str">
        <f>INDEX(Netzzeiten!$B$6:$B$29,HOUR(B1839)+1)</f>
        <v>NT</v>
      </c>
      <c r="H1839" s="6">
        <f>IF(F1839="GO",Eingaben!$B$11,IF(F1839="STANDARD",Eingaben!$B$12,IF(AND(F1839="HEAT",ISNUMBER(Eingaben!$B$13)),Eingaben!$B$13,"")))</f>
        <v>15.0654</v>
      </c>
      <c r="I1839" s="6">
        <f>INDEX(Netzzeiten!$C$6:$C$29,HOUR(B1839)+1)</f>
        <v>1.64</v>
      </c>
      <c r="J1839" t="str">
        <f>IF(C1839="","FEHLT",IF(NOT(ISNUMBER(C1839)),"MESSWERT UNGUELTIG",IF(C1839&lt;0,"MESSWERT UNGUELTIG",IF(H1839="","TARIFPREIS FEHLT","OK"))))</f>
        <v>FEHLT</v>
      </c>
      <c r="K1839" s="7">
        <f>IF(J1839&lt;&gt;"OK","",C1839*I1839/100)</f>
        <v/>
      </c>
    </row>
    <row r="1840" spans="1:11">
      <c r="A1840" s="14">
        <v>46162</v>
      </c>
      <c r="B1840" s="15">
        <v>0.1041666666666667</v>
      </c>
      <c r="C1840" s="5">
        <f>IF('96 Werte'!L25="","",'96 Werte'!L25)</f>
        <v/>
      </c>
      <c r="D1840" t="str">
        <f>IF(IF(Eingaben!$B$21&lt;Eingaben!$B$22,AND(B1840&gt;=Eingaben!$B$21,B1840&lt;Eingaben!$B$22),OR(B1840&gt;=Eingaben!$B$21,B1840&lt;Eingaben!$B$22)),"GO",IF(AND(ISNUMBER(Eingaben!$B$23),ISNUMBER(Eingaben!$B$24),IF(Eingaben!$B$23&lt;Eingaben!$B$24,AND(B1840&gt;=Eingaben!$B$23,B1840&lt;Eingaben!$B$24),OR(B1840&gt;=Eingaben!$B$23,B1840&lt;Eingaben!$B$24))),"HEAT","STANDARD"))</f>
        <v>GO</v>
      </c>
      <c r="E1840" s="9"/>
      <c r="F1840" t="str">
        <f>IF(E1840="",D1840,E1840)</f>
        <v>GO</v>
      </c>
      <c r="G1840" t="str">
        <f>INDEX(Netzzeiten!$B$6:$B$29,HOUR(B1840)+1)</f>
        <v>NT</v>
      </c>
      <c r="H1840" s="6">
        <f>IF(F1840="GO",Eingaben!$B$11,IF(F1840="STANDARD",Eingaben!$B$12,IF(AND(F1840="HEAT",ISNUMBER(Eingaben!$B$13)),Eingaben!$B$13,"")))</f>
        <v>15.0654</v>
      </c>
      <c r="I1840" s="6">
        <f>INDEX(Netzzeiten!$C$6:$C$29,HOUR(B1840)+1)</f>
        <v>1.64</v>
      </c>
      <c r="J1840" t="str">
        <f>IF(C1840="","FEHLT",IF(NOT(ISNUMBER(C1840)),"MESSWERT UNGUELTIG",IF(C1840&lt;0,"MESSWERT UNGUELTIG",IF(H1840="","TARIFPREIS FEHLT","OK"))))</f>
        <v>FEHLT</v>
      </c>
      <c r="K1840" s="7">
        <f>IF(J1840&lt;&gt;"OK","",C1840*I1840/100)</f>
        <v/>
      </c>
    </row>
    <row r="1841" spans="1:11">
      <c r="A1841" s="14">
        <v>46162</v>
      </c>
      <c r="B1841" s="15">
        <v>0.1145833333333333</v>
      </c>
      <c r="C1841" s="5">
        <f>IF('96 Werte'!M25="","",'96 Werte'!M25)</f>
        <v/>
      </c>
      <c r="D1841" t="str">
        <f>IF(IF(Eingaben!$B$21&lt;Eingaben!$B$22,AND(B1841&gt;=Eingaben!$B$21,B1841&lt;Eingaben!$B$22),OR(B1841&gt;=Eingaben!$B$21,B1841&lt;Eingaben!$B$22)),"GO",IF(AND(ISNUMBER(Eingaben!$B$23),ISNUMBER(Eingaben!$B$24),IF(Eingaben!$B$23&lt;Eingaben!$B$24,AND(B1841&gt;=Eingaben!$B$23,B1841&lt;Eingaben!$B$24),OR(B1841&gt;=Eingaben!$B$23,B1841&lt;Eingaben!$B$24))),"HEAT","STANDARD"))</f>
        <v>GO</v>
      </c>
      <c r="E1841" s="9"/>
      <c r="F1841" t="str">
        <f>IF(E1841="",D1841,E1841)</f>
        <v>GO</v>
      </c>
      <c r="G1841" t="str">
        <f>INDEX(Netzzeiten!$B$6:$B$29,HOUR(B1841)+1)</f>
        <v>NT</v>
      </c>
      <c r="H1841" s="6">
        <f>IF(F1841="GO",Eingaben!$B$11,IF(F1841="STANDARD",Eingaben!$B$12,IF(AND(F1841="HEAT",ISNUMBER(Eingaben!$B$13)),Eingaben!$B$13,"")))</f>
        <v>15.0654</v>
      </c>
      <c r="I1841" s="6">
        <f>INDEX(Netzzeiten!$C$6:$C$29,HOUR(B1841)+1)</f>
        <v>1.64</v>
      </c>
      <c r="J1841" t="str">
        <f>IF(C1841="","FEHLT",IF(NOT(ISNUMBER(C1841)),"MESSWERT UNGUELTIG",IF(C1841&lt;0,"MESSWERT UNGUELTIG",IF(H1841="","TARIFPREIS FEHLT","OK"))))</f>
        <v>FEHLT</v>
      </c>
      <c r="K1841" s="7">
        <f>IF(J1841&lt;&gt;"OK","",C1841*I1841/100)</f>
        <v/>
      </c>
    </row>
    <row r="1842" spans="1:11">
      <c r="A1842" s="14">
        <v>46162</v>
      </c>
      <c r="B1842" s="15">
        <v>0.125</v>
      </c>
      <c r="C1842" s="5">
        <f>IF('96 Werte'!N25="","",'96 Werte'!N25)</f>
        <v/>
      </c>
      <c r="D1842" t="str">
        <f>IF(IF(Eingaben!$B$21&lt;Eingaben!$B$22,AND(B1842&gt;=Eingaben!$B$21,B1842&lt;Eingaben!$B$22),OR(B1842&gt;=Eingaben!$B$21,B1842&lt;Eingaben!$B$22)),"GO",IF(AND(ISNUMBER(Eingaben!$B$23),ISNUMBER(Eingaben!$B$24),IF(Eingaben!$B$23&lt;Eingaben!$B$24,AND(B1842&gt;=Eingaben!$B$23,B1842&lt;Eingaben!$B$24),OR(B1842&gt;=Eingaben!$B$23,B1842&lt;Eingaben!$B$24))),"HEAT","STANDARD"))</f>
        <v>GO</v>
      </c>
      <c r="E1842" s="9"/>
      <c r="F1842" t="str">
        <f>IF(E1842="",D1842,E1842)</f>
        <v>GO</v>
      </c>
      <c r="G1842" t="str">
        <f>INDEX(Netzzeiten!$B$6:$B$29,HOUR(B1842)+1)</f>
        <v>NT</v>
      </c>
      <c r="H1842" s="6">
        <f>IF(F1842="GO",Eingaben!$B$11,IF(F1842="STANDARD",Eingaben!$B$12,IF(AND(F1842="HEAT",ISNUMBER(Eingaben!$B$13)),Eingaben!$B$13,"")))</f>
        <v>15.0654</v>
      </c>
      <c r="I1842" s="6">
        <f>INDEX(Netzzeiten!$C$6:$C$29,HOUR(B1842)+1)</f>
        <v>1.64</v>
      </c>
      <c r="J1842" t="str">
        <f>IF(C1842="","FEHLT",IF(NOT(ISNUMBER(C1842)),"MESSWERT UNGUELTIG",IF(C1842&lt;0,"MESSWERT UNGUELTIG",IF(H1842="","TARIFPREIS FEHLT","OK"))))</f>
        <v>FEHLT</v>
      </c>
      <c r="K1842" s="7">
        <f>IF(J1842&lt;&gt;"OK","",C1842*I1842/100)</f>
        <v/>
      </c>
    </row>
    <row r="1843" spans="1:11">
      <c r="A1843" s="14">
        <v>46162</v>
      </c>
      <c r="B1843" s="15">
        <v>0.1354166666666667</v>
      </c>
      <c r="C1843" s="5">
        <f>IF('96 Werte'!O25="","",'96 Werte'!O25)</f>
        <v/>
      </c>
      <c r="D1843" t="str">
        <f>IF(IF(Eingaben!$B$21&lt;Eingaben!$B$22,AND(B1843&gt;=Eingaben!$B$21,B1843&lt;Eingaben!$B$22),OR(B1843&gt;=Eingaben!$B$21,B1843&lt;Eingaben!$B$22)),"GO",IF(AND(ISNUMBER(Eingaben!$B$23),ISNUMBER(Eingaben!$B$24),IF(Eingaben!$B$23&lt;Eingaben!$B$24,AND(B1843&gt;=Eingaben!$B$23,B1843&lt;Eingaben!$B$24),OR(B1843&gt;=Eingaben!$B$23,B1843&lt;Eingaben!$B$24))),"HEAT","STANDARD"))</f>
        <v>GO</v>
      </c>
      <c r="E1843" s="9"/>
      <c r="F1843" t="str">
        <f>IF(E1843="",D1843,E1843)</f>
        <v>GO</v>
      </c>
      <c r="G1843" t="str">
        <f>INDEX(Netzzeiten!$B$6:$B$29,HOUR(B1843)+1)</f>
        <v>NT</v>
      </c>
      <c r="H1843" s="6">
        <f>IF(F1843="GO",Eingaben!$B$11,IF(F1843="STANDARD",Eingaben!$B$12,IF(AND(F1843="HEAT",ISNUMBER(Eingaben!$B$13)),Eingaben!$B$13,"")))</f>
        <v>15.0654</v>
      </c>
      <c r="I1843" s="6">
        <f>INDEX(Netzzeiten!$C$6:$C$29,HOUR(B1843)+1)</f>
        <v>1.64</v>
      </c>
      <c r="J1843" t="str">
        <f>IF(C1843="","FEHLT",IF(NOT(ISNUMBER(C1843)),"MESSWERT UNGUELTIG",IF(C1843&lt;0,"MESSWERT UNGUELTIG",IF(H1843="","TARIFPREIS FEHLT","OK"))))</f>
        <v>FEHLT</v>
      </c>
      <c r="K1843" s="7">
        <f>IF(J1843&lt;&gt;"OK","",C1843*I1843/100)</f>
        <v/>
      </c>
    </row>
    <row r="1844" spans="1:11">
      <c r="A1844" s="14">
        <v>46162</v>
      </c>
      <c r="B1844" s="15">
        <v>0.1458333333333333</v>
      </c>
      <c r="C1844" s="5">
        <f>IF('96 Werte'!P25="","",'96 Werte'!P25)</f>
        <v/>
      </c>
      <c r="D1844" t="str">
        <f>IF(IF(Eingaben!$B$21&lt;Eingaben!$B$22,AND(B1844&gt;=Eingaben!$B$21,B1844&lt;Eingaben!$B$22),OR(B1844&gt;=Eingaben!$B$21,B1844&lt;Eingaben!$B$22)),"GO",IF(AND(ISNUMBER(Eingaben!$B$23),ISNUMBER(Eingaben!$B$24),IF(Eingaben!$B$23&lt;Eingaben!$B$24,AND(B1844&gt;=Eingaben!$B$23,B1844&lt;Eingaben!$B$24),OR(B1844&gt;=Eingaben!$B$23,B1844&lt;Eingaben!$B$24))),"HEAT","STANDARD"))</f>
        <v>GO</v>
      </c>
      <c r="E1844" s="9"/>
      <c r="F1844" t="str">
        <f>IF(E1844="",D1844,E1844)</f>
        <v>GO</v>
      </c>
      <c r="G1844" t="str">
        <f>INDEX(Netzzeiten!$B$6:$B$29,HOUR(B1844)+1)</f>
        <v>NT</v>
      </c>
      <c r="H1844" s="6">
        <f>IF(F1844="GO",Eingaben!$B$11,IF(F1844="STANDARD",Eingaben!$B$12,IF(AND(F1844="HEAT",ISNUMBER(Eingaben!$B$13)),Eingaben!$B$13,"")))</f>
        <v>15.0654</v>
      </c>
      <c r="I1844" s="6">
        <f>INDEX(Netzzeiten!$C$6:$C$29,HOUR(B1844)+1)</f>
        <v>1.64</v>
      </c>
      <c r="J1844" t="str">
        <f>IF(C1844="","FEHLT",IF(NOT(ISNUMBER(C1844)),"MESSWERT UNGUELTIG",IF(C1844&lt;0,"MESSWERT UNGUELTIG",IF(H1844="","TARIFPREIS FEHLT","OK"))))</f>
        <v>FEHLT</v>
      </c>
      <c r="K1844" s="7">
        <f>IF(J1844&lt;&gt;"OK","",C1844*I1844/100)</f>
        <v/>
      </c>
    </row>
    <row r="1845" spans="1:11">
      <c r="A1845" s="14">
        <v>46162</v>
      </c>
      <c r="B1845" s="15">
        <v>0.15625</v>
      </c>
      <c r="C1845" s="5">
        <f>IF('96 Werte'!Q25="","",'96 Werte'!Q25)</f>
        <v/>
      </c>
      <c r="D1845" t="str">
        <f>IF(IF(Eingaben!$B$21&lt;Eingaben!$B$22,AND(B1845&gt;=Eingaben!$B$21,B1845&lt;Eingaben!$B$22),OR(B1845&gt;=Eingaben!$B$21,B1845&lt;Eingaben!$B$22)),"GO",IF(AND(ISNUMBER(Eingaben!$B$23),ISNUMBER(Eingaben!$B$24),IF(Eingaben!$B$23&lt;Eingaben!$B$24,AND(B1845&gt;=Eingaben!$B$23,B1845&lt;Eingaben!$B$24),OR(B1845&gt;=Eingaben!$B$23,B1845&lt;Eingaben!$B$24))),"HEAT","STANDARD"))</f>
        <v>GO</v>
      </c>
      <c r="E1845" s="9"/>
      <c r="F1845" t="str">
        <f>IF(E1845="",D1845,E1845)</f>
        <v>GO</v>
      </c>
      <c r="G1845" t="str">
        <f>INDEX(Netzzeiten!$B$6:$B$29,HOUR(B1845)+1)</f>
        <v>NT</v>
      </c>
      <c r="H1845" s="6">
        <f>IF(F1845="GO",Eingaben!$B$11,IF(F1845="STANDARD",Eingaben!$B$12,IF(AND(F1845="HEAT",ISNUMBER(Eingaben!$B$13)),Eingaben!$B$13,"")))</f>
        <v>15.0654</v>
      </c>
      <c r="I1845" s="6">
        <f>INDEX(Netzzeiten!$C$6:$C$29,HOUR(B1845)+1)</f>
        <v>1.64</v>
      </c>
      <c r="J1845" t="str">
        <f>IF(C1845="","FEHLT",IF(NOT(ISNUMBER(C1845)),"MESSWERT UNGUELTIG",IF(C1845&lt;0,"MESSWERT UNGUELTIG",IF(H1845="","TARIFPREIS FEHLT","OK"))))</f>
        <v>FEHLT</v>
      </c>
      <c r="K1845" s="7">
        <f>IF(J1845&lt;&gt;"OK","",C1845*I1845/100)</f>
        <v/>
      </c>
    </row>
    <row r="1846" spans="1:11">
      <c r="A1846" s="14">
        <v>46162</v>
      </c>
      <c r="B1846" s="15">
        <v>0.1666666666666667</v>
      </c>
      <c r="C1846" s="5">
        <f>IF('96 Werte'!R25="","",'96 Werte'!R25)</f>
        <v/>
      </c>
      <c r="D1846" t="str">
        <f>IF(IF(Eingaben!$B$21&lt;Eingaben!$B$22,AND(B1846&gt;=Eingaben!$B$21,B1846&lt;Eingaben!$B$22),OR(B1846&gt;=Eingaben!$B$21,B1846&lt;Eingaben!$B$22)),"GO",IF(AND(ISNUMBER(Eingaben!$B$23),ISNUMBER(Eingaben!$B$24),IF(Eingaben!$B$23&lt;Eingaben!$B$24,AND(B1846&gt;=Eingaben!$B$23,B1846&lt;Eingaben!$B$24),OR(B1846&gt;=Eingaben!$B$23,B1846&lt;Eingaben!$B$24))),"HEAT","STANDARD"))</f>
        <v>GO</v>
      </c>
      <c r="E1846" s="9"/>
      <c r="F1846" t="str">
        <f>IF(E1846="",D1846,E1846)</f>
        <v>GO</v>
      </c>
      <c r="G1846" t="str">
        <f>INDEX(Netzzeiten!$B$6:$B$29,HOUR(B1846)+1)</f>
        <v>NT</v>
      </c>
      <c r="H1846" s="6">
        <f>IF(F1846="GO",Eingaben!$B$11,IF(F1846="STANDARD",Eingaben!$B$12,IF(AND(F1846="HEAT",ISNUMBER(Eingaben!$B$13)),Eingaben!$B$13,"")))</f>
        <v>15.0654</v>
      </c>
      <c r="I1846" s="6">
        <f>INDEX(Netzzeiten!$C$6:$C$29,HOUR(B1846)+1)</f>
        <v>1.64</v>
      </c>
      <c r="J1846" t="str">
        <f>IF(C1846="","FEHLT",IF(NOT(ISNUMBER(C1846)),"MESSWERT UNGUELTIG",IF(C1846&lt;0,"MESSWERT UNGUELTIG",IF(H1846="","TARIFPREIS FEHLT","OK"))))</f>
        <v>FEHLT</v>
      </c>
      <c r="K1846" s="7">
        <f>IF(J1846&lt;&gt;"OK","",C1846*I1846/100)</f>
        <v/>
      </c>
    </row>
    <row r="1847" spans="1:11">
      <c r="A1847" s="14">
        <v>46162</v>
      </c>
      <c r="B1847" s="15">
        <v>0.1770833333333333</v>
      </c>
      <c r="C1847" s="5">
        <f>IF('96 Werte'!S25="","",'96 Werte'!S25)</f>
        <v/>
      </c>
      <c r="D1847" t="str">
        <f>IF(IF(Eingaben!$B$21&lt;Eingaben!$B$22,AND(B1847&gt;=Eingaben!$B$21,B1847&lt;Eingaben!$B$22),OR(B1847&gt;=Eingaben!$B$21,B1847&lt;Eingaben!$B$22)),"GO",IF(AND(ISNUMBER(Eingaben!$B$23),ISNUMBER(Eingaben!$B$24),IF(Eingaben!$B$23&lt;Eingaben!$B$24,AND(B1847&gt;=Eingaben!$B$23,B1847&lt;Eingaben!$B$24),OR(B1847&gt;=Eingaben!$B$23,B1847&lt;Eingaben!$B$24))),"HEAT","STANDARD"))</f>
        <v>GO</v>
      </c>
      <c r="E1847" s="9"/>
      <c r="F1847" t="str">
        <f>IF(E1847="",D1847,E1847)</f>
        <v>GO</v>
      </c>
      <c r="G1847" t="str">
        <f>INDEX(Netzzeiten!$B$6:$B$29,HOUR(B1847)+1)</f>
        <v>NT</v>
      </c>
      <c r="H1847" s="6">
        <f>IF(F1847="GO",Eingaben!$B$11,IF(F1847="STANDARD",Eingaben!$B$12,IF(AND(F1847="HEAT",ISNUMBER(Eingaben!$B$13)),Eingaben!$B$13,"")))</f>
        <v>15.0654</v>
      </c>
      <c r="I1847" s="6">
        <f>INDEX(Netzzeiten!$C$6:$C$29,HOUR(B1847)+1)</f>
        <v>1.64</v>
      </c>
      <c r="J1847" t="str">
        <f>IF(C1847="","FEHLT",IF(NOT(ISNUMBER(C1847)),"MESSWERT UNGUELTIG",IF(C1847&lt;0,"MESSWERT UNGUELTIG",IF(H1847="","TARIFPREIS FEHLT","OK"))))</f>
        <v>FEHLT</v>
      </c>
      <c r="K1847" s="7">
        <f>IF(J1847&lt;&gt;"OK","",C1847*I1847/100)</f>
        <v/>
      </c>
    </row>
    <row r="1848" spans="1:11">
      <c r="A1848" s="14">
        <v>46162</v>
      </c>
      <c r="B1848" s="15">
        <v>0.1875</v>
      </c>
      <c r="C1848" s="5">
        <f>IF('96 Werte'!T25="","",'96 Werte'!T25)</f>
        <v/>
      </c>
      <c r="D1848" t="str">
        <f>IF(IF(Eingaben!$B$21&lt;Eingaben!$B$22,AND(B1848&gt;=Eingaben!$B$21,B1848&lt;Eingaben!$B$22),OR(B1848&gt;=Eingaben!$B$21,B1848&lt;Eingaben!$B$22)),"GO",IF(AND(ISNUMBER(Eingaben!$B$23),ISNUMBER(Eingaben!$B$24),IF(Eingaben!$B$23&lt;Eingaben!$B$24,AND(B1848&gt;=Eingaben!$B$23,B1848&lt;Eingaben!$B$24),OR(B1848&gt;=Eingaben!$B$23,B1848&lt;Eingaben!$B$24))),"HEAT","STANDARD"))</f>
        <v>GO</v>
      </c>
      <c r="E1848" s="9"/>
      <c r="F1848" t="str">
        <f>IF(E1848="",D1848,E1848)</f>
        <v>GO</v>
      </c>
      <c r="G1848" t="str">
        <f>INDEX(Netzzeiten!$B$6:$B$29,HOUR(B1848)+1)</f>
        <v>NT</v>
      </c>
      <c r="H1848" s="6">
        <f>IF(F1848="GO",Eingaben!$B$11,IF(F1848="STANDARD",Eingaben!$B$12,IF(AND(F1848="HEAT",ISNUMBER(Eingaben!$B$13)),Eingaben!$B$13,"")))</f>
        <v>15.0654</v>
      </c>
      <c r="I1848" s="6">
        <f>INDEX(Netzzeiten!$C$6:$C$29,HOUR(B1848)+1)</f>
        <v>1.64</v>
      </c>
      <c r="J1848" t="str">
        <f>IF(C1848="","FEHLT",IF(NOT(ISNUMBER(C1848)),"MESSWERT UNGUELTIG",IF(C1848&lt;0,"MESSWERT UNGUELTIG",IF(H1848="","TARIFPREIS FEHLT","OK"))))</f>
        <v>FEHLT</v>
      </c>
      <c r="K1848" s="7">
        <f>IF(J1848&lt;&gt;"OK","",C1848*I1848/100)</f>
        <v/>
      </c>
    </row>
    <row r="1849" spans="1:11">
      <c r="A1849" s="14">
        <v>46162</v>
      </c>
      <c r="B1849" s="15">
        <v>0.1979166666666667</v>
      </c>
      <c r="C1849" s="5">
        <f>IF('96 Werte'!U25="","",'96 Werte'!U25)</f>
        <v/>
      </c>
      <c r="D1849" t="str">
        <f>IF(IF(Eingaben!$B$21&lt;Eingaben!$B$22,AND(B1849&gt;=Eingaben!$B$21,B1849&lt;Eingaben!$B$22),OR(B1849&gt;=Eingaben!$B$21,B1849&lt;Eingaben!$B$22)),"GO",IF(AND(ISNUMBER(Eingaben!$B$23),ISNUMBER(Eingaben!$B$24),IF(Eingaben!$B$23&lt;Eingaben!$B$24,AND(B1849&gt;=Eingaben!$B$23,B1849&lt;Eingaben!$B$24),OR(B1849&gt;=Eingaben!$B$23,B1849&lt;Eingaben!$B$24))),"HEAT","STANDARD"))</f>
        <v>GO</v>
      </c>
      <c r="E1849" s="9"/>
      <c r="F1849" t="str">
        <f>IF(E1849="",D1849,E1849)</f>
        <v>GO</v>
      </c>
      <c r="G1849" t="str">
        <f>INDEX(Netzzeiten!$B$6:$B$29,HOUR(B1849)+1)</f>
        <v>NT</v>
      </c>
      <c r="H1849" s="6">
        <f>IF(F1849="GO",Eingaben!$B$11,IF(F1849="STANDARD",Eingaben!$B$12,IF(AND(F1849="HEAT",ISNUMBER(Eingaben!$B$13)),Eingaben!$B$13,"")))</f>
        <v>15.0654</v>
      </c>
      <c r="I1849" s="6">
        <f>INDEX(Netzzeiten!$C$6:$C$29,HOUR(B1849)+1)</f>
        <v>1.64</v>
      </c>
      <c r="J1849" t="str">
        <f>IF(C1849="","FEHLT",IF(NOT(ISNUMBER(C1849)),"MESSWERT UNGUELTIG",IF(C1849&lt;0,"MESSWERT UNGUELTIG",IF(H1849="","TARIFPREIS FEHLT","OK"))))</f>
        <v>FEHLT</v>
      </c>
      <c r="K1849" s="7">
        <f>IF(J1849&lt;&gt;"OK","",C1849*I1849/100)</f>
        <v/>
      </c>
    </row>
    <row r="1850" spans="1:11">
      <c r="A1850" s="14">
        <v>46162</v>
      </c>
      <c r="B1850" s="15">
        <v>0.2083333333333333</v>
      </c>
      <c r="C1850" s="5">
        <f>IF('96 Werte'!V25="","",'96 Werte'!V25)</f>
        <v/>
      </c>
      <c r="D1850" t="str">
        <f>IF(IF(Eingaben!$B$21&lt;Eingaben!$B$22,AND(B1850&gt;=Eingaben!$B$21,B1850&lt;Eingaben!$B$22),OR(B1850&gt;=Eingaben!$B$21,B1850&lt;Eingaben!$B$22)),"GO",IF(AND(ISNUMBER(Eingaben!$B$23),ISNUMBER(Eingaben!$B$24),IF(Eingaben!$B$23&lt;Eingaben!$B$24,AND(B1850&gt;=Eingaben!$B$23,B1850&lt;Eingaben!$B$24),OR(B1850&gt;=Eingaben!$B$23,B1850&lt;Eingaben!$B$24))),"HEAT","STANDARD"))</f>
        <v>STANDARD</v>
      </c>
      <c r="E1850" s="9"/>
      <c r="F1850" t="str">
        <f>IF(E1850="",D1850,E1850)</f>
        <v>STANDARD</v>
      </c>
      <c r="G1850" t="str">
        <f>INDEX(Netzzeiten!$B$6:$B$29,HOUR(B1850)+1)</f>
        <v>NT</v>
      </c>
      <c r="H1850" s="6">
        <f>IF(F1850="GO",Eingaben!$B$11,IF(F1850="STANDARD",Eingaben!$B$12,IF(AND(F1850="HEAT",ISNUMBER(Eingaben!$B$13)),Eingaben!$B$13,"")))</f>
        <v>28.2744</v>
      </c>
      <c r="I1850" s="6">
        <f>INDEX(Netzzeiten!$C$6:$C$29,HOUR(B1850)+1)</f>
        <v>1.64</v>
      </c>
      <c r="J1850" t="str">
        <f>IF(C1850="","FEHLT",IF(NOT(ISNUMBER(C1850)),"MESSWERT UNGUELTIG",IF(C1850&lt;0,"MESSWERT UNGUELTIG",IF(H1850="","TARIFPREIS FEHLT","OK"))))</f>
        <v>FEHLT</v>
      </c>
      <c r="K1850" s="7">
        <f>IF(J1850&lt;&gt;"OK","",C1850*I1850/100)</f>
        <v/>
      </c>
    </row>
    <row r="1851" spans="1:11">
      <c r="A1851" s="14">
        <v>46162</v>
      </c>
      <c r="B1851" s="15">
        <v>0.21875</v>
      </c>
      <c r="C1851" s="5">
        <f>IF('96 Werte'!W25="","",'96 Werte'!W25)</f>
        <v/>
      </c>
      <c r="D1851" t="str">
        <f>IF(IF(Eingaben!$B$21&lt;Eingaben!$B$22,AND(B1851&gt;=Eingaben!$B$21,B1851&lt;Eingaben!$B$22),OR(B1851&gt;=Eingaben!$B$21,B1851&lt;Eingaben!$B$22)),"GO",IF(AND(ISNUMBER(Eingaben!$B$23),ISNUMBER(Eingaben!$B$24),IF(Eingaben!$B$23&lt;Eingaben!$B$24,AND(B1851&gt;=Eingaben!$B$23,B1851&lt;Eingaben!$B$24),OR(B1851&gt;=Eingaben!$B$23,B1851&lt;Eingaben!$B$24))),"HEAT","STANDARD"))</f>
        <v>STANDARD</v>
      </c>
      <c r="E1851" s="9"/>
      <c r="F1851" t="str">
        <f>IF(E1851="",D1851,E1851)</f>
        <v>STANDARD</v>
      </c>
      <c r="G1851" t="str">
        <f>INDEX(Netzzeiten!$B$6:$B$29,HOUR(B1851)+1)</f>
        <v>NT</v>
      </c>
      <c r="H1851" s="6">
        <f>IF(F1851="GO",Eingaben!$B$11,IF(F1851="STANDARD",Eingaben!$B$12,IF(AND(F1851="HEAT",ISNUMBER(Eingaben!$B$13)),Eingaben!$B$13,"")))</f>
        <v>28.2744</v>
      </c>
      <c r="I1851" s="6">
        <f>INDEX(Netzzeiten!$C$6:$C$29,HOUR(B1851)+1)</f>
        <v>1.64</v>
      </c>
      <c r="J1851" t="str">
        <f>IF(C1851="","FEHLT",IF(NOT(ISNUMBER(C1851)),"MESSWERT UNGUELTIG",IF(C1851&lt;0,"MESSWERT UNGUELTIG",IF(H1851="","TARIFPREIS FEHLT","OK"))))</f>
        <v>FEHLT</v>
      </c>
      <c r="K1851" s="7">
        <f>IF(J1851&lt;&gt;"OK","",C1851*I1851/100)</f>
        <v/>
      </c>
    </row>
    <row r="1852" spans="1:11">
      <c r="A1852" s="14">
        <v>46162</v>
      </c>
      <c r="B1852" s="15">
        <v>0.2291666666666667</v>
      </c>
      <c r="C1852" s="5">
        <f>IF('96 Werte'!X25="","",'96 Werte'!X25)</f>
        <v/>
      </c>
      <c r="D1852" t="str">
        <f>IF(IF(Eingaben!$B$21&lt;Eingaben!$B$22,AND(B1852&gt;=Eingaben!$B$21,B1852&lt;Eingaben!$B$22),OR(B1852&gt;=Eingaben!$B$21,B1852&lt;Eingaben!$B$22)),"GO",IF(AND(ISNUMBER(Eingaben!$B$23),ISNUMBER(Eingaben!$B$24),IF(Eingaben!$B$23&lt;Eingaben!$B$24,AND(B1852&gt;=Eingaben!$B$23,B1852&lt;Eingaben!$B$24),OR(B1852&gt;=Eingaben!$B$23,B1852&lt;Eingaben!$B$24))),"HEAT","STANDARD"))</f>
        <v>STANDARD</v>
      </c>
      <c r="E1852" s="9"/>
      <c r="F1852" t="str">
        <f>IF(E1852="",D1852,E1852)</f>
        <v>STANDARD</v>
      </c>
      <c r="G1852" t="str">
        <f>INDEX(Netzzeiten!$B$6:$B$29,HOUR(B1852)+1)</f>
        <v>NT</v>
      </c>
      <c r="H1852" s="6">
        <f>IF(F1852="GO",Eingaben!$B$11,IF(F1852="STANDARD",Eingaben!$B$12,IF(AND(F1852="HEAT",ISNUMBER(Eingaben!$B$13)),Eingaben!$B$13,"")))</f>
        <v>28.2744</v>
      </c>
      <c r="I1852" s="6">
        <f>INDEX(Netzzeiten!$C$6:$C$29,HOUR(B1852)+1)</f>
        <v>1.64</v>
      </c>
      <c r="J1852" t="str">
        <f>IF(C1852="","FEHLT",IF(NOT(ISNUMBER(C1852)),"MESSWERT UNGUELTIG",IF(C1852&lt;0,"MESSWERT UNGUELTIG",IF(H1852="","TARIFPREIS FEHLT","OK"))))</f>
        <v>FEHLT</v>
      </c>
      <c r="K1852" s="7">
        <f>IF(J1852&lt;&gt;"OK","",C1852*I1852/100)</f>
        <v/>
      </c>
    </row>
    <row r="1853" spans="1:11">
      <c r="A1853" s="14">
        <v>46162</v>
      </c>
      <c r="B1853" s="15">
        <v>0.2395833333333333</v>
      </c>
      <c r="C1853" s="5">
        <f>IF('96 Werte'!Y25="","",'96 Werte'!Y25)</f>
        <v/>
      </c>
      <c r="D1853" t="str">
        <f>IF(IF(Eingaben!$B$21&lt;Eingaben!$B$22,AND(B1853&gt;=Eingaben!$B$21,B1853&lt;Eingaben!$B$22),OR(B1853&gt;=Eingaben!$B$21,B1853&lt;Eingaben!$B$22)),"GO",IF(AND(ISNUMBER(Eingaben!$B$23),ISNUMBER(Eingaben!$B$24),IF(Eingaben!$B$23&lt;Eingaben!$B$24,AND(B1853&gt;=Eingaben!$B$23,B1853&lt;Eingaben!$B$24),OR(B1853&gt;=Eingaben!$B$23,B1853&lt;Eingaben!$B$24))),"HEAT","STANDARD"))</f>
        <v>STANDARD</v>
      </c>
      <c r="E1853" s="9"/>
      <c r="F1853" t="str">
        <f>IF(E1853="",D1853,E1853)</f>
        <v>STANDARD</v>
      </c>
      <c r="G1853" t="str">
        <f>INDEX(Netzzeiten!$B$6:$B$29,HOUR(B1853)+1)</f>
        <v>NT</v>
      </c>
      <c r="H1853" s="6">
        <f>IF(F1853="GO",Eingaben!$B$11,IF(F1853="STANDARD",Eingaben!$B$12,IF(AND(F1853="HEAT",ISNUMBER(Eingaben!$B$13)),Eingaben!$B$13,"")))</f>
        <v>28.2744</v>
      </c>
      <c r="I1853" s="6">
        <f>INDEX(Netzzeiten!$C$6:$C$29,HOUR(B1853)+1)</f>
        <v>1.64</v>
      </c>
      <c r="J1853" t="str">
        <f>IF(C1853="","FEHLT",IF(NOT(ISNUMBER(C1853)),"MESSWERT UNGUELTIG",IF(C1853&lt;0,"MESSWERT UNGUELTIG",IF(H1853="","TARIFPREIS FEHLT","OK"))))</f>
        <v>FEHLT</v>
      </c>
      <c r="K1853" s="7">
        <f>IF(J1853&lt;&gt;"OK","",C1853*I1853/100)</f>
        <v/>
      </c>
    </row>
    <row r="1854" spans="1:11">
      <c r="A1854" s="14">
        <v>46162</v>
      </c>
      <c r="B1854" s="15">
        <v>0.25</v>
      </c>
      <c r="C1854" s="5">
        <f>IF('96 Werte'!Z25="","",'96 Werte'!Z25)</f>
        <v/>
      </c>
      <c r="D1854" t="str">
        <f>IF(IF(Eingaben!$B$21&lt;Eingaben!$B$22,AND(B1854&gt;=Eingaben!$B$21,B1854&lt;Eingaben!$B$22),OR(B1854&gt;=Eingaben!$B$21,B1854&lt;Eingaben!$B$22)),"GO",IF(AND(ISNUMBER(Eingaben!$B$23),ISNUMBER(Eingaben!$B$24),IF(Eingaben!$B$23&lt;Eingaben!$B$24,AND(B1854&gt;=Eingaben!$B$23,B1854&lt;Eingaben!$B$24),OR(B1854&gt;=Eingaben!$B$23,B1854&lt;Eingaben!$B$24))),"HEAT","STANDARD"))</f>
        <v>STANDARD</v>
      </c>
      <c r="E1854" s="9"/>
      <c r="F1854" t="str">
        <f>IF(E1854="",D1854,E1854)</f>
        <v>STANDARD</v>
      </c>
      <c r="G1854" t="str">
        <f>INDEX(Netzzeiten!$B$6:$B$29,HOUR(B1854)+1)</f>
        <v>ST</v>
      </c>
      <c r="H1854" s="6">
        <f>IF(F1854="GO",Eingaben!$B$11,IF(F1854="STANDARD",Eingaben!$B$12,IF(AND(F1854="HEAT",ISNUMBER(Eingaben!$B$13)),Eingaben!$B$13,"")))</f>
        <v>28.2744</v>
      </c>
      <c r="I1854" s="6">
        <f>INDEX(Netzzeiten!$C$6:$C$29,HOUR(B1854)+1)</f>
        <v>5.48</v>
      </c>
      <c r="J1854" t="str">
        <f>IF(C1854="","FEHLT",IF(NOT(ISNUMBER(C1854)),"MESSWERT UNGUELTIG",IF(C1854&lt;0,"MESSWERT UNGUELTIG",IF(H1854="","TARIFPREIS FEHLT","OK"))))</f>
        <v>FEHLT</v>
      </c>
      <c r="K1854" s="7">
        <f>IF(J1854&lt;&gt;"OK","",C1854*I1854/100)</f>
        <v/>
      </c>
    </row>
    <row r="1855" spans="1:11">
      <c r="A1855" s="14">
        <v>46162</v>
      </c>
      <c r="B1855" s="15">
        <v>0.2604166666666667</v>
      </c>
      <c r="C1855" s="5">
        <f>IF('96 Werte'!AA25="","",'96 Werte'!AA25)</f>
        <v/>
      </c>
      <c r="D1855" t="str">
        <f>IF(IF(Eingaben!$B$21&lt;Eingaben!$B$22,AND(B1855&gt;=Eingaben!$B$21,B1855&lt;Eingaben!$B$22),OR(B1855&gt;=Eingaben!$B$21,B1855&lt;Eingaben!$B$22)),"GO",IF(AND(ISNUMBER(Eingaben!$B$23),ISNUMBER(Eingaben!$B$24),IF(Eingaben!$B$23&lt;Eingaben!$B$24,AND(B1855&gt;=Eingaben!$B$23,B1855&lt;Eingaben!$B$24),OR(B1855&gt;=Eingaben!$B$23,B1855&lt;Eingaben!$B$24))),"HEAT","STANDARD"))</f>
        <v>STANDARD</v>
      </c>
      <c r="E1855" s="9"/>
      <c r="F1855" t="str">
        <f>IF(E1855="",D1855,E1855)</f>
        <v>STANDARD</v>
      </c>
      <c r="G1855" t="str">
        <f>INDEX(Netzzeiten!$B$6:$B$29,HOUR(B1855)+1)</f>
        <v>ST</v>
      </c>
      <c r="H1855" s="6">
        <f>IF(F1855="GO",Eingaben!$B$11,IF(F1855="STANDARD",Eingaben!$B$12,IF(AND(F1855="HEAT",ISNUMBER(Eingaben!$B$13)),Eingaben!$B$13,"")))</f>
        <v>28.2744</v>
      </c>
      <c r="I1855" s="6">
        <f>INDEX(Netzzeiten!$C$6:$C$29,HOUR(B1855)+1)</f>
        <v>5.48</v>
      </c>
      <c r="J1855" t="str">
        <f>IF(C1855="","FEHLT",IF(NOT(ISNUMBER(C1855)),"MESSWERT UNGUELTIG",IF(C1855&lt;0,"MESSWERT UNGUELTIG",IF(H1855="","TARIFPREIS FEHLT","OK"))))</f>
        <v>FEHLT</v>
      </c>
      <c r="K1855" s="7">
        <f>IF(J1855&lt;&gt;"OK","",C1855*I1855/100)</f>
        <v/>
      </c>
    </row>
    <row r="1856" spans="1:11">
      <c r="A1856" s="14">
        <v>46162</v>
      </c>
      <c r="B1856" s="15">
        <v>0.2708333333333333</v>
      </c>
      <c r="C1856" s="5">
        <f>IF('96 Werte'!AB25="","",'96 Werte'!AB25)</f>
        <v/>
      </c>
      <c r="D1856" t="str">
        <f>IF(IF(Eingaben!$B$21&lt;Eingaben!$B$22,AND(B1856&gt;=Eingaben!$B$21,B1856&lt;Eingaben!$B$22),OR(B1856&gt;=Eingaben!$B$21,B1856&lt;Eingaben!$B$22)),"GO",IF(AND(ISNUMBER(Eingaben!$B$23),ISNUMBER(Eingaben!$B$24),IF(Eingaben!$B$23&lt;Eingaben!$B$24,AND(B1856&gt;=Eingaben!$B$23,B1856&lt;Eingaben!$B$24),OR(B1856&gt;=Eingaben!$B$23,B1856&lt;Eingaben!$B$24))),"HEAT","STANDARD"))</f>
        <v>STANDARD</v>
      </c>
      <c r="E1856" s="9"/>
      <c r="F1856" t="str">
        <f>IF(E1856="",D1856,E1856)</f>
        <v>STANDARD</v>
      </c>
      <c r="G1856" t="str">
        <f>INDEX(Netzzeiten!$B$6:$B$29,HOUR(B1856)+1)</f>
        <v>ST</v>
      </c>
      <c r="H1856" s="6">
        <f>IF(F1856="GO",Eingaben!$B$11,IF(F1856="STANDARD",Eingaben!$B$12,IF(AND(F1856="HEAT",ISNUMBER(Eingaben!$B$13)),Eingaben!$B$13,"")))</f>
        <v>28.2744</v>
      </c>
      <c r="I1856" s="6">
        <f>INDEX(Netzzeiten!$C$6:$C$29,HOUR(B1856)+1)</f>
        <v>5.48</v>
      </c>
      <c r="J1856" t="str">
        <f>IF(C1856="","FEHLT",IF(NOT(ISNUMBER(C1856)),"MESSWERT UNGUELTIG",IF(C1856&lt;0,"MESSWERT UNGUELTIG",IF(H1856="","TARIFPREIS FEHLT","OK"))))</f>
        <v>FEHLT</v>
      </c>
      <c r="K1856" s="7">
        <f>IF(J1856&lt;&gt;"OK","",C1856*I1856/100)</f>
        <v/>
      </c>
    </row>
    <row r="1857" spans="1:11">
      <c r="A1857" s="14">
        <v>46162</v>
      </c>
      <c r="B1857" s="15">
        <v>0.28125</v>
      </c>
      <c r="C1857" s="5">
        <f>IF('96 Werte'!AC25="","",'96 Werte'!AC25)</f>
        <v/>
      </c>
      <c r="D1857" t="str">
        <f>IF(IF(Eingaben!$B$21&lt;Eingaben!$B$22,AND(B1857&gt;=Eingaben!$B$21,B1857&lt;Eingaben!$B$22),OR(B1857&gt;=Eingaben!$B$21,B1857&lt;Eingaben!$B$22)),"GO",IF(AND(ISNUMBER(Eingaben!$B$23),ISNUMBER(Eingaben!$B$24),IF(Eingaben!$B$23&lt;Eingaben!$B$24,AND(B1857&gt;=Eingaben!$B$23,B1857&lt;Eingaben!$B$24),OR(B1857&gt;=Eingaben!$B$23,B1857&lt;Eingaben!$B$24))),"HEAT","STANDARD"))</f>
        <v>STANDARD</v>
      </c>
      <c r="E1857" s="9"/>
      <c r="F1857" t="str">
        <f>IF(E1857="",D1857,E1857)</f>
        <v>STANDARD</v>
      </c>
      <c r="G1857" t="str">
        <f>INDEX(Netzzeiten!$B$6:$B$29,HOUR(B1857)+1)</f>
        <v>ST</v>
      </c>
      <c r="H1857" s="6">
        <f>IF(F1857="GO",Eingaben!$B$11,IF(F1857="STANDARD",Eingaben!$B$12,IF(AND(F1857="HEAT",ISNUMBER(Eingaben!$B$13)),Eingaben!$B$13,"")))</f>
        <v>28.2744</v>
      </c>
      <c r="I1857" s="6">
        <f>INDEX(Netzzeiten!$C$6:$C$29,HOUR(B1857)+1)</f>
        <v>5.48</v>
      </c>
      <c r="J1857" t="str">
        <f>IF(C1857="","FEHLT",IF(NOT(ISNUMBER(C1857)),"MESSWERT UNGUELTIG",IF(C1857&lt;0,"MESSWERT UNGUELTIG",IF(H1857="","TARIFPREIS FEHLT","OK"))))</f>
        <v>FEHLT</v>
      </c>
      <c r="K1857" s="7">
        <f>IF(J1857&lt;&gt;"OK","",C1857*I1857/100)</f>
        <v/>
      </c>
    </row>
    <row r="1858" spans="1:11">
      <c r="A1858" s="14">
        <v>46162</v>
      </c>
      <c r="B1858" s="15">
        <v>0.2916666666666667</v>
      </c>
      <c r="C1858" s="5">
        <f>IF('96 Werte'!AD25="","",'96 Werte'!AD25)</f>
        <v/>
      </c>
      <c r="D1858" t="str">
        <f>IF(IF(Eingaben!$B$21&lt;Eingaben!$B$22,AND(B1858&gt;=Eingaben!$B$21,B1858&lt;Eingaben!$B$22),OR(B1858&gt;=Eingaben!$B$21,B1858&lt;Eingaben!$B$22)),"GO",IF(AND(ISNUMBER(Eingaben!$B$23),ISNUMBER(Eingaben!$B$24),IF(Eingaben!$B$23&lt;Eingaben!$B$24,AND(B1858&gt;=Eingaben!$B$23,B1858&lt;Eingaben!$B$24),OR(B1858&gt;=Eingaben!$B$23,B1858&lt;Eingaben!$B$24))),"HEAT","STANDARD"))</f>
        <v>STANDARD</v>
      </c>
      <c r="E1858" s="9"/>
      <c r="F1858" t="str">
        <f>IF(E1858="",D1858,E1858)</f>
        <v>STANDARD</v>
      </c>
      <c r="G1858" t="str">
        <f>INDEX(Netzzeiten!$B$6:$B$29,HOUR(B1858)+1)</f>
        <v>ST</v>
      </c>
      <c r="H1858" s="6">
        <f>IF(F1858="GO",Eingaben!$B$11,IF(F1858="STANDARD",Eingaben!$B$12,IF(AND(F1858="HEAT",ISNUMBER(Eingaben!$B$13)),Eingaben!$B$13,"")))</f>
        <v>28.2744</v>
      </c>
      <c r="I1858" s="6">
        <f>INDEX(Netzzeiten!$C$6:$C$29,HOUR(B1858)+1)</f>
        <v>5.48</v>
      </c>
      <c r="J1858" t="str">
        <f>IF(C1858="","FEHLT",IF(NOT(ISNUMBER(C1858)),"MESSWERT UNGUELTIG",IF(C1858&lt;0,"MESSWERT UNGUELTIG",IF(H1858="","TARIFPREIS FEHLT","OK"))))</f>
        <v>FEHLT</v>
      </c>
      <c r="K1858" s="7">
        <f>IF(J1858&lt;&gt;"OK","",C1858*I1858/100)</f>
        <v/>
      </c>
    </row>
    <row r="1859" spans="1:11">
      <c r="A1859" s="14">
        <v>46162</v>
      </c>
      <c r="B1859" s="15">
        <v>0.3020833333333333</v>
      </c>
      <c r="C1859" s="5">
        <f>IF('96 Werte'!AE25="","",'96 Werte'!AE25)</f>
        <v/>
      </c>
      <c r="D1859" t="str">
        <f>IF(IF(Eingaben!$B$21&lt;Eingaben!$B$22,AND(B1859&gt;=Eingaben!$B$21,B1859&lt;Eingaben!$B$22),OR(B1859&gt;=Eingaben!$B$21,B1859&lt;Eingaben!$B$22)),"GO",IF(AND(ISNUMBER(Eingaben!$B$23),ISNUMBER(Eingaben!$B$24),IF(Eingaben!$B$23&lt;Eingaben!$B$24,AND(B1859&gt;=Eingaben!$B$23,B1859&lt;Eingaben!$B$24),OR(B1859&gt;=Eingaben!$B$23,B1859&lt;Eingaben!$B$24))),"HEAT","STANDARD"))</f>
        <v>STANDARD</v>
      </c>
      <c r="E1859" s="9"/>
      <c r="F1859" t="str">
        <f>IF(E1859="",D1859,E1859)</f>
        <v>STANDARD</v>
      </c>
      <c r="G1859" t="str">
        <f>INDEX(Netzzeiten!$B$6:$B$29,HOUR(B1859)+1)</f>
        <v>ST</v>
      </c>
      <c r="H1859" s="6">
        <f>IF(F1859="GO",Eingaben!$B$11,IF(F1859="STANDARD",Eingaben!$B$12,IF(AND(F1859="HEAT",ISNUMBER(Eingaben!$B$13)),Eingaben!$B$13,"")))</f>
        <v>28.2744</v>
      </c>
      <c r="I1859" s="6">
        <f>INDEX(Netzzeiten!$C$6:$C$29,HOUR(B1859)+1)</f>
        <v>5.48</v>
      </c>
      <c r="J1859" t="str">
        <f>IF(C1859="","FEHLT",IF(NOT(ISNUMBER(C1859)),"MESSWERT UNGUELTIG",IF(C1859&lt;0,"MESSWERT UNGUELTIG",IF(H1859="","TARIFPREIS FEHLT","OK"))))</f>
        <v>FEHLT</v>
      </c>
      <c r="K1859" s="7">
        <f>IF(J1859&lt;&gt;"OK","",C1859*I1859/100)</f>
        <v/>
      </c>
    </row>
    <row r="1860" spans="1:11">
      <c r="A1860" s="14">
        <v>46162</v>
      </c>
      <c r="B1860" s="15">
        <v>0.3125</v>
      </c>
      <c r="C1860" s="5">
        <f>IF('96 Werte'!AF25="","",'96 Werte'!AF25)</f>
        <v/>
      </c>
      <c r="D1860" t="str">
        <f>IF(IF(Eingaben!$B$21&lt;Eingaben!$B$22,AND(B1860&gt;=Eingaben!$B$21,B1860&lt;Eingaben!$B$22),OR(B1860&gt;=Eingaben!$B$21,B1860&lt;Eingaben!$B$22)),"GO",IF(AND(ISNUMBER(Eingaben!$B$23),ISNUMBER(Eingaben!$B$24),IF(Eingaben!$B$23&lt;Eingaben!$B$24,AND(B1860&gt;=Eingaben!$B$23,B1860&lt;Eingaben!$B$24),OR(B1860&gt;=Eingaben!$B$23,B1860&lt;Eingaben!$B$24))),"HEAT","STANDARD"))</f>
        <v>STANDARD</v>
      </c>
      <c r="E1860" s="9"/>
      <c r="F1860" t="str">
        <f>IF(E1860="",D1860,E1860)</f>
        <v>STANDARD</v>
      </c>
      <c r="G1860" t="str">
        <f>INDEX(Netzzeiten!$B$6:$B$29,HOUR(B1860)+1)</f>
        <v>ST</v>
      </c>
      <c r="H1860" s="6">
        <f>IF(F1860="GO",Eingaben!$B$11,IF(F1860="STANDARD",Eingaben!$B$12,IF(AND(F1860="HEAT",ISNUMBER(Eingaben!$B$13)),Eingaben!$B$13,"")))</f>
        <v>28.2744</v>
      </c>
      <c r="I1860" s="6">
        <f>INDEX(Netzzeiten!$C$6:$C$29,HOUR(B1860)+1)</f>
        <v>5.48</v>
      </c>
      <c r="J1860" t="str">
        <f>IF(C1860="","FEHLT",IF(NOT(ISNUMBER(C1860)),"MESSWERT UNGUELTIG",IF(C1860&lt;0,"MESSWERT UNGUELTIG",IF(H1860="","TARIFPREIS FEHLT","OK"))))</f>
        <v>FEHLT</v>
      </c>
      <c r="K1860" s="7">
        <f>IF(J1860&lt;&gt;"OK","",C1860*I1860/100)</f>
        <v/>
      </c>
    </row>
    <row r="1861" spans="1:11">
      <c r="A1861" s="14">
        <v>46162</v>
      </c>
      <c r="B1861" s="15">
        <v>0.3229166666666667</v>
      </c>
      <c r="C1861" s="5">
        <f>IF('96 Werte'!AG25="","",'96 Werte'!AG25)</f>
        <v/>
      </c>
      <c r="D1861" t="str">
        <f>IF(IF(Eingaben!$B$21&lt;Eingaben!$B$22,AND(B1861&gt;=Eingaben!$B$21,B1861&lt;Eingaben!$B$22),OR(B1861&gt;=Eingaben!$B$21,B1861&lt;Eingaben!$B$22)),"GO",IF(AND(ISNUMBER(Eingaben!$B$23),ISNUMBER(Eingaben!$B$24),IF(Eingaben!$B$23&lt;Eingaben!$B$24,AND(B1861&gt;=Eingaben!$B$23,B1861&lt;Eingaben!$B$24),OR(B1861&gt;=Eingaben!$B$23,B1861&lt;Eingaben!$B$24))),"HEAT","STANDARD"))</f>
        <v>STANDARD</v>
      </c>
      <c r="E1861" s="9"/>
      <c r="F1861" t="str">
        <f>IF(E1861="",D1861,E1861)</f>
        <v>STANDARD</v>
      </c>
      <c r="G1861" t="str">
        <f>INDEX(Netzzeiten!$B$6:$B$29,HOUR(B1861)+1)</f>
        <v>ST</v>
      </c>
      <c r="H1861" s="6">
        <f>IF(F1861="GO",Eingaben!$B$11,IF(F1861="STANDARD",Eingaben!$B$12,IF(AND(F1861="HEAT",ISNUMBER(Eingaben!$B$13)),Eingaben!$B$13,"")))</f>
        <v>28.2744</v>
      </c>
      <c r="I1861" s="6">
        <f>INDEX(Netzzeiten!$C$6:$C$29,HOUR(B1861)+1)</f>
        <v>5.48</v>
      </c>
      <c r="J1861" t="str">
        <f>IF(C1861="","FEHLT",IF(NOT(ISNUMBER(C1861)),"MESSWERT UNGUELTIG",IF(C1861&lt;0,"MESSWERT UNGUELTIG",IF(H1861="","TARIFPREIS FEHLT","OK"))))</f>
        <v>FEHLT</v>
      </c>
      <c r="K1861" s="7">
        <f>IF(J1861&lt;&gt;"OK","",C1861*I1861/100)</f>
        <v/>
      </c>
    </row>
    <row r="1862" spans="1:11">
      <c r="A1862" s="14">
        <v>46162</v>
      </c>
      <c r="B1862" s="15">
        <v>0.3333333333333333</v>
      </c>
      <c r="C1862" s="5">
        <f>IF('96 Werte'!AH25="","",'96 Werte'!AH25)</f>
        <v/>
      </c>
      <c r="D1862" t="str">
        <f>IF(IF(Eingaben!$B$21&lt;Eingaben!$B$22,AND(B1862&gt;=Eingaben!$B$21,B1862&lt;Eingaben!$B$22),OR(B1862&gt;=Eingaben!$B$21,B1862&lt;Eingaben!$B$22)),"GO",IF(AND(ISNUMBER(Eingaben!$B$23),ISNUMBER(Eingaben!$B$24),IF(Eingaben!$B$23&lt;Eingaben!$B$24,AND(B1862&gt;=Eingaben!$B$23,B1862&lt;Eingaben!$B$24),OR(B1862&gt;=Eingaben!$B$23,B1862&lt;Eingaben!$B$24))),"HEAT","STANDARD"))</f>
        <v>STANDARD</v>
      </c>
      <c r="E1862" s="9"/>
      <c r="F1862" t="str">
        <f>IF(E1862="",D1862,E1862)</f>
        <v>STANDARD</v>
      </c>
      <c r="G1862" t="str">
        <f>INDEX(Netzzeiten!$B$6:$B$29,HOUR(B1862)+1)</f>
        <v>ST</v>
      </c>
      <c r="H1862" s="6">
        <f>IF(F1862="GO",Eingaben!$B$11,IF(F1862="STANDARD",Eingaben!$B$12,IF(AND(F1862="HEAT",ISNUMBER(Eingaben!$B$13)),Eingaben!$B$13,"")))</f>
        <v>28.2744</v>
      </c>
      <c r="I1862" s="6">
        <f>INDEX(Netzzeiten!$C$6:$C$29,HOUR(B1862)+1)</f>
        <v>5.48</v>
      </c>
      <c r="J1862" t="str">
        <f>IF(C1862="","FEHLT",IF(NOT(ISNUMBER(C1862)),"MESSWERT UNGUELTIG",IF(C1862&lt;0,"MESSWERT UNGUELTIG",IF(H1862="","TARIFPREIS FEHLT","OK"))))</f>
        <v>FEHLT</v>
      </c>
      <c r="K1862" s="7">
        <f>IF(J1862&lt;&gt;"OK","",C1862*I1862/100)</f>
        <v/>
      </c>
    </row>
    <row r="1863" spans="1:11">
      <c r="A1863" s="14">
        <v>46162</v>
      </c>
      <c r="B1863" s="15">
        <v>0.34375</v>
      </c>
      <c r="C1863" s="5">
        <f>IF('96 Werte'!AI25="","",'96 Werte'!AI25)</f>
        <v/>
      </c>
      <c r="D1863" t="str">
        <f>IF(IF(Eingaben!$B$21&lt;Eingaben!$B$22,AND(B1863&gt;=Eingaben!$B$21,B1863&lt;Eingaben!$B$22),OR(B1863&gt;=Eingaben!$B$21,B1863&lt;Eingaben!$B$22)),"GO",IF(AND(ISNUMBER(Eingaben!$B$23),ISNUMBER(Eingaben!$B$24),IF(Eingaben!$B$23&lt;Eingaben!$B$24,AND(B1863&gt;=Eingaben!$B$23,B1863&lt;Eingaben!$B$24),OR(B1863&gt;=Eingaben!$B$23,B1863&lt;Eingaben!$B$24))),"HEAT","STANDARD"))</f>
        <v>STANDARD</v>
      </c>
      <c r="E1863" s="9"/>
      <c r="F1863" t="str">
        <f>IF(E1863="",D1863,E1863)</f>
        <v>STANDARD</v>
      </c>
      <c r="G1863" t="str">
        <f>INDEX(Netzzeiten!$B$6:$B$29,HOUR(B1863)+1)</f>
        <v>ST</v>
      </c>
      <c r="H1863" s="6">
        <f>IF(F1863="GO",Eingaben!$B$11,IF(F1863="STANDARD",Eingaben!$B$12,IF(AND(F1863="HEAT",ISNUMBER(Eingaben!$B$13)),Eingaben!$B$13,"")))</f>
        <v>28.2744</v>
      </c>
      <c r="I1863" s="6">
        <f>INDEX(Netzzeiten!$C$6:$C$29,HOUR(B1863)+1)</f>
        <v>5.48</v>
      </c>
      <c r="J1863" t="str">
        <f>IF(C1863="","FEHLT",IF(NOT(ISNUMBER(C1863)),"MESSWERT UNGUELTIG",IF(C1863&lt;0,"MESSWERT UNGUELTIG",IF(H1863="","TARIFPREIS FEHLT","OK"))))</f>
        <v>FEHLT</v>
      </c>
      <c r="K1863" s="7">
        <f>IF(J1863&lt;&gt;"OK","",C1863*I1863/100)</f>
        <v/>
      </c>
    </row>
    <row r="1864" spans="1:11">
      <c r="A1864" s="14">
        <v>46162</v>
      </c>
      <c r="B1864" s="15">
        <v>0.3541666666666667</v>
      </c>
      <c r="C1864" s="5">
        <f>IF('96 Werte'!AJ25="","",'96 Werte'!AJ25)</f>
        <v/>
      </c>
      <c r="D1864" t="str">
        <f>IF(IF(Eingaben!$B$21&lt;Eingaben!$B$22,AND(B1864&gt;=Eingaben!$B$21,B1864&lt;Eingaben!$B$22),OR(B1864&gt;=Eingaben!$B$21,B1864&lt;Eingaben!$B$22)),"GO",IF(AND(ISNUMBER(Eingaben!$B$23),ISNUMBER(Eingaben!$B$24),IF(Eingaben!$B$23&lt;Eingaben!$B$24,AND(B1864&gt;=Eingaben!$B$23,B1864&lt;Eingaben!$B$24),OR(B1864&gt;=Eingaben!$B$23,B1864&lt;Eingaben!$B$24))),"HEAT","STANDARD"))</f>
        <v>STANDARD</v>
      </c>
      <c r="E1864" s="9"/>
      <c r="F1864" t="str">
        <f>IF(E1864="",D1864,E1864)</f>
        <v>STANDARD</v>
      </c>
      <c r="G1864" t="str">
        <f>INDEX(Netzzeiten!$B$6:$B$29,HOUR(B1864)+1)</f>
        <v>ST</v>
      </c>
      <c r="H1864" s="6">
        <f>IF(F1864="GO",Eingaben!$B$11,IF(F1864="STANDARD",Eingaben!$B$12,IF(AND(F1864="HEAT",ISNUMBER(Eingaben!$B$13)),Eingaben!$B$13,"")))</f>
        <v>28.2744</v>
      </c>
      <c r="I1864" s="6">
        <f>INDEX(Netzzeiten!$C$6:$C$29,HOUR(B1864)+1)</f>
        <v>5.48</v>
      </c>
      <c r="J1864" t="str">
        <f>IF(C1864="","FEHLT",IF(NOT(ISNUMBER(C1864)),"MESSWERT UNGUELTIG",IF(C1864&lt;0,"MESSWERT UNGUELTIG",IF(H1864="","TARIFPREIS FEHLT","OK"))))</f>
        <v>FEHLT</v>
      </c>
      <c r="K1864" s="7">
        <f>IF(J1864&lt;&gt;"OK","",C1864*I1864/100)</f>
        <v/>
      </c>
    </row>
    <row r="1865" spans="1:11">
      <c r="A1865" s="14">
        <v>46162</v>
      </c>
      <c r="B1865" s="15">
        <v>0.3645833333333333</v>
      </c>
      <c r="C1865" s="5">
        <f>IF('96 Werte'!AK25="","",'96 Werte'!AK25)</f>
        <v/>
      </c>
      <c r="D1865" t="str">
        <f>IF(IF(Eingaben!$B$21&lt;Eingaben!$B$22,AND(B1865&gt;=Eingaben!$B$21,B1865&lt;Eingaben!$B$22),OR(B1865&gt;=Eingaben!$B$21,B1865&lt;Eingaben!$B$22)),"GO",IF(AND(ISNUMBER(Eingaben!$B$23),ISNUMBER(Eingaben!$B$24),IF(Eingaben!$B$23&lt;Eingaben!$B$24,AND(B1865&gt;=Eingaben!$B$23,B1865&lt;Eingaben!$B$24),OR(B1865&gt;=Eingaben!$B$23,B1865&lt;Eingaben!$B$24))),"HEAT","STANDARD"))</f>
        <v>STANDARD</v>
      </c>
      <c r="E1865" s="9"/>
      <c r="F1865" t="str">
        <f>IF(E1865="",D1865,E1865)</f>
        <v>STANDARD</v>
      </c>
      <c r="G1865" t="str">
        <f>INDEX(Netzzeiten!$B$6:$B$29,HOUR(B1865)+1)</f>
        <v>ST</v>
      </c>
      <c r="H1865" s="6">
        <f>IF(F1865="GO",Eingaben!$B$11,IF(F1865="STANDARD",Eingaben!$B$12,IF(AND(F1865="HEAT",ISNUMBER(Eingaben!$B$13)),Eingaben!$B$13,"")))</f>
        <v>28.2744</v>
      </c>
      <c r="I1865" s="6">
        <f>INDEX(Netzzeiten!$C$6:$C$29,HOUR(B1865)+1)</f>
        <v>5.48</v>
      </c>
      <c r="J1865" t="str">
        <f>IF(C1865="","FEHLT",IF(NOT(ISNUMBER(C1865)),"MESSWERT UNGUELTIG",IF(C1865&lt;0,"MESSWERT UNGUELTIG",IF(H1865="","TARIFPREIS FEHLT","OK"))))</f>
        <v>FEHLT</v>
      </c>
      <c r="K1865" s="7">
        <f>IF(J1865&lt;&gt;"OK","",C1865*I1865/100)</f>
        <v/>
      </c>
    </row>
    <row r="1866" spans="1:11">
      <c r="A1866" s="14">
        <v>46162</v>
      </c>
      <c r="B1866" s="15">
        <v>0.375</v>
      </c>
      <c r="C1866" s="5">
        <f>IF('96 Werte'!AL25="","",'96 Werte'!AL25)</f>
        <v/>
      </c>
      <c r="D1866" t="str">
        <f>IF(IF(Eingaben!$B$21&lt;Eingaben!$B$22,AND(B1866&gt;=Eingaben!$B$21,B1866&lt;Eingaben!$B$22),OR(B1866&gt;=Eingaben!$B$21,B1866&lt;Eingaben!$B$22)),"GO",IF(AND(ISNUMBER(Eingaben!$B$23),ISNUMBER(Eingaben!$B$24),IF(Eingaben!$B$23&lt;Eingaben!$B$24,AND(B1866&gt;=Eingaben!$B$23,B1866&lt;Eingaben!$B$24),OR(B1866&gt;=Eingaben!$B$23,B1866&lt;Eingaben!$B$24))),"HEAT","STANDARD"))</f>
        <v>STANDARD</v>
      </c>
      <c r="E1866" s="9"/>
      <c r="F1866" t="str">
        <f>IF(E1866="",D1866,E1866)</f>
        <v>STANDARD</v>
      </c>
      <c r="G1866" t="str">
        <f>INDEX(Netzzeiten!$B$6:$B$29,HOUR(B1866)+1)</f>
        <v>ST</v>
      </c>
      <c r="H1866" s="6">
        <f>IF(F1866="GO",Eingaben!$B$11,IF(F1866="STANDARD",Eingaben!$B$12,IF(AND(F1866="HEAT",ISNUMBER(Eingaben!$B$13)),Eingaben!$B$13,"")))</f>
        <v>28.2744</v>
      </c>
      <c r="I1866" s="6">
        <f>INDEX(Netzzeiten!$C$6:$C$29,HOUR(B1866)+1)</f>
        <v>5.48</v>
      </c>
      <c r="J1866" t="str">
        <f>IF(C1866="","FEHLT",IF(NOT(ISNUMBER(C1866)),"MESSWERT UNGUELTIG",IF(C1866&lt;0,"MESSWERT UNGUELTIG",IF(H1866="","TARIFPREIS FEHLT","OK"))))</f>
        <v>FEHLT</v>
      </c>
      <c r="K1866" s="7">
        <f>IF(J1866&lt;&gt;"OK","",C1866*I1866/100)</f>
        <v/>
      </c>
    </row>
    <row r="1867" spans="1:11">
      <c r="A1867" s="14">
        <v>46162</v>
      </c>
      <c r="B1867" s="15">
        <v>0.3854166666666667</v>
      </c>
      <c r="C1867" s="5">
        <f>IF('96 Werte'!AM25="","",'96 Werte'!AM25)</f>
        <v/>
      </c>
      <c r="D1867" t="str">
        <f>IF(IF(Eingaben!$B$21&lt;Eingaben!$B$22,AND(B1867&gt;=Eingaben!$B$21,B1867&lt;Eingaben!$B$22),OR(B1867&gt;=Eingaben!$B$21,B1867&lt;Eingaben!$B$22)),"GO",IF(AND(ISNUMBER(Eingaben!$B$23),ISNUMBER(Eingaben!$B$24),IF(Eingaben!$B$23&lt;Eingaben!$B$24,AND(B1867&gt;=Eingaben!$B$23,B1867&lt;Eingaben!$B$24),OR(B1867&gt;=Eingaben!$B$23,B1867&lt;Eingaben!$B$24))),"HEAT","STANDARD"))</f>
        <v>STANDARD</v>
      </c>
      <c r="E1867" s="9"/>
      <c r="F1867" t="str">
        <f>IF(E1867="",D1867,E1867)</f>
        <v>STANDARD</v>
      </c>
      <c r="G1867" t="str">
        <f>INDEX(Netzzeiten!$B$6:$B$29,HOUR(B1867)+1)</f>
        <v>ST</v>
      </c>
      <c r="H1867" s="6">
        <f>IF(F1867="GO",Eingaben!$B$11,IF(F1867="STANDARD",Eingaben!$B$12,IF(AND(F1867="HEAT",ISNUMBER(Eingaben!$B$13)),Eingaben!$B$13,"")))</f>
        <v>28.2744</v>
      </c>
      <c r="I1867" s="6">
        <f>INDEX(Netzzeiten!$C$6:$C$29,HOUR(B1867)+1)</f>
        <v>5.48</v>
      </c>
      <c r="J1867" t="str">
        <f>IF(C1867="","FEHLT",IF(NOT(ISNUMBER(C1867)),"MESSWERT UNGUELTIG",IF(C1867&lt;0,"MESSWERT UNGUELTIG",IF(H1867="","TARIFPREIS FEHLT","OK"))))</f>
        <v>FEHLT</v>
      </c>
      <c r="K1867" s="7">
        <f>IF(J1867&lt;&gt;"OK","",C1867*I1867/100)</f>
        <v/>
      </c>
    </row>
    <row r="1868" spans="1:11">
      <c r="A1868" s="14">
        <v>46162</v>
      </c>
      <c r="B1868" s="15">
        <v>0.3958333333333333</v>
      </c>
      <c r="C1868" s="5">
        <f>IF('96 Werte'!AN25="","",'96 Werte'!AN25)</f>
        <v/>
      </c>
      <c r="D1868" t="str">
        <f>IF(IF(Eingaben!$B$21&lt;Eingaben!$B$22,AND(B1868&gt;=Eingaben!$B$21,B1868&lt;Eingaben!$B$22),OR(B1868&gt;=Eingaben!$B$21,B1868&lt;Eingaben!$B$22)),"GO",IF(AND(ISNUMBER(Eingaben!$B$23),ISNUMBER(Eingaben!$B$24),IF(Eingaben!$B$23&lt;Eingaben!$B$24,AND(B1868&gt;=Eingaben!$B$23,B1868&lt;Eingaben!$B$24),OR(B1868&gt;=Eingaben!$B$23,B1868&lt;Eingaben!$B$24))),"HEAT","STANDARD"))</f>
        <v>STANDARD</v>
      </c>
      <c r="E1868" s="9"/>
      <c r="F1868" t="str">
        <f>IF(E1868="",D1868,E1868)</f>
        <v>STANDARD</v>
      </c>
      <c r="G1868" t="str">
        <f>INDEX(Netzzeiten!$B$6:$B$29,HOUR(B1868)+1)</f>
        <v>ST</v>
      </c>
      <c r="H1868" s="6">
        <f>IF(F1868="GO",Eingaben!$B$11,IF(F1868="STANDARD",Eingaben!$B$12,IF(AND(F1868="HEAT",ISNUMBER(Eingaben!$B$13)),Eingaben!$B$13,"")))</f>
        <v>28.2744</v>
      </c>
      <c r="I1868" s="6">
        <f>INDEX(Netzzeiten!$C$6:$C$29,HOUR(B1868)+1)</f>
        <v>5.48</v>
      </c>
      <c r="J1868" t="str">
        <f>IF(C1868="","FEHLT",IF(NOT(ISNUMBER(C1868)),"MESSWERT UNGUELTIG",IF(C1868&lt;0,"MESSWERT UNGUELTIG",IF(H1868="","TARIFPREIS FEHLT","OK"))))</f>
        <v>FEHLT</v>
      </c>
      <c r="K1868" s="7">
        <f>IF(J1868&lt;&gt;"OK","",C1868*I1868/100)</f>
        <v/>
      </c>
    </row>
    <row r="1869" spans="1:11">
      <c r="A1869" s="14">
        <v>46162</v>
      </c>
      <c r="B1869" s="15">
        <v>0.40625</v>
      </c>
      <c r="C1869" s="5">
        <f>IF('96 Werte'!AO25="","",'96 Werte'!AO25)</f>
        <v/>
      </c>
      <c r="D1869" t="str">
        <f>IF(IF(Eingaben!$B$21&lt;Eingaben!$B$22,AND(B1869&gt;=Eingaben!$B$21,B1869&lt;Eingaben!$B$22),OR(B1869&gt;=Eingaben!$B$21,B1869&lt;Eingaben!$B$22)),"GO",IF(AND(ISNUMBER(Eingaben!$B$23),ISNUMBER(Eingaben!$B$24),IF(Eingaben!$B$23&lt;Eingaben!$B$24,AND(B1869&gt;=Eingaben!$B$23,B1869&lt;Eingaben!$B$24),OR(B1869&gt;=Eingaben!$B$23,B1869&lt;Eingaben!$B$24))),"HEAT","STANDARD"))</f>
        <v>STANDARD</v>
      </c>
      <c r="E1869" s="9"/>
      <c r="F1869" t="str">
        <f>IF(E1869="",D1869,E1869)</f>
        <v>STANDARD</v>
      </c>
      <c r="G1869" t="str">
        <f>INDEX(Netzzeiten!$B$6:$B$29,HOUR(B1869)+1)</f>
        <v>ST</v>
      </c>
      <c r="H1869" s="6">
        <f>IF(F1869="GO",Eingaben!$B$11,IF(F1869="STANDARD",Eingaben!$B$12,IF(AND(F1869="HEAT",ISNUMBER(Eingaben!$B$13)),Eingaben!$B$13,"")))</f>
        <v>28.2744</v>
      </c>
      <c r="I1869" s="6">
        <f>INDEX(Netzzeiten!$C$6:$C$29,HOUR(B1869)+1)</f>
        <v>5.48</v>
      </c>
      <c r="J1869" t="str">
        <f>IF(C1869="","FEHLT",IF(NOT(ISNUMBER(C1869)),"MESSWERT UNGUELTIG",IF(C1869&lt;0,"MESSWERT UNGUELTIG",IF(H1869="","TARIFPREIS FEHLT","OK"))))</f>
        <v>FEHLT</v>
      </c>
      <c r="K1869" s="7">
        <f>IF(J1869&lt;&gt;"OK","",C1869*I1869/100)</f>
        <v/>
      </c>
    </row>
    <row r="1870" spans="1:11">
      <c r="A1870" s="14">
        <v>46162</v>
      </c>
      <c r="B1870" s="15">
        <v>0.4166666666666667</v>
      </c>
      <c r="C1870" s="5">
        <f>IF('96 Werte'!AP25="","",'96 Werte'!AP25)</f>
        <v/>
      </c>
      <c r="D1870" t="str">
        <f>IF(IF(Eingaben!$B$21&lt;Eingaben!$B$22,AND(B1870&gt;=Eingaben!$B$21,B1870&lt;Eingaben!$B$22),OR(B1870&gt;=Eingaben!$B$21,B1870&lt;Eingaben!$B$22)),"GO",IF(AND(ISNUMBER(Eingaben!$B$23),ISNUMBER(Eingaben!$B$24),IF(Eingaben!$B$23&lt;Eingaben!$B$24,AND(B1870&gt;=Eingaben!$B$23,B1870&lt;Eingaben!$B$24),OR(B1870&gt;=Eingaben!$B$23,B1870&lt;Eingaben!$B$24))),"HEAT","STANDARD"))</f>
        <v>STANDARD</v>
      </c>
      <c r="E1870" s="9"/>
      <c r="F1870" t="str">
        <f>IF(E1870="",D1870,E1870)</f>
        <v>STANDARD</v>
      </c>
      <c r="G1870" t="str">
        <f>INDEX(Netzzeiten!$B$6:$B$29,HOUR(B1870)+1)</f>
        <v>ST</v>
      </c>
      <c r="H1870" s="6">
        <f>IF(F1870="GO",Eingaben!$B$11,IF(F1870="STANDARD",Eingaben!$B$12,IF(AND(F1870="HEAT",ISNUMBER(Eingaben!$B$13)),Eingaben!$B$13,"")))</f>
        <v>28.2744</v>
      </c>
      <c r="I1870" s="6">
        <f>INDEX(Netzzeiten!$C$6:$C$29,HOUR(B1870)+1)</f>
        <v>5.48</v>
      </c>
      <c r="J1870" t="str">
        <f>IF(C1870="","FEHLT",IF(NOT(ISNUMBER(C1870)),"MESSWERT UNGUELTIG",IF(C1870&lt;0,"MESSWERT UNGUELTIG",IF(H1870="","TARIFPREIS FEHLT","OK"))))</f>
        <v>FEHLT</v>
      </c>
      <c r="K1870" s="7">
        <f>IF(J1870&lt;&gt;"OK","",C1870*I1870/100)</f>
        <v/>
      </c>
    </row>
    <row r="1871" spans="1:11">
      <c r="A1871" s="14">
        <v>46162</v>
      </c>
      <c r="B1871" s="15">
        <v>0.4270833333333333</v>
      </c>
      <c r="C1871" s="5">
        <f>IF('96 Werte'!AQ25="","",'96 Werte'!AQ25)</f>
        <v/>
      </c>
      <c r="D1871" t="str">
        <f>IF(IF(Eingaben!$B$21&lt;Eingaben!$B$22,AND(B1871&gt;=Eingaben!$B$21,B1871&lt;Eingaben!$B$22),OR(B1871&gt;=Eingaben!$B$21,B1871&lt;Eingaben!$B$22)),"GO",IF(AND(ISNUMBER(Eingaben!$B$23),ISNUMBER(Eingaben!$B$24),IF(Eingaben!$B$23&lt;Eingaben!$B$24,AND(B1871&gt;=Eingaben!$B$23,B1871&lt;Eingaben!$B$24),OR(B1871&gt;=Eingaben!$B$23,B1871&lt;Eingaben!$B$24))),"HEAT","STANDARD"))</f>
        <v>STANDARD</v>
      </c>
      <c r="E1871" s="9"/>
      <c r="F1871" t="str">
        <f>IF(E1871="",D1871,E1871)</f>
        <v>STANDARD</v>
      </c>
      <c r="G1871" t="str">
        <f>INDEX(Netzzeiten!$B$6:$B$29,HOUR(B1871)+1)</f>
        <v>ST</v>
      </c>
      <c r="H1871" s="6">
        <f>IF(F1871="GO",Eingaben!$B$11,IF(F1871="STANDARD",Eingaben!$B$12,IF(AND(F1871="HEAT",ISNUMBER(Eingaben!$B$13)),Eingaben!$B$13,"")))</f>
        <v>28.2744</v>
      </c>
      <c r="I1871" s="6">
        <f>INDEX(Netzzeiten!$C$6:$C$29,HOUR(B1871)+1)</f>
        <v>5.48</v>
      </c>
      <c r="J1871" t="str">
        <f>IF(C1871="","FEHLT",IF(NOT(ISNUMBER(C1871)),"MESSWERT UNGUELTIG",IF(C1871&lt;0,"MESSWERT UNGUELTIG",IF(H1871="","TARIFPREIS FEHLT","OK"))))</f>
        <v>FEHLT</v>
      </c>
      <c r="K1871" s="7">
        <f>IF(J1871&lt;&gt;"OK","",C1871*I1871/100)</f>
        <v/>
      </c>
    </row>
    <row r="1872" spans="1:11">
      <c r="A1872" s="14">
        <v>46162</v>
      </c>
      <c r="B1872" s="15">
        <v>0.4375</v>
      </c>
      <c r="C1872" s="5">
        <f>IF('96 Werte'!AR25="","",'96 Werte'!AR25)</f>
        <v/>
      </c>
      <c r="D1872" t="str">
        <f>IF(IF(Eingaben!$B$21&lt;Eingaben!$B$22,AND(B1872&gt;=Eingaben!$B$21,B1872&lt;Eingaben!$B$22),OR(B1872&gt;=Eingaben!$B$21,B1872&lt;Eingaben!$B$22)),"GO",IF(AND(ISNUMBER(Eingaben!$B$23),ISNUMBER(Eingaben!$B$24),IF(Eingaben!$B$23&lt;Eingaben!$B$24,AND(B1872&gt;=Eingaben!$B$23,B1872&lt;Eingaben!$B$24),OR(B1872&gt;=Eingaben!$B$23,B1872&lt;Eingaben!$B$24))),"HEAT","STANDARD"))</f>
        <v>STANDARD</v>
      </c>
      <c r="E1872" s="9"/>
      <c r="F1872" t="str">
        <f>IF(E1872="",D1872,E1872)</f>
        <v>STANDARD</v>
      </c>
      <c r="G1872" t="str">
        <f>INDEX(Netzzeiten!$B$6:$B$29,HOUR(B1872)+1)</f>
        <v>ST</v>
      </c>
      <c r="H1872" s="6">
        <f>IF(F1872="GO",Eingaben!$B$11,IF(F1872="STANDARD",Eingaben!$B$12,IF(AND(F1872="HEAT",ISNUMBER(Eingaben!$B$13)),Eingaben!$B$13,"")))</f>
        <v>28.2744</v>
      </c>
      <c r="I1872" s="6">
        <f>INDEX(Netzzeiten!$C$6:$C$29,HOUR(B1872)+1)</f>
        <v>5.48</v>
      </c>
      <c r="J1872" t="str">
        <f>IF(C1872="","FEHLT",IF(NOT(ISNUMBER(C1872)),"MESSWERT UNGUELTIG",IF(C1872&lt;0,"MESSWERT UNGUELTIG",IF(H1872="","TARIFPREIS FEHLT","OK"))))</f>
        <v>FEHLT</v>
      </c>
      <c r="K1872" s="7">
        <f>IF(J1872&lt;&gt;"OK","",C1872*I1872/100)</f>
        <v/>
      </c>
    </row>
    <row r="1873" spans="1:11">
      <c r="A1873" s="14">
        <v>46162</v>
      </c>
      <c r="B1873" s="15">
        <v>0.4479166666666667</v>
      </c>
      <c r="C1873" s="5">
        <f>IF('96 Werte'!AS25="","",'96 Werte'!AS25)</f>
        <v/>
      </c>
      <c r="D1873" t="str">
        <f>IF(IF(Eingaben!$B$21&lt;Eingaben!$B$22,AND(B1873&gt;=Eingaben!$B$21,B1873&lt;Eingaben!$B$22),OR(B1873&gt;=Eingaben!$B$21,B1873&lt;Eingaben!$B$22)),"GO",IF(AND(ISNUMBER(Eingaben!$B$23),ISNUMBER(Eingaben!$B$24),IF(Eingaben!$B$23&lt;Eingaben!$B$24,AND(B1873&gt;=Eingaben!$B$23,B1873&lt;Eingaben!$B$24),OR(B1873&gt;=Eingaben!$B$23,B1873&lt;Eingaben!$B$24))),"HEAT","STANDARD"))</f>
        <v>STANDARD</v>
      </c>
      <c r="E1873" s="9"/>
      <c r="F1873" t="str">
        <f>IF(E1873="",D1873,E1873)</f>
        <v>STANDARD</v>
      </c>
      <c r="G1873" t="str">
        <f>INDEX(Netzzeiten!$B$6:$B$29,HOUR(B1873)+1)</f>
        <v>ST</v>
      </c>
      <c r="H1873" s="6">
        <f>IF(F1873="GO",Eingaben!$B$11,IF(F1873="STANDARD",Eingaben!$B$12,IF(AND(F1873="HEAT",ISNUMBER(Eingaben!$B$13)),Eingaben!$B$13,"")))</f>
        <v>28.2744</v>
      </c>
      <c r="I1873" s="6">
        <f>INDEX(Netzzeiten!$C$6:$C$29,HOUR(B1873)+1)</f>
        <v>5.48</v>
      </c>
      <c r="J1873" t="str">
        <f>IF(C1873="","FEHLT",IF(NOT(ISNUMBER(C1873)),"MESSWERT UNGUELTIG",IF(C1873&lt;0,"MESSWERT UNGUELTIG",IF(H1873="","TARIFPREIS FEHLT","OK"))))</f>
        <v>FEHLT</v>
      </c>
      <c r="K1873" s="7">
        <f>IF(J1873&lt;&gt;"OK","",C1873*I1873/100)</f>
        <v/>
      </c>
    </row>
    <row r="1874" spans="1:11">
      <c r="A1874" s="14">
        <v>46162</v>
      </c>
      <c r="B1874" s="15">
        <v>0.4583333333333333</v>
      </c>
      <c r="C1874" s="5">
        <f>IF('96 Werte'!AT25="","",'96 Werte'!AT25)</f>
        <v/>
      </c>
      <c r="D1874" t="str">
        <f>IF(IF(Eingaben!$B$21&lt;Eingaben!$B$22,AND(B1874&gt;=Eingaben!$B$21,B1874&lt;Eingaben!$B$22),OR(B1874&gt;=Eingaben!$B$21,B1874&lt;Eingaben!$B$22)),"GO",IF(AND(ISNUMBER(Eingaben!$B$23),ISNUMBER(Eingaben!$B$24),IF(Eingaben!$B$23&lt;Eingaben!$B$24,AND(B1874&gt;=Eingaben!$B$23,B1874&lt;Eingaben!$B$24),OR(B1874&gt;=Eingaben!$B$23,B1874&lt;Eingaben!$B$24))),"HEAT","STANDARD"))</f>
        <v>STANDARD</v>
      </c>
      <c r="E1874" s="9"/>
      <c r="F1874" t="str">
        <f>IF(E1874="",D1874,E1874)</f>
        <v>STANDARD</v>
      </c>
      <c r="G1874" t="str">
        <f>INDEX(Netzzeiten!$B$6:$B$29,HOUR(B1874)+1)</f>
        <v>NT</v>
      </c>
      <c r="H1874" s="6">
        <f>IF(F1874="GO",Eingaben!$B$11,IF(F1874="STANDARD",Eingaben!$B$12,IF(AND(F1874="HEAT",ISNUMBER(Eingaben!$B$13)),Eingaben!$B$13,"")))</f>
        <v>28.2744</v>
      </c>
      <c r="I1874" s="6">
        <f>INDEX(Netzzeiten!$C$6:$C$29,HOUR(B1874)+1)</f>
        <v>1.64</v>
      </c>
      <c r="J1874" t="str">
        <f>IF(C1874="","FEHLT",IF(NOT(ISNUMBER(C1874)),"MESSWERT UNGUELTIG",IF(C1874&lt;0,"MESSWERT UNGUELTIG",IF(H1874="","TARIFPREIS FEHLT","OK"))))</f>
        <v>FEHLT</v>
      </c>
      <c r="K1874" s="7">
        <f>IF(J1874&lt;&gt;"OK","",C1874*I1874/100)</f>
        <v/>
      </c>
    </row>
    <row r="1875" spans="1:11">
      <c r="A1875" s="14">
        <v>46162</v>
      </c>
      <c r="B1875" s="15">
        <v>0.46875</v>
      </c>
      <c r="C1875" s="5">
        <f>IF('96 Werte'!AU25="","",'96 Werte'!AU25)</f>
        <v/>
      </c>
      <c r="D1875" t="str">
        <f>IF(IF(Eingaben!$B$21&lt;Eingaben!$B$22,AND(B1875&gt;=Eingaben!$B$21,B1875&lt;Eingaben!$B$22),OR(B1875&gt;=Eingaben!$B$21,B1875&lt;Eingaben!$B$22)),"GO",IF(AND(ISNUMBER(Eingaben!$B$23),ISNUMBER(Eingaben!$B$24),IF(Eingaben!$B$23&lt;Eingaben!$B$24,AND(B1875&gt;=Eingaben!$B$23,B1875&lt;Eingaben!$B$24),OR(B1875&gt;=Eingaben!$B$23,B1875&lt;Eingaben!$B$24))),"HEAT","STANDARD"))</f>
        <v>STANDARD</v>
      </c>
      <c r="E1875" s="9"/>
      <c r="F1875" t="str">
        <f>IF(E1875="",D1875,E1875)</f>
        <v>STANDARD</v>
      </c>
      <c r="G1875" t="str">
        <f>INDEX(Netzzeiten!$B$6:$B$29,HOUR(B1875)+1)</f>
        <v>NT</v>
      </c>
      <c r="H1875" s="6">
        <f>IF(F1875="GO",Eingaben!$B$11,IF(F1875="STANDARD",Eingaben!$B$12,IF(AND(F1875="HEAT",ISNUMBER(Eingaben!$B$13)),Eingaben!$B$13,"")))</f>
        <v>28.2744</v>
      </c>
      <c r="I1875" s="6">
        <f>INDEX(Netzzeiten!$C$6:$C$29,HOUR(B1875)+1)</f>
        <v>1.64</v>
      </c>
      <c r="J1875" t="str">
        <f>IF(C1875="","FEHLT",IF(NOT(ISNUMBER(C1875)),"MESSWERT UNGUELTIG",IF(C1875&lt;0,"MESSWERT UNGUELTIG",IF(H1875="","TARIFPREIS FEHLT","OK"))))</f>
        <v>FEHLT</v>
      </c>
      <c r="K1875" s="7">
        <f>IF(J1875&lt;&gt;"OK","",C1875*I1875/100)</f>
        <v/>
      </c>
    </row>
    <row r="1876" spans="1:11">
      <c r="A1876" s="14">
        <v>46162</v>
      </c>
      <c r="B1876" s="15">
        <v>0.4791666666666667</v>
      </c>
      <c r="C1876" s="5">
        <f>IF('96 Werte'!AV25="","",'96 Werte'!AV25)</f>
        <v/>
      </c>
      <c r="D1876" t="str">
        <f>IF(IF(Eingaben!$B$21&lt;Eingaben!$B$22,AND(B1876&gt;=Eingaben!$B$21,B1876&lt;Eingaben!$B$22),OR(B1876&gt;=Eingaben!$B$21,B1876&lt;Eingaben!$B$22)),"GO",IF(AND(ISNUMBER(Eingaben!$B$23),ISNUMBER(Eingaben!$B$24),IF(Eingaben!$B$23&lt;Eingaben!$B$24,AND(B1876&gt;=Eingaben!$B$23,B1876&lt;Eingaben!$B$24),OR(B1876&gt;=Eingaben!$B$23,B1876&lt;Eingaben!$B$24))),"HEAT","STANDARD"))</f>
        <v>STANDARD</v>
      </c>
      <c r="E1876" s="9"/>
      <c r="F1876" t="str">
        <f>IF(E1876="",D1876,E1876)</f>
        <v>STANDARD</v>
      </c>
      <c r="G1876" t="str">
        <f>INDEX(Netzzeiten!$B$6:$B$29,HOUR(B1876)+1)</f>
        <v>NT</v>
      </c>
      <c r="H1876" s="6">
        <f>IF(F1876="GO",Eingaben!$B$11,IF(F1876="STANDARD",Eingaben!$B$12,IF(AND(F1876="HEAT",ISNUMBER(Eingaben!$B$13)),Eingaben!$B$13,"")))</f>
        <v>28.2744</v>
      </c>
      <c r="I1876" s="6">
        <f>INDEX(Netzzeiten!$C$6:$C$29,HOUR(B1876)+1)</f>
        <v>1.64</v>
      </c>
      <c r="J1876" t="str">
        <f>IF(C1876="","FEHLT",IF(NOT(ISNUMBER(C1876)),"MESSWERT UNGUELTIG",IF(C1876&lt;0,"MESSWERT UNGUELTIG",IF(H1876="","TARIFPREIS FEHLT","OK"))))</f>
        <v>FEHLT</v>
      </c>
      <c r="K1876" s="7">
        <f>IF(J1876&lt;&gt;"OK","",C1876*I1876/100)</f>
        <v/>
      </c>
    </row>
    <row r="1877" spans="1:11">
      <c r="A1877" s="14">
        <v>46162</v>
      </c>
      <c r="B1877" s="15">
        <v>0.4895833333333333</v>
      </c>
      <c r="C1877" s="5">
        <f>IF('96 Werte'!AW25="","",'96 Werte'!AW25)</f>
        <v/>
      </c>
      <c r="D1877" t="str">
        <f>IF(IF(Eingaben!$B$21&lt;Eingaben!$B$22,AND(B1877&gt;=Eingaben!$B$21,B1877&lt;Eingaben!$B$22),OR(B1877&gt;=Eingaben!$B$21,B1877&lt;Eingaben!$B$22)),"GO",IF(AND(ISNUMBER(Eingaben!$B$23),ISNUMBER(Eingaben!$B$24),IF(Eingaben!$B$23&lt;Eingaben!$B$24,AND(B1877&gt;=Eingaben!$B$23,B1877&lt;Eingaben!$B$24),OR(B1877&gt;=Eingaben!$B$23,B1877&lt;Eingaben!$B$24))),"HEAT","STANDARD"))</f>
        <v>STANDARD</v>
      </c>
      <c r="E1877" s="9"/>
      <c r="F1877" t="str">
        <f>IF(E1877="",D1877,E1877)</f>
        <v>STANDARD</v>
      </c>
      <c r="G1877" t="str">
        <f>INDEX(Netzzeiten!$B$6:$B$29,HOUR(B1877)+1)</f>
        <v>NT</v>
      </c>
      <c r="H1877" s="6">
        <f>IF(F1877="GO",Eingaben!$B$11,IF(F1877="STANDARD",Eingaben!$B$12,IF(AND(F1877="HEAT",ISNUMBER(Eingaben!$B$13)),Eingaben!$B$13,"")))</f>
        <v>28.2744</v>
      </c>
      <c r="I1877" s="6">
        <f>INDEX(Netzzeiten!$C$6:$C$29,HOUR(B1877)+1)</f>
        <v>1.64</v>
      </c>
      <c r="J1877" t="str">
        <f>IF(C1877="","FEHLT",IF(NOT(ISNUMBER(C1877)),"MESSWERT UNGUELTIG",IF(C1877&lt;0,"MESSWERT UNGUELTIG",IF(H1877="","TARIFPREIS FEHLT","OK"))))</f>
        <v>FEHLT</v>
      </c>
      <c r="K1877" s="7">
        <f>IF(J1877&lt;&gt;"OK","",C1877*I1877/100)</f>
        <v/>
      </c>
    </row>
    <row r="1878" spans="1:11">
      <c r="A1878" s="14">
        <v>46162</v>
      </c>
      <c r="B1878" s="15">
        <v>0.5</v>
      </c>
      <c r="C1878" s="5">
        <f>IF('96 Werte'!AX25="","",'96 Werte'!AX25)</f>
        <v/>
      </c>
      <c r="D1878" t="str">
        <f>IF(IF(Eingaben!$B$21&lt;Eingaben!$B$22,AND(B1878&gt;=Eingaben!$B$21,B1878&lt;Eingaben!$B$22),OR(B1878&gt;=Eingaben!$B$21,B1878&lt;Eingaben!$B$22)),"GO",IF(AND(ISNUMBER(Eingaben!$B$23),ISNUMBER(Eingaben!$B$24),IF(Eingaben!$B$23&lt;Eingaben!$B$24,AND(B1878&gt;=Eingaben!$B$23,B1878&lt;Eingaben!$B$24),OR(B1878&gt;=Eingaben!$B$23,B1878&lt;Eingaben!$B$24))),"HEAT","STANDARD"))</f>
        <v>STANDARD</v>
      </c>
      <c r="E1878" s="9"/>
      <c r="F1878" t="str">
        <f>IF(E1878="",D1878,E1878)</f>
        <v>STANDARD</v>
      </c>
      <c r="G1878" t="str">
        <f>INDEX(Netzzeiten!$B$6:$B$29,HOUR(B1878)+1)</f>
        <v>NT</v>
      </c>
      <c r="H1878" s="6">
        <f>IF(F1878="GO",Eingaben!$B$11,IF(F1878="STANDARD",Eingaben!$B$12,IF(AND(F1878="HEAT",ISNUMBER(Eingaben!$B$13)),Eingaben!$B$13,"")))</f>
        <v>28.2744</v>
      </c>
      <c r="I1878" s="6">
        <f>INDEX(Netzzeiten!$C$6:$C$29,HOUR(B1878)+1)</f>
        <v>1.64</v>
      </c>
      <c r="J1878" t="str">
        <f>IF(C1878="","FEHLT",IF(NOT(ISNUMBER(C1878)),"MESSWERT UNGUELTIG",IF(C1878&lt;0,"MESSWERT UNGUELTIG",IF(H1878="","TARIFPREIS FEHLT","OK"))))</f>
        <v>FEHLT</v>
      </c>
      <c r="K1878" s="7">
        <f>IF(J1878&lt;&gt;"OK","",C1878*I1878/100)</f>
        <v/>
      </c>
    </row>
    <row r="1879" spans="1:11">
      <c r="A1879" s="14">
        <v>46162</v>
      </c>
      <c r="B1879" s="15">
        <v>0.5104166666666666</v>
      </c>
      <c r="C1879" s="5">
        <f>IF('96 Werte'!AY25="","",'96 Werte'!AY25)</f>
        <v/>
      </c>
      <c r="D1879" t="str">
        <f>IF(IF(Eingaben!$B$21&lt;Eingaben!$B$22,AND(B1879&gt;=Eingaben!$B$21,B1879&lt;Eingaben!$B$22),OR(B1879&gt;=Eingaben!$B$21,B1879&lt;Eingaben!$B$22)),"GO",IF(AND(ISNUMBER(Eingaben!$B$23),ISNUMBER(Eingaben!$B$24),IF(Eingaben!$B$23&lt;Eingaben!$B$24,AND(B1879&gt;=Eingaben!$B$23,B1879&lt;Eingaben!$B$24),OR(B1879&gt;=Eingaben!$B$23,B1879&lt;Eingaben!$B$24))),"HEAT","STANDARD"))</f>
        <v>STANDARD</v>
      </c>
      <c r="E1879" s="9"/>
      <c r="F1879" t="str">
        <f>IF(E1879="",D1879,E1879)</f>
        <v>STANDARD</v>
      </c>
      <c r="G1879" t="str">
        <f>INDEX(Netzzeiten!$B$6:$B$29,HOUR(B1879)+1)</f>
        <v>NT</v>
      </c>
      <c r="H1879" s="6">
        <f>IF(F1879="GO",Eingaben!$B$11,IF(F1879="STANDARD",Eingaben!$B$12,IF(AND(F1879="HEAT",ISNUMBER(Eingaben!$B$13)),Eingaben!$B$13,"")))</f>
        <v>28.2744</v>
      </c>
      <c r="I1879" s="6">
        <f>INDEX(Netzzeiten!$C$6:$C$29,HOUR(B1879)+1)</f>
        <v>1.64</v>
      </c>
      <c r="J1879" t="str">
        <f>IF(C1879="","FEHLT",IF(NOT(ISNUMBER(C1879)),"MESSWERT UNGUELTIG",IF(C1879&lt;0,"MESSWERT UNGUELTIG",IF(H1879="","TARIFPREIS FEHLT","OK"))))</f>
        <v>FEHLT</v>
      </c>
      <c r="K1879" s="7">
        <f>IF(J1879&lt;&gt;"OK","",C1879*I1879/100)</f>
        <v/>
      </c>
    </row>
    <row r="1880" spans="1:11">
      <c r="A1880" s="14">
        <v>46162</v>
      </c>
      <c r="B1880" s="15">
        <v>0.5208333333333334</v>
      </c>
      <c r="C1880" s="5">
        <f>IF('96 Werte'!AZ25="","",'96 Werte'!AZ25)</f>
        <v/>
      </c>
      <c r="D1880" t="str">
        <f>IF(IF(Eingaben!$B$21&lt;Eingaben!$B$22,AND(B1880&gt;=Eingaben!$B$21,B1880&lt;Eingaben!$B$22),OR(B1880&gt;=Eingaben!$B$21,B1880&lt;Eingaben!$B$22)),"GO",IF(AND(ISNUMBER(Eingaben!$B$23),ISNUMBER(Eingaben!$B$24),IF(Eingaben!$B$23&lt;Eingaben!$B$24,AND(B1880&gt;=Eingaben!$B$23,B1880&lt;Eingaben!$B$24),OR(B1880&gt;=Eingaben!$B$23,B1880&lt;Eingaben!$B$24))),"HEAT","STANDARD"))</f>
        <v>STANDARD</v>
      </c>
      <c r="E1880" s="9"/>
      <c r="F1880" t="str">
        <f>IF(E1880="",D1880,E1880)</f>
        <v>STANDARD</v>
      </c>
      <c r="G1880" t="str">
        <f>INDEX(Netzzeiten!$B$6:$B$29,HOUR(B1880)+1)</f>
        <v>NT</v>
      </c>
      <c r="H1880" s="6">
        <f>IF(F1880="GO",Eingaben!$B$11,IF(F1880="STANDARD",Eingaben!$B$12,IF(AND(F1880="HEAT",ISNUMBER(Eingaben!$B$13)),Eingaben!$B$13,"")))</f>
        <v>28.2744</v>
      </c>
      <c r="I1880" s="6">
        <f>INDEX(Netzzeiten!$C$6:$C$29,HOUR(B1880)+1)</f>
        <v>1.64</v>
      </c>
      <c r="J1880" t="str">
        <f>IF(C1880="","FEHLT",IF(NOT(ISNUMBER(C1880)),"MESSWERT UNGUELTIG",IF(C1880&lt;0,"MESSWERT UNGUELTIG",IF(H1880="","TARIFPREIS FEHLT","OK"))))</f>
        <v>FEHLT</v>
      </c>
      <c r="K1880" s="7">
        <f>IF(J1880&lt;&gt;"OK","",C1880*I1880/100)</f>
        <v/>
      </c>
    </row>
    <row r="1881" spans="1:11">
      <c r="A1881" s="14">
        <v>46162</v>
      </c>
      <c r="B1881" s="15">
        <v>0.53125</v>
      </c>
      <c r="C1881" s="5">
        <f>IF('96 Werte'!BA25="","",'96 Werte'!BA25)</f>
        <v/>
      </c>
      <c r="D1881" t="str">
        <f>IF(IF(Eingaben!$B$21&lt;Eingaben!$B$22,AND(B1881&gt;=Eingaben!$B$21,B1881&lt;Eingaben!$B$22),OR(B1881&gt;=Eingaben!$B$21,B1881&lt;Eingaben!$B$22)),"GO",IF(AND(ISNUMBER(Eingaben!$B$23),ISNUMBER(Eingaben!$B$24),IF(Eingaben!$B$23&lt;Eingaben!$B$24,AND(B1881&gt;=Eingaben!$B$23,B1881&lt;Eingaben!$B$24),OR(B1881&gt;=Eingaben!$B$23,B1881&lt;Eingaben!$B$24))),"HEAT","STANDARD"))</f>
        <v>STANDARD</v>
      </c>
      <c r="E1881" s="9"/>
      <c r="F1881" t="str">
        <f>IF(E1881="",D1881,E1881)</f>
        <v>STANDARD</v>
      </c>
      <c r="G1881" t="str">
        <f>INDEX(Netzzeiten!$B$6:$B$29,HOUR(B1881)+1)</f>
        <v>NT</v>
      </c>
      <c r="H1881" s="6">
        <f>IF(F1881="GO",Eingaben!$B$11,IF(F1881="STANDARD",Eingaben!$B$12,IF(AND(F1881="HEAT",ISNUMBER(Eingaben!$B$13)),Eingaben!$B$13,"")))</f>
        <v>28.2744</v>
      </c>
      <c r="I1881" s="6">
        <f>INDEX(Netzzeiten!$C$6:$C$29,HOUR(B1881)+1)</f>
        <v>1.64</v>
      </c>
      <c r="J1881" t="str">
        <f>IF(C1881="","FEHLT",IF(NOT(ISNUMBER(C1881)),"MESSWERT UNGUELTIG",IF(C1881&lt;0,"MESSWERT UNGUELTIG",IF(H1881="","TARIFPREIS FEHLT","OK"))))</f>
        <v>FEHLT</v>
      </c>
      <c r="K1881" s="7">
        <f>IF(J1881&lt;&gt;"OK","",C1881*I1881/100)</f>
        <v/>
      </c>
    </row>
    <row r="1882" spans="1:11">
      <c r="A1882" s="14">
        <v>46162</v>
      </c>
      <c r="B1882" s="15">
        <v>0.5416666666666666</v>
      </c>
      <c r="C1882" s="5">
        <f>IF('96 Werte'!BB25="","",'96 Werte'!BB25)</f>
        <v/>
      </c>
      <c r="D1882" t="str">
        <f>IF(IF(Eingaben!$B$21&lt;Eingaben!$B$22,AND(B1882&gt;=Eingaben!$B$21,B1882&lt;Eingaben!$B$22),OR(B1882&gt;=Eingaben!$B$21,B1882&lt;Eingaben!$B$22)),"GO",IF(AND(ISNUMBER(Eingaben!$B$23),ISNUMBER(Eingaben!$B$24),IF(Eingaben!$B$23&lt;Eingaben!$B$24,AND(B1882&gt;=Eingaben!$B$23,B1882&lt;Eingaben!$B$24),OR(B1882&gt;=Eingaben!$B$23,B1882&lt;Eingaben!$B$24))),"HEAT","STANDARD"))</f>
        <v>STANDARD</v>
      </c>
      <c r="E1882" s="9"/>
      <c r="F1882" t="str">
        <f>IF(E1882="",D1882,E1882)</f>
        <v>STANDARD</v>
      </c>
      <c r="G1882" t="str">
        <f>INDEX(Netzzeiten!$B$6:$B$29,HOUR(B1882)+1)</f>
        <v>NT</v>
      </c>
      <c r="H1882" s="6">
        <f>IF(F1882="GO",Eingaben!$B$11,IF(F1882="STANDARD",Eingaben!$B$12,IF(AND(F1882="HEAT",ISNUMBER(Eingaben!$B$13)),Eingaben!$B$13,"")))</f>
        <v>28.2744</v>
      </c>
      <c r="I1882" s="6">
        <f>INDEX(Netzzeiten!$C$6:$C$29,HOUR(B1882)+1)</f>
        <v>1.64</v>
      </c>
      <c r="J1882" t="str">
        <f>IF(C1882="","FEHLT",IF(NOT(ISNUMBER(C1882)),"MESSWERT UNGUELTIG",IF(C1882&lt;0,"MESSWERT UNGUELTIG",IF(H1882="","TARIFPREIS FEHLT","OK"))))</f>
        <v>FEHLT</v>
      </c>
      <c r="K1882" s="7">
        <f>IF(J1882&lt;&gt;"OK","",C1882*I1882/100)</f>
        <v/>
      </c>
    </row>
    <row r="1883" spans="1:11">
      <c r="A1883" s="14">
        <v>46162</v>
      </c>
      <c r="B1883" s="15">
        <v>0.5520833333333334</v>
      </c>
      <c r="C1883" s="5">
        <f>IF('96 Werte'!BC25="","",'96 Werte'!BC25)</f>
        <v/>
      </c>
      <c r="D1883" t="str">
        <f>IF(IF(Eingaben!$B$21&lt;Eingaben!$B$22,AND(B1883&gt;=Eingaben!$B$21,B1883&lt;Eingaben!$B$22),OR(B1883&gt;=Eingaben!$B$21,B1883&lt;Eingaben!$B$22)),"GO",IF(AND(ISNUMBER(Eingaben!$B$23),ISNUMBER(Eingaben!$B$24),IF(Eingaben!$B$23&lt;Eingaben!$B$24,AND(B1883&gt;=Eingaben!$B$23,B1883&lt;Eingaben!$B$24),OR(B1883&gt;=Eingaben!$B$23,B1883&lt;Eingaben!$B$24))),"HEAT","STANDARD"))</f>
        <v>STANDARD</v>
      </c>
      <c r="E1883" s="9"/>
      <c r="F1883" t="str">
        <f>IF(E1883="",D1883,E1883)</f>
        <v>STANDARD</v>
      </c>
      <c r="G1883" t="str">
        <f>INDEX(Netzzeiten!$B$6:$B$29,HOUR(B1883)+1)</f>
        <v>NT</v>
      </c>
      <c r="H1883" s="6">
        <f>IF(F1883="GO",Eingaben!$B$11,IF(F1883="STANDARD",Eingaben!$B$12,IF(AND(F1883="HEAT",ISNUMBER(Eingaben!$B$13)),Eingaben!$B$13,"")))</f>
        <v>28.2744</v>
      </c>
      <c r="I1883" s="6">
        <f>INDEX(Netzzeiten!$C$6:$C$29,HOUR(B1883)+1)</f>
        <v>1.64</v>
      </c>
      <c r="J1883" t="str">
        <f>IF(C1883="","FEHLT",IF(NOT(ISNUMBER(C1883)),"MESSWERT UNGUELTIG",IF(C1883&lt;0,"MESSWERT UNGUELTIG",IF(H1883="","TARIFPREIS FEHLT","OK"))))</f>
        <v>FEHLT</v>
      </c>
      <c r="K1883" s="7">
        <f>IF(J1883&lt;&gt;"OK","",C1883*I1883/100)</f>
        <v/>
      </c>
    </row>
    <row r="1884" spans="1:11">
      <c r="A1884" s="14">
        <v>46162</v>
      </c>
      <c r="B1884" s="15">
        <v>0.5625</v>
      </c>
      <c r="C1884" s="5">
        <f>IF('96 Werte'!BD25="","",'96 Werte'!BD25)</f>
        <v/>
      </c>
      <c r="D1884" t="str">
        <f>IF(IF(Eingaben!$B$21&lt;Eingaben!$B$22,AND(B1884&gt;=Eingaben!$B$21,B1884&lt;Eingaben!$B$22),OR(B1884&gt;=Eingaben!$B$21,B1884&lt;Eingaben!$B$22)),"GO",IF(AND(ISNUMBER(Eingaben!$B$23),ISNUMBER(Eingaben!$B$24),IF(Eingaben!$B$23&lt;Eingaben!$B$24,AND(B1884&gt;=Eingaben!$B$23,B1884&lt;Eingaben!$B$24),OR(B1884&gt;=Eingaben!$B$23,B1884&lt;Eingaben!$B$24))),"HEAT","STANDARD"))</f>
        <v>STANDARD</v>
      </c>
      <c r="E1884" s="9"/>
      <c r="F1884" t="str">
        <f>IF(E1884="",D1884,E1884)</f>
        <v>STANDARD</v>
      </c>
      <c r="G1884" t="str">
        <f>INDEX(Netzzeiten!$B$6:$B$29,HOUR(B1884)+1)</f>
        <v>NT</v>
      </c>
      <c r="H1884" s="6">
        <f>IF(F1884="GO",Eingaben!$B$11,IF(F1884="STANDARD",Eingaben!$B$12,IF(AND(F1884="HEAT",ISNUMBER(Eingaben!$B$13)),Eingaben!$B$13,"")))</f>
        <v>28.2744</v>
      </c>
      <c r="I1884" s="6">
        <f>INDEX(Netzzeiten!$C$6:$C$29,HOUR(B1884)+1)</f>
        <v>1.64</v>
      </c>
      <c r="J1884" t="str">
        <f>IF(C1884="","FEHLT",IF(NOT(ISNUMBER(C1884)),"MESSWERT UNGUELTIG",IF(C1884&lt;0,"MESSWERT UNGUELTIG",IF(H1884="","TARIFPREIS FEHLT","OK"))))</f>
        <v>FEHLT</v>
      </c>
      <c r="K1884" s="7">
        <f>IF(J1884&lt;&gt;"OK","",C1884*I1884/100)</f>
        <v/>
      </c>
    </row>
    <row r="1885" spans="1:11">
      <c r="A1885" s="14">
        <v>46162</v>
      </c>
      <c r="B1885" s="15">
        <v>0.5729166666666666</v>
      </c>
      <c r="C1885" s="5">
        <f>IF('96 Werte'!BE25="","",'96 Werte'!BE25)</f>
        <v/>
      </c>
      <c r="D1885" t="str">
        <f>IF(IF(Eingaben!$B$21&lt;Eingaben!$B$22,AND(B1885&gt;=Eingaben!$B$21,B1885&lt;Eingaben!$B$22),OR(B1885&gt;=Eingaben!$B$21,B1885&lt;Eingaben!$B$22)),"GO",IF(AND(ISNUMBER(Eingaben!$B$23),ISNUMBER(Eingaben!$B$24),IF(Eingaben!$B$23&lt;Eingaben!$B$24,AND(B1885&gt;=Eingaben!$B$23,B1885&lt;Eingaben!$B$24),OR(B1885&gt;=Eingaben!$B$23,B1885&lt;Eingaben!$B$24))),"HEAT","STANDARD"))</f>
        <v>STANDARD</v>
      </c>
      <c r="E1885" s="9"/>
      <c r="F1885" t="str">
        <f>IF(E1885="",D1885,E1885)</f>
        <v>STANDARD</v>
      </c>
      <c r="G1885" t="str">
        <f>INDEX(Netzzeiten!$B$6:$B$29,HOUR(B1885)+1)</f>
        <v>NT</v>
      </c>
      <c r="H1885" s="6">
        <f>IF(F1885="GO",Eingaben!$B$11,IF(F1885="STANDARD",Eingaben!$B$12,IF(AND(F1885="HEAT",ISNUMBER(Eingaben!$B$13)),Eingaben!$B$13,"")))</f>
        <v>28.2744</v>
      </c>
      <c r="I1885" s="6">
        <f>INDEX(Netzzeiten!$C$6:$C$29,HOUR(B1885)+1)</f>
        <v>1.64</v>
      </c>
      <c r="J1885" t="str">
        <f>IF(C1885="","FEHLT",IF(NOT(ISNUMBER(C1885)),"MESSWERT UNGUELTIG",IF(C1885&lt;0,"MESSWERT UNGUELTIG",IF(H1885="","TARIFPREIS FEHLT","OK"))))</f>
        <v>FEHLT</v>
      </c>
      <c r="K1885" s="7">
        <f>IF(J1885&lt;&gt;"OK","",C1885*I1885/100)</f>
        <v/>
      </c>
    </row>
    <row r="1886" spans="1:11">
      <c r="A1886" s="14">
        <v>46162</v>
      </c>
      <c r="B1886" s="15">
        <v>0.5833333333333334</v>
      </c>
      <c r="C1886" s="5">
        <f>IF('96 Werte'!BF25="","",'96 Werte'!BF25)</f>
        <v/>
      </c>
      <c r="D1886" t="str">
        <f>IF(IF(Eingaben!$B$21&lt;Eingaben!$B$22,AND(B1886&gt;=Eingaben!$B$21,B1886&lt;Eingaben!$B$22),OR(B1886&gt;=Eingaben!$B$21,B1886&lt;Eingaben!$B$22)),"GO",IF(AND(ISNUMBER(Eingaben!$B$23),ISNUMBER(Eingaben!$B$24),IF(Eingaben!$B$23&lt;Eingaben!$B$24,AND(B1886&gt;=Eingaben!$B$23,B1886&lt;Eingaben!$B$24),OR(B1886&gt;=Eingaben!$B$23,B1886&lt;Eingaben!$B$24))),"HEAT","STANDARD"))</f>
        <v>STANDARD</v>
      </c>
      <c r="E1886" s="9"/>
      <c r="F1886" t="str">
        <f>IF(E1886="",D1886,E1886)</f>
        <v>STANDARD</v>
      </c>
      <c r="G1886" t="str">
        <f>INDEX(Netzzeiten!$B$6:$B$29,HOUR(B1886)+1)</f>
        <v>NT</v>
      </c>
      <c r="H1886" s="6">
        <f>IF(F1886="GO",Eingaben!$B$11,IF(F1886="STANDARD",Eingaben!$B$12,IF(AND(F1886="HEAT",ISNUMBER(Eingaben!$B$13)),Eingaben!$B$13,"")))</f>
        <v>28.2744</v>
      </c>
      <c r="I1886" s="6">
        <f>INDEX(Netzzeiten!$C$6:$C$29,HOUR(B1886)+1)</f>
        <v>1.64</v>
      </c>
      <c r="J1886" t="str">
        <f>IF(C1886="","FEHLT",IF(NOT(ISNUMBER(C1886)),"MESSWERT UNGUELTIG",IF(C1886&lt;0,"MESSWERT UNGUELTIG",IF(H1886="","TARIFPREIS FEHLT","OK"))))</f>
        <v>FEHLT</v>
      </c>
      <c r="K1886" s="7">
        <f>IF(J1886&lt;&gt;"OK","",C1886*I1886/100)</f>
        <v/>
      </c>
    </row>
    <row r="1887" spans="1:11">
      <c r="A1887" s="14">
        <v>46162</v>
      </c>
      <c r="B1887" s="15">
        <v>0.59375</v>
      </c>
      <c r="C1887" s="5">
        <f>IF('96 Werte'!BG25="","",'96 Werte'!BG25)</f>
        <v/>
      </c>
      <c r="D1887" t="str">
        <f>IF(IF(Eingaben!$B$21&lt;Eingaben!$B$22,AND(B1887&gt;=Eingaben!$B$21,B1887&lt;Eingaben!$B$22),OR(B1887&gt;=Eingaben!$B$21,B1887&lt;Eingaben!$B$22)),"GO",IF(AND(ISNUMBER(Eingaben!$B$23),ISNUMBER(Eingaben!$B$24),IF(Eingaben!$B$23&lt;Eingaben!$B$24,AND(B1887&gt;=Eingaben!$B$23,B1887&lt;Eingaben!$B$24),OR(B1887&gt;=Eingaben!$B$23,B1887&lt;Eingaben!$B$24))),"HEAT","STANDARD"))</f>
        <v>STANDARD</v>
      </c>
      <c r="E1887" s="9"/>
      <c r="F1887" t="str">
        <f>IF(E1887="",D1887,E1887)</f>
        <v>STANDARD</v>
      </c>
      <c r="G1887" t="str">
        <f>INDEX(Netzzeiten!$B$6:$B$29,HOUR(B1887)+1)</f>
        <v>NT</v>
      </c>
      <c r="H1887" s="6">
        <f>IF(F1887="GO",Eingaben!$B$11,IF(F1887="STANDARD",Eingaben!$B$12,IF(AND(F1887="HEAT",ISNUMBER(Eingaben!$B$13)),Eingaben!$B$13,"")))</f>
        <v>28.2744</v>
      </c>
      <c r="I1887" s="6">
        <f>INDEX(Netzzeiten!$C$6:$C$29,HOUR(B1887)+1)</f>
        <v>1.64</v>
      </c>
      <c r="J1887" t="str">
        <f>IF(C1887="","FEHLT",IF(NOT(ISNUMBER(C1887)),"MESSWERT UNGUELTIG",IF(C1887&lt;0,"MESSWERT UNGUELTIG",IF(H1887="","TARIFPREIS FEHLT","OK"))))</f>
        <v>FEHLT</v>
      </c>
      <c r="K1887" s="7">
        <f>IF(J1887&lt;&gt;"OK","",C1887*I1887/100)</f>
        <v/>
      </c>
    </row>
    <row r="1888" spans="1:11">
      <c r="A1888" s="14">
        <v>46162</v>
      </c>
      <c r="B1888" s="15">
        <v>0.6041666666666666</v>
      </c>
      <c r="C1888" s="5">
        <f>IF('96 Werte'!BH25="","",'96 Werte'!BH25)</f>
        <v/>
      </c>
      <c r="D1888" t="str">
        <f>IF(IF(Eingaben!$B$21&lt;Eingaben!$B$22,AND(B1888&gt;=Eingaben!$B$21,B1888&lt;Eingaben!$B$22),OR(B1888&gt;=Eingaben!$B$21,B1888&lt;Eingaben!$B$22)),"GO",IF(AND(ISNUMBER(Eingaben!$B$23),ISNUMBER(Eingaben!$B$24),IF(Eingaben!$B$23&lt;Eingaben!$B$24,AND(B1888&gt;=Eingaben!$B$23,B1888&lt;Eingaben!$B$24),OR(B1888&gt;=Eingaben!$B$23,B1888&lt;Eingaben!$B$24))),"HEAT","STANDARD"))</f>
        <v>STANDARD</v>
      </c>
      <c r="E1888" s="9"/>
      <c r="F1888" t="str">
        <f>IF(E1888="",D1888,E1888)</f>
        <v>STANDARD</v>
      </c>
      <c r="G1888" t="str">
        <f>INDEX(Netzzeiten!$B$6:$B$29,HOUR(B1888)+1)</f>
        <v>NT</v>
      </c>
      <c r="H1888" s="6">
        <f>IF(F1888="GO",Eingaben!$B$11,IF(F1888="STANDARD",Eingaben!$B$12,IF(AND(F1888="HEAT",ISNUMBER(Eingaben!$B$13)),Eingaben!$B$13,"")))</f>
        <v>28.2744</v>
      </c>
      <c r="I1888" s="6">
        <f>INDEX(Netzzeiten!$C$6:$C$29,HOUR(B1888)+1)</f>
        <v>1.64</v>
      </c>
      <c r="J1888" t="str">
        <f>IF(C1888="","FEHLT",IF(NOT(ISNUMBER(C1888)),"MESSWERT UNGUELTIG",IF(C1888&lt;0,"MESSWERT UNGUELTIG",IF(H1888="","TARIFPREIS FEHLT","OK"))))</f>
        <v>FEHLT</v>
      </c>
      <c r="K1888" s="7">
        <f>IF(J1888&lt;&gt;"OK","",C1888*I1888/100)</f>
        <v/>
      </c>
    </row>
    <row r="1889" spans="1:11">
      <c r="A1889" s="14">
        <v>46162</v>
      </c>
      <c r="B1889" s="15">
        <v>0.6145833333333334</v>
      </c>
      <c r="C1889" s="5">
        <f>IF('96 Werte'!BI25="","",'96 Werte'!BI25)</f>
        <v/>
      </c>
      <c r="D1889" t="str">
        <f>IF(IF(Eingaben!$B$21&lt;Eingaben!$B$22,AND(B1889&gt;=Eingaben!$B$21,B1889&lt;Eingaben!$B$22),OR(B1889&gt;=Eingaben!$B$21,B1889&lt;Eingaben!$B$22)),"GO",IF(AND(ISNUMBER(Eingaben!$B$23),ISNUMBER(Eingaben!$B$24),IF(Eingaben!$B$23&lt;Eingaben!$B$24,AND(B1889&gt;=Eingaben!$B$23,B1889&lt;Eingaben!$B$24),OR(B1889&gt;=Eingaben!$B$23,B1889&lt;Eingaben!$B$24))),"HEAT","STANDARD"))</f>
        <v>STANDARD</v>
      </c>
      <c r="E1889" s="9"/>
      <c r="F1889" t="str">
        <f>IF(E1889="",D1889,E1889)</f>
        <v>STANDARD</v>
      </c>
      <c r="G1889" t="str">
        <f>INDEX(Netzzeiten!$B$6:$B$29,HOUR(B1889)+1)</f>
        <v>NT</v>
      </c>
      <c r="H1889" s="6">
        <f>IF(F1889="GO",Eingaben!$B$11,IF(F1889="STANDARD",Eingaben!$B$12,IF(AND(F1889="HEAT",ISNUMBER(Eingaben!$B$13)),Eingaben!$B$13,"")))</f>
        <v>28.2744</v>
      </c>
      <c r="I1889" s="6">
        <f>INDEX(Netzzeiten!$C$6:$C$29,HOUR(B1889)+1)</f>
        <v>1.64</v>
      </c>
      <c r="J1889" t="str">
        <f>IF(C1889="","FEHLT",IF(NOT(ISNUMBER(C1889)),"MESSWERT UNGUELTIG",IF(C1889&lt;0,"MESSWERT UNGUELTIG",IF(H1889="","TARIFPREIS FEHLT","OK"))))</f>
        <v>FEHLT</v>
      </c>
      <c r="K1889" s="7">
        <f>IF(J1889&lt;&gt;"OK","",C1889*I1889/100)</f>
        <v/>
      </c>
    </row>
    <row r="1890" spans="1:11">
      <c r="A1890" s="14">
        <v>46162</v>
      </c>
      <c r="B1890" s="15">
        <v>0.625</v>
      </c>
      <c r="C1890" s="5">
        <f>IF('96 Werte'!BJ25="","",'96 Werte'!BJ25)</f>
        <v/>
      </c>
      <c r="D1890" t="str">
        <f>IF(IF(Eingaben!$B$21&lt;Eingaben!$B$22,AND(B1890&gt;=Eingaben!$B$21,B1890&lt;Eingaben!$B$22),OR(B1890&gt;=Eingaben!$B$21,B1890&lt;Eingaben!$B$22)),"GO",IF(AND(ISNUMBER(Eingaben!$B$23),ISNUMBER(Eingaben!$B$24),IF(Eingaben!$B$23&lt;Eingaben!$B$24,AND(B1890&gt;=Eingaben!$B$23,B1890&lt;Eingaben!$B$24),OR(B1890&gt;=Eingaben!$B$23,B1890&lt;Eingaben!$B$24))),"HEAT","STANDARD"))</f>
        <v>STANDARD</v>
      </c>
      <c r="E1890" s="9"/>
      <c r="F1890" t="str">
        <f>IF(E1890="",D1890,E1890)</f>
        <v>STANDARD</v>
      </c>
      <c r="G1890" t="str">
        <f>INDEX(Netzzeiten!$B$6:$B$29,HOUR(B1890)+1)</f>
        <v>ST</v>
      </c>
      <c r="H1890" s="6">
        <f>IF(F1890="GO",Eingaben!$B$11,IF(F1890="STANDARD",Eingaben!$B$12,IF(AND(F1890="HEAT",ISNUMBER(Eingaben!$B$13)),Eingaben!$B$13,"")))</f>
        <v>28.2744</v>
      </c>
      <c r="I1890" s="6">
        <f>INDEX(Netzzeiten!$C$6:$C$29,HOUR(B1890)+1)</f>
        <v>5.48</v>
      </c>
      <c r="J1890" t="str">
        <f>IF(C1890="","FEHLT",IF(NOT(ISNUMBER(C1890)),"MESSWERT UNGUELTIG",IF(C1890&lt;0,"MESSWERT UNGUELTIG",IF(H1890="","TARIFPREIS FEHLT","OK"))))</f>
        <v>FEHLT</v>
      </c>
      <c r="K1890" s="7">
        <f>IF(J1890&lt;&gt;"OK","",C1890*I1890/100)</f>
        <v/>
      </c>
    </row>
    <row r="1891" spans="1:11">
      <c r="A1891" s="14">
        <v>46162</v>
      </c>
      <c r="B1891" s="15">
        <v>0.6354166666666666</v>
      </c>
      <c r="C1891" s="5">
        <f>IF('96 Werte'!BK25="","",'96 Werte'!BK25)</f>
        <v/>
      </c>
      <c r="D1891" t="str">
        <f>IF(IF(Eingaben!$B$21&lt;Eingaben!$B$22,AND(B1891&gt;=Eingaben!$B$21,B1891&lt;Eingaben!$B$22),OR(B1891&gt;=Eingaben!$B$21,B1891&lt;Eingaben!$B$22)),"GO",IF(AND(ISNUMBER(Eingaben!$B$23),ISNUMBER(Eingaben!$B$24),IF(Eingaben!$B$23&lt;Eingaben!$B$24,AND(B1891&gt;=Eingaben!$B$23,B1891&lt;Eingaben!$B$24),OR(B1891&gt;=Eingaben!$B$23,B1891&lt;Eingaben!$B$24))),"HEAT","STANDARD"))</f>
        <v>STANDARD</v>
      </c>
      <c r="E1891" s="9"/>
      <c r="F1891" t="str">
        <f>IF(E1891="",D1891,E1891)</f>
        <v>STANDARD</v>
      </c>
      <c r="G1891" t="str">
        <f>INDEX(Netzzeiten!$B$6:$B$29,HOUR(B1891)+1)</f>
        <v>ST</v>
      </c>
      <c r="H1891" s="6">
        <f>IF(F1891="GO",Eingaben!$B$11,IF(F1891="STANDARD",Eingaben!$B$12,IF(AND(F1891="HEAT",ISNUMBER(Eingaben!$B$13)),Eingaben!$B$13,"")))</f>
        <v>28.2744</v>
      </c>
      <c r="I1891" s="6">
        <f>INDEX(Netzzeiten!$C$6:$C$29,HOUR(B1891)+1)</f>
        <v>5.48</v>
      </c>
      <c r="J1891" t="str">
        <f>IF(C1891="","FEHLT",IF(NOT(ISNUMBER(C1891)),"MESSWERT UNGUELTIG",IF(C1891&lt;0,"MESSWERT UNGUELTIG",IF(H1891="","TARIFPREIS FEHLT","OK"))))</f>
        <v>FEHLT</v>
      </c>
      <c r="K1891" s="7">
        <f>IF(J1891&lt;&gt;"OK","",C1891*I1891/100)</f>
        <v/>
      </c>
    </row>
    <row r="1892" spans="1:11">
      <c r="A1892" s="14">
        <v>46162</v>
      </c>
      <c r="B1892" s="15">
        <v>0.6458333333333334</v>
      </c>
      <c r="C1892" s="5">
        <f>IF('96 Werte'!BL25="","",'96 Werte'!BL25)</f>
        <v/>
      </c>
      <c r="D1892" t="str">
        <f>IF(IF(Eingaben!$B$21&lt;Eingaben!$B$22,AND(B1892&gt;=Eingaben!$B$21,B1892&lt;Eingaben!$B$22),OR(B1892&gt;=Eingaben!$B$21,B1892&lt;Eingaben!$B$22)),"GO",IF(AND(ISNUMBER(Eingaben!$B$23),ISNUMBER(Eingaben!$B$24),IF(Eingaben!$B$23&lt;Eingaben!$B$24,AND(B1892&gt;=Eingaben!$B$23,B1892&lt;Eingaben!$B$24),OR(B1892&gt;=Eingaben!$B$23,B1892&lt;Eingaben!$B$24))),"HEAT","STANDARD"))</f>
        <v>STANDARD</v>
      </c>
      <c r="E1892" s="9"/>
      <c r="F1892" t="str">
        <f>IF(E1892="",D1892,E1892)</f>
        <v>STANDARD</v>
      </c>
      <c r="G1892" t="str">
        <f>INDEX(Netzzeiten!$B$6:$B$29,HOUR(B1892)+1)</f>
        <v>ST</v>
      </c>
      <c r="H1892" s="6">
        <f>IF(F1892="GO",Eingaben!$B$11,IF(F1892="STANDARD",Eingaben!$B$12,IF(AND(F1892="HEAT",ISNUMBER(Eingaben!$B$13)),Eingaben!$B$13,"")))</f>
        <v>28.2744</v>
      </c>
      <c r="I1892" s="6">
        <f>INDEX(Netzzeiten!$C$6:$C$29,HOUR(B1892)+1)</f>
        <v>5.48</v>
      </c>
      <c r="J1892" t="str">
        <f>IF(C1892="","FEHLT",IF(NOT(ISNUMBER(C1892)),"MESSWERT UNGUELTIG",IF(C1892&lt;0,"MESSWERT UNGUELTIG",IF(H1892="","TARIFPREIS FEHLT","OK"))))</f>
        <v>FEHLT</v>
      </c>
      <c r="K1892" s="7">
        <f>IF(J1892&lt;&gt;"OK","",C1892*I1892/100)</f>
        <v/>
      </c>
    </row>
    <row r="1893" spans="1:11">
      <c r="A1893" s="14">
        <v>46162</v>
      </c>
      <c r="B1893" s="15">
        <v>0.65625</v>
      </c>
      <c r="C1893" s="5">
        <f>IF('96 Werte'!BM25="","",'96 Werte'!BM25)</f>
        <v/>
      </c>
      <c r="D1893" t="str">
        <f>IF(IF(Eingaben!$B$21&lt;Eingaben!$B$22,AND(B1893&gt;=Eingaben!$B$21,B1893&lt;Eingaben!$B$22),OR(B1893&gt;=Eingaben!$B$21,B1893&lt;Eingaben!$B$22)),"GO",IF(AND(ISNUMBER(Eingaben!$B$23),ISNUMBER(Eingaben!$B$24),IF(Eingaben!$B$23&lt;Eingaben!$B$24,AND(B1893&gt;=Eingaben!$B$23,B1893&lt;Eingaben!$B$24),OR(B1893&gt;=Eingaben!$B$23,B1893&lt;Eingaben!$B$24))),"HEAT","STANDARD"))</f>
        <v>STANDARD</v>
      </c>
      <c r="E1893" s="9"/>
      <c r="F1893" t="str">
        <f>IF(E1893="",D1893,E1893)</f>
        <v>STANDARD</v>
      </c>
      <c r="G1893" t="str">
        <f>INDEX(Netzzeiten!$B$6:$B$29,HOUR(B1893)+1)</f>
        <v>ST</v>
      </c>
      <c r="H1893" s="6">
        <f>IF(F1893="GO",Eingaben!$B$11,IF(F1893="STANDARD",Eingaben!$B$12,IF(AND(F1893="HEAT",ISNUMBER(Eingaben!$B$13)),Eingaben!$B$13,"")))</f>
        <v>28.2744</v>
      </c>
      <c r="I1893" s="6">
        <f>INDEX(Netzzeiten!$C$6:$C$29,HOUR(B1893)+1)</f>
        <v>5.48</v>
      </c>
      <c r="J1893" t="str">
        <f>IF(C1893="","FEHLT",IF(NOT(ISNUMBER(C1893)),"MESSWERT UNGUELTIG",IF(C1893&lt;0,"MESSWERT UNGUELTIG",IF(H1893="","TARIFPREIS FEHLT","OK"))))</f>
        <v>FEHLT</v>
      </c>
      <c r="K1893" s="7">
        <f>IF(J1893&lt;&gt;"OK","",C1893*I1893/100)</f>
        <v/>
      </c>
    </row>
    <row r="1894" spans="1:11">
      <c r="A1894" s="14">
        <v>46162</v>
      </c>
      <c r="B1894" s="15">
        <v>0.6666666666666666</v>
      </c>
      <c r="C1894" s="5">
        <f>IF('96 Werte'!BN25="","",'96 Werte'!BN25)</f>
        <v/>
      </c>
      <c r="D1894" t="str">
        <f>IF(IF(Eingaben!$B$21&lt;Eingaben!$B$22,AND(B1894&gt;=Eingaben!$B$21,B1894&lt;Eingaben!$B$22),OR(B1894&gt;=Eingaben!$B$21,B1894&lt;Eingaben!$B$22)),"GO",IF(AND(ISNUMBER(Eingaben!$B$23),ISNUMBER(Eingaben!$B$24),IF(Eingaben!$B$23&lt;Eingaben!$B$24,AND(B1894&gt;=Eingaben!$B$23,B1894&lt;Eingaben!$B$24),OR(B1894&gt;=Eingaben!$B$23,B1894&lt;Eingaben!$B$24))),"HEAT","STANDARD"))</f>
        <v>STANDARD</v>
      </c>
      <c r="E1894" s="9"/>
      <c r="F1894" t="str">
        <f>IF(E1894="",D1894,E1894)</f>
        <v>STANDARD</v>
      </c>
      <c r="G1894" t="str">
        <f>INDEX(Netzzeiten!$B$6:$B$29,HOUR(B1894)+1)</f>
        <v>ST</v>
      </c>
      <c r="H1894" s="6">
        <f>IF(F1894="GO",Eingaben!$B$11,IF(F1894="STANDARD",Eingaben!$B$12,IF(AND(F1894="HEAT",ISNUMBER(Eingaben!$B$13)),Eingaben!$B$13,"")))</f>
        <v>28.2744</v>
      </c>
      <c r="I1894" s="6">
        <f>INDEX(Netzzeiten!$C$6:$C$29,HOUR(B1894)+1)</f>
        <v>5.48</v>
      </c>
      <c r="J1894" t="str">
        <f>IF(C1894="","FEHLT",IF(NOT(ISNUMBER(C1894)),"MESSWERT UNGUELTIG",IF(C1894&lt;0,"MESSWERT UNGUELTIG",IF(H1894="","TARIFPREIS FEHLT","OK"))))</f>
        <v>FEHLT</v>
      </c>
      <c r="K1894" s="7">
        <f>IF(J1894&lt;&gt;"OK","",C1894*I1894/100)</f>
        <v/>
      </c>
    </row>
    <row r="1895" spans="1:11">
      <c r="A1895" s="14">
        <v>46162</v>
      </c>
      <c r="B1895" s="15">
        <v>0.6770833333333334</v>
      </c>
      <c r="C1895" s="5">
        <f>IF('96 Werte'!BO25="","",'96 Werte'!BO25)</f>
        <v/>
      </c>
      <c r="D1895" t="str">
        <f>IF(IF(Eingaben!$B$21&lt;Eingaben!$B$22,AND(B1895&gt;=Eingaben!$B$21,B1895&lt;Eingaben!$B$22),OR(B1895&gt;=Eingaben!$B$21,B1895&lt;Eingaben!$B$22)),"GO",IF(AND(ISNUMBER(Eingaben!$B$23),ISNUMBER(Eingaben!$B$24),IF(Eingaben!$B$23&lt;Eingaben!$B$24,AND(B1895&gt;=Eingaben!$B$23,B1895&lt;Eingaben!$B$24),OR(B1895&gt;=Eingaben!$B$23,B1895&lt;Eingaben!$B$24))),"HEAT","STANDARD"))</f>
        <v>STANDARD</v>
      </c>
      <c r="E1895" s="9"/>
      <c r="F1895" t="str">
        <f>IF(E1895="",D1895,E1895)</f>
        <v>STANDARD</v>
      </c>
      <c r="G1895" t="str">
        <f>INDEX(Netzzeiten!$B$6:$B$29,HOUR(B1895)+1)</f>
        <v>ST</v>
      </c>
      <c r="H1895" s="6">
        <f>IF(F1895="GO",Eingaben!$B$11,IF(F1895="STANDARD",Eingaben!$B$12,IF(AND(F1895="HEAT",ISNUMBER(Eingaben!$B$13)),Eingaben!$B$13,"")))</f>
        <v>28.2744</v>
      </c>
      <c r="I1895" s="6">
        <f>INDEX(Netzzeiten!$C$6:$C$29,HOUR(B1895)+1)</f>
        <v>5.48</v>
      </c>
      <c r="J1895" t="str">
        <f>IF(C1895="","FEHLT",IF(NOT(ISNUMBER(C1895)),"MESSWERT UNGUELTIG",IF(C1895&lt;0,"MESSWERT UNGUELTIG",IF(H1895="","TARIFPREIS FEHLT","OK"))))</f>
        <v>FEHLT</v>
      </c>
      <c r="K1895" s="7">
        <f>IF(J1895&lt;&gt;"OK","",C1895*I1895/100)</f>
        <v/>
      </c>
    </row>
    <row r="1896" spans="1:11">
      <c r="A1896" s="14">
        <v>46162</v>
      </c>
      <c r="B1896" s="15">
        <v>0.6875</v>
      </c>
      <c r="C1896" s="5">
        <f>IF('96 Werte'!BP25="","",'96 Werte'!BP25)</f>
        <v/>
      </c>
      <c r="D1896" t="str">
        <f>IF(IF(Eingaben!$B$21&lt;Eingaben!$B$22,AND(B1896&gt;=Eingaben!$B$21,B1896&lt;Eingaben!$B$22),OR(B1896&gt;=Eingaben!$B$21,B1896&lt;Eingaben!$B$22)),"GO",IF(AND(ISNUMBER(Eingaben!$B$23),ISNUMBER(Eingaben!$B$24),IF(Eingaben!$B$23&lt;Eingaben!$B$24,AND(B1896&gt;=Eingaben!$B$23,B1896&lt;Eingaben!$B$24),OR(B1896&gt;=Eingaben!$B$23,B1896&lt;Eingaben!$B$24))),"HEAT","STANDARD"))</f>
        <v>STANDARD</v>
      </c>
      <c r="E1896" s="9"/>
      <c r="F1896" t="str">
        <f>IF(E1896="",D1896,E1896)</f>
        <v>STANDARD</v>
      </c>
      <c r="G1896" t="str">
        <f>INDEX(Netzzeiten!$B$6:$B$29,HOUR(B1896)+1)</f>
        <v>ST</v>
      </c>
      <c r="H1896" s="6">
        <f>IF(F1896="GO",Eingaben!$B$11,IF(F1896="STANDARD",Eingaben!$B$12,IF(AND(F1896="HEAT",ISNUMBER(Eingaben!$B$13)),Eingaben!$B$13,"")))</f>
        <v>28.2744</v>
      </c>
      <c r="I1896" s="6">
        <f>INDEX(Netzzeiten!$C$6:$C$29,HOUR(B1896)+1)</f>
        <v>5.48</v>
      </c>
      <c r="J1896" t="str">
        <f>IF(C1896="","FEHLT",IF(NOT(ISNUMBER(C1896)),"MESSWERT UNGUELTIG",IF(C1896&lt;0,"MESSWERT UNGUELTIG",IF(H1896="","TARIFPREIS FEHLT","OK"))))</f>
        <v>FEHLT</v>
      </c>
      <c r="K1896" s="7">
        <f>IF(J1896&lt;&gt;"OK","",C1896*I1896/100)</f>
        <v/>
      </c>
    </row>
    <row r="1897" spans="1:11">
      <c r="A1897" s="14">
        <v>46162</v>
      </c>
      <c r="B1897" s="15">
        <v>0.6979166666666666</v>
      </c>
      <c r="C1897" s="5">
        <f>IF('96 Werte'!BQ25="","",'96 Werte'!BQ25)</f>
        <v/>
      </c>
      <c r="D1897" t="str">
        <f>IF(IF(Eingaben!$B$21&lt;Eingaben!$B$22,AND(B1897&gt;=Eingaben!$B$21,B1897&lt;Eingaben!$B$22),OR(B1897&gt;=Eingaben!$B$21,B1897&lt;Eingaben!$B$22)),"GO",IF(AND(ISNUMBER(Eingaben!$B$23),ISNUMBER(Eingaben!$B$24),IF(Eingaben!$B$23&lt;Eingaben!$B$24,AND(B1897&gt;=Eingaben!$B$23,B1897&lt;Eingaben!$B$24),OR(B1897&gt;=Eingaben!$B$23,B1897&lt;Eingaben!$B$24))),"HEAT","STANDARD"))</f>
        <v>STANDARD</v>
      </c>
      <c r="E1897" s="9"/>
      <c r="F1897" t="str">
        <f>IF(E1897="",D1897,E1897)</f>
        <v>STANDARD</v>
      </c>
      <c r="G1897" t="str">
        <f>INDEX(Netzzeiten!$B$6:$B$29,HOUR(B1897)+1)</f>
        <v>ST</v>
      </c>
      <c r="H1897" s="6">
        <f>IF(F1897="GO",Eingaben!$B$11,IF(F1897="STANDARD",Eingaben!$B$12,IF(AND(F1897="HEAT",ISNUMBER(Eingaben!$B$13)),Eingaben!$B$13,"")))</f>
        <v>28.2744</v>
      </c>
      <c r="I1897" s="6">
        <f>INDEX(Netzzeiten!$C$6:$C$29,HOUR(B1897)+1)</f>
        <v>5.48</v>
      </c>
      <c r="J1897" t="str">
        <f>IF(C1897="","FEHLT",IF(NOT(ISNUMBER(C1897)),"MESSWERT UNGUELTIG",IF(C1897&lt;0,"MESSWERT UNGUELTIG",IF(H1897="","TARIFPREIS FEHLT","OK"))))</f>
        <v>FEHLT</v>
      </c>
      <c r="K1897" s="7">
        <f>IF(J1897&lt;&gt;"OK","",C1897*I1897/100)</f>
        <v/>
      </c>
    </row>
    <row r="1898" spans="1:11">
      <c r="A1898" s="14">
        <v>46162</v>
      </c>
      <c r="B1898" s="15">
        <v>0.7083333333333334</v>
      </c>
      <c r="C1898" s="5">
        <f>IF('96 Werte'!BR25="","",'96 Werte'!BR25)</f>
        <v/>
      </c>
      <c r="D1898" t="str">
        <f>IF(IF(Eingaben!$B$21&lt;Eingaben!$B$22,AND(B1898&gt;=Eingaben!$B$21,B1898&lt;Eingaben!$B$22),OR(B1898&gt;=Eingaben!$B$21,B1898&lt;Eingaben!$B$22)),"GO",IF(AND(ISNUMBER(Eingaben!$B$23),ISNUMBER(Eingaben!$B$24),IF(Eingaben!$B$23&lt;Eingaben!$B$24,AND(B1898&gt;=Eingaben!$B$23,B1898&lt;Eingaben!$B$24),OR(B1898&gt;=Eingaben!$B$23,B1898&lt;Eingaben!$B$24))),"HEAT","STANDARD"))</f>
        <v>STANDARD</v>
      </c>
      <c r="E1898" s="9"/>
      <c r="F1898" t="str">
        <f>IF(E1898="",D1898,E1898)</f>
        <v>STANDARD</v>
      </c>
      <c r="G1898" t="str">
        <f>INDEX(Netzzeiten!$B$6:$B$29,HOUR(B1898)+1)</f>
        <v>HT</v>
      </c>
      <c r="H1898" s="6">
        <f>IF(F1898="GO",Eingaben!$B$11,IF(F1898="STANDARD",Eingaben!$B$12,IF(AND(F1898="HEAT",ISNUMBER(Eingaben!$B$13)),Eingaben!$B$13,"")))</f>
        <v>28.2744</v>
      </c>
      <c r="I1898" s="6">
        <f>INDEX(Netzzeiten!$C$6:$C$29,HOUR(B1898)+1)</f>
        <v>10.52</v>
      </c>
      <c r="J1898" t="str">
        <f>IF(C1898="","FEHLT",IF(NOT(ISNUMBER(C1898)),"MESSWERT UNGUELTIG",IF(C1898&lt;0,"MESSWERT UNGUELTIG",IF(H1898="","TARIFPREIS FEHLT","OK"))))</f>
        <v>FEHLT</v>
      </c>
      <c r="K1898" s="7">
        <f>IF(J1898&lt;&gt;"OK","",C1898*I1898/100)</f>
        <v/>
      </c>
    </row>
    <row r="1899" spans="1:11">
      <c r="A1899" s="14">
        <v>46162</v>
      </c>
      <c r="B1899" s="15">
        <v>0.71875</v>
      </c>
      <c r="C1899" s="5">
        <f>IF('96 Werte'!BS25="","",'96 Werte'!BS25)</f>
        <v/>
      </c>
      <c r="D1899" t="str">
        <f>IF(IF(Eingaben!$B$21&lt;Eingaben!$B$22,AND(B1899&gt;=Eingaben!$B$21,B1899&lt;Eingaben!$B$22),OR(B1899&gt;=Eingaben!$B$21,B1899&lt;Eingaben!$B$22)),"GO",IF(AND(ISNUMBER(Eingaben!$B$23),ISNUMBER(Eingaben!$B$24),IF(Eingaben!$B$23&lt;Eingaben!$B$24,AND(B1899&gt;=Eingaben!$B$23,B1899&lt;Eingaben!$B$24),OR(B1899&gt;=Eingaben!$B$23,B1899&lt;Eingaben!$B$24))),"HEAT","STANDARD"))</f>
        <v>STANDARD</v>
      </c>
      <c r="E1899" s="9"/>
      <c r="F1899" t="str">
        <f>IF(E1899="",D1899,E1899)</f>
        <v>STANDARD</v>
      </c>
      <c r="G1899" t="str">
        <f>INDEX(Netzzeiten!$B$6:$B$29,HOUR(B1899)+1)</f>
        <v>HT</v>
      </c>
      <c r="H1899" s="6">
        <f>IF(F1899="GO",Eingaben!$B$11,IF(F1899="STANDARD",Eingaben!$B$12,IF(AND(F1899="HEAT",ISNUMBER(Eingaben!$B$13)),Eingaben!$B$13,"")))</f>
        <v>28.2744</v>
      </c>
      <c r="I1899" s="6">
        <f>INDEX(Netzzeiten!$C$6:$C$29,HOUR(B1899)+1)</f>
        <v>10.52</v>
      </c>
      <c r="J1899" t="str">
        <f>IF(C1899="","FEHLT",IF(NOT(ISNUMBER(C1899)),"MESSWERT UNGUELTIG",IF(C1899&lt;0,"MESSWERT UNGUELTIG",IF(H1899="","TARIFPREIS FEHLT","OK"))))</f>
        <v>FEHLT</v>
      </c>
      <c r="K1899" s="7">
        <f>IF(J1899&lt;&gt;"OK","",C1899*I1899/100)</f>
        <v/>
      </c>
    </row>
    <row r="1900" spans="1:11">
      <c r="A1900" s="14">
        <v>46162</v>
      </c>
      <c r="B1900" s="15">
        <v>0.7291666666666666</v>
      </c>
      <c r="C1900" s="5">
        <f>IF('96 Werte'!BT25="","",'96 Werte'!BT25)</f>
        <v/>
      </c>
      <c r="D1900" t="str">
        <f>IF(IF(Eingaben!$B$21&lt;Eingaben!$B$22,AND(B1900&gt;=Eingaben!$B$21,B1900&lt;Eingaben!$B$22),OR(B1900&gt;=Eingaben!$B$21,B1900&lt;Eingaben!$B$22)),"GO",IF(AND(ISNUMBER(Eingaben!$B$23),ISNUMBER(Eingaben!$B$24),IF(Eingaben!$B$23&lt;Eingaben!$B$24,AND(B1900&gt;=Eingaben!$B$23,B1900&lt;Eingaben!$B$24),OR(B1900&gt;=Eingaben!$B$23,B1900&lt;Eingaben!$B$24))),"HEAT","STANDARD"))</f>
        <v>STANDARD</v>
      </c>
      <c r="E1900" s="9"/>
      <c r="F1900" t="str">
        <f>IF(E1900="",D1900,E1900)</f>
        <v>STANDARD</v>
      </c>
      <c r="G1900" t="str">
        <f>INDEX(Netzzeiten!$B$6:$B$29,HOUR(B1900)+1)</f>
        <v>HT</v>
      </c>
      <c r="H1900" s="6">
        <f>IF(F1900="GO",Eingaben!$B$11,IF(F1900="STANDARD",Eingaben!$B$12,IF(AND(F1900="HEAT",ISNUMBER(Eingaben!$B$13)),Eingaben!$B$13,"")))</f>
        <v>28.2744</v>
      </c>
      <c r="I1900" s="6">
        <f>INDEX(Netzzeiten!$C$6:$C$29,HOUR(B1900)+1)</f>
        <v>10.52</v>
      </c>
      <c r="J1900" t="str">
        <f>IF(C1900="","FEHLT",IF(NOT(ISNUMBER(C1900)),"MESSWERT UNGUELTIG",IF(C1900&lt;0,"MESSWERT UNGUELTIG",IF(H1900="","TARIFPREIS FEHLT","OK"))))</f>
        <v>FEHLT</v>
      </c>
      <c r="K1900" s="7">
        <f>IF(J1900&lt;&gt;"OK","",C1900*I1900/100)</f>
        <v/>
      </c>
    </row>
    <row r="1901" spans="1:11">
      <c r="A1901" s="14">
        <v>46162</v>
      </c>
      <c r="B1901" s="15">
        <v>0.7395833333333334</v>
      </c>
      <c r="C1901" s="5">
        <f>IF('96 Werte'!BU25="","",'96 Werte'!BU25)</f>
        <v/>
      </c>
      <c r="D1901" t="str">
        <f>IF(IF(Eingaben!$B$21&lt;Eingaben!$B$22,AND(B1901&gt;=Eingaben!$B$21,B1901&lt;Eingaben!$B$22),OR(B1901&gt;=Eingaben!$B$21,B1901&lt;Eingaben!$B$22)),"GO",IF(AND(ISNUMBER(Eingaben!$B$23),ISNUMBER(Eingaben!$B$24),IF(Eingaben!$B$23&lt;Eingaben!$B$24,AND(B1901&gt;=Eingaben!$B$23,B1901&lt;Eingaben!$B$24),OR(B1901&gt;=Eingaben!$B$23,B1901&lt;Eingaben!$B$24))),"HEAT","STANDARD"))</f>
        <v>STANDARD</v>
      </c>
      <c r="E1901" s="9"/>
      <c r="F1901" t="str">
        <f>IF(E1901="",D1901,E1901)</f>
        <v>STANDARD</v>
      </c>
      <c r="G1901" t="str">
        <f>INDEX(Netzzeiten!$B$6:$B$29,HOUR(B1901)+1)</f>
        <v>HT</v>
      </c>
      <c r="H1901" s="6">
        <f>IF(F1901="GO",Eingaben!$B$11,IF(F1901="STANDARD",Eingaben!$B$12,IF(AND(F1901="HEAT",ISNUMBER(Eingaben!$B$13)),Eingaben!$B$13,"")))</f>
        <v>28.2744</v>
      </c>
      <c r="I1901" s="6">
        <f>INDEX(Netzzeiten!$C$6:$C$29,HOUR(B1901)+1)</f>
        <v>10.52</v>
      </c>
      <c r="J1901" t="str">
        <f>IF(C1901="","FEHLT",IF(NOT(ISNUMBER(C1901)),"MESSWERT UNGUELTIG",IF(C1901&lt;0,"MESSWERT UNGUELTIG",IF(H1901="","TARIFPREIS FEHLT","OK"))))</f>
        <v>FEHLT</v>
      </c>
      <c r="K1901" s="7">
        <f>IF(J1901&lt;&gt;"OK","",C1901*I1901/100)</f>
        <v/>
      </c>
    </row>
    <row r="1902" spans="1:11">
      <c r="A1902" s="14">
        <v>46162</v>
      </c>
      <c r="B1902" s="15">
        <v>0.75</v>
      </c>
      <c r="C1902" s="5">
        <f>IF('96 Werte'!BV25="","",'96 Werte'!BV25)</f>
        <v/>
      </c>
      <c r="D1902" t="str">
        <f>IF(IF(Eingaben!$B$21&lt;Eingaben!$B$22,AND(B1902&gt;=Eingaben!$B$21,B1902&lt;Eingaben!$B$22),OR(B1902&gt;=Eingaben!$B$21,B1902&lt;Eingaben!$B$22)),"GO",IF(AND(ISNUMBER(Eingaben!$B$23),ISNUMBER(Eingaben!$B$24),IF(Eingaben!$B$23&lt;Eingaben!$B$24,AND(B1902&gt;=Eingaben!$B$23,B1902&lt;Eingaben!$B$24),OR(B1902&gt;=Eingaben!$B$23,B1902&lt;Eingaben!$B$24))),"HEAT","STANDARD"))</f>
        <v>STANDARD</v>
      </c>
      <c r="E1902" s="9"/>
      <c r="F1902" t="str">
        <f>IF(E1902="",D1902,E1902)</f>
        <v>STANDARD</v>
      </c>
      <c r="G1902" t="str">
        <f>INDEX(Netzzeiten!$B$6:$B$29,HOUR(B1902)+1)</f>
        <v>HT</v>
      </c>
      <c r="H1902" s="6">
        <f>IF(F1902="GO",Eingaben!$B$11,IF(F1902="STANDARD",Eingaben!$B$12,IF(AND(F1902="HEAT",ISNUMBER(Eingaben!$B$13)),Eingaben!$B$13,"")))</f>
        <v>28.2744</v>
      </c>
      <c r="I1902" s="6">
        <f>INDEX(Netzzeiten!$C$6:$C$29,HOUR(B1902)+1)</f>
        <v>10.52</v>
      </c>
      <c r="J1902" t="str">
        <f>IF(C1902="","FEHLT",IF(NOT(ISNUMBER(C1902)),"MESSWERT UNGUELTIG",IF(C1902&lt;0,"MESSWERT UNGUELTIG",IF(H1902="","TARIFPREIS FEHLT","OK"))))</f>
        <v>FEHLT</v>
      </c>
      <c r="K1902" s="7">
        <f>IF(J1902&lt;&gt;"OK","",C1902*I1902/100)</f>
        <v/>
      </c>
    </row>
    <row r="1903" spans="1:11">
      <c r="A1903" s="14">
        <v>46162</v>
      </c>
      <c r="B1903" s="15">
        <v>0.7604166666666666</v>
      </c>
      <c r="C1903" s="5">
        <f>IF('96 Werte'!BW25="","",'96 Werte'!BW25)</f>
        <v/>
      </c>
      <c r="D1903" t="str">
        <f>IF(IF(Eingaben!$B$21&lt;Eingaben!$B$22,AND(B1903&gt;=Eingaben!$B$21,B1903&lt;Eingaben!$B$22),OR(B1903&gt;=Eingaben!$B$21,B1903&lt;Eingaben!$B$22)),"GO",IF(AND(ISNUMBER(Eingaben!$B$23),ISNUMBER(Eingaben!$B$24),IF(Eingaben!$B$23&lt;Eingaben!$B$24,AND(B1903&gt;=Eingaben!$B$23,B1903&lt;Eingaben!$B$24),OR(B1903&gt;=Eingaben!$B$23,B1903&lt;Eingaben!$B$24))),"HEAT","STANDARD"))</f>
        <v>STANDARD</v>
      </c>
      <c r="E1903" s="9"/>
      <c r="F1903" t="str">
        <f>IF(E1903="",D1903,E1903)</f>
        <v>STANDARD</v>
      </c>
      <c r="G1903" t="str">
        <f>INDEX(Netzzeiten!$B$6:$B$29,HOUR(B1903)+1)</f>
        <v>HT</v>
      </c>
      <c r="H1903" s="6">
        <f>IF(F1903="GO",Eingaben!$B$11,IF(F1903="STANDARD",Eingaben!$B$12,IF(AND(F1903="HEAT",ISNUMBER(Eingaben!$B$13)),Eingaben!$B$13,"")))</f>
        <v>28.2744</v>
      </c>
      <c r="I1903" s="6">
        <f>INDEX(Netzzeiten!$C$6:$C$29,HOUR(B1903)+1)</f>
        <v>10.52</v>
      </c>
      <c r="J1903" t="str">
        <f>IF(C1903="","FEHLT",IF(NOT(ISNUMBER(C1903)),"MESSWERT UNGUELTIG",IF(C1903&lt;0,"MESSWERT UNGUELTIG",IF(H1903="","TARIFPREIS FEHLT","OK"))))</f>
        <v>FEHLT</v>
      </c>
      <c r="K1903" s="7">
        <f>IF(J1903&lt;&gt;"OK","",C1903*I1903/100)</f>
        <v/>
      </c>
    </row>
    <row r="1904" spans="1:11">
      <c r="A1904" s="14">
        <v>46162</v>
      </c>
      <c r="B1904" s="15">
        <v>0.7708333333333334</v>
      </c>
      <c r="C1904" s="5">
        <f>IF('96 Werte'!BX25="","",'96 Werte'!BX25)</f>
        <v/>
      </c>
      <c r="D1904" t="str">
        <f>IF(IF(Eingaben!$B$21&lt;Eingaben!$B$22,AND(B1904&gt;=Eingaben!$B$21,B1904&lt;Eingaben!$B$22),OR(B1904&gt;=Eingaben!$B$21,B1904&lt;Eingaben!$B$22)),"GO",IF(AND(ISNUMBER(Eingaben!$B$23),ISNUMBER(Eingaben!$B$24),IF(Eingaben!$B$23&lt;Eingaben!$B$24,AND(B1904&gt;=Eingaben!$B$23,B1904&lt;Eingaben!$B$24),OR(B1904&gt;=Eingaben!$B$23,B1904&lt;Eingaben!$B$24))),"HEAT","STANDARD"))</f>
        <v>STANDARD</v>
      </c>
      <c r="E1904" s="9"/>
      <c r="F1904" t="str">
        <f>IF(E1904="",D1904,E1904)</f>
        <v>STANDARD</v>
      </c>
      <c r="G1904" t="str">
        <f>INDEX(Netzzeiten!$B$6:$B$29,HOUR(B1904)+1)</f>
        <v>HT</v>
      </c>
      <c r="H1904" s="6">
        <f>IF(F1904="GO",Eingaben!$B$11,IF(F1904="STANDARD",Eingaben!$B$12,IF(AND(F1904="HEAT",ISNUMBER(Eingaben!$B$13)),Eingaben!$B$13,"")))</f>
        <v>28.2744</v>
      </c>
      <c r="I1904" s="6">
        <f>INDEX(Netzzeiten!$C$6:$C$29,HOUR(B1904)+1)</f>
        <v>10.52</v>
      </c>
      <c r="J1904" t="str">
        <f>IF(C1904="","FEHLT",IF(NOT(ISNUMBER(C1904)),"MESSWERT UNGUELTIG",IF(C1904&lt;0,"MESSWERT UNGUELTIG",IF(H1904="","TARIFPREIS FEHLT","OK"))))</f>
        <v>FEHLT</v>
      </c>
      <c r="K1904" s="7">
        <f>IF(J1904&lt;&gt;"OK","",C1904*I1904/100)</f>
        <v/>
      </c>
    </row>
    <row r="1905" spans="1:11">
      <c r="A1905" s="14">
        <v>46162</v>
      </c>
      <c r="B1905" s="15">
        <v>0.78125</v>
      </c>
      <c r="C1905" s="5">
        <f>IF('96 Werte'!BY25="","",'96 Werte'!BY25)</f>
        <v/>
      </c>
      <c r="D1905" t="str">
        <f>IF(IF(Eingaben!$B$21&lt;Eingaben!$B$22,AND(B1905&gt;=Eingaben!$B$21,B1905&lt;Eingaben!$B$22),OR(B1905&gt;=Eingaben!$B$21,B1905&lt;Eingaben!$B$22)),"GO",IF(AND(ISNUMBER(Eingaben!$B$23),ISNUMBER(Eingaben!$B$24),IF(Eingaben!$B$23&lt;Eingaben!$B$24,AND(B1905&gt;=Eingaben!$B$23,B1905&lt;Eingaben!$B$24),OR(B1905&gt;=Eingaben!$B$23,B1905&lt;Eingaben!$B$24))),"HEAT","STANDARD"))</f>
        <v>STANDARD</v>
      </c>
      <c r="E1905" s="9"/>
      <c r="F1905" t="str">
        <f>IF(E1905="",D1905,E1905)</f>
        <v>STANDARD</v>
      </c>
      <c r="G1905" t="str">
        <f>INDEX(Netzzeiten!$B$6:$B$29,HOUR(B1905)+1)</f>
        <v>HT</v>
      </c>
      <c r="H1905" s="6">
        <f>IF(F1905="GO",Eingaben!$B$11,IF(F1905="STANDARD",Eingaben!$B$12,IF(AND(F1905="HEAT",ISNUMBER(Eingaben!$B$13)),Eingaben!$B$13,"")))</f>
        <v>28.2744</v>
      </c>
      <c r="I1905" s="6">
        <f>INDEX(Netzzeiten!$C$6:$C$29,HOUR(B1905)+1)</f>
        <v>10.52</v>
      </c>
      <c r="J1905" t="str">
        <f>IF(C1905="","FEHLT",IF(NOT(ISNUMBER(C1905)),"MESSWERT UNGUELTIG",IF(C1905&lt;0,"MESSWERT UNGUELTIG",IF(H1905="","TARIFPREIS FEHLT","OK"))))</f>
        <v>FEHLT</v>
      </c>
      <c r="K1905" s="7">
        <f>IF(J1905&lt;&gt;"OK","",C1905*I1905/100)</f>
        <v/>
      </c>
    </row>
    <row r="1906" spans="1:11">
      <c r="A1906" s="14">
        <v>46162</v>
      </c>
      <c r="B1906" s="15">
        <v>0.7916666666666666</v>
      </c>
      <c r="C1906" s="5">
        <f>IF('96 Werte'!BZ25="","",'96 Werte'!BZ25)</f>
        <v/>
      </c>
      <c r="D1906" t="str">
        <f>IF(IF(Eingaben!$B$21&lt;Eingaben!$B$22,AND(B1906&gt;=Eingaben!$B$21,B1906&lt;Eingaben!$B$22),OR(B1906&gt;=Eingaben!$B$21,B1906&lt;Eingaben!$B$22)),"GO",IF(AND(ISNUMBER(Eingaben!$B$23),ISNUMBER(Eingaben!$B$24),IF(Eingaben!$B$23&lt;Eingaben!$B$24,AND(B1906&gt;=Eingaben!$B$23,B1906&lt;Eingaben!$B$24),OR(B1906&gt;=Eingaben!$B$23,B1906&lt;Eingaben!$B$24))),"HEAT","STANDARD"))</f>
        <v>STANDARD</v>
      </c>
      <c r="E1906" s="9"/>
      <c r="F1906" t="str">
        <f>IF(E1906="",D1906,E1906)</f>
        <v>STANDARD</v>
      </c>
      <c r="G1906" t="str">
        <f>INDEX(Netzzeiten!$B$6:$B$29,HOUR(B1906)+1)</f>
        <v>HT</v>
      </c>
      <c r="H1906" s="6">
        <f>IF(F1906="GO",Eingaben!$B$11,IF(F1906="STANDARD",Eingaben!$B$12,IF(AND(F1906="HEAT",ISNUMBER(Eingaben!$B$13)),Eingaben!$B$13,"")))</f>
        <v>28.2744</v>
      </c>
      <c r="I1906" s="6">
        <f>INDEX(Netzzeiten!$C$6:$C$29,HOUR(B1906)+1)</f>
        <v>10.52</v>
      </c>
      <c r="J1906" t="str">
        <f>IF(C1906="","FEHLT",IF(NOT(ISNUMBER(C1906)),"MESSWERT UNGUELTIG",IF(C1906&lt;0,"MESSWERT UNGUELTIG",IF(H1906="","TARIFPREIS FEHLT","OK"))))</f>
        <v>FEHLT</v>
      </c>
      <c r="K1906" s="7">
        <f>IF(J1906&lt;&gt;"OK","",C1906*I1906/100)</f>
        <v/>
      </c>
    </row>
    <row r="1907" spans="1:11">
      <c r="A1907" s="14">
        <v>46162</v>
      </c>
      <c r="B1907" s="15">
        <v>0.8020833333333334</v>
      </c>
      <c r="C1907" s="5">
        <f>IF('96 Werte'!CA25="","",'96 Werte'!CA25)</f>
        <v/>
      </c>
      <c r="D1907" t="str">
        <f>IF(IF(Eingaben!$B$21&lt;Eingaben!$B$22,AND(B1907&gt;=Eingaben!$B$21,B1907&lt;Eingaben!$B$22),OR(B1907&gt;=Eingaben!$B$21,B1907&lt;Eingaben!$B$22)),"GO",IF(AND(ISNUMBER(Eingaben!$B$23),ISNUMBER(Eingaben!$B$24),IF(Eingaben!$B$23&lt;Eingaben!$B$24,AND(B1907&gt;=Eingaben!$B$23,B1907&lt;Eingaben!$B$24),OR(B1907&gt;=Eingaben!$B$23,B1907&lt;Eingaben!$B$24))),"HEAT","STANDARD"))</f>
        <v>STANDARD</v>
      </c>
      <c r="E1907" s="9"/>
      <c r="F1907" t="str">
        <f>IF(E1907="",D1907,E1907)</f>
        <v>STANDARD</v>
      </c>
      <c r="G1907" t="str">
        <f>INDEX(Netzzeiten!$B$6:$B$29,HOUR(B1907)+1)</f>
        <v>HT</v>
      </c>
      <c r="H1907" s="6">
        <f>IF(F1907="GO",Eingaben!$B$11,IF(F1907="STANDARD",Eingaben!$B$12,IF(AND(F1907="HEAT",ISNUMBER(Eingaben!$B$13)),Eingaben!$B$13,"")))</f>
        <v>28.2744</v>
      </c>
      <c r="I1907" s="6">
        <f>INDEX(Netzzeiten!$C$6:$C$29,HOUR(B1907)+1)</f>
        <v>10.52</v>
      </c>
      <c r="J1907" t="str">
        <f>IF(C1907="","FEHLT",IF(NOT(ISNUMBER(C1907)),"MESSWERT UNGUELTIG",IF(C1907&lt;0,"MESSWERT UNGUELTIG",IF(H1907="","TARIFPREIS FEHLT","OK"))))</f>
        <v>FEHLT</v>
      </c>
      <c r="K1907" s="7">
        <f>IF(J1907&lt;&gt;"OK","",C1907*I1907/100)</f>
        <v/>
      </c>
    </row>
    <row r="1908" spans="1:11">
      <c r="A1908" s="14">
        <v>46162</v>
      </c>
      <c r="B1908" s="15">
        <v>0.8125</v>
      </c>
      <c r="C1908" s="5">
        <f>IF('96 Werte'!CB25="","",'96 Werte'!CB25)</f>
        <v/>
      </c>
      <c r="D1908" t="str">
        <f>IF(IF(Eingaben!$B$21&lt;Eingaben!$B$22,AND(B1908&gt;=Eingaben!$B$21,B1908&lt;Eingaben!$B$22),OR(B1908&gt;=Eingaben!$B$21,B1908&lt;Eingaben!$B$22)),"GO",IF(AND(ISNUMBER(Eingaben!$B$23),ISNUMBER(Eingaben!$B$24),IF(Eingaben!$B$23&lt;Eingaben!$B$24,AND(B1908&gt;=Eingaben!$B$23,B1908&lt;Eingaben!$B$24),OR(B1908&gt;=Eingaben!$B$23,B1908&lt;Eingaben!$B$24))),"HEAT","STANDARD"))</f>
        <v>STANDARD</v>
      </c>
      <c r="E1908" s="9"/>
      <c r="F1908" t="str">
        <f>IF(E1908="",D1908,E1908)</f>
        <v>STANDARD</v>
      </c>
      <c r="G1908" t="str">
        <f>INDEX(Netzzeiten!$B$6:$B$29,HOUR(B1908)+1)</f>
        <v>HT</v>
      </c>
      <c r="H1908" s="6">
        <f>IF(F1908="GO",Eingaben!$B$11,IF(F1908="STANDARD",Eingaben!$B$12,IF(AND(F1908="HEAT",ISNUMBER(Eingaben!$B$13)),Eingaben!$B$13,"")))</f>
        <v>28.2744</v>
      </c>
      <c r="I1908" s="6">
        <f>INDEX(Netzzeiten!$C$6:$C$29,HOUR(B1908)+1)</f>
        <v>10.52</v>
      </c>
      <c r="J1908" t="str">
        <f>IF(C1908="","FEHLT",IF(NOT(ISNUMBER(C1908)),"MESSWERT UNGUELTIG",IF(C1908&lt;0,"MESSWERT UNGUELTIG",IF(H1908="","TARIFPREIS FEHLT","OK"))))</f>
        <v>FEHLT</v>
      </c>
      <c r="K1908" s="7">
        <f>IF(J1908&lt;&gt;"OK","",C1908*I1908/100)</f>
        <v/>
      </c>
    </row>
    <row r="1909" spans="1:11">
      <c r="A1909" s="14">
        <v>46162</v>
      </c>
      <c r="B1909" s="15">
        <v>0.8229166666666666</v>
      </c>
      <c r="C1909" s="5">
        <f>IF('96 Werte'!CC25="","",'96 Werte'!CC25)</f>
        <v/>
      </c>
      <c r="D1909" t="str">
        <f>IF(IF(Eingaben!$B$21&lt;Eingaben!$B$22,AND(B1909&gt;=Eingaben!$B$21,B1909&lt;Eingaben!$B$22),OR(B1909&gt;=Eingaben!$B$21,B1909&lt;Eingaben!$B$22)),"GO",IF(AND(ISNUMBER(Eingaben!$B$23),ISNUMBER(Eingaben!$B$24),IF(Eingaben!$B$23&lt;Eingaben!$B$24,AND(B1909&gt;=Eingaben!$B$23,B1909&lt;Eingaben!$B$24),OR(B1909&gt;=Eingaben!$B$23,B1909&lt;Eingaben!$B$24))),"HEAT","STANDARD"))</f>
        <v>STANDARD</v>
      </c>
      <c r="E1909" s="9"/>
      <c r="F1909" t="str">
        <f>IF(E1909="",D1909,E1909)</f>
        <v>STANDARD</v>
      </c>
      <c r="G1909" t="str">
        <f>INDEX(Netzzeiten!$B$6:$B$29,HOUR(B1909)+1)</f>
        <v>HT</v>
      </c>
      <c r="H1909" s="6">
        <f>IF(F1909="GO",Eingaben!$B$11,IF(F1909="STANDARD",Eingaben!$B$12,IF(AND(F1909="HEAT",ISNUMBER(Eingaben!$B$13)),Eingaben!$B$13,"")))</f>
        <v>28.2744</v>
      </c>
      <c r="I1909" s="6">
        <f>INDEX(Netzzeiten!$C$6:$C$29,HOUR(B1909)+1)</f>
        <v>10.52</v>
      </c>
      <c r="J1909" t="str">
        <f>IF(C1909="","FEHLT",IF(NOT(ISNUMBER(C1909)),"MESSWERT UNGUELTIG",IF(C1909&lt;0,"MESSWERT UNGUELTIG",IF(H1909="","TARIFPREIS FEHLT","OK"))))</f>
        <v>FEHLT</v>
      </c>
      <c r="K1909" s="7">
        <f>IF(J1909&lt;&gt;"OK","",C1909*I1909/100)</f>
        <v/>
      </c>
    </row>
    <row r="1910" spans="1:11">
      <c r="A1910" s="14">
        <v>46162</v>
      </c>
      <c r="B1910" s="15">
        <v>0.8333333333333334</v>
      </c>
      <c r="C1910" s="5">
        <f>IF('96 Werte'!CD25="","",'96 Werte'!CD25)</f>
        <v/>
      </c>
      <c r="D1910" t="str">
        <f>IF(IF(Eingaben!$B$21&lt;Eingaben!$B$22,AND(B1910&gt;=Eingaben!$B$21,B1910&lt;Eingaben!$B$22),OR(B1910&gt;=Eingaben!$B$21,B1910&lt;Eingaben!$B$22)),"GO",IF(AND(ISNUMBER(Eingaben!$B$23),ISNUMBER(Eingaben!$B$24),IF(Eingaben!$B$23&lt;Eingaben!$B$24,AND(B1910&gt;=Eingaben!$B$23,B1910&lt;Eingaben!$B$24),OR(B1910&gt;=Eingaben!$B$23,B1910&lt;Eingaben!$B$24))),"HEAT","STANDARD"))</f>
        <v>STANDARD</v>
      </c>
      <c r="E1910" s="9"/>
      <c r="F1910" t="str">
        <f>IF(E1910="",D1910,E1910)</f>
        <v>STANDARD</v>
      </c>
      <c r="G1910" t="str">
        <f>INDEX(Netzzeiten!$B$6:$B$29,HOUR(B1910)+1)</f>
        <v>HT</v>
      </c>
      <c r="H1910" s="6">
        <f>IF(F1910="GO",Eingaben!$B$11,IF(F1910="STANDARD",Eingaben!$B$12,IF(AND(F1910="HEAT",ISNUMBER(Eingaben!$B$13)),Eingaben!$B$13,"")))</f>
        <v>28.2744</v>
      </c>
      <c r="I1910" s="6">
        <f>INDEX(Netzzeiten!$C$6:$C$29,HOUR(B1910)+1)</f>
        <v>10.52</v>
      </c>
      <c r="J1910" t="str">
        <f>IF(C1910="","FEHLT",IF(NOT(ISNUMBER(C1910)),"MESSWERT UNGUELTIG",IF(C1910&lt;0,"MESSWERT UNGUELTIG",IF(H1910="","TARIFPREIS FEHLT","OK"))))</f>
        <v>FEHLT</v>
      </c>
      <c r="K1910" s="7">
        <f>IF(J1910&lt;&gt;"OK","",C1910*I1910/100)</f>
        <v/>
      </c>
    </row>
    <row r="1911" spans="1:11">
      <c r="A1911" s="14">
        <v>46162</v>
      </c>
      <c r="B1911" s="15">
        <v>0.84375</v>
      </c>
      <c r="C1911" s="5">
        <f>IF('96 Werte'!CE25="","",'96 Werte'!CE25)</f>
        <v/>
      </c>
      <c r="D1911" t="str">
        <f>IF(IF(Eingaben!$B$21&lt;Eingaben!$B$22,AND(B1911&gt;=Eingaben!$B$21,B1911&lt;Eingaben!$B$22),OR(B1911&gt;=Eingaben!$B$21,B1911&lt;Eingaben!$B$22)),"GO",IF(AND(ISNUMBER(Eingaben!$B$23),ISNUMBER(Eingaben!$B$24),IF(Eingaben!$B$23&lt;Eingaben!$B$24,AND(B1911&gt;=Eingaben!$B$23,B1911&lt;Eingaben!$B$24),OR(B1911&gt;=Eingaben!$B$23,B1911&lt;Eingaben!$B$24))),"HEAT","STANDARD"))</f>
        <v>STANDARD</v>
      </c>
      <c r="E1911" s="9"/>
      <c r="F1911" t="str">
        <f>IF(E1911="",D1911,E1911)</f>
        <v>STANDARD</v>
      </c>
      <c r="G1911" t="str">
        <f>INDEX(Netzzeiten!$B$6:$B$29,HOUR(B1911)+1)</f>
        <v>HT</v>
      </c>
      <c r="H1911" s="6">
        <f>IF(F1911="GO",Eingaben!$B$11,IF(F1911="STANDARD",Eingaben!$B$12,IF(AND(F1911="HEAT",ISNUMBER(Eingaben!$B$13)),Eingaben!$B$13,"")))</f>
        <v>28.2744</v>
      </c>
      <c r="I1911" s="6">
        <f>INDEX(Netzzeiten!$C$6:$C$29,HOUR(B1911)+1)</f>
        <v>10.52</v>
      </c>
      <c r="J1911" t="str">
        <f>IF(C1911="","FEHLT",IF(NOT(ISNUMBER(C1911)),"MESSWERT UNGUELTIG",IF(C1911&lt;0,"MESSWERT UNGUELTIG",IF(H1911="","TARIFPREIS FEHLT","OK"))))</f>
        <v>FEHLT</v>
      </c>
      <c r="K1911" s="7">
        <f>IF(J1911&lt;&gt;"OK","",C1911*I1911/100)</f>
        <v/>
      </c>
    </row>
    <row r="1912" spans="1:11">
      <c r="A1912" s="14">
        <v>46162</v>
      </c>
      <c r="B1912" s="15">
        <v>0.8541666666666666</v>
      </c>
      <c r="C1912" s="5">
        <f>IF('96 Werte'!CF25="","",'96 Werte'!CF25)</f>
        <v/>
      </c>
      <c r="D1912" t="str">
        <f>IF(IF(Eingaben!$B$21&lt;Eingaben!$B$22,AND(B1912&gt;=Eingaben!$B$21,B1912&lt;Eingaben!$B$22),OR(B1912&gt;=Eingaben!$B$21,B1912&lt;Eingaben!$B$22)),"GO",IF(AND(ISNUMBER(Eingaben!$B$23),ISNUMBER(Eingaben!$B$24),IF(Eingaben!$B$23&lt;Eingaben!$B$24,AND(B1912&gt;=Eingaben!$B$23,B1912&lt;Eingaben!$B$24),OR(B1912&gt;=Eingaben!$B$23,B1912&lt;Eingaben!$B$24))),"HEAT","STANDARD"))</f>
        <v>STANDARD</v>
      </c>
      <c r="E1912" s="9"/>
      <c r="F1912" t="str">
        <f>IF(E1912="",D1912,E1912)</f>
        <v>STANDARD</v>
      </c>
      <c r="G1912" t="str">
        <f>INDEX(Netzzeiten!$B$6:$B$29,HOUR(B1912)+1)</f>
        <v>HT</v>
      </c>
      <c r="H1912" s="6">
        <f>IF(F1912="GO",Eingaben!$B$11,IF(F1912="STANDARD",Eingaben!$B$12,IF(AND(F1912="HEAT",ISNUMBER(Eingaben!$B$13)),Eingaben!$B$13,"")))</f>
        <v>28.2744</v>
      </c>
      <c r="I1912" s="6">
        <f>INDEX(Netzzeiten!$C$6:$C$29,HOUR(B1912)+1)</f>
        <v>10.52</v>
      </c>
      <c r="J1912" t="str">
        <f>IF(C1912="","FEHLT",IF(NOT(ISNUMBER(C1912)),"MESSWERT UNGUELTIG",IF(C1912&lt;0,"MESSWERT UNGUELTIG",IF(H1912="","TARIFPREIS FEHLT","OK"))))</f>
        <v>FEHLT</v>
      </c>
      <c r="K1912" s="7">
        <f>IF(J1912&lt;&gt;"OK","",C1912*I1912/100)</f>
        <v/>
      </c>
    </row>
    <row r="1913" spans="1:11">
      <c r="A1913" s="14">
        <v>46162</v>
      </c>
      <c r="B1913" s="15">
        <v>0.8645833333333334</v>
      </c>
      <c r="C1913" s="5">
        <f>IF('96 Werte'!CG25="","",'96 Werte'!CG25)</f>
        <v/>
      </c>
      <c r="D1913" t="str">
        <f>IF(IF(Eingaben!$B$21&lt;Eingaben!$B$22,AND(B1913&gt;=Eingaben!$B$21,B1913&lt;Eingaben!$B$22),OR(B1913&gt;=Eingaben!$B$21,B1913&lt;Eingaben!$B$22)),"GO",IF(AND(ISNUMBER(Eingaben!$B$23),ISNUMBER(Eingaben!$B$24),IF(Eingaben!$B$23&lt;Eingaben!$B$24,AND(B1913&gt;=Eingaben!$B$23,B1913&lt;Eingaben!$B$24),OR(B1913&gt;=Eingaben!$B$23,B1913&lt;Eingaben!$B$24))),"HEAT","STANDARD"))</f>
        <v>STANDARD</v>
      </c>
      <c r="E1913" s="9"/>
      <c r="F1913" t="str">
        <f>IF(E1913="",D1913,E1913)</f>
        <v>STANDARD</v>
      </c>
      <c r="G1913" t="str">
        <f>INDEX(Netzzeiten!$B$6:$B$29,HOUR(B1913)+1)</f>
        <v>HT</v>
      </c>
      <c r="H1913" s="6">
        <f>IF(F1913="GO",Eingaben!$B$11,IF(F1913="STANDARD",Eingaben!$B$12,IF(AND(F1913="HEAT",ISNUMBER(Eingaben!$B$13)),Eingaben!$B$13,"")))</f>
        <v>28.2744</v>
      </c>
      <c r="I1913" s="6">
        <f>INDEX(Netzzeiten!$C$6:$C$29,HOUR(B1913)+1)</f>
        <v>10.52</v>
      </c>
      <c r="J1913" t="str">
        <f>IF(C1913="","FEHLT",IF(NOT(ISNUMBER(C1913)),"MESSWERT UNGUELTIG",IF(C1913&lt;0,"MESSWERT UNGUELTIG",IF(H1913="","TARIFPREIS FEHLT","OK"))))</f>
        <v>FEHLT</v>
      </c>
      <c r="K1913" s="7">
        <f>IF(J1913&lt;&gt;"OK","",C1913*I1913/100)</f>
        <v/>
      </c>
    </row>
    <row r="1914" spans="1:11">
      <c r="A1914" s="14">
        <v>46162</v>
      </c>
      <c r="B1914" s="15">
        <v>0.875</v>
      </c>
      <c r="C1914" s="5">
        <f>IF('96 Werte'!CH25="","",'96 Werte'!CH25)</f>
        <v/>
      </c>
      <c r="D1914" t="str">
        <f>IF(IF(Eingaben!$B$21&lt;Eingaben!$B$22,AND(B1914&gt;=Eingaben!$B$21,B1914&lt;Eingaben!$B$22),OR(B1914&gt;=Eingaben!$B$21,B1914&lt;Eingaben!$B$22)),"GO",IF(AND(ISNUMBER(Eingaben!$B$23),ISNUMBER(Eingaben!$B$24),IF(Eingaben!$B$23&lt;Eingaben!$B$24,AND(B1914&gt;=Eingaben!$B$23,B1914&lt;Eingaben!$B$24),OR(B1914&gt;=Eingaben!$B$23,B1914&lt;Eingaben!$B$24))),"HEAT","STANDARD"))</f>
        <v>STANDARD</v>
      </c>
      <c r="E1914" s="9"/>
      <c r="F1914" t="str">
        <f>IF(E1914="",D1914,E1914)</f>
        <v>STANDARD</v>
      </c>
      <c r="G1914" t="str">
        <f>INDEX(Netzzeiten!$B$6:$B$29,HOUR(B1914)+1)</f>
        <v>HT</v>
      </c>
      <c r="H1914" s="6">
        <f>IF(F1914="GO",Eingaben!$B$11,IF(F1914="STANDARD",Eingaben!$B$12,IF(AND(F1914="HEAT",ISNUMBER(Eingaben!$B$13)),Eingaben!$B$13,"")))</f>
        <v>28.2744</v>
      </c>
      <c r="I1914" s="6">
        <f>INDEX(Netzzeiten!$C$6:$C$29,HOUR(B1914)+1)</f>
        <v>10.52</v>
      </c>
      <c r="J1914" t="str">
        <f>IF(C1914="","FEHLT",IF(NOT(ISNUMBER(C1914)),"MESSWERT UNGUELTIG",IF(C1914&lt;0,"MESSWERT UNGUELTIG",IF(H1914="","TARIFPREIS FEHLT","OK"))))</f>
        <v>FEHLT</v>
      </c>
      <c r="K1914" s="7">
        <f>IF(J1914&lt;&gt;"OK","",C1914*I1914/100)</f>
        <v/>
      </c>
    </row>
    <row r="1915" spans="1:11">
      <c r="A1915" s="14">
        <v>46162</v>
      </c>
      <c r="B1915" s="15">
        <v>0.8854166666666666</v>
      </c>
      <c r="C1915" s="5">
        <f>IF('96 Werte'!CI25="","",'96 Werte'!CI25)</f>
        <v/>
      </c>
      <c r="D1915" t="str">
        <f>IF(IF(Eingaben!$B$21&lt;Eingaben!$B$22,AND(B1915&gt;=Eingaben!$B$21,B1915&lt;Eingaben!$B$22),OR(B1915&gt;=Eingaben!$B$21,B1915&lt;Eingaben!$B$22)),"GO",IF(AND(ISNUMBER(Eingaben!$B$23),ISNUMBER(Eingaben!$B$24),IF(Eingaben!$B$23&lt;Eingaben!$B$24,AND(B1915&gt;=Eingaben!$B$23,B1915&lt;Eingaben!$B$24),OR(B1915&gt;=Eingaben!$B$23,B1915&lt;Eingaben!$B$24))),"HEAT","STANDARD"))</f>
        <v>STANDARD</v>
      </c>
      <c r="E1915" s="9"/>
      <c r="F1915" t="str">
        <f>IF(E1915="",D1915,E1915)</f>
        <v>STANDARD</v>
      </c>
      <c r="G1915" t="str">
        <f>INDEX(Netzzeiten!$B$6:$B$29,HOUR(B1915)+1)</f>
        <v>HT</v>
      </c>
      <c r="H1915" s="6">
        <f>IF(F1915="GO",Eingaben!$B$11,IF(F1915="STANDARD",Eingaben!$B$12,IF(AND(F1915="HEAT",ISNUMBER(Eingaben!$B$13)),Eingaben!$B$13,"")))</f>
        <v>28.2744</v>
      </c>
      <c r="I1915" s="6">
        <f>INDEX(Netzzeiten!$C$6:$C$29,HOUR(B1915)+1)</f>
        <v>10.52</v>
      </c>
      <c r="J1915" t="str">
        <f>IF(C1915="","FEHLT",IF(NOT(ISNUMBER(C1915)),"MESSWERT UNGUELTIG",IF(C1915&lt;0,"MESSWERT UNGUELTIG",IF(H1915="","TARIFPREIS FEHLT","OK"))))</f>
        <v>FEHLT</v>
      </c>
      <c r="K1915" s="7">
        <f>IF(J1915&lt;&gt;"OK","",C1915*I1915/100)</f>
        <v/>
      </c>
    </row>
    <row r="1916" spans="1:11">
      <c r="A1916" s="14">
        <v>46162</v>
      </c>
      <c r="B1916" s="15">
        <v>0.8958333333333334</v>
      </c>
      <c r="C1916" s="5">
        <f>IF('96 Werte'!CJ25="","",'96 Werte'!CJ25)</f>
        <v/>
      </c>
      <c r="D1916" t="str">
        <f>IF(IF(Eingaben!$B$21&lt;Eingaben!$B$22,AND(B1916&gt;=Eingaben!$B$21,B1916&lt;Eingaben!$B$22),OR(B1916&gt;=Eingaben!$B$21,B1916&lt;Eingaben!$B$22)),"GO",IF(AND(ISNUMBER(Eingaben!$B$23),ISNUMBER(Eingaben!$B$24),IF(Eingaben!$B$23&lt;Eingaben!$B$24,AND(B1916&gt;=Eingaben!$B$23,B1916&lt;Eingaben!$B$24),OR(B1916&gt;=Eingaben!$B$23,B1916&lt;Eingaben!$B$24))),"HEAT","STANDARD"))</f>
        <v>STANDARD</v>
      </c>
      <c r="E1916" s="9"/>
      <c r="F1916" t="str">
        <f>IF(E1916="",D1916,E1916)</f>
        <v>STANDARD</v>
      </c>
      <c r="G1916" t="str">
        <f>INDEX(Netzzeiten!$B$6:$B$29,HOUR(B1916)+1)</f>
        <v>HT</v>
      </c>
      <c r="H1916" s="6">
        <f>IF(F1916="GO",Eingaben!$B$11,IF(F1916="STANDARD",Eingaben!$B$12,IF(AND(F1916="HEAT",ISNUMBER(Eingaben!$B$13)),Eingaben!$B$13,"")))</f>
        <v>28.2744</v>
      </c>
      <c r="I1916" s="6">
        <f>INDEX(Netzzeiten!$C$6:$C$29,HOUR(B1916)+1)</f>
        <v>10.52</v>
      </c>
      <c r="J1916" t="str">
        <f>IF(C1916="","FEHLT",IF(NOT(ISNUMBER(C1916)),"MESSWERT UNGUELTIG",IF(C1916&lt;0,"MESSWERT UNGUELTIG",IF(H1916="","TARIFPREIS FEHLT","OK"))))</f>
        <v>FEHLT</v>
      </c>
      <c r="K1916" s="7">
        <f>IF(J1916&lt;&gt;"OK","",C1916*I1916/100)</f>
        <v/>
      </c>
    </row>
    <row r="1917" spans="1:11">
      <c r="A1917" s="14">
        <v>46162</v>
      </c>
      <c r="B1917" s="15">
        <v>0.90625</v>
      </c>
      <c r="C1917" s="5">
        <f>IF('96 Werte'!CK25="","",'96 Werte'!CK25)</f>
        <v/>
      </c>
      <c r="D1917" t="str">
        <f>IF(IF(Eingaben!$B$21&lt;Eingaben!$B$22,AND(B1917&gt;=Eingaben!$B$21,B1917&lt;Eingaben!$B$22),OR(B1917&gt;=Eingaben!$B$21,B1917&lt;Eingaben!$B$22)),"GO",IF(AND(ISNUMBER(Eingaben!$B$23),ISNUMBER(Eingaben!$B$24),IF(Eingaben!$B$23&lt;Eingaben!$B$24,AND(B1917&gt;=Eingaben!$B$23,B1917&lt;Eingaben!$B$24),OR(B1917&gt;=Eingaben!$B$23,B1917&lt;Eingaben!$B$24))),"HEAT","STANDARD"))</f>
        <v>STANDARD</v>
      </c>
      <c r="E1917" s="9"/>
      <c r="F1917" t="str">
        <f>IF(E1917="",D1917,E1917)</f>
        <v>STANDARD</v>
      </c>
      <c r="G1917" t="str">
        <f>INDEX(Netzzeiten!$B$6:$B$29,HOUR(B1917)+1)</f>
        <v>HT</v>
      </c>
      <c r="H1917" s="6">
        <f>IF(F1917="GO",Eingaben!$B$11,IF(F1917="STANDARD",Eingaben!$B$12,IF(AND(F1917="HEAT",ISNUMBER(Eingaben!$B$13)),Eingaben!$B$13,"")))</f>
        <v>28.2744</v>
      </c>
      <c r="I1917" s="6">
        <f>INDEX(Netzzeiten!$C$6:$C$29,HOUR(B1917)+1)</f>
        <v>10.52</v>
      </c>
      <c r="J1917" t="str">
        <f>IF(C1917="","FEHLT",IF(NOT(ISNUMBER(C1917)),"MESSWERT UNGUELTIG",IF(C1917&lt;0,"MESSWERT UNGUELTIG",IF(H1917="","TARIFPREIS FEHLT","OK"))))</f>
        <v>FEHLT</v>
      </c>
      <c r="K1917" s="7">
        <f>IF(J1917&lt;&gt;"OK","",C1917*I1917/100)</f>
        <v/>
      </c>
    </row>
    <row r="1918" spans="1:11">
      <c r="A1918" s="14">
        <v>46162</v>
      </c>
      <c r="B1918" s="15">
        <v>0.9166666666666666</v>
      </c>
      <c r="C1918" s="5">
        <f>IF('96 Werte'!CL25="","",'96 Werte'!CL25)</f>
        <v/>
      </c>
      <c r="D1918" t="str">
        <f>IF(IF(Eingaben!$B$21&lt;Eingaben!$B$22,AND(B1918&gt;=Eingaben!$B$21,B1918&lt;Eingaben!$B$22),OR(B1918&gt;=Eingaben!$B$21,B1918&lt;Eingaben!$B$22)),"GO",IF(AND(ISNUMBER(Eingaben!$B$23),ISNUMBER(Eingaben!$B$24),IF(Eingaben!$B$23&lt;Eingaben!$B$24,AND(B1918&gt;=Eingaben!$B$23,B1918&lt;Eingaben!$B$24),OR(B1918&gt;=Eingaben!$B$23,B1918&lt;Eingaben!$B$24))),"HEAT","STANDARD"))</f>
        <v>STANDARD</v>
      </c>
      <c r="E1918" s="9"/>
      <c r="F1918" t="str">
        <f>IF(E1918="",D1918,E1918)</f>
        <v>STANDARD</v>
      </c>
      <c r="G1918" t="str">
        <f>INDEX(Netzzeiten!$B$6:$B$29,HOUR(B1918)+1)</f>
        <v>ST</v>
      </c>
      <c r="H1918" s="6">
        <f>IF(F1918="GO",Eingaben!$B$11,IF(F1918="STANDARD",Eingaben!$B$12,IF(AND(F1918="HEAT",ISNUMBER(Eingaben!$B$13)),Eingaben!$B$13,"")))</f>
        <v>28.2744</v>
      </c>
      <c r="I1918" s="6">
        <f>INDEX(Netzzeiten!$C$6:$C$29,HOUR(B1918)+1)</f>
        <v>5.48</v>
      </c>
      <c r="J1918" t="str">
        <f>IF(C1918="","FEHLT",IF(NOT(ISNUMBER(C1918)),"MESSWERT UNGUELTIG",IF(C1918&lt;0,"MESSWERT UNGUELTIG",IF(H1918="","TARIFPREIS FEHLT","OK"))))</f>
        <v>FEHLT</v>
      </c>
      <c r="K1918" s="7">
        <f>IF(J1918&lt;&gt;"OK","",C1918*I1918/100)</f>
        <v/>
      </c>
    </row>
    <row r="1919" spans="1:11">
      <c r="A1919" s="14">
        <v>46162</v>
      </c>
      <c r="B1919" s="15">
        <v>0.9270833333333334</v>
      </c>
      <c r="C1919" s="5">
        <f>IF('96 Werte'!CM25="","",'96 Werte'!CM25)</f>
        <v/>
      </c>
      <c r="D1919" t="str">
        <f>IF(IF(Eingaben!$B$21&lt;Eingaben!$B$22,AND(B1919&gt;=Eingaben!$B$21,B1919&lt;Eingaben!$B$22),OR(B1919&gt;=Eingaben!$B$21,B1919&lt;Eingaben!$B$22)),"GO",IF(AND(ISNUMBER(Eingaben!$B$23),ISNUMBER(Eingaben!$B$24),IF(Eingaben!$B$23&lt;Eingaben!$B$24,AND(B1919&gt;=Eingaben!$B$23,B1919&lt;Eingaben!$B$24),OR(B1919&gt;=Eingaben!$B$23,B1919&lt;Eingaben!$B$24))),"HEAT","STANDARD"))</f>
        <v>STANDARD</v>
      </c>
      <c r="E1919" s="9"/>
      <c r="F1919" t="str">
        <f>IF(E1919="",D1919,E1919)</f>
        <v>STANDARD</v>
      </c>
      <c r="G1919" t="str">
        <f>INDEX(Netzzeiten!$B$6:$B$29,HOUR(B1919)+1)</f>
        <v>ST</v>
      </c>
      <c r="H1919" s="6">
        <f>IF(F1919="GO",Eingaben!$B$11,IF(F1919="STANDARD",Eingaben!$B$12,IF(AND(F1919="HEAT",ISNUMBER(Eingaben!$B$13)),Eingaben!$B$13,"")))</f>
        <v>28.2744</v>
      </c>
      <c r="I1919" s="6">
        <f>INDEX(Netzzeiten!$C$6:$C$29,HOUR(B1919)+1)</f>
        <v>5.48</v>
      </c>
      <c r="J1919" t="str">
        <f>IF(C1919="","FEHLT",IF(NOT(ISNUMBER(C1919)),"MESSWERT UNGUELTIG",IF(C1919&lt;0,"MESSWERT UNGUELTIG",IF(H1919="","TARIFPREIS FEHLT","OK"))))</f>
        <v>FEHLT</v>
      </c>
      <c r="K1919" s="7">
        <f>IF(J1919&lt;&gt;"OK","",C1919*I1919/100)</f>
        <v/>
      </c>
    </row>
    <row r="1920" spans="1:11">
      <c r="A1920" s="14">
        <v>46162</v>
      </c>
      <c r="B1920" s="15">
        <v>0.9375</v>
      </c>
      <c r="C1920" s="5">
        <f>IF('96 Werte'!CN25="","",'96 Werte'!CN25)</f>
        <v/>
      </c>
      <c r="D1920" t="str">
        <f>IF(IF(Eingaben!$B$21&lt;Eingaben!$B$22,AND(B1920&gt;=Eingaben!$B$21,B1920&lt;Eingaben!$B$22),OR(B1920&gt;=Eingaben!$B$21,B1920&lt;Eingaben!$B$22)),"GO",IF(AND(ISNUMBER(Eingaben!$B$23),ISNUMBER(Eingaben!$B$24),IF(Eingaben!$B$23&lt;Eingaben!$B$24,AND(B1920&gt;=Eingaben!$B$23,B1920&lt;Eingaben!$B$24),OR(B1920&gt;=Eingaben!$B$23,B1920&lt;Eingaben!$B$24))),"HEAT","STANDARD"))</f>
        <v>STANDARD</v>
      </c>
      <c r="E1920" s="9"/>
      <c r="F1920" t="str">
        <f>IF(E1920="",D1920,E1920)</f>
        <v>STANDARD</v>
      </c>
      <c r="G1920" t="str">
        <f>INDEX(Netzzeiten!$B$6:$B$29,HOUR(B1920)+1)</f>
        <v>ST</v>
      </c>
      <c r="H1920" s="6">
        <f>IF(F1920="GO",Eingaben!$B$11,IF(F1920="STANDARD",Eingaben!$B$12,IF(AND(F1920="HEAT",ISNUMBER(Eingaben!$B$13)),Eingaben!$B$13,"")))</f>
        <v>28.2744</v>
      </c>
      <c r="I1920" s="6">
        <f>INDEX(Netzzeiten!$C$6:$C$29,HOUR(B1920)+1)</f>
        <v>5.48</v>
      </c>
      <c r="J1920" t="str">
        <f>IF(C1920="","FEHLT",IF(NOT(ISNUMBER(C1920)),"MESSWERT UNGUELTIG",IF(C1920&lt;0,"MESSWERT UNGUELTIG",IF(H1920="","TARIFPREIS FEHLT","OK"))))</f>
        <v>FEHLT</v>
      </c>
      <c r="K1920" s="7">
        <f>IF(J1920&lt;&gt;"OK","",C1920*I1920/100)</f>
        <v/>
      </c>
    </row>
    <row r="1921" spans="1:11">
      <c r="A1921" s="14">
        <v>46162</v>
      </c>
      <c r="B1921" s="15">
        <v>0.9479166666666666</v>
      </c>
      <c r="C1921" s="5">
        <f>IF('96 Werte'!CO25="","",'96 Werte'!CO25)</f>
        <v/>
      </c>
      <c r="D1921" t="str">
        <f>IF(IF(Eingaben!$B$21&lt;Eingaben!$B$22,AND(B1921&gt;=Eingaben!$B$21,B1921&lt;Eingaben!$B$22),OR(B1921&gt;=Eingaben!$B$21,B1921&lt;Eingaben!$B$22)),"GO",IF(AND(ISNUMBER(Eingaben!$B$23),ISNUMBER(Eingaben!$B$24),IF(Eingaben!$B$23&lt;Eingaben!$B$24,AND(B1921&gt;=Eingaben!$B$23,B1921&lt;Eingaben!$B$24),OR(B1921&gt;=Eingaben!$B$23,B1921&lt;Eingaben!$B$24))),"HEAT","STANDARD"))</f>
        <v>STANDARD</v>
      </c>
      <c r="E1921" s="9"/>
      <c r="F1921" t="str">
        <f>IF(E1921="",D1921,E1921)</f>
        <v>STANDARD</v>
      </c>
      <c r="G1921" t="str">
        <f>INDEX(Netzzeiten!$B$6:$B$29,HOUR(B1921)+1)</f>
        <v>ST</v>
      </c>
      <c r="H1921" s="6">
        <f>IF(F1921="GO",Eingaben!$B$11,IF(F1921="STANDARD",Eingaben!$B$12,IF(AND(F1921="HEAT",ISNUMBER(Eingaben!$B$13)),Eingaben!$B$13,"")))</f>
        <v>28.2744</v>
      </c>
      <c r="I1921" s="6">
        <f>INDEX(Netzzeiten!$C$6:$C$29,HOUR(B1921)+1)</f>
        <v>5.48</v>
      </c>
      <c r="J1921" t="str">
        <f>IF(C1921="","FEHLT",IF(NOT(ISNUMBER(C1921)),"MESSWERT UNGUELTIG",IF(C1921&lt;0,"MESSWERT UNGUELTIG",IF(H1921="","TARIFPREIS FEHLT","OK"))))</f>
        <v>FEHLT</v>
      </c>
      <c r="K1921" s="7">
        <f>IF(J1921&lt;&gt;"OK","",C1921*I1921/100)</f>
        <v/>
      </c>
    </row>
    <row r="1922" spans="1:11">
      <c r="A1922" s="14">
        <v>46162</v>
      </c>
      <c r="B1922" s="15">
        <v>0.9583333333333334</v>
      </c>
      <c r="C1922" s="5">
        <f>IF('96 Werte'!CP25="","",'96 Werte'!CP25)</f>
        <v/>
      </c>
      <c r="D1922" t="str">
        <f>IF(IF(Eingaben!$B$21&lt;Eingaben!$B$22,AND(B1922&gt;=Eingaben!$B$21,B1922&lt;Eingaben!$B$22),OR(B1922&gt;=Eingaben!$B$21,B1922&lt;Eingaben!$B$22)),"GO",IF(AND(ISNUMBER(Eingaben!$B$23),ISNUMBER(Eingaben!$B$24),IF(Eingaben!$B$23&lt;Eingaben!$B$24,AND(B1922&gt;=Eingaben!$B$23,B1922&lt;Eingaben!$B$24),OR(B1922&gt;=Eingaben!$B$23,B1922&lt;Eingaben!$B$24))),"HEAT","STANDARD"))</f>
        <v>STANDARD</v>
      </c>
      <c r="E1922" s="9"/>
      <c r="F1922" t="str">
        <f>IF(E1922="",D1922,E1922)</f>
        <v>STANDARD</v>
      </c>
      <c r="G1922" t="str">
        <f>INDEX(Netzzeiten!$B$6:$B$29,HOUR(B1922)+1)</f>
        <v>NT</v>
      </c>
      <c r="H1922" s="6">
        <f>IF(F1922="GO",Eingaben!$B$11,IF(F1922="STANDARD",Eingaben!$B$12,IF(AND(F1922="HEAT",ISNUMBER(Eingaben!$B$13)),Eingaben!$B$13,"")))</f>
        <v>28.2744</v>
      </c>
      <c r="I1922" s="6">
        <f>INDEX(Netzzeiten!$C$6:$C$29,HOUR(B1922)+1)</f>
        <v>1.64</v>
      </c>
      <c r="J1922" t="str">
        <f>IF(C1922="","FEHLT",IF(NOT(ISNUMBER(C1922)),"MESSWERT UNGUELTIG",IF(C1922&lt;0,"MESSWERT UNGUELTIG",IF(H1922="","TARIFPREIS FEHLT","OK"))))</f>
        <v>FEHLT</v>
      </c>
      <c r="K1922" s="7">
        <f>IF(J1922&lt;&gt;"OK","",C1922*I1922/100)</f>
        <v/>
      </c>
    </row>
    <row r="1923" spans="1:11">
      <c r="A1923" s="14">
        <v>46162</v>
      </c>
      <c r="B1923" s="15">
        <v>0.96875</v>
      </c>
      <c r="C1923" s="5">
        <f>IF('96 Werte'!CQ25="","",'96 Werte'!CQ25)</f>
        <v/>
      </c>
      <c r="D1923" t="str">
        <f>IF(IF(Eingaben!$B$21&lt;Eingaben!$B$22,AND(B1923&gt;=Eingaben!$B$21,B1923&lt;Eingaben!$B$22),OR(B1923&gt;=Eingaben!$B$21,B1923&lt;Eingaben!$B$22)),"GO",IF(AND(ISNUMBER(Eingaben!$B$23),ISNUMBER(Eingaben!$B$24),IF(Eingaben!$B$23&lt;Eingaben!$B$24,AND(B1923&gt;=Eingaben!$B$23,B1923&lt;Eingaben!$B$24),OR(B1923&gt;=Eingaben!$B$23,B1923&lt;Eingaben!$B$24))),"HEAT","STANDARD"))</f>
        <v>STANDARD</v>
      </c>
      <c r="E1923" s="9"/>
      <c r="F1923" t="str">
        <f>IF(E1923="",D1923,E1923)</f>
        <v>STANDARD</v>
      </c>
      <c r="G1923" t="str">
        <f>INDEX(Netzzeiten!$B$6:$B$29,HOUR(B1923)+1)</f>
        <v>NT</v>
      </c>
      <c r="H1923" s="6">
        <f>IF(F1923="GO",Eingaben!$B$11,IF(F1923="STANDARD",Eingaben!$B$12,IF(AND(F1923="HEAT",ISNUMBER(Eingaben!$B$13)),Eingaben!$B$13,"")))</f>
        <v>28.2744</v>
      </c>
      <c r="I1923" s="6">
        <f>INDEX(Netzzeiten!$C$6:$C$29,HOUR(B1923)+1)</f>
        <v>1.64</v>
      </c>
      <c r="J1923" t="str">
        <f>IF(C1923="","FEHLT",IF(NOT(ISNUMBER(C1923)),"MESSWERT UNGUELTIG",IF(C1923&lt;0,"MESSWERT UNGUELTIG",IF(H1923="","TARIFPREIS FEHLT","OK"))))</f>
        <v>FEHLT</v>
      </c>
      <c r="K1923" s="7">
        <f>IF(J1923&lt;&gt;"OK","",C1923*I1923/100)</f>
        <v/>
      </c>
    </row>
    <row r="1924" spans="1:11">
      <c r="A1924" s="14">
        <v>46162</v>
      </c>
      <c r="B1924" s="15">
        <v>0.9791666666666666</v>
      </c>
      <c r="C1924" s="5">
        <f>IF('96 Werte'!CR25="","",'96 Werte'!CR25)</f>
        <v/>
      </c>
      <c r="D1924" t="str">
        <f>IF(IF(Eingaben!$B$21&lt;Eingaben!$B$22,AND(B1924&gt;=Eingaben!$B$21,B1924&lt;Eingaben!$B$22),OR(B1924&gt;=Eingaben!$B$21,B1924&lt;Eingaben!$B$22)),"GO",IF(AND(ISNUMBER(Eingaben!$B$23),ISNUMBER(Eingaben!$B$24),IF(Eingaben!$B$23&lt;Eingaben!$B$24,AND(B1924&gt;=Eingaben!$B$23,B1924&lt;Eingaben!$B$24),OR(B1924&gt;=Eingaben!$B$23,B1924&lt;Eingaben!$B$24))),"HEAT","STANDARD"))</f>
        <v>STANDARD</v>
      </c>
      <c r="E1924" s="9"/>
      <c r="F1924" t="str">
        <f>IF(E1924="",D1924,E1924)</f>
        <v>STANDARD</v>
      </c>
      <c r="G1924" t="str">
        <f>INDEX(Netzzeiten!$B$6:$B$29,HOUR(B1924)+1)</f>
        <v>NT</v>
      </c>
      <c r="H1924" s="6">
        <f>IF(F1924="GO",Eingaben!$B$11,IF(F1924="STANDARD",Eingaben!$B$12,IF(AND(F1924="HEAT",ISNUMBER(Eingaben!$B$13)),Eingaben!$B$13,"")))</f>
        <v>28.2744</v>
      </c>
      <c r="I1924" s="6">
        <f>INDEX(Netzzeiten!$C$6:$C$29,HOUR(B1924)+1)</f>
        <v>1.64</v>
      </c>
      <c r="J1924" t="str">
        <f>IF(C1924="","FEHLT",IF(NOT(ISNUMBER(C1924)),"MESSWERT UNGUELTIG",IF(C1924&lt;0,"MESSWERT UNGUELTIG",IF(H1924="","TARIFPREIS FEHLT","OK"))))</f>
        <v>FEHLT</v>
      </c>
      <c r="K1924" s="7">
        <f>IF(J1924&lt;&gt;"OK","",C1924*I1924/100)</f>
        <v/>
      </c>
    </row>
    <row r="1925" spans="1:11">
      <c r="A1925" s="14">
        <v>46162</v>
      </c>
      <c r="B1925" s="15">
        <v>0.9895833333333334</v>
      </c>
      <c r="C1925" s="5">
        <f>IF('96 Werte'!CS25="","",'96 Werte'!CS25)</f>
        <v/>
      </c>
      <c r="D1925" t="str">
        <f>IF(IF(Eingaben!$B$21&lt;Eingaben!$B$22,AND(B1925&gt;=Eingaben!$B$21,B1925&lt;Eingaben!$B$22),OR(B1925&gt;=Eingaben!$B$21,B1925&lt;Eingaben!$B$22)),"GO",IF(AND(ISNUMBER(Eingaben!$B$23),ISNUMBER(Eingaben!$B$24),IF(Eingaben!$B$23&lt;Eingaben!$B$24,AND(B1925&gt;=Eingaben!$B$23,B1925&lt;Eingaben!$B$24),OR(B1925&gt;=Eingaben!$B$23,B1925&lt;Eingaben!$B$24))),"HEAT","STANDARD"))</f>
        <v>STANDARD</v>
      </c>
      <c r="E1925" s="9"/>
      <c r="F1925" t="str">
        <f>IF(E1925="",D1925,E1925)</f>
        <v>STANDARD</v>
      </c>
      <c r="G1925" t="str">
        <f>INDEX(Netzzeiten!$B$6:$B$29,HOUR(B1925)+1)</f>
        <v>NT</v>
      </c>
      <c r="H1925" s="6">
        <f>IF(F1925="GO",Eingaben!$B$11,IF(F1925="STANDARD",Eingaben!$B$12,IF(AND(F1925="HEAT",ISNUMBER(Eingaben!$B$13)),Eingaben!$B$13,"")))</f>
        <v>28.2744</v>
      </c>
      <c r="I1925" s="6">
        <f>INDEX(Netzzeiten!$C$6:$C$29,HOUR(B1925)+1)</f>
        <v>1.64</v>
      </c>
      <c r="J1925" t="str">
        <f>IF(C1925="","FEHLT",IF(NOT(ISNUMBER(C1925)),"MESSWERT UNGUELTIG",IF(C1925&lt;0,"MESSWERT UNGUELTIG",IF(H1925="","TARIFPREIS FEHLT","OK"))))</f>
        <v>FEHLT</v>
      </c>
      <c r="K1925" s="7">
        <f>IF(J1925&lt;&gt;"OK","",C1925*I1925/100)</f>
        <v/>
      </c>
    </row>
    <row r="1926" spans="1:11">
      <c r="A1926" s="14">
        <v>46163</v>
      </c>
      <c r="B1926" s="15">
        <v>0</v>
      </c>
      <c r="C1926" s="5">
        <f>IF('96 Werte'!B26="","",'96 Werte'!B26)</f>
        <v/>
      </c>
      <c r="D1926" t="str">
        <f>IF(IF(Eingaben!$B$21&lt;Eingaben!$B$22,AND(B1926&gt;=Eingaben!$B$21,B1926&lt;Eingaben!$B$22),OR(B1926&gt;=Eingaben!$B$21,B1926&lt;Eingaben!$B$22)),"GO",IF(AND(ISNUMBER(Eingaben!$B$23),ISNUMBER(Eingaben!$B$24),IF(Eingaben!$B$23&lt;Eingaben!$B$24,AND(B1926&gt;=Eingaben!$B$23,B1926&lt;Eingaben!$B$24),OR(B1926&gt;=Eingaben!$B$23,B1926&lt;Eingaben!$B$24))),"HEAT","STANDARD"))</f>
        <v>GO</v>
      </c>
      <c r="E1926" s="9"/>
      <c r="F1926" t="str">
        <f>IF(E1926="",D1926,E1926)</f>
        <v>GO</v>
      </c>
      <c r="G1926" t="str">
        <f>INDEX(Netzzeiten!$B$6:$B$29,HOUR(B1926)+1)</f>
        <v>NT</v>
      </c>
      <c r="H1926" s="6">
        <f>IF(F1926="GO",Eingaben!$B$11,IF(F1926="STANDARD",Eingaben!$B$12,IF(AND(F1926="HEAT",ISNUMBER(Eingaben!$B$13)),Eingaben!$B$13,"")))</f>
        <v>15.0654</v>
      </c>
      <c r="I1926" s="6">
        <f>INDEX(Netzzeiten!$C$6:$C$29,HOUR(B1926)+1)</f>
        <v>1.64</v>
      </c>
      <c r="J1926" t="str">
        <f>IF(C1926="","FEHLT",IF(NOT(ISNUMBER(C1926)),"MESSWERT UNGUELTIG",IF(C1926&lt;0,"MESSWERT UNGUELTIG",IF(H1926="","TARIFPREIS FEHLT","OK"))))</f>
        <v>FEHLT</v>
      </c>
      <c r="K1926" s="7">
        <f>IF(J1926&lt;&gt;"OK","",C1926*I1926/100)</f>
        <v/>
      </c>
    </row>
    <row r="1927" spans="1:11">
      <c r="A1927" s="14">
        <v>46163</v>
      </c>
      <c r="B1927" s="15">
        <v>0.01041666666666667</v>
      </c>
      <c r="C1927" s="5">
        <f>IF('96 Werte'!C26="","",'96 Werte'!C26)</f>
        <v/>
      </c>
      <c r="D1927" t="str">
        <f>IF(IF(Eingaben!$B$21&lt;Eingaben!$B$22,AND(B1927&gt;=Eingaben!$B$21,B1927&lt;Eingaben!$B$22),OR(B1927&gt;=Eingaben!$B$21,B1927&lt;Eingaben!$B$22)),"GO",IF(AND(ISNUMBER(Eingaben!$B$23),ISNUMBER(Eingaben!$B$24),IF(Eingaben!$B$23&lt;Eingaben!$B$24,AND(B1927&gt;=Eingaben!$B$23,B1927&lt;Eingaben!$B$24),OR(B1927&gt;=Eingaben!$B$23,B1927&lt;Eingaben!$B$24))),"HEAT","STANDARD"))</f>
        <v>GO</v>
      </c>
      <c r="E1927" s="9"/>
      <c r="F1927" t="str">
        <f>IF(E1927="",D1927,E1927)</f>
        <v>GO</v>
      </c>
      <c r="G1927" t="str">
        <f>INDEX(Netzzeiten!$B$6:$B$29,HOUR(B1927)+1)</f>
        <v>NT</v>
      </c>
      <c r="H1927" s="6">
        <f>IF(F1927="GO",Eingaben!$B$11,IF(F1927="STANDARD",Eingaben!$B$12,IF(AND(F1927="HEAT",ISNUMBER(Eingaben!$B$13)),Eingaben!$B$13,"")))</f>
        <v>15.0654</v>
      </c>
      <c r="I1927" s="6">
        <f>INDEX(Netzzeiten!$C$6:$C$29,HOUR(B1927)+1)</f>
        <v>1.64</v>
      </c>
      <c r="J1927" t="str">
        <f>IF(C1927="","FEHLT",IF(NOT(ISNUMBER(C1927)),"MESSWERT UNGUELTIG",IF(C1927&lt;0,"MESSWERT UNGUELTIG",IF(H1927="","TARIFPREIS FEHLT","OK"))))</f>
        <v>FEHLT</v>
      </c>
      <c r="K1927" s="7">
        <f>IF(J1927&lt;&gt;"OK","",C1927*I1927/100)</f>
        <v/>
      </c>
    </row>
    <row r="1928" spans="1:11">
      <c r="A1928" s="14">
        <v>46163</v>
      </c>
      <c r="B1928" s="15">
        <v>0.02083333333333333</v>
      </c>
      <c r="C1928" s="5">
        <f>IF('96 Werte'!D26="","",'96 Werte'!D26)</f>
        <v/>
      </c>
      <c r="D1928" t="str">
        <f>IF(IF(Eingaben!$B$21&lt;Eingaben!$B$22,AND(B1928&gt;=Eingaben!$B$21,B1928&lt;Eingaben!$B$22),OR(B1928&gt;=Eingaben!$B$21,B1928&lt;Eingaben!$B$22)),"GO",IF(AND(ISNUMBER(Eingaben!$B$23),ISNUMBER(Eingaben!$B$24),IF(Eingaben!$B$23&lt;Eingaben!$B$24,AND(B1928&gt;=Eingaben!$B$23,B1928&lt;Eingaben!$B$24),OR(B1928&gt;=Eingaben!$B$23,B1928&lt;Eingaben!$B$24))),"HEAT","STANDARD"))</f>
        <v>GO</v>
      </c>
      <c r="E1928" s="9"/>
      <c r="F1928" t="str">
        <f>IF(E1928="",D1928,E1928)</f>
        <v>GO</v>
      </c>
      <c r="G1928" t="str">
        <f>INDEX(Netzzeiten!$B$6:$B$29,HOUR(B1928)+1)</f>
        <v>NT</v>
      </c>
      <c r="H1928" s="6">
        <f>IF(F1928="GO",Eingaben!$B$11,IF(F1928="STANDARD",Eingaben!$B$12,IF(AND(F1928="HEAT",ISNUMBER(Eingaben!$B$13)),Eingaben!$B$13,"")))</f>
        <v>15.0654</v>
      </c>
      <c r="I1928" s="6">
        <f>INDEX(Netzzeiten!$C$6:$C$29,HOUR(B1928)+1)</f>
        <v>1.64</v>
      </c>
      <c r="J1928" t="str">
        <f>IF(C1928="","FEHLT",IF(NOT(ISNUMBER(C1928)),"MESSWERT UNGUELTIG",IF(C1928&lt;0,"MESSWERT UNGUELTIG",IF(H1928="","TARIFPREIS FEHLT","OK"))))</f>
        <v>FEHLT</v>
      </c>
      <c r="K1928" s="7">
        <f>IF(J1928&lt;&gt;"OK","",C1928*I1928/100)</f>
        <v/>
      </c>
    </row>
    <row r="1929" spans="1:11">
      <c r="A1929" s="14">
        <v>46163</v>
      </c>
      <c r="B1929" s="15">
        <v>0.03125</v>
      </c>
      <c r="C1929" s="5">
        <f>IF('96 Werte'!E26="","",'96 Werte'!E26)</f>
        <v/>
      </c>
      <c r="D1929" t="str">
        <f>IF(IF(Eingaben!$B$21&lt;Eingaben!$B$22,AND(B1929&gt;=Eingaben!$B$21,B1929&lt;Eingaben!$B$22),OR(B1929&gt;=Eingaben!$B$21,B1929&lt;Eingaben!$B$22)),"GO",IF(AND(ISNUMBER(Eingaben!$B$23),ISNUMBER(Eingaben!$B$24),IF(Eingaben!$B$23&lt;Eingaben!$B$24,AND(B1929&gt;=Eingaben!$B$23,B1929&lt;Eingaben!$B$24),OR(B1929&gt;=Eingaben!$B$23,B1929&lt;Eingaben!$B$24))),"HEAT","STANDARD"))</f>
        <v>GO</v>
      </c>
      <c r="E1929" s="9"/>
      <c r="F1929" t="str">
        <f>IF(E1929="",D1929,E1929)</f>
        <v>GO</v>
      </c>
      <c r="G1929" t="str">
        <f>INDEX(Netzzeiten!$B$6:$B$29,HOUR(B1929)+1)</f>
        <v>NT</v>
      </c>
      <c r="H1929" s="6">
        <f>IF(F1929="GO",Eingaben!$B$11,IF(F1929="STANDARD",Eingaben!$B$12,IF(AND(F1929="HEAT",ISNUMBER(Eingaben!$B$13)),Eingaben!$B$13,"")))</f>
        <v>15.0654</v>
      </c>
      <c r="I1929" s="6">
        <f>INDEX(Netzzeiten!$C$6:$C$29,HOUR(B1929)+1)</f>
        <v>1.64</v>
      </c>
      <c r="J1929" t="str">
        <f>IF(C1929="","FEHLT",IF(NOT(ISNUMBER(C1929)),"MESSWERT UNGUELTIG",IF(C1929&lt;0,"MESSWERT UNGUELTIG",IF(H1929="","TARIFPREIS FEHLT","OK"))))</f>
        <v>FEHLT</v>
      </c>
      <c r="K1929" s="7">
        <f>IF(J1929&lt;&gt;"OK","",C1929*I1929/100)</f>
        <v/>
      </c>
    </row>
    <row r="1930" spans="1:11">
      <c r="A1930" s="14">
        <v>46163</v>
      </c>
      <c r="B1930" s="15">
        <v>0.04166666666666666</v>
      </c>
      <c r="C1930" s="5">
        <f>IF('96 Werte'!F26="","",'96 Werte'!F26)</f>
        <v/>
      </c>
      <c r="D1930" t="str">
        <f>IF(IF(Eingaben!$B$21&lt;Eingaben!$B$22,AND(B1930&gt;=Eingaben!$B$21,B1930&lt;Eingaben!$B$22),OR(B1930&gt;=Eingaben!$B$21,B1930&lt;Eingaben!$B$22)),"GO",IF(AND(ISNUMBER(Eingaben!$B$23),ISNUMBER(Eingaben!$B$24),IF(Eingaben!$B$23&lt;Eingaben!$B$24,AND(B1930&gt;=Eingaben!$B$23,B1930&lt;Eingaben!$B$24),OR(B1930&gt;=Eingaben!$B$23,B1930&lt;Eingaben!$B$24))),"HEAT","STANDARD"))</f>
        <v>GO</v>
      </c>
      <c r="E1930" s="9"/>
      <c r="F1930" t="str">
        <f>IF(E1930="",D1930,E1930)</f>
        <v>GO</v>
      </c>
      <c r="G1930" t="str">
        <f>INDEX(Netzzeiten!$B$6:$B$29,HOUR(B1930)+1)</f>
        <v>NT</v>
      </c>
      <c r="H1930" s="6">
        <f>IF(F1930="GO",Eingaben!$B$11,IF(F1930="STANDARD",Eingaben!$B$12,IF(AND(F1930="HEAT",ISNUMBER(Eingaben!$B$13)),Eingaben!$B$13,"")))</f>
        <v>15.0654</v>
      </c>
      <c r="I1930" s="6">
        <f>INDEX(Netzzeiten!$C$6:$C$29,HOUR(B1930)+1)</f>
        <v>1.64</v>
      </c>
      <c r="J1930" t="str">
        <f>IF(C1930="","FEHLT",IF(NOT(ISNUMBER(C1930)),"MESSWERT UNGUELTIG",IF(C1930&lt;0,"MESSWERT UNGUELTIG",IF(H1930="","TARIFPREIS FEHLT","OK"))))</f>
        <v>FEHLT</v>
      </c>
      <c r="K1930" s="7">
        <f>IF(J1930&lt;&gt;"OK","",C1930*I1930/100)</f>
        <v/>
      </c>
    </row>
    <row r="1931" spans="1:11">
      <c r="A1931" s="14">
        <v>46163</v>
      </c>
      <c r="B1931" s="15">
        <v>0.05208333333333334</v>
      </c>
      <c r="C1931" s="5">
        <f>IF('96 Werte'!G26="","",'96 Werte'!G26)</f>
        <v/>
      </c>
      <c r="D1931" t="str">
        <f>IF(IF(Eingaben!$B$21&lt;Eingaben!$B$22,AND(B1931&gt;=Eingaben!$B$21,B1931&lt;Eingaben!$B$22),OR(B1931&gt;=Eingaben!$B$21,B1931&lt;Eingaben!$B$22)),"GO",IF(AND(ISNUMBER(Eingaben!$B$23),ISNUMBER(Eingaben!$B$24),IF(Eingaben!$B$23&lt;Eingaben!$B$24,AND(B1931&gt;=Eingaben!$B$23,B1931&lt;Eingaben!$B$24),OR(B1931&gt;=Eingaben!$B$23,B1931&lt;Eingaben!$B$24))),"HEAT","STANDARD"))</f>
        <v>GO</v>
      </c>
      <c r="E1931" s="9"/>
      <c r="F1931" t="str">
        <f>IF(E1931="",D1931,E1931)</f>
        <v>GO</v>
      </c>
      <c r="G1931" t="str">
        <f>INDEX(Netzzeiten!$B$6:$B$29,HOUR(B1931)+1)</f>
        <v>NT</v>
      </c>
      <c r="H1931" s="6">
        <f>IF(F1931="GO",Eingaben!$B$11,IF(F1931="STANDARD",Eingaben!$B$12,IF(AND(F1931="HEAT",ISNUMBER(Eingaben!$B$13)),Eingaben!$B$13,"")))</f>
        <v>15.0654</v>
      </c>
      <c r="I1931" s="6">
        <f>INDEX(Netzzeiten!$C$6:$C$29,HOUR(B1931)+1)</f>
        <v>1.64</v>
      </c>
      <c r="J1931" t="str">
        <f>IF(C1931="","FEHLT",IF(NOT(ISNUMBER(C1931)),"MESSWERT UNGUELTIG",IF(C1931&lt;0,"MESSWERT UNGUELTIG",IF(H1931="","TARIFPREIS FEHLT","OK"))))</f>
        <v>FEHLT</v>
      </c>
      <c r="K1931" s="7">
        <f>IF(J1931&lt;&gt;"OK","",C1931*I1931/100)</f>
        <v/>
      </c>
    </row>
    <row r="1932" spans="1:11">
      <c r="A1932" s="14">
        <v>46163</v>
      </c>
      <c r="B1932" s="15">
        <v>0.0625</v>
      </c>
      <c r="C1932" s="5">
        <f>IF('96 Werte'!H26="","",'96 Werte'!H26)</f>
        <v/>
      </c>
      <c r="D1932" t="str">
        <f>IF(IF(Eingaben!$B$21&lt;Eingaben!$B$22,AND(B1932&gt;=Eingaben!$B$21,B1932&lt;Eingaben!$B$22),OR(B1932&gt;=Eingaben!$B$21,B1932&lt;Eingaben!$B$22)),"GO",IF(AND(ISNUMBER(Eingaben!$B$23),ISNUMBER(Eingaben!$B$24),IF(Eingaben!$B$23&lt;Eingaben!$B$24,AND(B1932&gt;=Eingaben!$B$23,B1932&lt;Eingaben!$B$24),OR(B1932&gt;=Eingaben!$B$23,B1932&lt;Eingaben!$B$24))),"HEAT","STANDARD"))</f>
        <v>GO</v>
      </c>
      <c r="E1932" s="9"/>
      <c r="F1932" t="str">
        <f>IF(E1932="",D1932,E1932)</f>
        <v>GO</v>
      </c>
      <c r="G1932" t="str">
        <f>INDEX(Netzzeiten!$B$6:$B$29,HOUR(B1932)+1)</f>
        <v>NT</v>
      </c>
      <c r="H1932" s="6">
        <f>IF(F1932="GO",Eingaben!$B$11,IF(F1932="STANDARD",Eingaben!$B$12,IF(AND(F1932="HEAT",ISNUMBER(Eingaben!$B$13)),Eingaben!$B$13,"")))</f>
        <v>15.0654</v>
      </c>
      <c r="I1932" s="6">
        <f>INDEX(Netzzeiten!$C$6:$C$29,HOUR(B1932)+1)</f>
        <v>1.64</v>
      </c>
      <c r="J1932" t="str">
        <f>IF(C1932="","FEHLT",IF(NOT(ISNUMBER(C1932)),"MESSWERT UNGUELTIG",IF(C1932&lt;0,"MESSWERT UNGUELTIG",IF(H1932="","TARIFPREIS FEHLT","OK"))))</f>
        <v>FEHLT</v>
      </c>
      <c r="K1932" s="7">
        <f>IF(J1932&lt;&gt;"OK","",C1932*I1932/100)</f>
        <v/>
      </c>
    </row>
    <row r="1933" spans="1:11">
      <c r="A1933" s="14">
        <v>46163</v>
      </c>
      <c r="B1933" s="15">
        <v>0.07291666666666667</v>
      </c>
      <c r="C1933" s="5">
        <f>IF('96 Werte'!I26="","",'96 Werte'!I26)</f>
        <v/>
      </c>
      <c r="D1933" t="str">
        <f>IF(IF(Eingaben!$B$21&lt;Eingaben!$B$22,AND(B1933&gt;=Eingaben!$B$21,B1933&lt;Eingaben!$B$22),OR(B1933&gt;=Eingaben!$B$21,B1933&lt;Eingaben!$B$22)),"GO",IF(AND(ISNUMBER(Eingaben!$B$23),ISNUMBER(Eingaben!$B$24),IF(Eingaben!$B$23&lt;Eingaben!$B$24,AND(B1933&gt;=Eingaben!$B$23,B1933&lt;Eingaben!$B$24),OR(B1933&gt;=Eingaben!$B$23,B1933&lt;Eingaben!$B$24))),"HEAT","STANDARD"))</f>
        <v>GO</v>
      </c>
      <c r="E1933" s="9"/>
      <c r="F1933" t="str">
        <f>IF(E1933="",D1933,E1933)</f>
        <v>GO</v>
      </c>
      <c r="G1933" t="str">
        <f>INDEX(Netzzeiten!$B$6:$B$29,HOUR(B1933)+1)</f>
        <v>NT</v>
      </c>
      <c r="H1933" s="6">
        <f>IF(F1933="GO",Eingaben!$B$11,IF(F1933="STANDARD",Eingaben!$B$12,IF(AND(F1933="HEAT",ISNUMBER(Eingaben!$B$13)),Eingaben!$B$13,"")))</f>
        <v>15.0654</v>
      </c>
      <c r="I1933" s="6">
        <f>INDEX(Netzzeiten!$C$6:$C$29,HOUR(B1933)+1)</f>
        <v>1.64</v>
      </c>
      <c r="J1933" t="str">
        <f>IF(C1933="","FEHLT",IF(NOT(ISNUMBER(C1933)),"MESSWERT UNGUELTIG",IF(C1933&lt;0,"MESSWERT UNGUELTIG",IF(H1933="","TARIFPREIS FEHLT","OK"))))</f>
        <v>FEHLT</v>
      </c>
      <c r="K1933" s="7">
        <f>IF(J1933&lt;&gt;"OK","",C1933*I1933/100)</f>
        <v/>
      </c>
    </row>
    <row r="1934" spans="1:11">
      <c r="A1934" s="14">
        <v>46163</v>
      </c>
      <c r="B1934" s="15">
        <v>0.08333333333333333</v>
      </c>
      <c r="C1934" s="5">
        <f>IF('96 Werte'!J26="","",'96 Werte'!J26)</f>
        <v/>
      </c>
      <c r="D1934" t="str">
        <f>IF(IF(Eingaben!$B$21&lt;Eingaben!$B$22,AND(B1934&gt;=Eingaben!$B$21,B1934&lt;Eingaben!$B$22),OR(B1934&gt;=Eingaben!$B$21,B1934&lt;Eingaben!$B$22)),"GO",IF(AND(ISNUMBER(Eingaben!$B$23),ISNUMBER(Eingaben!$B$24),IF(Eingaben!$B$23&lt;Eingaben!$B$24,AND(B1934&gt;=Eingaben!$B$23,B1934&lt;Eingaben!$B$24),OR(B1934&gt;=Eingaben!$B$23,B1934&lt;Eingaben!$B$24))),"HEAT","STANDARD"))</f>
        <v>GO</v>
      </c>
      <c r="E1934" s="9"/>
      <c r="F1934" t="str">
        <f>IF(E1934="",D1934,E1934)</f>
        <v>GO</v>
      </c>
      <c r="G1934" t="str">
        <f>INDEX(Netzzeiten!$B$6:$B$29,HOUR(B1934)+1)</f>
        <v>NT</v>
      </c>
      <c r="H1934" s="6">
        <f>IF(F1934="GO",Eingaben!$B$11,IF(F1934="STANDARD",Eingaben!$B$12,IF(AND(F1934="HEAT",ISNUMBER(Eingaben!$B$13)),Eingaben!$B$13,"")))</f>
        <v>15.0654</v>
      </c>
      <c r="I1934" s="6">
        <f>INDEX(Netzzeiten!$C$6:$C$29,HOUR(B1934)+1)</f>
        <v>1.64</v>
      </c>
      <c r="J1934" t="str">
        <f>IF(C1934="","FEHLT",IF(NOT(ISNUMBER(C1934)),"MESSWERT UNGUELTIG",IF(C1934&lt;0,"MESSWERT UNGUELTIG",IF(H1934="","TARIFPREIS FEHLT","OK"))))</f>
        <v>FEHLT</v>
      </c>
      <c r="K1934" s="7">
        <f>IF(J1934&lt;&gt;"OK","",C1934*I1934/100)</f>
        <v/>
      </c>
    </row>
    <row r="1935" spans="1:11">
      <c r="A1935" s="14">
        <v>46163</v>
      </c>
      <c r="B1935" s="15">
        <v>0.09375</v>
      </c>
      <c r="C1935" s="5">
        <f>IF('96 Werte'!K26="","",'96 Werte'!K26)</f>
        <v/>
      </c>
      <c r="D1935" t="str">
        <f>IF(IF(Eingaben!$B$21&lt;Eingaben!$B$22,AND(B1935&gt;=Eingaben!$B$21,B1935&lt;Eingaben!$B$22),OR(B1935&gt;=Eingaben!$B$21,B1935&lt;Eingaben!$B$22)),"GO",IF(AND(ISNUMBER(Eingaben!$B$23),ISNUMBER(Eingaben!$B$24),IF(Eingaben!$B$23&lt;Eingaben!$B$24,AND(B1935&gt;=Eingaben!$B$23,B1935&lt;Eingaben!$B$24),OR(B1935&gt;=Eingaben!$B$23,B1935&lt;Eingaben!$B$24))),"HEAT","STANDARD"))</f>
        <v>GO</v>
      </c>
      <c r="E1935" s="9"/>
      <c r="F1935" t="str">
        <f>IF(E1935="",D1935,E1935)</f>
        <v>GO</v>
      </c>
      <c r="G1935" t="str">
        <f>INDEX(Netzzeiten!$B$6:$B$29,HOUR(B1935)+1)</f>
        <v>NT</v>
      </c>
      <c r="H1935" s="6">
        <f>IF(F1935="GO",Eingaben!$B$11,IF(F1935="STANDARD",Eingaben!$B$12,IF(AND(F1935="HEAT",ISNUMBER(Eingaben!$B$13)),Eingaben!$B$13,"")))</f>
        <v>15.0654</v>
      </c>
      <c r="I1935" s="6">
        <f>INDEX(Netzzeiten!$C$6:$C$29,HOUR(B1935)+1)</f>
        <v>1.64</v>
      </c>
      <c r="J1935" t="str">
        <f>IF(C1935="","FEHLT",IF(NOT(ISNUMBER(C1935)),"MESSWERT UNGUELTIG",IF(C1935&lt;0,"MESSWERT UNGUELTIG",IF(H1935="","TARIFPREIS FEHLT","OK"))))</f>
        <v>FEHLT</v>
      </c>
      <c r="K1935" s="7">
        <f>IF(J1935&lt;&gt;"OK","",C1935*I1935/100)</f>
        <v/>
      </c>
    </row>
    <row r="1936" spans="1:11">
      <c r="A1936" s="14">
        <v>46163</v>
      </c>
      <c r="B1936" s="15">
        <v>0.1041666666666667</v>
      </c>
      <c r="C1936" s="5">
        <f>IF('96 Werte'!L26="","",'96 Werte'!L26)</f>
        <v/>
      </c>
      <c r="D1936" t="str">
        <f>IF(IF(Eingaben!$B$21&lt;Eingaben!$B$22,AND(B1936&gt;=Eingaben!$B$21,B1936&lt;Eingaben!$B$22),OR(B1936&gt;=Eingaben!$B$21,B1936&lt;Eingaben!$B$22)),"GO",IF(AND(ISNUMBER(Eingaben!$B$23),ISNUMBER(Eingaben!$B$24),IF(Eingaben!$B$23&lt;Eingaben!$B$24,AND(B1936&gt;=Eingaben!$B$23,B1936&lt;Eingaben!$B$24),OR(B1936&gt;=Eingaben!$B$23,B1936&lt;Eingaben!$B$24))),"HEAT","STANDARD"))</f>
        <v>GO</v>
      </c>
      <c r="E1936" s="9"/>
      <c r="F1936" t="str">
        <f>IF(E1936="",D1936,E1936)</f>
        <v>GO</v>
      </c>
      <c r="G1936" t="str">
        <f>INDEX(Netzzeiten!$B$6:$B$29,HOUR(B1936)+1)</f>
        <v>NT</v>
      </c>
      <c r="H1936" s="6">
        <f>IF(F1936="GO",Eingaben!$B$11,IF(F1936="STANDARD",Eingaben!$B$12,IF(AND(F1936="HEAT",ISNUMBER(Eingaben!$B$13)),Eingaben!$B$13,"")))</f>
        <v>15.0654</v>
      </c>
      <c r="I1936" s="6">
        <f>INDEX(Netzzeiten!$C$6:$C$29,HOUR(B1936)+1)</f>
        <v>1.64</v>
      </c>
      <c r="J1936" t="str">
        <f>IF(C1936="","FEHLT",IF(NOT(ISNUMBER(C1936)),"MESSWERT UNGUELTIG",IF(C1936&lt;0,"MESSWERT UNGUELTIG",IF(H1936="","TARIFPREIS FEHLT","OK"))))</f>
        <v>FEHLT</v>
      </c>
      <c r="K1936" s="7">
        <f>IF(J1936&lt;&gt;"OK","",C1936*I1936/100)</f>
        <v/>
      </c>
    </row>
    <row r="1937" spans="1:11">
      <c r="A1937" s="14">
        <v>46163</v>
      </c>
      <c r="B1937" s="15">
        <v>0.1145833333333333</v>
      </c>
      <c r="C1937" s="5">
        <f>IF('96 Werte'!M26="","",'96 Werte'!M26)</f>
        <v/>
      </c>
      <c r="D1937" t="str">
        <f>IF(IF(Eingaben!$B$21&lt;Eingaben!$B$22,AND(B1937&gt;=Eingaben!$B$21,B1937&lt;Eingaben!$B$22),OR(B1937&gt;=Eingaben!$B$21,B1937&lt;Eingaben!$B$22)),"GO",IF(AND(ISNUMBER(Eingaben!$B$23),ISNUMBER(Eingaben!$B$24),IF(Eingaben!$B$23&lt;Eingaben!$B$24,AND(B1937&gt;=Eingaben!$B$23,B1937&lt;Eingaben!$B$24),OR(B1937&gt;=Eingaben!$B$23,B1937&lt;Eingaben!$B$24))),"HEAT","STANDARD"))</f>
        <v>GO</v>
      </c>
      <c r="E1937" s="9"/>
      <c r="F1937" t="str">
        <f>IF(E1937="",D1937,E1937)</f>
        <v>GO</v>
      </c>
      <c r="G1937" t="str">
        <f>INDEX(Netzzeiten!$B$6:$B$29,HOUR(B1937)+1)</f>
        <v>NT</v>
      </c>
      <c r="H1937" s="6">
        <f>IF(F1937="GO",Eingaben!$B$11,IF(F1937="STANDARD",Eingaben!$B$12,IF(AND(F1937="HEAT",ISNUMBER(Eingaben!$B$13)),Eingaben!$B$13,"")))</f>
        <v>15.0654</v>
      </c>
      <c r="I1937" s="6">
        <f>INDEX(Netzzeiten!$C$6:$C$29,HOUR(B1937)+1)</f>
        <v>1.64</v>
      </c>
      <c r="J1937" t="str">
        <f>IF(C1937="","FEHLT",IF(NOT(ISNUMBER(C1937)),"MESSWERT UNGUELTIG",IF(C1937&lt;0,"MESSWERT UNGUELTIG",IF(H1937="","TARIFPREIS FEHLT","OK"))))</f>
        <v>FEHLT</v>
      </c>
      <c r="K1937" s="7">
        <f>IF(J1937&lt;&gt;"OK","",C1937*I1937/100)</f>
        <v/>
      </c>
    </row>
    <row r="1938" spans="1:11">
      <c r="A1938" s="14">
        <v>46163</v>
      </c>
      <c r="B1938" s="15">
        <v>0.125</v>
      </c>
      <c r="C1938" s="5">
        <f>IF('96 Werte'!N26="","",'96 Werte'!N26)</f>
        <v/>
      </c>
      <c r="D1938" t="str">
        <f>IF(IF(Eingaben!$B$21&lt;Eingaben!$B$22,AND(B1938&gt;=Eingaben!$B$21,B1938&lt;Eingaben!$B$22),OR(B1938&gt;=Eingaben!$B$21,B1938&lt;Eingaben!$B$22)),"GO",IF(AND(ISNUMBER(Eingaben!$B$23),ISNUMBER(Eingaben!$B$24),IF(Eingaben!$B$23&lt;Eingaben!$B$24,AND(B1938&gt;=Eingaben!$B$23,B1938&lt;Eingaben!$B$24),OR(B1938&gt;=Eingaben!$B$23,B1938&lt;Eingaben!$B$24))),"HEAT","STANDARD"))</f>
        <v>GO</v>
      </c>
      <c r="E1938" s="9"/>
      <c r="F1938" t="str">
        <f>IF(E1938="",D1938,E1938)</f>
        <v>GO</v>
      </c>
      <c r="G1938" t="str">
        <f>INDEX(Netzzeiten!$B$6:$B$29,HOUR(B1938)+1)</f>
        <v>NT</v>
      </c>
      <c r="H1938" s="6">
        <f>IF(F1938="GO",Eingaben!$B$11,IF(F1938="STANDARD",Eingaben!$B$12,IF(AND(F1938="HEAT",ISNUMBER(Eingaben!$B$13)),Eingaben!$B$13,"")))</f>
        <v>15.0654</v>
      </c>
      <c r="I1938" s="6">
        <f>INDEX(Netzzeiten!$C$6:$C$29,HOUR(B1938)+1)</f>
        <v>1.64</v>
      </c>
      <c r="J1938" t="str">
        <f>IF(C1938="","FEHLT",IF(NOT(ISNUMBER(C1938)),"MESSWERT UNGUELTIG",IF(C1938&lt;0,"MESSWERT UNGUELTIG",IF(H1938="","TARIFPREIS FEHLT","OK"))))</f>
        <v>FEHLT</v>
      </c>
      <c r="K1938" s="7">
        <f>IF(J1938&lt;&gt;"OK","",C1938*I1938/100)</f>
        <v/>
      </c>
    </row>
    <row r="1939" spans="1:11">
      <c r="A1939" s="14">
        <v>46163</v>
      </c>
      <c r="B1939" s="15">
        <v>0.1354166666666667</v>
      </c>
      <c r="C1939" s="5">
        <f>IF('96 Werte'!O26="","",'96 Werte'!O26)</f>
        <v/>
      </c>
      <c r="D1939" t="str">
        <f>IF(IF(Eingaben!$B$21&lt;Eingaben!$B$22,AND(B1939&gt;=Eingaben!$B$21,B1939&lt;Eingaben!$B$22),OR(B1939&gt;=Eingaben!$B$21,B1939&lt;Eingaben!$B$22)),"GO",IF(AND(ISNUMBER(Eingaben!$B$23),ISNUMBER(Eingaben!$B$24),IF(Eingaben!$B$23&lt;Eingaben!$B$24,AND(B1939&gt;=Eingaben!$B$23,B1939&lt;Eingaben!$B$24),OR(B1939&gt;=Eingaben!$B$23,B1939&lt;Eingaben!$B$24))),"HEAT","STANDARD"))</f>
        <v>GO</v>
      </c>
      <c r="E1939" s="9"/>
      <c r="F1939" t="str">
        <f>IF(E1939="",D1939,E1939)</f>
        <v>GO</v>
      </c>
      <c r="G1939" t="str">
        <f>INDEX(Netzzeiten!$B$6:$B$29,HOUR(B1939)+1)</f>
        <v>NT</v>
      </c>
      <c r="H1939" s="6">
        <f>IF(F1939="GO",Eingaben!$B$11,IF(F1939="STANDARD",Eingaben!$B$12,IF(AND(F1939="HEAT",ISNUMBER(Eingaben!$B$13)),Eingaben!$B$13,"")))</f>
        <v>15.0654</v>
      </c>
      <c r="I1939" s="6">
        <f>INDEX(Netzzeiten!$C$6:$C$29,HOUR(B1939)+1)</f>
        <v>1.64</v>
      </c>
      <c r="J1939" t="str">
        <f>IF(C1939="","FEHLT",IF(NOT(ISNUMBER(C1939)),"MESSWERT UNGUELTIG",IF(C1939&lt;0,"MESSWERT UNGUELTIG",IF(H1939="","TARIFPREIS FEHLT","OK"))))</f>
        <v>FEHLT</v>
      </c>
      <c r="K1939" s="7">
        <f>IF(J1939&lt;&gt;"OK","",C1939*I1939/100)</f>
        <v/>
      </c>
    </row>
    <row r="1940" spans="1:11">
      <c r="A1940" s="14">
        <v>46163</v>
      </c>
      <c r="B1940" s="15">
        <v>0.1458333333333333</v>
      </c>
      <c r="C1940" s="5">
        <f>IF('96 Werte'!P26="","",'96 Werte'!P26)</f>
        <v/>
      </c>
      <c r="D1940" t="str">
        <f>IF(IF(Eingaben!$B$21&lt;Eingaben!$B$22,AND(B1940&gt;=Eingaben!$B$21,B1940&lt;Eingaben!$B$22),OR(B1940&gt;=Eingaben!$B$21,B1940&lt;Eingaben!$B$22)),"GO",IF(AND(ISNUMBER(Eingaben!$B$23),ISNUMBER(Eingaben!$B$24),IF(Eingaben!$B$23&lt;Eingaben!$B$24,AND(B1940&gt;=Eingaben!$B$23,B1940&lt;Eingaben!$B$24),OR(B1940&gt;=Eingaben!$B$23,B1940&lt;Eingaben!$B$24))),"HEAT","STANDARD"))</f>
        <v>GO</v>
      </c>
      <c r="E1940" s="9"/>
      <c r="F1940" t="str">
        <f>IF(E1940="",D1940,E1940)</f>
        <v>GO</v>
      </c>
      <c r="G1940" t="str">
        <f>INDEX(Netzzeiten!$B$6:$B$29,HOUR(B1940)+1)</f>
        <v>NT</v>
      </c>
      <c r="H1940" s="6">
        <f>IF(F1940="GO",Eingaben!$B$11,IF(F1940="STANDARD",Eingaben!$B$12,IF(AND(F1940="HEAT",ISNUMBER(Eingaben!$B$13)),Eingaben!$B$13,"")))</f>
        <v>15.0654</v>
      </c>
      <c r="I1940" s="6">
        <f>INDEX(Netzzeiten!$C$6:$C$29,HOUR(B1940)+1)</f>
        <v>1.64</v>
      </c>
      <c r="J1940" t="str">
        <f>IF(C1940="","FEHLT",IF(NOT(ISNUMBER(C1940)),"MESSWERT UNGUELTIG",IF(C1940&lt;0,"MESSWERT UNGUELTIG",IF(H1940="","TARIFPREIS FEHLT","OK"))))</f>
        <v>FEHLT</v>
      </c>
      <c r="K1940" s="7">
        <f>IF(J1940&lt;&gt;"OK","",C1940*I1940/100)</f>
        <v/>
      </c>
    </row>
    <row r="1941" spans="1:11">
      <c r="A1941" s="14">
        <v>46163</v>
      </c>
      <c r="B1941" s="15">
        <v>0.15625</v>
      </c>
      <c r="C1941" s="5">
        <f>IF('96 Werte'!Q26="","",'96 Werte'!Q26)</f>
        <v/>
      </c>
      <c r="D1941" t="str">
        <f>IF(IF(Eingaben!$B$21&lt;Eingaben!$B$22,AND(B1941&gt;=Eingaben!$B$21,B1941&lt;Eingaben!$B$22),OR(B1941&gt;=Eingaben!$B$21,B1941&lt;Eingaben!$B$22)),"GO",IF(AND(ISNUMBER(Eingaben!$B$23),ISNUMBER(Eingaben!$B$24),IF(Eingaben!$B$23&lt;Eingaben!$B$24,AND(B1941&gt;=Eingaben!$B$23,B1941&lt;Eingaben!$B$24),OR(B1941&gt;=Eingaben!$B$23,B1941&lt;Eingaben!$B$24))),"HEAT","STANDARD"))</f>
        <v>GO</v>
      </c>
      <c r="E1941" s="9"/>
      <c r="F1941" t="str">
        <f>IF(E1941="",D1941,E1941)</f>
        <v>GO</v>
      </c>
      <c r="G1941" t="str">
        <f>INDEX(Netzzeiten!$B$6:$B$29,HOUR(B1941)+1)</f>
        <v>NT</v>
      </c>
      <c r="H1941" s="6">
        <f>IF(F1941="GO",Eingaben!$B$11,IF(F1941="STANDARD",Eingaben!$B$12,IF(AND(F1941="HEAT",ISNUMBER(Eingaben!$B$13)),Eingaben!$B$13,"")))</f>
        <v>15.0654</v>
      </c>
      <c r="I1941" s="6">
        <f>INDEX(Netzzeiten!$C$6:$C$29,HOUR(B1941)+1)</f>
        <v>1.64</v>
      </c>
      <c r="J1941" t="str">
        <f>IF(C1941="","FEHLT",IF(NOT(ISNUMBER(C1941)),"MESSWERT UNGUELTIG",IF(C1941&lt;0,"MESSWERT UNGUELTIG",IF(H1941="","TARIFPREIS FEHLT","OK"))))</f>
        <v>FEHLT</v>
      </c>
      <c r="K1941" s="7">
        <f>IF(J1941&lt;&gt;"OK","",C1941*I1941/100)</f>
        <v/>
      </c>
    </row>
    <row r="1942" spans="1:11">
      <c r="A1942" s="14">
        <v>46163</v>
      </c>
      <c r="B1942" s="15">
        <v>0.1666666666666667</v>
      </c>
      <c r="C1942" s="5">
        <f>IF('96 Werte'!R26="","",'96 Werte'!R26)</f>
        <v/>
      </c>
      <c r="D1942" t="str">
        <f>IF(IF(Eingaben!$B$21&lt;Eingaben!$B$22,AND(B1942&gt;=Eingaben!$B$21,B1942&lt;Eingaben!$B$22),OR(B1942&gt;=Eingaben!$B$21,B1942&lt;Eingaben!$B$22)),"GO",IF(AND(ISNUMBER(Eingaben!$B$23),ISNUMBER(Eingaben!$B$24),IF(Eingaben!$B$23&lt;Eingaben!$B$24,AND(B1942&gt;=Eingaben!$B$23,B1942&lt;Eingaben!$B$24),OR(B1942&gt;=Eingaben!$B$23,B1942&lt;Eingaben!$B$24))),"HEAT","STANDARD"))</f>
        <v>GO</v>
      </c>
      <c r="E1942" s="9"/>
      <c r="F1942" t="str">
        <f>IF(E1942="",D1942,E1942)</f>
        <v>GO</v>
      </c>
      <c r="G1942" t="str">
        <f>INDEX(Netzzeiten!$B$6:$B$29,HOUR(B1942)+1)</f>
        <v>NT</v>
      </c>
      <c r="H1942" s="6">
        <f>IF(F1942="GO",Eingaben!$B$11,IF(F1942="STANDARD",Eingaben!$B$12,IF(AND(F1942="HEAT",ISNUMBER(Eingaben!$B$13)),Eingaben!$B$13,"")))</f>
        <v>15.0654</v>
      </c>
      <c r="I1942" s="6">
        <f>INDEX(Netzzeiten!$C$6:$C$29,HOUR(B1942)+1)</f>
        <v>1.64</v>
      </c>
      <c r="J1942" t="str">
        <f>IF(C1942="","FEHLT",IF(NOT(ISNUMBER(C1942)),"MESSWERT UNGUELTIG",IF(C1942&lt;0,"MESSWERT UNGUELTIG",IF(H1942="","TARIFPREIS FEHLT","OK"))))</f>
        <v>FEHLT</v>
      </c>
      <c r="K1942" s="7">
        <f>IF(J1942&lt;&gt;"OK","",C1942*I1942/100)</f>
        <v/>
      </c>
    </row>
    <row r="1943" spans="1:11">
      <c r="A1943" s="14">
        <v>46163</v>
      </c>
      <c r="B1943" s="15">
        <v>0.1770833333333333</v>
      </c>
      <c r="C1943" s="5">
        <f>IF('96 Werte'!S26="","",'96 Werte'!S26)</f>
        <v/>
      </c>
      <c r="D1943" t="str">
        <f>IF(IF(Eingaben!$B$21&lt;Eingaben!$B$22,AND(B1943&gt;=Eingaben!$B$21,B1943&lt;Eingaben!$B$22),OR(B1943&gt;=Eingaben!$B$21,B1943&lt;Eingaben!$B$22)),"GO",IF(AND(ISNUMBER(Eingaben!$B$23),ISNUMBER(Eingaben!$B$24),IF(Eingaben!$B$23&lt;Eingaben!$B$24,AND(B1943&gt;=Eingaben!$B$23,B1943&lt;Eingaben!$B$24),OR(B1943&gt;=Eingaben!$B$23,B1943&lt;Eingaben!$B$24))),"HEAT","STANDARD"))</f>
        <v>GO</v>
      </c>
      <c r="E1943" s="9"/>
      <c r="F1943" t="str">
        <f>IF(E1943="",D1943,E1943)</f>
        <v>GO</v>
      </c>
      <c r="G1943" t="str">
        <f>INDEX(Netzzeiten!$B$6:$B$29,HOUR(B1943)+1)</f>
        <v>NT</v>
      </c>
      <c r="H1943" s="6">
        <f>IF(F1943="GO",Eingaben!$B$11,IF(F1943="STANDARD",Eingaben!$B$12,IF(AND(F1943="HEAT",ISNUMBER(Eingaben!$B$13)),Eingaben!$B$13,"")))</f>
        <v>15.0654</v>
      </c>
      <c r="I1943" s="6">
        <f>INDEX(Netzzeiten!$C$6:$C$29,HOUR(B1943)+1)</f>
        <v>1.64</v>
      </c>
      <c r="J1943" t="str">
        <f>IF(C1943="","FEHLT",IF(NOT(ISNUMBER(C1943)),"MESSWERT UNGUELTIG",IF(C1943&lt;0,"MESSWERT UNGUELTIG",IF(H1943="","TARIFPREIS FEHLT","OK"))))</f>
        <v>FEHLT</v>
      </c>
      <c r="K1943" s="7">
        <f>IF(J1943&lt;&gt;"OK","",C1943*I1943/100)</f>
        <v/>
      </c>
    </row>
    <row r="1944" spans="1:11">
      <c r="A1944" s="14">
        <v>46163</v>
      </c>
      <c r="B1944" s="15">
        <v>0.1875</v>
      </c>
      <c r="C1944" s="5">
        <f>IF('96 Werte'!T26="","",'96 Werte'!T26)</f>
        <v/>
      </c>
      <c r="D1944" t="str">
        <f>IF(IF(Eingaben!$B$21&lt;Eingaben!$B$22,AND(B1944&gt;=Eingaben!$B$21,B1944&lt;Eingaben!$B$22),OR(B1944&gt;=Eingaben!$B$21,B1944&lt;Eingaben!$B$22)),"GO",IF(AND(ISNUMBER(Eingaben!$B$23),ISNUMBER(Eingaben!$B$24),IF(Eingaben!$B$23&lt;Eingaben!$B$24,AND(B1944&gt;=Eingaben!$B$23,B1944&lt;Eingaben!$B$24),OR(B1944&gt;=Eingaben!$B$23,B1944&lt;Eingaben!$B$24))),"HEAT","STANDARD"))</f>
        <v>GO</v>
      </c>
      <c r="E1944" s="9"/>
      <c r="F1944" t="str">
        <f>IF(E1944="",D1944,E1944)</f>
        <v>GO</v>
      </c>
      <c r="G1944" t="str">
        <f>INDEX(Netzzeiten!$B$6:$B$29,HOUR(B1944)+1)</f>
        <v>NT</v>
      </c>
      <c r="H1944" s="6">
        <f>IF(F1944="GO",Eingaben!$B$11,IF(F1944="STANDARD",Eingaben!$B$12,IF(AND(F1944="HEAT",ISNUMBER(Eingaben!$B$13)),Eingaben!$B$13,"")))</f>
        <v>15.0654</v>
      </c>
      <c r="I1944" s="6">
        <f>INDEX(Netzzeiten!$C$6:$C$29,HOUR(B1944)+1)</f>
        <v>1.64</v>
      </c>
      <c r="J1944" t="str">
        <f>IF(C1944="","FEHLT",IF(NOT(ISNUMBER(C1944)),"MESSWERT UNGUELTIG",IF(C1944&lt;0,"MESSWERT UNGUELTIG",IF(H1944="","TARIFPREIS FEHLT","OK"))))</f>
        <v>FEHLT</v>
      </c>
      <c r="K1944" s="7">
        <f>IF(J1944&lt;&gt;"OK","",C1944*I1944/100)</f>
        <v/>
      </c>
    </row>
    <row r="1945" spans="1:11">
      <c r="A1945" s="14">
        <v>46163</v>
      </c>
      <c r="B1945" s="15">
        <v>0.1979166666666667</v>
      </c>
      <c r="C1945" s="5">
        <f>IF('96 Werte'!U26="","",'96 Werte'!U26)</f>
        <v/>
      </c>
      <c r="D1945" t="str">
        <f>IF(IF(Eingaben!$B$21&lt;Eingaben!$B$22,AND(B1945&gt;=Eingaben!$B$21,B1945&lt;Eingaben!$B$22),OR(B1945&gt;=Eingaben!$B$21,B1945&lt;Eingaben!$B$22)),"GO",IF(AND(ISNUMBER(Eingaben!$B$23),ISNUMBER(Eingaben!$B$24),IF(Eingaben!$B$23&lt;Eingaben!$B$24,AND(B1945&gt;=Eingaben!$B$23,B1945&lt;Eingaben!$B$24),OR(B1945&gt;=Eingaben!$B$23,B1945&lt;Eingaben!$B$24))),"HEAT","STANDARD"))</f>
        <v>GO</v>
      </c>
      <c r="E1945" s="9"/>
      <c r="F1945" t="str">
        <f>IF(E1945="",D1945,E1945)</f>
        <v>GO</v>
      </c>
      <c r="G1945" t="str">
        <f>INDEX(Netzzeiten!$B$6:$B$29,HOUR(B1945)+1)</f>
        <v>NT</v>
      </c>
      <c r="H1945" s="6">
        <f>IF(F1945="GO",Eingaben!$B$11,IF(F1945="STANDARD",Eingaben!$B$12,IF(AND(F1945="HEAT",ISNUMBER(Eingaben!$B$13)),Eingaben!$B$13,"")))</f>
        <v>15.0654</v>
      </c>
      <c r="I1945" s="6">
        <f>INDEX(Netzzeiten!$C$6:$C$29,HOUR(B1945)+1)</f>
        <v>1.64</v>
      </c>
      <c r="J1945" t="str">
        <f>IF(C1945="","FEHLT",IF(NOT(ISNUMBER(C1945)),"MESSWERT UNGUELTIG",IF(C1945&lt;0,"MESSWERT UNGUELTIG",IF(H1945="","TARIFPREIS FEHLT","OK"))))</f>
        <v>FEHLT</v>
      </c>
      <c r="K1945" s="7">
        <f>IF(J1945&lt;&gt;"OK","",C1945*I1945/100)</f>
        <v/>
      </c>
    </row>
    <row r="1946" spans="1:11">
      <c r="A1946" s="14">
        <v>46163</v>
      </c>
      <c r="B1946" s="15">
        <v>0.2083333333333333</v>
      </c>
      <c r="C1946" s="5">
        <f>IF('96 Werte'!V26="","",'96 Werte'!V26)</f>
        <v/>
      </c>
      <c r="D1946" t="str">
        <f>IF(IF(Eingaben!$B$21&lt;Eingaben!$B$22,AND(B1946&gt;=Eingaben!$B$21,B1946&lt;Eingaben!$B$22),OR(B1946&gt;=Eingaben!$B$21,B1946&lt;Eingaben!$B$22)),"GO",IF(AND(ISNUMBER(Eingaben!$B$23),ISNUMBER(Eingaben!$B$24),IF(Eingaben!$B$23&lt;Eingaben!$B$24,AND(B1946&gt;=Eingaben!$B$23,B1946&lt;Eingaben!$B$24),OR(B1946&gt;=Eingaben!$B$23,B1946&lt;Eingaben!$B$24))),"HEAT","STANDARD"))</f>
        <v>STANDARD</v>
      </c>
      <c r="E1946" s="9"/>
      <c r="F1946" t="str">
        <f>IF(E1946="",D1946,E1946)</f>
        <v>STANDARD</v>
      </c>
      <c r="G1946" t="str">
        <f>INDEX(Netzzeiten!$B$6:$B$29,HOUR(B1946)+1)</f>
        <v>NT</v>
      </c>
      <c r="H1946" s="6">
        <f>IF(F1946="GO",Eingaben!$B$11,IF(F1946="STANDARD",Eingaben!$B$12,IF(AND(F1946="HEAT",ISNUMBER(Eingaben!$B$13)),Eingaben!$B$13,"")))</f>
        <v>28.2744</v>
      </c>
      <c r="I1946" s="6">
        <f>INDEX(Netzzeiten!$C$6:$C$29,HOUR(B1946)+1)</f>
        <v>1.64</v>
      </c>
      <c r="J1946" t="str">
        <f>IF(C1946="","FEHLT",IF(NOT(ISNUMBER(C1946)),"MESSWERT UNGUELTIG",IF(C1946&lt;0,"MESSWERT UNGUELTIG",IF(H1946="","TARIFPREIS FEHLT","OK"))))</f>
        <v>FEHLT</v>
      </c>
      <c r="K1946" s="7">
        <f>IF(J1946&lt;&gt;"OK","",C1946*I1946/100)</f>
        <v/>
      </c>
    </row>
    <row r="1947" spans="1:11">
      <c r="A1947" s="14">
        <v>46163</v>
      </c>
      <c r="B1947" s="15">
        <v>0.21875</v>
      </c>
      <c r="C1947" s="5">
        <f>IF('96 Werte'!W26="","",'96 Werte'!W26)</f>
        <v/>
      </c>
      <c r="D1947" t="str">
        <f>IF(IF(Eingaben!$B$21&lt;Eingaben!$B$22,AND(B1947&gt;=Eingaben!$B$21,B1947&lt;Eingaben!$B$22),OR(B1947&gt;=Eingaben!$B$21,B1947&lt;Eingaben!$B$22)),"GO",IF(AND(ISNUMBER(Eingaben!$B$23),ISNUMBER(Eingaben!$B$24),IF(Eingaben!$B$23&lt;Eingaben!$B$24,AND(B1947&gt;=Eingaben!$B$23,B1947&lt;Eingaben!$B$24),OR(B1947&gt;=Eingaben!$B$23,B1947&lt;Eingaben!$B$24))),"HEAT","STANDARD"))</f>
        <v>STANDARD</v>
      </c>
      <c r="E1947" s="9"/>
      <c r="F1947" t="str">
        <f>IF(E1947="",D1947,E1947)</f>
        <v>STANDARD</v>
      </c>
      <c r="G1947" t="str">
        <f>INDEX(Netzzeiten!$B$6:$B$29,HOUR(B1947)+1)</f>
        <v>NT</v>
      </c>
      <c r="H1947" s="6">
        <f>IF(F1947="GO",Eingaben!$B$11,IF(F1947="STANDARD",Eingaben!$B$12,IF(AND(F1947="HEAT",ISNUMBER(Eingaben!$B$13)),Eingaben!$B$13,"")))</f>
        <v>28.2744</v>
      </c>
      <c r="I1947" s="6">
        <f>INDEX(Netzzeiten!$C$6:$C$29,HOUR(B1947)+1)</f>
        <v>1.64</v>
      </c>
      <c r="J1947" t="str">
        <f>IF(C1947="","FEHLT",IF(NOT(ISNUMBER(C1947)),"MESSWERT UNGUELTIG",IF(C1947&lt;0,"MESSWERT UNGUELTIG",IF(H1947="","TARIFPREIS FEHLT","OK"))))</f>
        <v>FEHLT</v>
      </c>
      <c r="K1947" s="7">
        <f>IF(J1947&lt;&gt;"OK","",C1947*I1947/100)</f>
        <v/>
      </c>
    </row>
    <row r="1948" spans="1:11">
      <c r="A1948" s="14">
        <v>46163</v>
      </c>
      <c r="B1948" s="15">
        <v>0.2291666666666667</v>
      </c>
      <c r="C1948" s="5">
        <f>IF('96 Werte'!X26="","",'96 Werte'!X26)</f>
        <v/>
      </c>
      <c r="D1948" t="str">
        <f>IF(IF(Eingaben!$B$21&lt;Eingaben!$B$22,AND(B1948&gt;=Eingaben!$B$21,B1948&lt;Eingaben!$B$22),OR(B1948&gt;=Eingaben!$B$21,B1948&lt;Eingaben!$B$22)),"GO",IF(AND(ISNUMBER(Eingaben!$B$23),ISNUMBER(Eingaben!$B$24),IF(Eingaben!$B$23&lt;Eingaben!$B$24,AND(B1948&gt;=Eingaben!$B$23,B1948&lt;Eingaben!$B$24),OR(B1948&gt;=Eingaben!$B$23,B1948&lt;Eingaben!$B$24))),"HEAT","STANDARD"))</f>
        <v>STANDARD</v>
      </c>
      <c r="E1948" s="9"/>
      <c r="F1948" t="str">
        <f>IF(E1948="",D1948,E1948)</f>
        <v>STANDARD</v>
      </c>
      <c r="G1948" t="str">
        <f>INDEX(Netzzeiten!$B$6:$B$29,HOUR(B1948)+1)</f>
        <v>NT</v>
      </c>
      <c r="H1948" s="6">
        <f>IF(F1948="GO",Eingaben!$B$11,IF(F1948="STANDARD",Eingaben!$B$12,IF(AND(F1948="HEAT",ISNUMBER(Eingaben!$B$13)),Eingaben!$B$13,"")))</f>
        <v>28.2744</v>
      </c>
      <c r="I1948" s="6">
        <f>INDEX(Netzzeiten!$C$6:$C$29,HOUR(B1948)+1)</f>
        <v>1.64</v>
      </c>
      <c r="J1948" t="str">
        <f>IF(C1948="","FEHLT",IF(NOT(ISNUMBER(C1948)),"MESSWERT UNGUELTIG",IF(C1948&lt;0,"MESSWERT UNGUELTIG",IF(H1948="","TARIFPREIS FEHLT","OK"))))</f>
        <v>FEHLT</v>
      </c>
      <c r="K1948" s="7">
        <f>IF(J1948&lt;&gt;"OK","",C1948*I1948/100)</f>
        <v/>
      </c>
    </row>
    <row r="1949" spans="1:11">
      <c r="A1949" s="14">
        <v>46163</v>
      </c>
      <c r="B1949" s="15">
        <v>0.2395833333333333</v>
      </c>
      <c r="C1949" s="5">
        <f>IF('96 Werte'!Y26="","",'96 Werte'!Y26)</f>
        <v/>
      </c>
      <c r="D1949" t="str">
        <f>IF(IF(Eingaben!$B$21&lt;Eingaben!$B$22,AND(B1949&gt;=Eingaben!$B$21,B1949&lt;Eingaben!$B$22),OR(B1949&gt;=Eingaben!$B$21,B1949&lt;Eingaben!$B$22)),"GO",IF(AND(ISNUMBER(Eingaben!$B$23),ISNUMBER(Eingaben!$B$24),IF(Eingaben!$B$23&lt;Eingaben!$B$24,AND(B1949&gt;=Eingaben!$B$23,B1949&lt;Eingaben!$B$24),OR(B1949&gt;=Eingaben!$B$23,B1949&lt;Eingaben!$B$24))),"HEAT","STANDARD"))</f>
        <v>STANDARD</v>
      </c>
      <c r="E1949" s="9"/>
      <c r="F1949" t="str">
        <f>IF(E1949="",D1949,E1949)</f>
        <v>STANDARD</v>
      </c>
      <c r="G1949" t="str">
        <f>INDEX(Netzzeiten!$B$6:$B$29,HOUR(B1949)+1)</f>
        <v>NT</v>
      </c>
      <c r="H1949" s="6">
        <f>IF(F1949="GO",Eingaben!$B$11,IF(F1949="STANDARD",Eingaben!$B$12,IF(AND(F1949="HEAT",ISNUMBER(Eingaben!$B$13)),Eingaben!$B$13,"")))</f>
        <v>28.2744</v>
      </c>
      <c r="I1949" s="6">
        <f>INDEX(Netzzeiten!$C$6:$C$29,HOUR(B1949)+1)</f>
        <v>1.64</v>
      </c>
      <c r="J1949" t="str">
        <f>IF(C1949="","FEHLT",IF(NOT(ISNUMBER(C1949)),"MESSWERT UNGUELTIG",IF(C1949&lt;0,"MESSWERT UNGUELTIG",IF(H1949="","TARIFPREIS FEHLT","OK"))))</f>
        <v>FEHLT</v>
      </c>
      <c r="K1949" s="7">
        <f>IF(J1949&lt;&gt;"OK","",C1949*I1949/100)</f>
        <v/>
      </c>
    </row>
    <row r="1950" spans="1:11">
      <c r="A1950" s="14">
        <v>46163</v>
      </c>
      <c r="B1950" s="15">
        <v>0.25</v>
      </c>
      <c r="C1950" s="5">
        <f>IF('96 Werte'!Z26="","",'96 Werte'!Z26)</f>
        <v/>
      </c>
      <c r="D1950" t="str">
        <f>IF(IF(Eingaben!$B$21&lt;Eingaben!$B$22,AND(B1950&gt;=Eingaben!$B$21,B1950&lt;Eingaben!$B$22),OR(B1950&gt;=Eingaben!$B$21,B1950&lt;Eingaben!$B$22)),"GO",IF(AND(ISNUMBER(Eingaben!$B$23),ISNUMBER(Eingaben!$B$24),IF(Eingaben!$B$23&lt;Eingaben!$B$24,AND(B1950&gt;=Eingaben!$B$23,B1950&lt;Eingaben!$B$24),OR(B1950&gt;=Eingaben!$B$23,B1950&lt;Eingaben!$B$24))),"HEAT","STANDARD"))</f>
        <v>STANDARD</v>
      </c>
      <c r="E1950" s="9"/>
      <c r="F1950" t="str">
        <f>IF(E1950="",D1950,E1950)</f>
        <v>STANDARD</v>
      </c>
      <c r="G1950" t="str">
        <f>INDEX(Netzzeiten!$B$6:$B$29,HOUR(B1950)+1)</f>
        <v>ST</v>
      </c>
      <c r="H1950" s="6">
        <f>IF(F1950="GO",Eingaben!$B$11,IF(F1950="STANDARD",Eingaben!$B$12,IF(AND(F1950="HEAT",ISNUMBER(Eingaben!$B$13)),Eingaben!$B$13,"")))</f>
        <v>28.2744</v>
      </c>
      <c r="I1950" s="6">
        <f>INDEX(Netzzeiten!$C$6:$C$29,HOUR(B1950)+1)</f>
        <v>5.48</v>
      </c>
      <c r="J1950" t="str">
        <f>IF(C1950="","FEHLT",IF(NOT(ISNUMBER(C1950)),"MESSWERT UNGUELTIG",IF(C1950&lt;0,"MESSWERT UNGUELTIG",IF(H1950="","TARIFPREIS FEHLT","OK"))))</f>
        <v>FEHLT</v>
      </c>
      <c r="K1950" s="7">
        <f>IF(J1950&lt;&gt;"OK","",C1950*I1950/100)</f>
        <v/>
      </c>
    </row>
    <row r="1951" spans="1:11">
      <c r="A1951" s="14">
        <v>46163</v>
      </c>
      <c r="B1951" s="15">
        <v>0.2604166666666667</v>
      </c>
      <c r="C1951" s="5">
        <f>IF('96 Werte'!AA26="","",'96 Werte'!AA26)</f>
        <v/>
      </c>
      <c r="D1951" t="str">
        <f>IF(IF(Eingaben!$B$21&lt;Eingaben!$B$22,AND(B1951&gt;=Eingaben!$B$21,B1951&lt;Eingaben!$B$22),OR(B1951&gt;=Eingaben!$B$21,B1951&lt;Eingaben!$B$22)),"GO",IF(AND(ISNUMBER(Eingaben!$B$23),ISNUMBER(Eingaben!$B$24),IF(Eingaben!$B$23&lt;Eingaben!$B$24,AND(B1951&gt;=Eingaben!$B$23,B1951&lt;Eingaben!$B$24),OR(B1951&gt;=Eingaben!$B$23,B1951&lt;Eingaben!$B$24))),"HEAT","STANDARD"))</f>
        <v>STANDARD</v>
      </c>
      <c r="E1951" s="9"/>
      <c r="F1951" t="str">
        <f>IF(E1951="",D1951,E1951)</f>
        <v>STANDARD</v>
      </c>
      <c r="G1951" t="str">
        <f>INDEX(Netzzeiten!$B$6:$B$29,HOUR(B1951)+1)</f>
        <v>ST</v>
      </c>
      <c r="H1951" s="6">
        <f>IF(F1951="GO",Eingaben!$B$11,IF(F1951="STANDARD",Eingaben!$B$12,IF(AND(F1951="HEAT",ISNUMBER(Eingaben!$B$13)),Eingaben!$B$13,"")))</f>
        <v>28.2744</v>
      </c>
      <c r="I1951" s="6">
        <f>INDEX(Netzzeiten!$C$6:$C$29,HOUR(B1951)+1)</f>
        <v>5.48</v>
      </c>
      <c r="J1951" t="str">
        <f>IF(C1951="","FEHLT",IF(NOT(ISNUMBER(C1951)),"MESSWERT UNGUELTIG",IF(C1951&lt;0,"MESSWERT UNGUELTIG",IF(H1951="","TARIFPREIS FEHLT","OK"))))</f>
        <v>FEHLT</v>
      </c>
      <c r="K1951" s="7">
        <f>IF(J1951&lt;&gt;"OK","",C1951*I1951/100)</f>
        <v/>
      </c>
    </row>
    <row r="1952" spans="1:11">
      <c r="A1952" s="14">
        <v>46163</v>
      </c>
      <c r="B1952" s="15">
        <v>0.2708333333333333</v>
      </c>
      <c r="C1952" s="5">
        <f>IF('96 Werte'!AB26="","",'96 Werte'!AB26)</f>
        <v/>
      </c>
      <c r="D1952" t="str">
        <f>IF(IF(Eingaben!$B$21&lt;Eingaben!$B$22,AND(B1952&gt;=Eingaben!$B$21,B1952&lt;Eingaben!$B$22),OR(B1952&gt;=Eingaben!$B$21,B1952&lt;Eingaben!$B$22)),"GO",IF(AND(ISNUMBER(Eingaben!$B$23),ISNUMBER(Eingaben!$B$24),IF(Eingaben!$B$23&lt;Eingaben!$B$24,AND(B1952&gt;=Eingaben!$B$23,B1952&lt;Eingaben!$B$24),OR(B1952&gt;=Eingaben!$B$23,B1952&lt;Eingaben!$B$24))),"HEAT","STANDARD"))</f>
        <v>STANDARD</v>
      </c>
      <c r="E1952" s="9"/>
      <c r="F1952" t="str">
        <f>IF(E1952="",D1952,E1952)</f>
        <v>STANDARD</v>
      </c>
      <c r="G1952" t="str">
        <f>INDEX(Netzzeiten!$B$6:$B$29,HOUR(B1952)+1)</f>
        <v>ST</v>
      </c>
      <c r="H1952" s="6">
        <f>IF(F1952="GO",Eingaben!$B$11,IF(F1952="STANDARD",Eingaben!$B$12,IF(AND(F1952="HEAT",ISNUMBER(Eingaben!$B$13)),Eingaben!$B$13,"")))</f>
        <v>28.2744</v>
      </c>
      <c r="I1952" s="6">
        <f>INDEX(Netzzeiten!$C$6:$C$29,HOUR(B1952)+1)</f>
        <v>5.48</v>
      </c>
      <c r="J1952" t="str">
        <f>IF(C1952="","FEHLT",IF(NOT(ISNUMBER(C1952)),"MESSWERT UNGUELTIG",IF(C1952&lt;0,"MESSWERT UNGUELTIG",IF(H1952="","TARIFPREIS FEHLT","OK"))))</f>
        <v>FEHLT</v>
      </c>
      <c r="K1952" s="7">
        <f>IF(J1952&lt;&gt;"OK","",C1952*I1952/100)</f>
        <v/>
      </c>
    </row>
    <row r="1953" spans="1:11">
      <c r="A1953" s="14">
        <v>46163</v>
      </c>
      <c r="B1953" s="15">
        <v>0.28125</v>
      </c>
      <c r="C1953" s="5">
        <f>IF('96 Werte'!AC26="","",'96 Werte'!AC26)</f>
        <v/>
      </c>
      <c r="D1953" t="str">
        <f>IF(IF(Eingaben!$B$21&lt;Eingaben!$B$22,AND(B1953&gt;=Eingaben!$B$21,B1953&lt;Eingaben!$B$22),OR(B1953&gt;=Eingaben!$B$21,B1953&lt;Eingaben!$B$22)),"GO",IF(AND(ISNUMBER(Eingaben!$B$23),ISNUMBER(Eingaben!$B$24),IF(Eingaben!$B$23&lt;Eingaben!$B$24,AND(B1953&gt;=Eingaben!$B$23,B1953&lt;Eingaben!$B$24),OR(B1953&gt;=Eingaben!$B$23,B1953&lt;Eingaben!$B$24))),"HEAT","STANDARD"))</f>
        <v>STANDARD</v>
      </c>
      <c r="E1953" s="9"/>
      <c r="F1953" t="str">
        <f>IF(E1953="",D1953,E1953)</f>
        <v>STANDARD</v>
      </c>
      <c r="G1953" t="str">
        <f>INDEX(Netzzeiten!$B$6:$B$29,HOUR(B1953)+1)</f>
        <v>ST</v>
      </c>
      <c r="H1953" s="6">
        <f>IF(F1953="GO",Eingaben!$B$11,IF(F1953="STANDARD",Eingaben!$B$12,IF(AND(F1953="HEAT",ISNUMBER(Eingaben!$B$13)),Eingaben!$B$13,"")))</f>
        <v>28.2744</v>
      </c>
      <c r="I1953" s="6">
        <f>INDEX(Netzzeiten!$C$6:$C$29,HOUR(B1953)+1)</f>
        <v>5.48</v>
      </c>
      <c r="J1953" t="str">
        <f>IF(C1953="","FEHLT",IF(NOT(ISNUMBER(C1953)),"MESSWERT UNGUELTIG",IF(C1953&lt;0,"MESSWERT UNGUELTIG",IF(H1953="","TARIFPREIS FEHLT","OK"))))</f>
        <v>FEHLT</v>
      </c>
      <c r="K1953" s="7">
        <f>IF(J1953&lt;&gt;"OK","",C1953*I1953/100)</f>
        <v/>
      </c>
    </row>
    <row r="1954" spans="1:11">
      <c r="A1954" s="14">
        <v>46163</v>
      </c>
      <c r="B1954" s="15">
        <v>0.2916666666666667</v>
      </c>
      <c r="C1954" s="5">
        <f>IF('96 Werte'!AD26="","",'96 Werte'!AD26)</f>
        <v/>
      </c>
      <c r="D1954" t="str">
        <f>IF(IF(Eingaben!$B$21&lt;Eingaben!$B$22,AND(B1954&gt;=Eingaben!$B$21,B1954&lt;Eingaben!$B$22),OR(B1954&gt;=Eingaben!$B$21,B1954&lt;Eingaben!$B$22)),"GO",IF(AND(ISNUMBER(Eingaben!$B$23),ISNUMBER(Eingaben!$B$24),IF(Eingaben!$B$23&lt;Eingaben!$B$24,AND(B1954&gt;=Eingaben!$B$23,B1954&lt;Eingaben!$B$24),OR(B1954&gt;=Eingaben!$B$23,B1954&lt;Eingaben!$B$24))),"HEAT","STANDARD"))</f>
        <v>STANDARD</v>
      </c>
      <c r="E1954" s="9"/>
      <c r="F1954" t="str">
        <f>IF(E1954="",D1954,E1954)</f>
        <v>STANDARD</v>
      </c>
      <c r="G1954" t="str">
        <f>INDEX(Netzzeiten!$B$6:$B$29,HOUR(B1954)+1)</f>
        <v>ST</v>
      </c>
      <c r="H1954" s="6">
        <f>IF(F1954="GO",Eingaben!$B$11,IF(F1954="STANDARD",Eingaben!$B$12,IF(AND(F1954="HEAT",ISNUMBER(Eingaben!$B$13)),Eingaben!$B$13,"")))</f>
        <v>28.2744</v>
      </c>
      <c r="I1954" s="6">
        <f>INDEX(Netzzeiten!$C$6:$C$29,HOUR(B1954)+1)</f>
        <v>5.48</v>
      </c>
      <c r="J1954" t="str">
        <f>IF(C1954="","FEHLT",IF(NOT(ISNUMBER(C1954)),"MESSWERT UNGUELTIG",IF(C1954&lt;0,"MESSWERT UNGUELTIG",IF(H1954="","TARIFPREIS FEHLT","OK"))))</f>
        <v>FEHLT</v>
      </c>
      <c r="K1954" s="7">
        <f>IF(J1954&lt;&gt;"OK","",C1954*I1954/100)</f>
        <v/>
      </c>
    </row>
    <row r="1955" spans="1:11">
      <c r="A1955" s="14">
        <v>46163</v>
      </c>
      <c r="B1955" s="15">
        <v>0.3020833333333333</v>
      </c>
      <c r="C1955" s="5">
        <f>IF('96 Werte'!AE26="","",'96 Werte'!AE26)</f>
        <v/>
      </c>
      <c r="D1955" t="str">
        <f>IF(IF(Eingaben!$B$21&lt;Eingaben!$B$22,AND(B1955&gt;=Eingaben!$B$21,B1955&lt;Eingaben!$B$22),OR(B1955&gt;=Eingaben!$B$21,B1955&lt;Eingaben!$B$22)),"GO",IF(AND(ISNUMBER(Eingaben!$B$23),ISNUMBER(Eingaben!$B$24),IF(Eingaben!$B$23&lt;Eingaben!$B$24,AND(B1955&gt;=Eingaben!$B$23,B1955&lt;Eingaben!$B$24),OR(B1955&gt;=Eingaben!$B$23,B1955&lt;Eingaben!$B$24))),"HEAT","STANDARD"))</f>
        <v>STANDARD</v>
      </c>
      <c r="E1955" s="9"/>
      <c r="F1955" t="str">
        <f>IF(E1955="",D1955,E1955)</f>
        <v>STANDARD</v>
      </c>
      <c r="G1955" t="str">
        <f>INDEX(Netzzeiten!$B$6:$B$29,HOUR(B1955)+1)</f>
        <v>ST</v>
      </c>
      <c r="H1955" s="6">
        <f>IF(F1955="GO",Eingaben!$B$11,IF(F1955="STANDARD",Eingaben!$B$12,IF(AND(F1955="HEAT",ISNUMBER(Eingaben!$B$13)),Eingaben!$B$13,"")))</f>
        <v>28.2744</v>
      </c>
      <c r="I1955" s="6">
        <f>INDEX(Netzzeiten!$C$6:$C$29,HOUR(B1955)+1)</f>
        <v>5.48</v>
      </c>
      <c r="J1955" t="str">
        <f>IF(C1955="","FEHLT",IF(NOT(ISNUMBER(C1955)),"MESSWERT UNGUELTIG",IF(C1955&lt;0,"MESSWERT UNGUELTIG",IF(H1955="","TARIFPREIS FEHLT","OK"))))</f>
        <v>FEHLT</v>
      </c>
      <c r="K1955" s="7">
        <f>IF(J1955&lt;&gt;"OK","",C1955*I1955/100)</f>
        <v/>
      </c>
    </row>
    <row r="1956" spans="1:11">
      <c r="A1956" s="14">
        <v>46163</v>
      </c>
      <c r="B1956" s="15">
        <v>0.3125</v>
      </c>
      <c r="C1956" s="5">
        <f>IF('96 Werte'!AF26="","",'96 Werte'!AF26)</f>
        <v/>
      </c>
      <c r="D1956" t="str">
        <f>IF(IF(Eingaben!$B$21&lt;Eingaben!$B$22,AND(B1956&gt;=Eingaben!$B$21,B1956&lt;Eingaben!$B$22),OR(B1956&gt;=Eingaben!$B$21,B1956&lt;Eingaben!$B$22)),"GO",IF(AND(ISNUMBER(Eingaben!$B$23),ISNUMBER(Eingaben!$B$24),IF(Eingaben!$B$23&lt;Eingaben!$B$24,AND(B1956&gt;=Eingaben!$B$23,B1956&lt;Eingaben!$B$24),OR(B1956&gt;=Eingaben!$B$23,B1956&lt;Eingaben!$B$24))),"HEAT","STANDARD"))</f>
        <v>STANDARD</v>
      </c>
      <c r="E1956" s="9"/>
      <c r="F1956" t="str">
        <f>IF(E1956="",D1956,E1956)</f>
        <v>STANDARD</v>
      </c>
      <c r="G1956" t="str">
        <f>INDEX(Netzzeiten!$B$6:$B$29,HOUR(B1956)+1)</f>
        <v>ST</v>
      </c>
      <c r="H1956" s="6">
        <f>IF(F1956="GO",Eingaben!$B$11,IF(F1956="STANDARD",Eingaben!$B$12,IF(AND(F1956="HEAT",ISNUMBER(Eingaben!$B$13)),Eingaben!$B$13,"")))</f>
        <v>28.2744</v>
      </c>
      <c r="I1956" s="6">
        <f>INDEX(Netzzeiten!$C$6:$C$29,HOUR(B1956)+1)</f>
        <v>5.48</v>
      </c>
      <c r="J1956" t="str">
        <f>IF(C1956="","FEHLT",IF(NOT(ISNUMBER(C1956)),"MESSWERT UNGUELTIG",IF(C1956&lt;0,"MESSWERT UNGUELTIG",IF(H1956="","TARIFPREIS FEHLT","OK"))))</f>
        <v>FEHLT</v>
      </c>
      <c r="K1956" s="7">
        <f>IF(J1956&lt;&gt;"OK","",C1956*I1956/100)</f>
        <v/>
      </c>
    </row>
    <row r="1957" spans="1:11">
      <c r="A1957" s="14">
        <v>46163</v>
      </c>
      <c r="B1957" s="15">
        <v>0.3229166666666667</v>
      </c>
      <c r="C1957" s="5">
        <f>IF('96 Werte'!AG26="","",'96 Werte'!AG26)</f>
        <v/>
      </c>
      <c r="D1957" t="str">
        <f>IF(IF(Eingaben!$B$21&lt;Eingaben!$B$22,AND(B1957&gt;=Eingaben!$B$21,B1957&lt;Eingaben!$B$22),OR(B1957&gt;=Eingaben!$B$21,B1957&lt;Eingaben!$B$22)),"GO",IF(AND(ISNUMBER(Eingaben!$B$23),ISNUMBER(Eingaben!$B$24),IF(Eingaben!$B$23&lt;Eingaben!$B$24,AND(B1957&gt;=Eingaben!$B$23,B1957&lt;Eingaben!$B$24),OR(B1957&gt;=Eingaben!$B$23,B1957&lt;Eingaben!$B$24))),"HEAT","STANDARD"))</f>
        <v>STANDARD</v>
      </c>
      <c r="E1957" s="9"/>
      <c r="F1957" t="str">
        <f>IF(E1957="",D1957,E1957)</f>
        <v>STANDARD</v>
      </c>
      <c r="G1957" t="str">
        <f>INDEX(Netzzeiten!$B$6:$B$29,HOUR(B1957)+1)</f>
        <v>ST</v>
      </c>
      <c r="H1957" s="6">
        <f>IF(F1957="GO",Eingaben!$B$11,IF(F1957="STANDARD",Eingaben!$B$12,IF(AND(F1957="HEAT",ISNUMBER(Eingaben!$B$13)),Eingaben!$B$13,"")))</f>
        <v>28.2744</v>
      </c>
      <c r="I1957" s="6">
        <f>INDEX(Netzzeiten!$C$6:$C$29,HOUR(B1957)+1)</f>
        <v>5.48</v>
      </c>
      <c r="J1957" t="str">
        <f>IF(C1957="","FEHLT",IF(NOT(ISNUMBER(C1957)),"MESSWERT UNGUELTIG",IF(C1957&lt;0,"MESSWERT UNGUELTIG",IF(H1957="","TARIFPREIS FEHLT","OK"))))</f>
        <v>FEHLT</v>
      </c>
      <c r="K1957" s="7">
        <f>IF(J1957&lt;&gt;"OK","",C1957*I1957/100)</f>
        <v/>
      </c>
    </row>
    <row r="1958" spans="1:11">
      <c r="A1958" s="14">
        <v>46163</v>
      </c>
      <c r="B1958" s="15">
        <v>0.3333333333333333</v>
      </c>
      <c r="C1958" s="5">
        <f>IF('96 Werte'!AH26="","",'96 Werte'!AH26)</f>
        <v/>
      </c>
      <c r="D1958" t="str">
        <f>IF(IF(Eingaben!$B$21&lt;Eingaben!$B$22,AND(B1958&gt;=Eingaben!$B$21,B1958&lt;Eingaben!$B$22),OR(B1958&gt;=Eingaben!$B$21,B1958&lt;Eingaben!$B$22)),"GO",IF(AND(ISNUMBER(Eingaben!$B$23),ISNUMBER(Eingaben!$B$24),IF(Eingaben!$B$23&lt;Eingaben!$B$24,AND(B1958&gt;=Eingaben!$B$23,B1958&lt;Eingaben!$B$24),OR(B1958&gt;=Eingaben!$B$23,B1958&lt;Eingaben!$B$24))),"HEAT","STANDARD"))</f>
        <v>STANDARD</v>
      </c>
      <c r="E1958" s="9"/>
      <c r="F1958" t="str">
        <f>IF(E1958="",D1958,E1958)</f>
        <v>STANDARD</v>
      </c>
      <c r="G1958" t="str">
        <f>INDEX(Netzzeiten!$B$6:$B$29,HOUR(B1958)+1)</f>
        <v>ST</v>
      </c>
      <c r="H1958" s="6">
        <f>IF(F1958="GO",Eingaben!$B$11,IF(F1958="STANDARD",Eingaben!$B$12,IF(AND(F1958="HEAT",ISNUMBER(Eingaben!$B$13)),Eingaben!$B$13,"")))</f>
        <v>28.2744</v>
      </c>
      <c r="I1958" s="6">
        <f>INDEX(Netzzeiten!$C$6:$C$29,HOUR(B1958)+1)</f>
        <v>5.48</v>
      </c>
      <c r="J1958" t="str">
        <f>IF(C1958="","FEHLT",IF(NOT(ISNUMBER(C1958)),"MESSWERT UNGUELTIG",IF(C1958&lt;0,"MESSWERT UNGUELTIG",IF(H1958="","TARIFPREIS FEHLT","OK"))))</f>
        <v>FEHLT</v>
      </c>
      <c r="K1958" s="7">
        <f>IF(J1958&lt;&gt;"OK","",C1958*I1958/100)</f>
        <v/>
      </c>
    </row>
    <row r="1959" spans="1:11">
      <c r="A1959" s="14">
        <v>46163</v>
      </c>
      <c r="B1959" s="15">
        <v>0.34375</v>
      </c>
      <c r="C1959" s="5">
        <f>IF('96 Werte'!AI26="","",'96 Werte'!AI26)</f>
        <v/>
      </c>
      <c r="D1959" t="str">
        <f>IF(IF(Eingaben!$B$21&lt;Eingaben!$B$22,AND(B1959&gt;=Eingaben!$B$21,B1959&lt;Eingaben!$B$22),OR(B1959&gt;=Eingaben!$B$21,B1959&lt;Eingaben!$B$22)),"GO",IF(AND(ISNUMBER(Eingaben!$B$23),ISNUMBER(Eingaben!$B$24),IF(Eingaben!$B$23&lt;Eingaben!$B$24,AND(B1959&gt;=Eingaben!$B$23,B1959&lt;Eingaben!$B$24),OR(B1959&gt;=Eingaben!$B$23,B1959&lt;Eingaben!$B$24))),"HEAT","STANDARD"))</f>
        <v>STANDARD</v>
      </c>
      <c r="E1959" s="9"/>
      <c r="F1959" t="str">
        <f>IF(E1959="",D1959,E1959)</f>
        <v>STANDARD</v>
      </c>
      <c r="G1959" t="str">
        <f>INDEX(Netzzeiten!$B$6:$B$29,HOUR(B1959)+1)</f>
        <v>ST</v>
      </c>
      <c r="H1959" s="6">
        <f>IF(F1959="GO",Eingaben!$B$11,IF(F1959="STANDARD",Eingaben!$B$12,IF(AND(F1959="HEAT",ISNUMBER(Eingaben!$B$13)),Eingaben!$B$13,"")))</f>
        <v>28.2744</v>
      </c>
      <c r="I1959" s="6">
        <f>INDEX(Netzzeiten!$C$6:$C$29,HOUR(B1959)+1)</f>
        <v>5.48</v>
      </c>
      <c r="J1959" t="str">
        <f>IF(C1959="","FEHLT",IF(NOT(ISNUMBER(C1959)),"MESSWERT UNGUELTIG",IF(C1959&lt;0,"MESSWERT UNGUELTIG",IF(H1959="","TARIFPREIS FEHLT","OK"))))</f>
        <v>FEHLT</v>
      </c>
      <c r="K1959" s="7">
        <f>IF(J1959&lt;&gt;"OK","",C1959*I1959/100)</f>
        <v/>
      </c>
    </row>
    <row r="1960" spans="1:11">
      <c r="A1960" s="14">
        <v>46163</v>
      </c>
      <c r="B1960" s="15">
        <v>0.3541666666666667</v>
      </c>
      <c r="C1960" s="5">
        <f>IF('96 Werte'!AJ26="","",'96 Werte'!AJ26)</f>
        <v/>
      </c>
      <c r="D1960" t="str">
        <f>IF(IF(Eingaben!$B$21&lt;Eingaben!$B$22,AND(B1960&gt;=Eingaben!$B$21,B1960&lt;Eingaben!$B$22),OR(B1960&gt;=Eingaben!$B$21,B1960&lt;Eingaben!$B$22)),"GO",IF(AND(ISNUMBER(Eingaben!$B$23),ISNUMBER(Eingaben!$B$24),IF(Eingaben!$B$23&lt;Eingaben!$B$24,AND(B1960&gt;=Eingaben!$B$23,B1960&lt;Eingaben!$B$24),OR(B1960&gt;=Eingaben!$B$23,B1960&lt;Eingaben!$B$24))),"HEAT","STANDARD"))</f>
        <v>STANDARD</v>
      </c>
      <c r="E1960" s="9"/>
      <c r="F1960" t="str">
        <f>IF(E1960="",D1960,E1960)</f>
        <v>STANDARD</v>
      </c>
      <c r="G1960" t="str">
        <f>INDEX(Netzzeiten!$B$6:$B$29,HOUR(B1960)+1)</f>
        <v>ST</v>
      </c>
      <c r="H1960" s="6">
        <f>IF(F1960="GO",Eingaben!$B$11,IF(F1960="STANDARD",Eingaben!$B$12,IF(AND(F1960="HEAT",ISNUMBER(Eingaben!$B$13)),Eingaben!$B$13,"")))</f>
        <v>28.2744</v>
      </c>
      <c r="I1960" s="6">
        <f>INDEX(Netzzeiten!$C$6:$C$29,HOUR(B1960)+1)</f>
        <v>5.48</v>
      </c>
      <c r="J1960" t="str">
        <f>IF(C1960="","FEHLT",IF(NOT(ISNUMBER(C1960)),"MESSWERT UNGUELTIG",IF(C1960&lt;0,"MESSWERT UNGUELTIG",IF(H1960="","TARIFPREIS FEHLT","OK"))))</f>
        <v>FEHLT</v>
      </c>
      <c r="K1960" s="7">
        <f>IF(J1960&lt;&gt;"OK","",C1960*I1960/100)</f>
        <v/>
      </c>
    </row>
    <row r="1961" spans="1:11">
      <c r="A1961" s="14">
        <v>46163</v>
      </c>
      <c r="B1961" s="15">
        <v>0.3645833333333333</v>
      </c>
      <c r="C1961" s="5">
        <f>IF('96 Werte'!AK26="","",'96 Werte'!AK26)</f>
        <v/>
      </c>
      <c r="D1961" t="str">
        <f>IF(IF(Eingaben!$B$21&lt;Eingaben!$B$22,AND(B1961&gt;=Eingaben!$B$21,B1961&lt;Eingaben!$B$22),OR(B1961&gt;=Eingaben!$B$21,B1961&lt;Eingaben!$B$22)),"GO",IF(AND(ISNUMBER(Eingaben!$B$23),ISNUMBER(Eingaben!$B$24),IF(Eingaben!$B$23&lt;Eingaben!$B$24,AND(B1961&gt;=Eingaben!$B$23,B1961&lt;Eingaben!$B$24),OR(B1961&gt;=Eingaben!$B$23,B1961&lt;Eingaben!$B$24))),"HEAT","STANDARD"))</f>
        <v>STANDARD</v>
      </c>
      <c r="E1961" s="9"/>
      <c r="F1961" t="str">
        <f>IF(E1961="",D1961,E1961)</f>
        <v>STANDARD</v>
      </c>
      <c r="G1961" t="str">
        <f>INDEX(Netzzeiten!$B$6:$B$29,HOUR(B1961)+1)</f>
        <v>ST</v>
      </c>
      <c r="H1961" s="6">
        <f>IF(F1961="GO",Eingaben!$B$11,IF(F1961="STANDARD",Eingaben!$B$12,IF(AND(F1961="HEAT",ISNUMBER(Eingaben!$B$13)),Eingaben!$B$13,"")))</f>
        <v>28.2744</v>
      </c>
      <c r="I1961" s="6">
        <f>INDEX(Netzzeiten!$C$6:$C$29,HOUR(B1961)+1)</f>
        <v>5.48</v>
      </c>
      <c r="J1961" t="str">
        <f>IF(C1961="","FEHLT",IF(NOT(ISNUMBER(C1961)),"MESSWERT UNGUELTIG",IF(C1961&lt;0,"MESSWERT UNGUELTIG",IF(H1961="","TARIFPREIS FEHLT","OK"))))</f>
        <v>FEHLT</v>
      </c>
      <c r="K1961" s="7">
        <f>IF(J1961&lt;&gt;"OK","",C1961*I1961/100)</f>
        <v/>
      </c>
    </row>
    <row r="1962" spans="1:11">
      <c r="A1962" s="14">
        <v>46163</v>
      </c>
      <c r="B1962" s="15">
        <v>0.375</v>
      </c>
      <c r="C1962" s="5">
        <f>IF('96 Werte'!AL26="","",'96 Werte'!AL26)</f>
        <v/>
      </c>
      <c r="D1962" t="str">
        <f>IF(IF(Eingaben!$B$21&lt;Eingaben!$B$22,AND(B1962&gt;=Eingaben!$B$21,B1962&lt;Eingaben!$B$22),OR(B1962&gt;=Eingaben!$B$21,B1962&lt;Eingaben!$B$22)),"GO",IF(AND(ISNUMBER(Eingaben!$B$23),ISNUMBER(Eingaben!$B$24),IF(Eingaben!$B$23&lt;Eingaben!$B$24,AND(B1962&gt;=Eingaben!$B$23,B1962&lt;Eingaben!$B$24),OR(B1962&gt;=Eingaben!$B$23,B1962&lt;Eingaben!$B$24))),"HEAT","STANDARD"))</f>
        <v>STANDARD</v>
      </c>
      <c r="E1962" s="9"/>
      <c r="F1962" t="str">
        <f>IF(E1962="",D1962,E1962)</f>
        <v>STANDARD</v>
      </c>
      <c r="G1962" t="str">
        <f>INDEX(Netzzeiten!$B$6:$B$29,HOUR(B1962)+1)</f>
        <v>ST</v>
      </c>
      <c r="H1962" s="6">
        <f>IF(F1962="GO",Eingaben!$B$11,IF(F1962="STANDARD",Eingaben!$B$12,IF(AND(F1962="HEAT",ISNUMBER(Eingaben!$B$13)),Eingaben!$B$13,"")))</f>
        <v>28.2744</v>
      </c>
      <c r="I1962" s="6">
        <f>INDEX(Netzzeiten!$C$6:$C$29,HOUR(B1962)+1)</f>
        <v>5.48</v>
      </c>
      <c r="J1962" t="str">
        <f>IF(C1962="","FEHLT",IF(NOT(ISNUMBER(C1962)),"MESSWERT UNGUELTIG",IF(C1962&lt;0,"MESSWERT UNGUELTIG",IF(H1962="","TARIFPREIS FEHLT","OK"))))</f>
        <v>FEHLT</v>
      </c>
      <c r="K1962" s="7">
        <f>IF(J1962&lt;&gt;"OK","",C1962*I1962/100)</f>
        <v/>
      </c>
    </row>
    <row r="1963" spans="1:11">
      <c r="A1963" s="14">
        <v>46163</v>
      </c>
      <c r="B1963" s="15">
        <v>0.3854166666666667</v>
      </c>
      <c r="C1963" s="5">
        <f>IF('96 Werte'!AM26="","",'96 Werte'!AM26)</f>
        <v/>
      </c>
      <c r="D1963" t="str">
        <f>IF(IF(Eingaben!$B$21&lt;Eingaben!$B$22,AND(B1963&gt;=Eingaben!$B$21,B1963&lt;Eingaben!$B$22),OR(B1963&gt;=Eingaben!$B$21,B1963&lt;Eingaben!$B$22)),"GO",IF(AND(ISNUMBER(Eingaben!$B$23),ISNUMBER(Eingaben!$B$24),IF(Eingaben!$B$23&lt;Eingaben!$B$24,AND(B1963&gt;=Eingaben!$B$23,B1963&lt;Eingaben!$B$24),OR(B1963&gt;=Eingaben!$B$23,B1963&lt;Eingaben!$B$24))),"HEAT","STANDARD"))</f>
        <v>STANDARD</v>
      </c>
      <c r="E1963" s="9"/>
      <c r="F1963" t="str">
        <f>IF(E1963="",D1963,E1963)</f>
        <v>STANDARD</v>
      </c>
      <c r="G1963" t="str">
        <f>INDEX(Netzzeiten!$B$6:$B$29,HOUR(B1963)+1)</f>
        <v>ST</v>
      </c>
      <c r="H1963" s="6">
        <f>IF(F1963="GO",Eingaben!$B$11,IF(F1963="STANDARD",Eingaben!$B$12,IF(AND(F1963="HEAT",ISNUMBER(Eingaben!$B$13)),Eingaben!$B$13,"")))</f>
        <v>28.2744</v>
      </c>
      <c r="I1963" s="6">
        <f>INDEX(Netzzeiten!$C$6:$C$29,HOUR(B1963)+1)</f>
        <v>5.48</v>
      </c>
      <c r="J1963" t="str">
        <f>IF(C1963="","FEHLT",IF(NOT(ISNUMBER(C1963)),"MESSWERT UNGUELTIG",IF(C1963&lt;0,"MESSWERT UNGUELTIG",IF(H1963="","TARIFPREIS FEHLT","OK"))))</f>
        <v>FEHLT</v>
      </c>
      <c r="K1963" s="7">
        <f>IF(J1963&lt;&gt;"OK","",C1963*I1963/100)</f>
        <v/>
      </c>
    </row>
    <row r="1964" spans="1:11">
      <c r="A1964" s="14">
        <v>46163</v>
      </c>
      <c r="B1964" s="15">
        <v>0.3958333333333333</v>
      </c>
      <c r="C1964" s="5">
        <f>IF('96 Werte'!AN26="","",'96 Werte'!AN26)</f>
        <v/>
      </c>
      <c r="D1964" t="str">
        <f>IF(IF(Eingaben!$B$21&lt;Eingaben!$B$22,AND(B1964&gt;=Eingaben!$B$21,B1964&lt;Eingaben!$B$22),OR(B1964&gt;=Eingaben!$B$21,B1964&lt;Eingaben!$B$22)),"GO",IF(AND(ISNUMBER(Eingaben!$B$23),ISNUMBER(Eingaben!$B$24),IF(Eingaben!$B$23&lt;Eingaben!$B$24,AND(B1964&gt;=Eingaben!$B$23,B1964&lt;Eingaben!$B$24),OR(B1964&gt;=Eingaben!$B$23,B1964&lt;Eingaben!$B$24))),"HEAT","STANDARD"))</f>
        <v>STANDARD</v>
      </c>
      <c r="E1964" s="9"/>
      <c r="F1964" t="str">
        <f>IF(E1964="",D1964,E1964)</f>
        <v>STANDARD</v>
      </c>
      <c r="G1964" t="str">
        <f>INDEX(Netzzeiten!$B$6:$B$29,HOUR(B1964)+1)</f>
        <v>ST</v>
      </c>
      <c r="H1964" s="6">
        <f>IF(F1964="GO",Eingaben!$B$11,IF(F1964="STANDARD",Eingaben!$B$12,IF(AND(F1964="HEAT",ISNUMBER(Eingaben!$B$13)),Eingaben!$B$13,"")))</f>
        <v>28.2744</v>
      </c>
      <c r="I1964" s="6">
        <f>INDEX(Netzzeiten!$C$6:$C$29,HOUR(B1964)+1)</f>
        <v>5.48</v>
      </c>
      <c r="J1964" t="str">
        <f>IF(C1964="","FEHLT",IF(NOT(ISNUMBER(C1964)),"MESSWERT UNGUELTIG",IF(C1964&lt;0,"MESSWERT UNGUELTIG",IF(H1964="","TARIFPREIS FEHLT","OK"))))</f>
        <v>FEHLT</v>
      </c>
      <c r="K1964" s="7">
        <f>IF(J1964&lt;&gt;"OK","",C1964*I1964/100)</f>
        <v/>
      </c>
    </row>
    <row r="1965" spans="1:11">
      <c r="A1965" s="14">
        <v>46163</v>
      </c>
      <c r="B1965" s="15">
        <v>0.40625</v>
      </c>
      <c r="C1965" s="5">
        <f>IF('96 Werte'!AO26="","",'96 Werte'!AO26)</f>
        <v/>
      </c>
      <c r="D1965" t="str">
        <f>IF(IF(Eingaben!$B$21&lt;Eingaben!$B$22,AND(B1965&gt;=Eingaben!$B$21,B1965&lt;Eingaben!$B$22),OR(B1965&gt;=Eingaben!$B$21,B1965&lt;Eingaben!$B$22)),"GO",IF(AND(ISNUMBER(Eingaben!$B$23),ISNUMBER(Eingaben!$B$24),IF(Eingaben!$B$23&lt;Eingaben!$B$24,AND(B1965&gt;=Eingaben!$B$23,B1965&lt;Eingaben!$B$24),OR(B1965&gt;=Eingaben!$B$23,B1965&lt;Eingaben!$B$24))),"HEAT","STANDARD"))</f>
        <v>STANDARD</v>
      </c>
      <c r="E1965" s="9"/>
      <c r="F1965" t="str">
        <f>IF(E1965="",D1965,E1965)</f>
        <v>STANDARD</v>
      </c>
      <c r="G1965" t="str">
        <f>INDEX(Netzzeiten!$B$6:$B$29,HOUR(B1965)+1)</f>
        <v>ST</v>
      </c>
      <c r="H1965" s="6">
        <f>IF(F1965="GO",Eingaben!$B$11,IF(F1965="STANDARD",Eingaben!$B$12,IF(AND(F1965="HEAT",ISNUMBER(Eingaben!$B$13)),Eingaben!$B$13,"")))</f>
        <v>28.2744</v>
      </c>
      <c r="I1965" s="6">
        <f>INDEX(Netzzeiten!$C$6:$C$29,HOUR(B1965)+1)</f>
        <v>5.48</v>
      </c>
      <c r="J1965" t="str">
        <f>IF(C1965="","FEHLT",IF(NOT(ISNUMBER(C1965)),"MESSWERT UNGUELTIG",IF(C1965&lt;0,"MESSWERT UNGUELTIG",IF(H1965="","TARIFPREIS FEHLT","OK"))))</f>
        <v>FEHLT</v>
      </c>
      <c r="K1965" s="7">
        <f>IF(J1965&lt;&gt;"OK","",C1965*I1965/100)</f>
        <v/>
      </c>
    </row>
    <row r="1966" spans="1:11">
      <c r="A1966" s="14">
        <v>46163</v>
      </c>
      <c r="B1966" s="15">
        <v>0.4166666666666667</v>
      </c>
      <c r="C1966" s="5">
        <f>IF('96 Werte'!AP26="","",'96 Werte'!AP26)</f>
        <v/>
      </c>
      <c r="D1966" t="str">
        <f>IF(IF(Eingaben!$B$21&lt;Eingaben!$B$22,AND(B1966&gt;=Eingaben!$B$21,B1966&lt;Eingaben!$B$22),OR(B1966&gt;=Eingaben!$B$21,B1966&lt;Eingaben!$B$22)),"GO",IF(AND(ISNUMBER(Eingaben!$B$23),ISNUMBER(Eingaben!$B$24),IF(Eingaben!$B$23&lt;Eingaben!$B$24,AND(B1966&gt;=Eingaben!$B$23,B1966&lt;Eingaben!$B$24),OR(B1966&gt;=Eingaben!$B$23,B1966&lt;Eingaben!$B$24))),"HEAT","STANDARD"))</f>
        <v>STANDARD</v>
      </c>
      <c r="E1966" s="9"/>
      <c r="F1966" t="str">
        <f>IF(E1966="",D1966,E1966)</f>
        <v>STANDARD</v>
      </c>
      <c r="G1966" t="str">
        <f>INDEX(Netzzeiten!$B$6:$B$29,HOUR(B1966)+1)</f>
        <v>ST</v>
      </c>
      <c r="H1966" s="6">
        <f>IF(F1966="GO",Eingaben!$B$11,IF(F1966="STANDARD",Eingaben!$B$12,IF(AND(F1966="HEAT",ISNUMBER(Eingaben!$B$13)),Eingaben!$B$13,"")))</f>
        <v>28.2744</v>
      </c>
      <c r="I1966" s="6">
        <f>INDEX(Netzzeiten!$C$6:$C$29,HOUR(B1966)+1)</f>
        <v>5.48</v>
      </c>
      <c r="J1966" t="str">
        <f>IF(C1966="","FEHLT",IF(NOT(ISNUMBER(C1966)),"MESSWERT UNGUELTIG",IF(C1966&lt;0,"MESSWERT UNGUELTIG",IF(H1966="","TARIFPREIS FEHLT","OK"))))</f>
        <v>FEHLT</v>
      </c>
      <c r="K1966" s="7">
        <f>IF(J1966&lt;&gt;"OK","",C1966*I1966/100)</f>
        <v/>
      </c>
    </row>
    <row r="1967" spans="1:11">
      <c r="A1967" s="14">
        <v>46163</v>
      </c>
      <c r="B1967" s="15">
        <v>0.4270833333333333</v>
      </c>
      <c r="C1967" s="5">
        <f>IF('96 Werte'!AQ26="","",'96 Werte'!AQ26)</f>
        <v/>
      </c>
      <c r="D1967" t="str">
        <f>IF(IF(Eingaben!$B$21&lt;Eingaben!$B$22,AND(B1967&gt;=Eingaben!$B$21,B1967&lt;Eingaben!$B$22),OR(B1967&gt;=Eingaben!$B$21,B1967&lt;Eingaben!$B$22)),"GO",IF(AND(ISNUMBER(Eingaben!$B$23),ISNUMBER(Eingaben!$B$24),IF(Eingaben!$B$23&lt;Eingaben!$B$24,AND(B1967&gt;=Eingaben!$B$23,B1967&lt;Eingaben!$B$24),OR(B1967&gt;=Eingaben!$B$23,B1967&lt;Eingaben!$B$24))),"HEAT","STANDARD"))</f>
        <v>STANDARD</v>
      </c>
      <c r="E1967" s="9"/>
      <c r="F1967" t="str">
        <f>IF(E1967="",D1967,E1967)</f>
        <v>STANDARD</v>
      </c>
      <c r="G1967" t="str">
        <f>INDEX(Netzzeiten!$B$6:$B$29,HOUR(B1967)+1)</f>
        <v>ST</v>
      </c>
      <c r="H1967" s="6">
        <f>IF(F1967="GO",Eingaben!$B$11,IF(F1967="STANDARD",Eingaben!$B$12,IF(AND(F1967="HEAT",ISNUMBER(Eingaben!$B$13)),Eingaben!$B$13,"")))</f>
        <v>28.2744</v>
      </c>
      <c r="I1967" s="6">
        <f>INDEX(Netzzeiten!$C$6:$C$29,HOUR(B1967)+1)</f>
        <v>5.48</v>
      </c>
      <c r="J1967" t="str">
        <f>IF(C1967="","FEHLT",IF(NOT(ISNUMBER(C1967)),"MESSWERT UNGUELTIG",IF(C1967&lt;0,"MESSWERT UNGUELTIG",IF(H1967="","TARIFPREIS FEHLT","OK"))))</f>
        <v>FEHLT</v>
      </c>
      <c r="K1967" s="7">
        <f>IF(J1967&lt;&gt;"OK","",C1967*I1967/100)</f>
        <v/>
      </c>
    </row>
    <row r="1968" spans="1:11">
      <c r="A1968" s="14">
        <v>46163</v>
      </c>
      <c r="B1968" s="15">
        <v>0.4375</v>
      </c>
      <c r="C1968" s="5">
        <f>IF('96 Werte'!AR26="","",'96 Werte'!AR26)</f>
        <v/>
      </c>
      <c r="D1968" t="str">
        <f>IF(IF(Eingaben!$B$21&lt;Eingaben!$B$22,AND(B1968&gt;=Eingaben!$B$21,B1968&lt;Eingaben!$B$22),OR(B1968&gt;=Eingaben!$B$21,B1968&lt;Eingaben!$B$22)),"GO",IF(AND(ISNUMBER(Eingaben!$B$23),ISNUMBER(Eingaben!$B$24),IF(Eingaben!$B$23&lt;Eingaben!$B$24,AND(B1968&gt;=Eingaben!$B$23,B1968&lt;Eingaben!$B$24),OR(B1968&gt;=Eingaben!$B$23,B1968&lt;Eingaben!$B$24))),"HEAT","STANDARD"))</f>
        <v>STANDARD</v>
      </c>
      <c r="E1968" s="9"/>
      <c r="F1968" t="str">
        <f>IF(E1968="",D1968,E1968)</f>
        <v>STANDARD</v>
      </c>
      <c r="G1968" t="str">
        <f>INDEX(Netzzeiten!$B$6:$B$29,HOUR(B1968)+1)</f>
        <v>ST</v>
      </c>
      <c r="H1968" s="6">
        <f>IF(F1968="GO",Eingaben!$B$11,IF(F1968="STANDARD",Eingaben!$B$12,IF(AND(F1968="HEAT",ISNUMBER(Eingaben!$B$13)),Eingaben!$B$13,"")))</f>
        <v>28.2744</v>
      </c>
      <c r="I1968" s="6">
        <f>INDEX(Netzzeiten!$C$6:$C$29,HOUR(B1968)+1)</f>
        <v>5.48</v>
      </c>
      <c r="J1968" t="str">
        <f>IF(C1968="","FEHLT",IF(NOT(ISNUMBER(C1968)),"MESSWERT UNGUELTIG",IF(C1968&lt;0,"MESSWERT UNGUELTIG",IF(H1968="","TARIFPREIS FEHLT","OK"))))</f>
        <v>FEHLT</v>
      </c>
      <c r="K1968" s="7">
        <f>IF(J1968&lt;&gt;"OK","",C1968*I1968/100)</f>
        <v/>
      </c>
    </row>
    <row r="1969" spans="1:11">
      <c r="A1969" s="14">
        <v>46163</v>
      </c>
      <c r="B1969" s="15">
        <v>0.4479166666666667</v>
      </c>
      <c r="C1969" s="5">
        <f>IF('96 Werte'!AS26="","",'96 Werte'!AS26)</f>
        <v/>
      </c>
      <c r="D1969" t="str">
        <f>IF(IF(Eingaben!$B$21&lt;Eingaben!$B$22,AND(B1969&gt;=Eingaben!$B$21,B1969&lt;Eingaben!$B$22),OR(B1969&gt;=Eingaben!$B$21,B1969&lt;Eingaben!$B$22)),"GO",IF(AND(ISNUMBER(Eingaben!$B$23),ISNUMBER(Eingaben!$B$24),IF(Eingaben!$B$23&lt;Eingaben!$B$24,AND(B1969&gt;=Eingaben!$B$23,B1969&lt;Eingaben!$B$24),OR(B1969&gt;=Eingaben!$B$23,B1969&lt;Eingaben!$B$24))),"HEAT","STANDARD"))</f>
        <v>STANDARD</v>
      </c>
      <c r="E1969" s="9"/>
      <c r="F1969" t="str">
        <f>IF(E1969="",D1969,E1969)</f>
        <v>STANDARD</v>
      </c>
      <c r="G1969" t="str">
        <f>INDEX(Netzzeiten!$B$6:$B$29,HOUR(B1969)+1)</f>
        <v>ST</v>
      </c>
      <c r="H1969" s="6">
        <f>IF(F1969="GO",Eingaben!$B$11,IF(F1969="STANDARD",Eingaben!$B$12,IF(AND(F1969="HEAT",ISNUMBER(Eingaben!$B$13)),Eingaben!$B$13,"")))</f>
        <v>28.2744</v>
      </c>
      <c r="I1969" s="6">
        <f>INDEX(Netzzeiten!$C$6:$C$29,HOUR(B1969)+1)</f>
        <v>5.48</v>
      </c>
      <c r="J1969" t="str">
        <f>IF(C1969="","FEHLT",IF(NOT(ISNUMBER(C1969)),"MESSWERT UNGUELTIG",IF(C1969&lt;0,"MESSWERT UNGUELTIG",IF(H1969="","TARIFPREIS FEHLT","OK"))))</f>
        <v>FEHLT</v>
      </c>
      <c r="K1969" s="7">
        <f>IF(J1969&lt;&gt;"OK","",C1969*I1969/100)</f>
        <v/>
      </c>
    </row>
    <row r="1970" spans="1:11">
      <c r="A1970" s="14">
        <v>46163</v>
      </c>
      <c r="B1970" s="15">
        <v>0.4583333333333333</v>
      </c>
      <c r="C1970" s="5">
        <f>IF('96 Werte'!AT26="","",'96 Werte'!AT26)</f>
        <v/>
      </c>
      <c r="D1970" t="str">
        <f>IF(IF(Eingaben!$B$21&lt;Eingaben!$B$22,AND(B1970&gt;=Eingaben!$B$21,B1970&lt;Eingaben!$B$22),OR(B1970&gt;=Eingaben!$B$21,B1970&lt;Eingaben!$B$22)),"GO",IF(AND(ISNUMBER(Eingaben!$B$23),ISNUMBER(Eingaben!$B$24),IF(Eingaben!$B$23&lt;Eingaben!$B$24,AND(B1970&gt;=Eingaben!$B$23,B1970&lt;Eingaben!$B$24),OR(B1970&gt;=Eingaben!$B$23,B1970&lt;Eingaben!$B$24))),"HEAT","STANDARD"))</f>
        <v>STANDARD</v>
      </c>
      <c r="E1970" s="9"/>
      <c r="F1970" t="str">
        <f>IF(E1970="",D1970,E1970)</f>
        <v>STANDARD</v>
      </c>
      <c r="G1970" t="str">
        <f>INDEX(Netzzeiten!$B$6:$B$29,HOUR(B1970)+1)</f>
        <v>NT</v>
      </c>
      <c r="H1970" s="6">
        <f>IF(F1970="GO",Eingaben!$B$11,IF(F1970="STANDARD",Eingaben!$B$12,IF(AND(F1970="HEAT",ISNUMBER(Eingaben!$B$13)),Eingaben!$B$13,"")))</f>
        <v>28.2744</v>
      </c>
      <c r="I1970" s="6">
        <f>INDEX(Netzzeiten!$C$6:$C$29,HOUR(B1970)+1)</f>
        <v>1.64</v>
      </c>
      <c r="J1970" t="str">
        <f>IF(C1970="","FEHLT",IF(NOT(ISNUMBER(C1970)),"MESSWERT UNGUELTIG",IF(C1970&lt;0,"MESSWERT UNGUELTIG",IF(H1970="","TARIFPREIS FEHLT","OK"))))</f>
        <v>FEHLT</v>
      </c>
      <c r="K1970" s="7">
        <f>IF(J1970&lt;&gt;"OK","",C1970*I1970/100)</f>
        <v/>
      </c>
    </row>
    <row r="1971" spans="1:11">
      <c r="A1971" s="14">
        <v>46163</v>
      </c>
      <c r="B1971" s="15">
        <v>0.46875</v>
      </c>
      <c r="C1971" s="5">
        <f>IF('96 Werte'!AU26="","",'96 Werte'!AU26)</f>
        <v/>
      </c>
      <c r="D1971" t="str">
        <f>IF(IF(Eingaben!$B$21&lt;Eingaben!$B$22,AND(B1971&gt;=Eingaben!$B$21,B1971&lt;Eingaben!$B$22),OR(B1971&gt;=Eingaben!$B$21,B1971&lt;Eingaben!$B$22)),"GO",IF(AND(ISNUMBER(Eingaben!$B$23),ISNUMBER(Eingaben!$B$24),IF(Eingaben!$B$23&lt;Eingaben!$B$24,AND(B1971&gt;=Eingaben!$B$23,B1971&lt;Eingaben!$B$24),OR(B1971&gt;=Eingaben!$B$23,B1971&lt;Eingaben!$B$24))),"HEAT","STANDARD"))</f>
        <v>STANDARD</v>
      </c>
      <c r="E1971" s="9"/>
      <c r="F1971" t="str">
        <f>IF(E1971="",D1971,E1971)</f>
        <v>STANDARD</v>
      </c>
      <c r="G1971" t="str">
        <f>INDEX(Netzzeiten!$B$6:$B$29,HOUR(B1971)+1)</f>
        <v>NT</v>
      </c>
      <c r="H1971" s="6">
        <f>IF(F1971="GO",Eingaben!$B$11,IF(F1971="STANDARD",Eingaben!$B$12,IF(AND(F1971="HEAT",ISNUMBER(Eingaben!$B$13)),Eingaben!$B$13,"")))</f>
        <v>28.2744</v>
      </c>
      <c r="I1971" s="6">
        <f>INDEX(Netzzeiten!$C$6:$C$29,HOUR(B1971)+1)</f>
        <v>1.64</v>
      </c>
      <c r="J1971" t="str">
        <f>IF(C1971="","FEHLT",IF(NOT(ISNUMBER(C1971)),"MESSWERT UNGUELTIG",IF(C1971&lt;0,"MESSWERT UNGUELTIG",IF(H1971="","TARIFPREIS FEHLT","OK"))))</f>
        <v>FEHLT</v>
      </c>
      <c r="K1971" s="7">
        <f>IF(J1971&lt;&gt;"OK","",C1971*I1971/100)</f>
        <v/>
      </c>
    </row>
    <row r="1972" spans="1:11">
      <c r="A1972" s="14">
        <v>46163</v>
      </c>
      <c r="B1972" s="15">
        <v>0.4791666666666667</v>
      </c>
      <c r="C1972" s="5">
        <f>IF('96 Werte'!AV26="","",'96 Werte'!AV26)</f>
        <v/>
      </c>
      <c r="D1972" t="str">
        <f>IF(IF(Eingaben!$B$21&lt;Eingaben!$B$22,AND(B1972&gt;=Eingaben!$B$21,B1972&lt;Eingaben!$B$22),OR(B1972&gt;=Eingaben!$B$21,B1972&lt;Eingaben!$B$22)),"GO",IF(AND(ISNUMBER(Eingaben!$B$23),ISNUMBER(Eingaben!$B$24),IF(Eingaben!$B$23&lt;Eingaben!$B$24,AND(B1972&gt;=Eingaben!$B$23,B1972&lt;Eingaben!$B$24),OR(B1972&gt;=Eingaben!$B$23,B1972&lt;Eingaben!$B$24))),"HEAT","STANDARD"))</f>
        <v>STANDARD</v>
      </c>
      <c r="E1972" s="9"/>
      <c r="F1972" t="str">
        <f>IF(E1972="",D1972,E1972)</f>
        <v>STANDARD</v>
      </c>
      <c r="G1972" t="str">
        <f>INDEX(Netzzeiten!$B$6:$B$29,HOUR(B1972)+1)</f>
        <v>NT</v>
      </c>
      <c r="H1972" s="6">
        <f>IF(F1972="GO",Eingaben!$B$11,IF(F1972="STANDARD",Eingaben!$B$12,IF(AND(F1972="HEAT",ISNUMBER(Eingaben!$B$13)),Eingaben!$B$13,"")))</f>
        <v>28.2744</v>
      </c>
      <c r="I1972" s="6">
        <f>INDEX(Netzzeiten!$C$6:$C$29,HOUR(B1972)+1)</f>
        <v>1.64</v>
      </c>
      <c r="J1972" t="str">
        <f>IF(C1972="","FEHLT",IF(NOT(ISNUMBER(C1972)),"MESSWERT UNGUELTIG",IF(C1972&lt;0,"MESSWERT UNGUELTIG",IF(H1972="","TARIFPREIS FEHLT","OK"))))</f>
        <v>FEHLT</v>
      </c>
      <c r="K1972" s="7">
        <f>IF(J1972&lt;&gt;"OK","",C1972*I1972/100)</f>
        <v/>
      </c>
    </row>
    <row r="1973" spans="1:11">
      <c r="A1973" s="14">
        <v>46163</v>
      </c>
      <c r="B1973" s="15">
        <v>0.4895833333333333</v>
      </c>
      <c r="C1973" s="5">
        <f>IF('96 Werte'!AW26="","",'96 Werte'!AW26)</f>
        <v/>
      </c>
      <c r="D1973" t="str">
        <f>IF(IF(Eingaben!$B$21&lt;Eingaben!$B$22,AND(B1973&gt;=Eingaben!$B$21,B1973&lt;Eingaben!$B$22),OR(B1973&gt;=Eingaben!$B$21,B1973&lt;Eingaben!$B$22)),"GO",IF(AND(ISNUMBER(Eingaben!$B$23),ISNUMBER(Eingaben!$B$24),IF(Eingaben!$B$23&lt;Eingaben!$B$24,AND(B1973&gt;=Eingaben!$B$23,B1973&lt;Eingaben!$B$24),OR(B1973&gt;=Eingaben!$B$23,B1973&lt;Eingaben!$B$24))),"HEAT","STANDARD"))</f>
        <v>STANDARD</v>
      </c>
      <c r="E1973" s="9"/>
      <c r="F1973" t="str">
        <f>IF(E1973="",D1973,E1973)</f>
        <v>STANDARD</v>
      </c>
      <c r="G1973" t="str">
        <f>INDEX(Netzzeiten!$B$6:$B$29,HOUR(B1973)+1)</f>
        <v>NT</v>
      </c>
      <c r="H1973" s="6">
        <f>IF(F1973="GO",Eingaben!$B$11,IF(F1973="STANDARD",Eingaben!$B$12,IF(AND(F1973="HEAT",ISNUMBER(Eingaben!$B$13)),Eingaben!$B$13,"")))</f>
        <v>28.2744</v>
      </c>
      <c r="I1973" s="6">
        <f>INDEX(Netzzeiten!$C$6:$C$29,HOUR(B1973)+1)</f>
        <v>1.64</v>
      </c>
      <c r="J1973" t="str">
        <f>IF(C1973="","FEHLT",IF(NOT(ISNUMBER(C1973)),"MESSWERT UNGUELTIG",IF(C1973&lt;0,"MESSWERT UNGUELTIG",IF(H1973="","TARIFPREIS FEHLT","OK"))))</f>
        <v>FEHLT</v>
      </c>
      <c r="K1973" s="7">
        <f>IF(J1973&lt;&gt;"OK","",C1973*I1973/100)</f>
        <v/>
      </c>
    </row>
    <row r="1974" spans="1:11">
      <c r="A1974" s="14">
        <v>46163</v>
      </c>
      <c r="B1974" s="15">
        <v>0.5</v>
      </c>
      <c r="C1974" s="5">
        <f>IF('96 Werte'!AX26="","",'96 Werte'!AX26)</f>
        <v/>
      </c>
      <c r="D1974" t="str">
        <f>IF(IF(Eingaben!$B$21&lt;Eingaben!$B$22,AND(B1974&gt;=Eingaben!$B$21,B1974&lt;Eingaben!$B$22),OR(B1974&gt;=Eingaben!$B$21,B1974&lt;Eingaben!$B$22)),"GO",IF(AND(ISNUMBER(Eingaben!$B$23),ISNUMBER(Eingaben!$B$24),IF(Eingaben!$B$23&lt;Eingaben!$B$24,AND(B1974&gt;=Eingaben!$B$23,B1974&lt;Eingaben!$B$24),OR(B1974&gt;=Eingaben!$B$23,B1974&lt;Eingaben!$B$24))),"HEAT","STANDARD"))</f>
        <v>STANDARD</v>
      </c>
      <c r="E1974" s="9"/>
      <c r="F1974" t="str">
        <f>IF(E1974="",D1974,E1974)</f>
        <v>STANDARD</v>
      </c>
      <c r="G1974" t="str">
        <f>INDEX(Netzzeiten!$B$6:$B$29,HOUR(B1974)+1)</f>
        <v>NT</v>
      </c>
      <c r="H1974" s="6">
        <f>IF(F1974="GO",Eingaben!$B$11,IF(F1974="STANDARD",Eingaben!$B$12,IF(AND(F1974="HEAT",ISNUMBER(Eingaben!$B$13)),Eingaben!$B$13,"")))</f>
        <v>28.2744</v>
      </c>
      <c r="I1974" s="6">
        <f>INDEX(Netzzeiten!$C$6:$C$29,HOUR(B1974)+1)</f>
        <v>1.64</v>
      </c>
      <c r="J1974" t="str">
        <f>IF(C1974="","FEHLT",IF(NOT(ISNUMBER(C1974)),"MESSWERT UNGUELTIG",IF(C1974&lt;0,"MESSWERT UNGUELTIG",IF(H1974="","TARIFPREIS FEHLT","OK"))))</f>
        <v>FEHLT</v>
      </c>
      <c r="K1974" s="7">
        <f>IF(J1974&lt;&gt;"OK","",C1974*I1974/100)</f>
        <v/>
      </c>
    </row>
    <row r="1975" spans="1:11">
      <c r="A1975" s="14">
        <v>46163</v>
      </c>
      <c r="B1975" s="15">
        <v>0.5104166666666666</v>
      </c>
      <c r="C1975" s="5">
        <f>IF('96 Werte'!AY26="","",'96 Werte'!AY26)</f>
        <v/>
      </c>
      <c r="D1975" t="str">
        <f>IF(IF(Eingaben!$B$21&lt;Eingaben!$B$22,AND(B1975&gt;=Eingaben!$B$21,B1975&lt;Eingaben!$B$22),OR(B1975&gt;=Eingaben!$B$21,B1975&lt;Eingaben!$B$22)),"GO",IF(AND(ISNUMBER(Eingaben!$B$23),ISNUMBER(Eingaben!$B$24),IF(Eingaben!$B$23&lt;Eingaben!$B$24,AND(B1975&gt;=Eingaben!$B$23,B1975&lt;Eingaben!$B$24),OR(B1975&gt;=Eingaben!$B$23,B1975&lt;Eingaben!$B$24))),"HEAT","STANDARD"))</f>
        <v>STANDARD</v>
      </c>
      <c r="E1975" s="9"/>
      <c r="F1975" t="str">
        <f>IF(E1975="",D1975,E1975)</f>
        <v>STANDARD</v>
      </c>
      <c r="G1975" t="str">
        <f>INDEX(Netzzeiten!$B$6:$B$29,HOUR(B1975)+1)</f>
        <v>NT</v>
      </c>
      <c r="H1975" s="6">
        <f>IF(F1975="GO",Eingaben!$B$11,IF(F1975="STANDARD",Eingaben!$B$12,IF(AND(F1975="HEAT",ISNUMBER(Eingaben!$B$13)),Eingaben!$B$13,"")))</f>
        <v>28.2744</v>
      </c>
      <c r="I1975" s="6">
        <f>INDEX(Netzzeiten!$C$6:$C$29,HOUR(B1975)+1)</f>
        <v>1.64</v>
      </c>
      <c r="J1975" t="str">
        <f>IF(C1975="","FEHLT",IF(NOT(ISNUMBER(C1975)),"MESSWERT UNGUELTIG",IF(C1975&lt;0,"MESSWERT UNGUELTIG",IF(H1975="","TARIFPREIS FEHLT","OK"))))</f>
        <v>FEHLT</v>
      </c>
      <c r="K1975" s="7">
        <f>IF(J1975&lt;&gt;"OK","",C1975*I1975/100)</f>
        <v/>
      </c>
    </row>
    <row r="1976" spans="1:11">
      <c r="A1976" s="14">
        <v>46163</v>
      </c>
      <c r="B1976" s="15">
        <v>0.5208333333333334</v>
      </c>
      <c r="C1976" s="5">
        <f>IF('96 Werte'!AZ26="","",'96 Werte'!AZ26)</f>
        <v/>
      </c>
      <c r="D1976" t="str">
        <f>IF(IF(Eingaben!$B$21&lt;Eingaben!$B$22,AND(B1976&gt;=Eingaben!$B$21,B1976&lt;Eingaben!$B$22),OR(B1976&gt;=Eingaben!$B$21,B1976&lt;Eingaben!$B$22)),"GO",IF(AND(ISNUMBER(Eingaben!$B$23),ISNUMBER(Eingaben!$B$24),IF(Eingaben!$B$23&lt;Eingaben!$B$24,AND(B1976&gt;=Eingaben!$B$23,B1976&lt;Eingaben!$B$24),OR(B1976&gt;=Eingaben!$B$23,B1976&lt;Eingaben!$B$24))),"HEAT","STANDARD"))</f>
        <v>STANDARD</v>
      </c>
      <c r="E1976" s="9"/>
      <c r="F1976" t="str">
        <f>IF(E1976="",D1976,E1976)</f>
        <v>STANDARD</v>
      </c>
      <c r="G1976" t="str">
        <f>INDEX(Netzzeiten!$B$6:$B$29,HOUR(B1976)+1)</f>
        <v>NT</v>
      </c>
      <c r="H1976" s="6">
        <f>IF(F1976="GO",Eingaben!$B$11,IF(F1976="STANDARD",Eingaben!$B$12,IF(AND(F1976="HEAT",ISNUMBER(Eingaben!$B$13)),Eingaben!$B$13,"")))</f>
        <v>28.2744</v>
      </c>
      <c r="I1976" s="6">
        <f>INDEX(Netzzeiten!$C$6:$C$29,HOUR(B1976)+1)</f>
        <v>1.64</v>
      </c>
      <c r="J1976" t="str">
        <f>IF(C1976="","FEHLT",IF(NOT(ISNUMBER(C1976)),"MESSWERT UNGUELTIG",IF(C1976&lt;0,"MESSWERT UNGUELTIG",IF(H1976="","TARIFPREIS FEHLT","OK"))))</f>
        <v>FEHLT</v>
      </c>
      <c r="K1976" s="7">
        <f>IF(J1976&lt;&gt;"OK","",C1976*I1976/100)</f>
        <v/>
      </c>
    </row>
    <row r="1977" spans="1:11">
      <c r="A1977" s="14">
        <v>46163</v>
      </c>
      <c r="B1977" s="15">
        <v>0.53125</v>
      </c>
      <c r="C1977" s="5">
        <f>IF('96 Werte'!BA26="","",'96 Werte'!BA26)</f>
        <v/>
      </c>
      <c r="D1977" t="str">
        <f>IF(IF(Eingaben!$B$21&lt;Eingaben!$B$22,AND(B1977&gt;=Eingaben!$B$21,B1977&lt;Eingaben!$B$22),OR(B1977&gt;=Eingaben!$B$21,B1977&lt;Eingaben!$B$22)),"GO",IF(AND(ISNUMBER(Eingaben!$B$23),ISNUMBER(Eingaben!$B$24),IF(Eingaben!$B$23&lt;Eingaben!$B$24,AND(B1977&gt;=Eingaben!$B$23,B1977&lt;Eingaben!$B$24),OR(B1977&gt;=Eingaben!$B$23,B1977&lt;Eingaben!$B$24))),"HEAT","STANDARD"))</f>
        <v>STANDARD</v>
      </c>
      <c r="E1977" s="9"/>
      <c r="F1977" t="str">
        <f>IF(E1977="",D1977,E1977)</f>
        <v>STANDARD</v>
      </c>
      <c r="G1977" t="str">
        <f>INDEX(Netzzeiten!$B$6:$B$29,HOUR(B1977)+1)</f>
        <v>NT</v>
      </c>
      <c r="H1977" s="6">
        <f>IF(F1977="GO",Eingaben!$B$11,IF(F1977="STANDARD",Eingaben!$B$12,IF(AND(F1977="HEAT",ISNUMBER(Eingaben!$B$13)),Eingaben!$B$13,"")))</f>
        <v>28.2744</v>
      </c>
      <c r="I1977" s="6">
        <f>INDEX(Netzzeiten!$C$6:$C$29,HOUR(B1977)+1)</f>
        <v>1.64</v>
      </c>
      <c r="J1977" t="str">
        <f>IF(C1977="","FEHLT",IF(NOT(ISNUMBER(C1977)),"MESSWERT UNGUELTIG",IF(C1977&lt;0,"MESSWERT UNGUELTIG",IF(H1977="","TARIFPREIS FEHLT","OK"))))</f>
        <v>FEHLT</v>
      </c>
      <c r="K1977" s="7">
        <f>IF(J1977&lt;&gt;"OK","",C1977*I1977/100)</f>
        <v/>
      </c>
    </row>
    <row r="1978" spans="1:11">
      <c r="A1978" s="14">
        <v>46163</v>
      </c>
      <c r="B1978" s="15">
        <v>0.5416666666666666</v>
      </c>
      <c r="C1978" s="5">
        <f>IF('96 Werte'!BB26="","",'96 Werte'!BB26)</f>
        <v/>
      </c>
      <c r="D1978" t="str">
        <f>IF(IF(Eingaben!$B$21&lt;Eingaben!$B$22,AND(B1978&gt;=Eingaben!$B$21,B1978&lt;Eingaben!$B$22),OR(B1978&gt;=Eingaben!$B$21,B1978&lt;Eingaben!$B$22)),"GO",IF(AND(ISNUMBER(Eingaben!$B$23),ISNUMBER(Eingaben!$B$24),IF(Eingaben!$B$23&lt;Eingaben!$B$24,AND(B1978&gt;=Eingaben!$B$23,B1978&lt;Eingaben!$B$24),OR(B1978&gt;=Eingaben!$B$23,B1978&lt;Eingaben!$B$24))),"HEAT","STANDARD"))</f>
        <v>STANDARD</v>
      </c>
      <c r="E1978" s="9"/>
      <c r="F1978" t="str">
        <f>IF(E1978="",D1978,E1978)</f>
        <v>STANDARD</v>
      </c>
      <c r="G1978" t="str">
        <f>INDEX(Netzzeiten!$B$6:$B$29,HOUR(B1978)+1)</f>
        <v>NT</v>
      </c>
      <c r="H1978" s="6">
        <f>IF(F1978="GO",Eingaben!$B$11,IF(F1978="STANDARD",Eingaben!$B$12,IF(AND(F1978="HEAT",ISNUMBER(Eingaben!$B$13)),Eingaben!$B$13,"")))</f>
        <v>28.2744</v>
      </c>
      <c r="I1978" s="6">
        <f>INDEX(Netzzeiten!$C$6:$C$29,HOUR(B1978)+1)</f>
        <v>1.64</v>
      </c>
      <c r="J1978" t="str">
        <f>IF(C1978="","FEHLT",IF(NOT(ISNUMBER(C1978)),"MESSWERT UNGUELTIG",IF(C1978&lt;0,"MESSWERT UNGUELTIG",IF(H1978="","TARIFPREIS FEHLT","OK"))))</f>
        <v>FEHLT</v>
      </c>
      <c r="K1978" s="7">
        <f>IF(J1978&lt;&gt;"OK","",C1978*I1978/100)</f>
        <v/>
      </c>
    </row>
    <row r="1979" spans="1:11">
      <c r="A1979" s="14">
        <v>46163</v>
      </c>
      <c r="B1979" s="15">
        <v>0.5520833333333334</v>
      </c>
      <c r="C1979" s="5">
        <f>IF('96 Werte'!BC26="","",'96 Werte'!BC26)</f>
        <v/>
      </c>
      <c r="D1979" t="str">
        <f>IF(IF(Eingaben!$B$21&lt;Eingaben!$B$22,AND(B1979&gt;=Eingaben!$B$21,B1979&lt;Eingaben!$B$22),OR(B1979&gt;=Eingaben!$B$21,B1979&lt;Eingaben!$B$22)),"GO",IF(AND(ISNUMBER(Eingaben!$B$23),ISNUMBER(Eingaben!$B$24),IF(Eingaben!$B$23&lt;Eingaben!$B$24,AND(B1979&gt;=Eingaben!$B$23,B1979&lt;Eingaben!$B$24),OR(B1979&gt;=Eingaben!$B$23,B1979&lt;Eingaben!$B$24))),"HEAT","STANDARD"))</f>
        <v>STANDARD</v>
      </c>
      <c r="E1979" s="9"/>
      <c r="F1979" t="str">
        <f>IF(E1979="",D1979,E1979)</f>
        <v>STANDARD</v>
      </c>
      <c r="G1979" t="str">
        <f>INDEX(Netzzeiten!$B$6:$B$29,HOUR(B1979)+1)</f>
        <v>NT</v>
      </c>
      <c r="H1979" s="6">
        <f>IF(F1979="GO",Eingaben!$B$11,IF(F1979="STANDARD",Eingaben!$B$12,IF(AND(F1979="HEAT",ISNUMBER(Eingaben!$B$13)),Eingaben!$B$13,"")))</f>
        <v>28.2744</v>
      </c>
      <c r="I1979" s="6">
        <f>INDEX(Netzzeiten!$C$6:$C$29,HOUR(B1979)+1)</f>
        <v>1.64</v>
      </c>
      <c r="J1979" t="str">
        <f>IF(C1979="","FEHLT",IF(NOT(ISNUMBER(C1979)),"MESSWERT UNGUELTIG",IF(C1979&lt;0,"MESSWERT UNGUELTIG",IF(H1979="","TARIFPREIS FEHLT","OK"))))</f>
        <v>FEHLT</v>
      </c>
      <c r="K1979" s="7">
        <f>IF(J1979&lt;&gt;"OK","",C1979*I1979/100)</f>
        <v/>
      </c>
    </row>
    <row r="1980" spans="1:11">
      <c r="A1980" s="14">
        <v>46163</v>
      </c>
      <c r="B1980" s="15">
        <v>0.5625</v>
      </c>
      <c r="C1980" s="5">
        <f>IF('96 Werte'!BD26="","",'96 Werte'!BD26)</f>
        <v/>
      </c>
      <c r="D1980" t="str">
        <f>IF(IF(Eingaben!$B$21&lt;Eingaben!$B$22,AND(B1980&gt;=Eingaben!$B$21,B1980&lt;Eingaben!$B$22),OR(B1980&gt;=Eingaben!$B$21,B1980&lt;Eingaben!$B$22)),"GO",IF(AND(ISNUMBER(Eingaben!$B$23),ISNUMBER(Eingaben!$B$24),IF(Eingaben!$B$23&lt;Eingaben!$B$24,AND(B1980&gt;=Eingaben!$B$23,B1980&lt;Eingaben!$B$24),OR(B1980&gt;=Eingaben!$B$23,B1980&lt;Eingaben!$B$24))),"HEAT","STANDARD"))</f>
        <v>STANDARD</v>
      </c>
      <c r="E1980" s="9"/>
      <c r="F1980" t="str">
        <f>IF(E1980="",D1980,E1980)</f>
        <v>STANDARD</v>
      </c>
      <c r="G1980" t="str">
        <f>INDEX(Netzzeiten!$B$6:$B$29,HOUR(B1980)+1)</f>
        <v>NT</v>
      </c>
      <c r="H1980" s="6">
        <f>IF(F1980="GO",Eingaben!$B$11,IF(F1980="STANDARD",Eingaben!$B$12,IF(AND(F1980="HEAT",ISNUMBER(Eingaben!$B$13)),Eingaben!$B$13,"")))</f>
        <v>28.2744</v>
      </c>
      <c r="I1980" s="6">
        <f>INDEX(Netzzeiten!$C$6:$C$29,HOUR(B1980)+1)</f>
        <v>1.64</v>
      </c>
      <c r="J1980" t="str">
        <f>IF(C1980="","FEHLT",IF(NOT(ISNUMBER(C1980)),"MESSWERT UNGUELTIG",IF(C1980&lt;0,"MESSWERT UNGUELTIG",IF(H1980="","TARIFPREIS FEHLT","OK"))))</f>
        <v>FEHLT</v>
      </c>
      <c r="K1980" s="7">
        <f>IF(J1980&lt;&gt;"OK","",C1980*I1980/100)</f>
        <v/>
      </c>
    </row>
    <row r="1981" spans="1:11">
      <c r="A1981" s="14">
        <v>46163</v>
      </c>
      <c r="B1981" s="15">
        <v>0.5729166666666666</v>
      </c>
      <c r="C1981" s="5">
        <f>IF('96 Werte'!BE26="","",'96 Werte'!BE26)</f>
        <v/>
      </c>
      <c r="D1981" t="str">
        <f>IF(IF(Eingaben!$B$21&lt;Eingaben!$B$22,AND(B1981&gt;=Eingaben!$B$21,B1981&lt;Eingaben!$B$22),OR(B1981&gt;=Eingaben!$B$21,B1981&lt;Eingaben!$B$22)),"GO",IF(AND(ISNUMBER(Eingaben!$B$23),ISNUMBER(Eingaben!$B$24),IF(Eingaben!$B$23&lt;Eingaben!$B$24,AND(B1981&gt;=Eingaben!$B$23,B1981&lt;Eingaben!$B$24),OR(B1981&gt;=Eingaben!$B$23,B1981&lt;Eingaben!$B$24))),"HEAT","STANDARD"))</f>
        <v>STANDARD</v>
      </c>
      <c r="E1981" s="9"/>
      <c r="F1981" t="str">
        <f>IF(E1981="",D1981,E1981)</f>
        <v>STANDARD</v>
      </c>
      <c r="G1981" t="str">
        <f>INDEX(Netzzeiten!$B$6:$B$29,HOUR(B1981)+1)</f>
        <v>NT</v>
      </c>
      <c r="H1981" s="6">
        <f>IF(F1981="GO",Eingaben!$B$11,IF(F1981="STANDARD",Eingaben!$B$12,IF(AND(F1981="HEAT",ISNUMBER(Eingaben!$B$13)),Eingaben!$B$13,"")))</f>
        <v>28.2744</v>
      </c>
      <c r="I1981" s="6">
        <f>INDEX(Netzzeiten!$C$6:$C$29,HOUR(B1981)+1)</f>
        <v>1.64</v>
      </c>
      <c r="J1981" t="str">
        <f>IF(C1981="","FEHLT",IF(NOT(ISNUMBER(C1981)),"MESSWERT UNGUELTIG",IF(C1981&lt;0,"MESSWERT UNGUELTIG",IF(H1981="","TARIFPREIS FEHLT","OK"))))</f>
        <v>FEHLT</v>
      </c>
      <c r="K1981" s="7">
        <f>IF(J1981&lt;&gt;"OK","",C1981*I1981/100)</f>
        <v/>
      </c>
    </row>
    <row r="1982" spans="1:11">
      <c r="A1982" s="14">
        <v>46163</v>
      </c>
      <c r="B1982" s="15">
        <v>0.5833333333333334</v>
      </c>
      <c r="C1982" s="5">
        <f>IF('96 Werte'!BF26="","",'96 Werte'!BF26)</f>
        <v/>
      </c>
      <c r="D1982" t="str">
        <f>IF(IF(Eingaben!$B$21&lt;Eingaben!$B$22,AND(B1982&gt;=Eingaben!$B$21,B1982&lt;Eingaben!$B$22),OR(B1982&gt;=Eingaben!$B$21,B1982&lt;Eingaben!$B$22)),"GO",IF(AND(ISNUMBER(Eingaben!$B$23),ISNUMBER(Eingaben!$B$24),IF(Eingaben!$B$23&lt;Eingaben!$B$24,AND(B1982&gt;=Eingaben!$B$23,B1982&lt;Eingaben!$B$24),OR(B1982&gt;=Eingaben!$B$23,B1982&lt;Eingaben!$B$24))),"HEAT","STANDARD"))</f>
        <v>STANDARD</v>
      </c>
      <c r="E1982" s="9"/>
      <c r="F1982" t="str">
        <f>IF(E1982="",D1982,E1982)</f>
        <v>STANDARD</v>
      </c>
      <c r="G1982" t="str">
        <f>INDEX(Netzzeiten!$B$6:$B$29,HOUR(B1982)+1)</f>
        <v>NT</v>
      </c>
      <c r="H1982" s="6">
        <f>IF(F1982="GO",Eingaben!$B$11,IF(F1982="STANDARD",Eingaben!$B$12,IF(AND(F1982="HEAT",ISNUMBER(Eingaben!$B$13)),Eingaben!$B$13,"")))</f>
        <v>28.2744</v>
      </c>
      <c r="I1982" s="6">
        <f>INDEX(Netzzeiten!$C$6:$C$29,HOUR(B1982)+1)</f>
        <v>1.64</v>
      </c>
      <c r="J1982" t="str">
        <f>IF(C1982="","FEHLT",IF(NOT(ISNUMBER(C1982)),"MESSWERT UNGUELTIG",IF(C1982&lt;0,"MESSWERT UNGUELTIG",IF(H1982="","TARIFPREIS FEHLT","OK"))))</f>
        <v>FEHLT</v>
      </c>
      <c r="K1982" s="7">
        <f>IF(J1982&lt;&gt;"OK","",C1982*I1982/100)</f>
        <v/>
      </c>
    </row>
    <row r="1983" spans="1:11">
      <c r="A1983" s="14">
        <v>46163</v>
      </c>
      <c r="B1983" s="15">
        <v>0.59375</v>
      </c>
      <c r="C1983" s="5">
        <f>IF('96 Werte'!BG26="","",'96 Werte'!BG26)</f>
        <v/>
      </c>
      <c r="D1983" t="str">
        <f>IF(IF(Eingaben!$B$21&lt;Eingaben!$B$22,AND(B1983&gt;=Eingaben!$B$21,B1983&lt;Eingaben!$B$22),OR(B1983&gt;=Eingaben!$B$21,B1983&lt;Eingaben!$B$22)),"GO",IF(AND(ISNUMBER(Eingaben!$B$23),ISNUMBER(Eingaben!$B$24),IF(Eingaben!$B$23&lt;Eingaben!$B$24,AND(B1983&gt;=Eingaben!$B$23,B1983&lt;Eingaben!$B$24),OR(B1983&gt;=Eingaben!$B$23,B1983&lt;Eingaben!$B$24))),"HEAT","STANDARD"))</f>
        <v>STANDARD</v>
      </c>
      <c r="E1983" s="9"/>
      <c r="F1983" t="str">
        <f>IF(E1983="",D1983,E1983)</f>
        <v>STANDARD</v>
      </c>
      <c r="G1983" t="str">
        <f>INDEX(Netzzeiten!$B$6:$B$29,HOUR(B1983)+1)</f>
        <v>NT</v>
      </c>
      <c r="H1983" s="6">
        <f>IF(F1983="GO",Eingaben!$B$11,IF(F1983="STANDARD",Eingaben!$B$12,IF(AND(F1983="HEAT",ISNUMBER(Eingaben!$B$13)),Eingaben!$B$13,"")))</f>
        <v>28.2744</v>
      </c>
      <c r="I1983" s="6">
        <f>INDEX(Netzzeiten!$C$6:$C$29,HOUR(B1983)+1)</f>
        <v>1.64</v>
      </c>
      <c r="J1983" t="str">
        <f>IF(C1983="","FEHLT",IF(NOT(ISNUMBER(C1983)),"MESSWERT UNGUELTIG",IF(C1983&lt;0,"MESSWERT UNGUELTIG",IF(H1983="","TARIFPREIS FEHLT","OK"))))</f>
        <v>FEHLT</v>
      </c>
      <c r="K1983" s="7">
        <f>IF(J1983&lt;&gt;"OK","",C1983*I1983/100)</f>
        <v/>
      </c>
    </row>
    <row r="1984" spans="1:11">
      <c r="A1984" s="14">
        <v>46163</v>
      </c>
      <c r="B1984" s="15">
        <v>0.6041666666666666</v>
      </c>
      <c r="C1984" s="5">
        <f>IF('96 Werte'!BH26="","",'96 Werte'!BH26)</f>
        <v/>
      </c>
      <c r="D1984" t="str">
        <f>IF(IF(Eingaben!$B$21&lt;Eingaben!$B$22,AND(B1984&gt;=Eingaben!$B$21,B1984&lt;Eingaben!$B$22),OR(B1984&gt;=Eingaben!$B$21,B1984&lt;Eingaben!$B$22)),"GO",IF(AND(ISNUMBER(Eingaben!$B$23),ISNUMBER(Eingaben!$B$24),IF(Eingaben!$B$23&lt;Eingaben!$B$24,AND(B1984&gt;=Eingaben!$B$23,B1984&lt;Eingaben!$B$24),OR(B1984&gt;=Eingaben!$B$23,B1984&lt;Eingaben!$B$24))),"HEAT","STANDARD"))</f>
        <v>STANDARD</v>
      </c>
      <c r="E1984" s="9"/>
      <c r="F1984" t="str">
        <f>IF(E1984="",D1984,E1984)</f>
        <v>STANDARD</v>
      </c>
      <c r="G1984" t="str">
        <f>INDEX(Netzzeiten!$B$6:$B$29,HOUR(B1984)+1)</f>
        <v>NT</v>
      </c>
      <c r="H1984" s="6">
        <f>IF(F1984="GO",Eingaben!$B$11,IF(F1984="STANDARD",Eingaben!$B$12,IF(AND(F1984="HEAT",ISNUMBER(Eingaben!$B$13)),Eingaben!$B$13,"")))</f>
        <v>28.2744</v>
      </c>
      <c r="I1984" s="6">
        <f>INDEX(Netzzeiten!$C$6:$C$29,HOUR(B1984)+1)</f>
        <v>1.64</v>
      </c>
      <c r="J1984" t="str">
        <f>IF(C1984="","FEHLT",IF(NOT(ISNUMBER(C1984)),"MESSWERT UNGUELTIG",IF(C1984&lt;0,"MESSWERT UNGUELTIG",IF(H1984="","TARIFPREIS FEHLT","OK"))))</f>
        <v>FEHLT</v>
      </c>
      <c r="K1984" s="7">
        <f>IF(J1984&lt;&gt;"OK","",C1984*I1984/100)</f>
        <v/>
      </c>
    </row>
    <row r="1985" spans="1:11">
      <c r="A1985" s="14">
        <v>46163</v>
      </c>
      <c r="B1985" s="15">
        <v>0.6145833333333334</v>
      </c>
      <c r="C1985" s="5">
        <f>IF('96 Werte'!BI26="","",'96 Werte'!BI26)</f>
        <v/>
      </c>
      <c r="D1985" t="str">
        <f>IF(IF(Eingaben!$B$21&lt;Eingaben!$B$22,AND(B1985&gt;=Eingaben!$B$21,B1985&lt;Eingaben!$B$22),OR(B1985&gt;=Eingaben!$B$21,B1985&lt;Eingaben!$B$22)),"GO",IF(AND(ISNUMBER(Eingaben!$B$23),ISNUMBER(Eingaben!$B$24),IF(Eingaben!$B$23&lt;Eingaben!$B$24,AND(B1985&gt;=Eingaben!$B$23,B1985&lt;Eingaben!$B$24),OR(B1985&gt;=Eingaben!$B$23,B1985&lt;Eingaben!$B$24))),"HEAT","STANDARD"))</f>
        <v>STANDARD</v>
      </c>
      <c r="E1985" s="9"/>
      <c r="F1985" t="str">
        <f>IF(E1985="",D1985,E1985)</f>
        <v>STANDARD</v>
      </c>
      <c r="G1985" t="str">
        <f>INDEX(Netzzeiten!$B$6:$B$29,HOUR(B1985)+1)</f>
        <v>NT</v>
      </c>
      <c r="H1985" s="6">
        <f>IF(F1985="GO",Eingaben!$B$11,IF(F1985="STANDARD",Eingaben!$B$12,IF(AND(F1985="HEAT",ISNUMBER(Eingaben!$B$13)),Eingaben!$B$13,"")))</f>
        <v>28.2744</v>
      </c>
      <c r="I1985" s="6">
        <f>INDEX(Netzzeiten!$C$6:$C$29,HOUR(B1985)+1)</f>
        <v>1.64</v>
      </c>
      <c r="J1985" t="str">
        <f>IF(C1985="","FEHLT",IF(NOT(ISNUMBER(C1985)),"MESSWERT UNGUELTIG",IF(C1985&lt;0,"MESSWERT UNGUELTIG",IF(H1985="","TARIFPREIS FEHLT","OK"))))</f>
        <v>FEHLT</v>
      </c>
      <c r="K1985" s="7">
        <f>IF(J1985&lt;&gt;"OK","",C1985*I1985/100)</f>
        <v/>
      </c>
    </row>
    <row r="1986" spans="1:11">
      <c r="A1986" s="14">
        <v>46163</v>
      </c>
      <c r="B1986" s="15">
        <v>0.625</v>
      </c>
      <c r="C1986" s="5">
        <f>IF('96 Werte'!BJ26="","",'96 Werte'!BJ26)</f>
        <v/>
      </c>
      <c r="D1986" t="str">
        <f>IF(IF(Eingaben!$B$21&lt;Eingaben!$B$22,AND(B1986&gt;=Eingaben!$B$21,B1986&lt;Eingaben!$B$22),OR(B1986&gt;=Eingaben!$B$21,B1986&lt;Eingaben!$B$22)),"GO",IF(AND(ISNUMBER(Eingaben!$B$23),ISNUMBER(Eingaben!$B$24),IF(Eingaben!$B$23&lt;Eingaben!$B$24,AND(B1986&gt;=Eingaben!$B$23,B1986&lt;Eingaben!$B$24),OR(B1986&gt;=Eingaben!$B$23,B1986&lt;Eingaben!$B$24))),"HEAT","STANDARD"))</f>
        <v>STANDARD</v>
      </c>
      <c r="E1986" s="9"/>
      <c r="F1986" t="str">
        <f>IF(E1986="",D1986,E1986)</f>
        <v>STANDARD</v>
      </c>
      <c r="G1986" t="str">
        <f>INDEX(Netzzeiten!$B$6:$B$29,HOUR(B1986)+1)</f>
        <v>ST</v>
      </c>
      <c r="H1986" s="6">
        <f>IF(F1986="GO",Eingaben!$B$11,IF(F1986="STANDARD",Eingaben!$B$12,IF(AND(F1986="HEAT",ISNUMBER(Eingaben!$B$13)),Eingaben!$B$13,"")))</f>
        <v>28.2744</v>
      </c>
      <c r="I1986" s="6">
        <f>INDEX(Netzzeiten!$C$6:$C$29,HOUR(B1986)+1)</f>
        <v>5.48</v>
      </c>
      <c r="J1986" t="str">
        <f>IF(C1986="","FEHLT",IF(NOT(ISNUMBER(C1986)),"MESSWERT UNGUELTIG",IF(C1986&lt;0,"MESSWERT UNGUELTIG",IF(H1986="","TARIFPREIS FEHLT","OK"))))</f>
        <v>FEHLT</v>
      </c>
      <c r="K1986" s="7">
        <f>IF(J1986&lt;&gt;"OK","",C1986*I1986/100)</f>
        <v/>
      </c>
    </row>
    <row r="1987" spans="1:11">
      <c r="A1987" s="14">
        <v>46163</v>
      </c>
      <c r="B1987" s="15">
        <v>0.6354166666666666</v>
      </c>
      <c r="C1987" s="5">
        <f>IF('96 Werte'!BK26="","",'96 Werte'!BK26)</f>
        <v/>
      </c>
      <c r="D1987" t="str">
        <f>IF(IF(Eingaben!$B$21&lt;Eingaben!$B$22,AND(B1987&gt;=Eingaben!$B$21,B1987&lt;Eingaben!$B$22),OR(B1987&gt;=Eingaben!$B$21,B1987&lt;Eingaben!$B$22)),"GO",IF(AND(ISNUMBER(Eingaben!$B$23),ISNUMBER(Eingaben!$B$24),IF(Eingaben!$B$23&lt;Eingaben!$B$24,AND(B1987&gt;=Eingaben!$B$23,B1987&lt;Eingaben!$B$24),OR(B1987&gt;=Eingaben!$B$23,B1987&lt;Eingaben!$B$24))),"HEAT","STANDARD"))</f>
        <v>STANDARD</v>
      </c>
      <c r="E1987" s="9"/>
      <c r="F1987" t="str">
        <f>IF(E1987="",D1987,E1987)</f>
        <v>STANDARD</v>
      </c>
      <c r="G1987" t="str">
        <f>INDEX(Netzzeiten!$B$6:$B$29,HOUR(B1987)+1)</f>
        <v>ST</v>
      </c>
      <c r="H1987" s="6">
        <f>IF(F1987="GO",Eingaben!$B$11,IF(F1987="STANDARD",Eingaben!$B$12,IF(AND(F1987="HEAT",ISNUMBER(Eingaben!$B$13)),Eingaben!$B$13,"")))</f>
        <v>28.2744</v>
      </c>
      <c r="I1987" s="6">
        <f>INDEX(Netzzeiten!$C$6:$C$29,HOUR(B1987)+1)</f>
        <v>5.48</v>
      </c>
      <c r="J1987" t="str">
        <f>IF(C1987="","FEHLT",IF(NOT(ISNUMBER(C1987)),"MESSWERT UNGUELTIG",IF(C1987&lt;0,"MESSWERT UNGUELTIG",IF(H1987="","TARIFPREIS FEHLT","OK"))))</f>
        <v>FEHLT</v>
      </c>
      <c r="K1987" s="7">
        <f>IF(J1987&lt;&gt;"OK","",C1987*I1987/100)</f>
        <v/>
      </c>
    </row>
    <row r="1988" spans="1:11">
      <c r="A1988" s="14">
        <v>46163</v>
      </c>
      <c r="B1988" s="15">
        <v>0.6458333333333334</v>
      </c>
      <c r="C1988" s="5">
        <f>IF('96 Werte'!BL26="","",'96 Werte'!BL26)</f>
        <v/>
      </c>
      <c r="D1988" t="str">
        <f>IF(IF(Eingaben!$B$21&lt;Eingaben!$B$22,AND(B1988&gt;=Eingaben!$B$21,B1988&lt;Eingaben!$B$22),OR(B1988&gt;=Eingaben!$B$21,B1988&lt;Eingaben!$B$22)),"GO",IF(AND(ISNUMBER(Eingaben!$B$23),ISNUMBER(Eingaben!$B$24),IF(Eingaben!$B$23&lt;Eingaben!$B$24,AND(B1988&gt;=Eingaben!$B$23,B1988&lt;Eingaben!$B$24),OR(B1988&gt;=Eingaben!$B$23,B1988&lt;Eingaben!$B$24))),"HEAT","STANDARD"))</f>
        <v>STANDARD</v>
      </c>
      <c r="E1988" s="9"/>
      <c r="F1988" t="str">
        <f>IF(E1988="",D1988,E1988)</f>
        <v>STANDARD</v>
      </c>
      <c r="G1988" t="str">
        <f>INDEX(Netzzeiten!$B$6:$B$29,HOUR(B1988)+1)</f>
        <v>ST</v>
      </c>
      <c r="H1988" s="6">
        <f>IF(F1988="GO",Eingaben!$B$11,IF(F1988="STANDARD",Eingaben!$B$12,IF(AND(F1988="HEAT",ISNUMBER(Eingaben!$B$13)),Eingaben!$B$13,"")))</f>
        <v>28.2744</v>
      </c>
      <c r="I1988" s="6">
        <f>INDEX(Netzzeiten!$C$6:$C$29,HOUR(B1988)+1)</f>
        <v>5.48</v>
      </c>
      <c r="J1988" t="str">
        <f>IF(C1988="","FEHLT",IF(NOT(ISNUMBER(C1988)),"MESSWERT UNGUELTIG",IF(C1988&lt;0,"MESSWERT UNGUELTIG",IF(H1988="","TARIFPREIS FEHLT","OK"))))</f>
        <v>FEHLT</v>
      </c>
      <c r="K1988" s="7">
        <f>IF(J1988&lt;&gt;"OK","",C1988*I1988/100)</f>
        <v/>
      </c>
    </row>
    <row r="1989" spans="1:11">
      <c r="A1989" s="14">
        <v>46163</v>
      </c>
      <c r="B1989" s="15">
        <v>0.65625</v>
      </c>
      <c r="C1989" s="5">
        <f>IF('96 Werte'!BM26="","",'96 Werte'!BM26)</f>
        <v/>
      </c>
      <c r="D1989" t="str">
        <f>IF(IF(Eingaben!$B$21&lt;Eingaben!$B$22,AND(B1989&gt;=Eingaben!$B$21,B1989&lt;Eingaben!$B$22),OR(B1989&gt;=Eingaben!$B$21,B1989&lt;Eingaben!$B$22)),"GO",IF(AND(ISNUMBER(Eingaben!$B$23),ISNUMBER(Eingaben!$B$24),IF(Eingaben!$B$23&lt;Eingaben!$B$24,AND(B1989&gt;=Eingaben!$B$23,B1989&lt;Eingaben!$B$24),OR(B1989&gt;=Eingaben!$B$23,B1989&lt;Eingaben!$B$24))),"HEAT","STANDARD"))</f>
        <v>STANDARD</v>
      </c>
      <c r="E1989" s="9"/>
      <c r="F1989" t="str">
        <f>IF(E1989="",D1989,E1989)</f>
        <v>STANDARD</v>
      </c>
      <c r="G1989" t="str">
        <f>INDEX(Netzzeiten!$B$6:$B$29,HOUR(B1989)+1)</f>
        <v>ST</v>
      </c>
      <c r="H1989" s="6">
        <f>IF(F1989="GO",Eingaben!$B$11,IF(F1989="STANDARD",Eingaben!$B$12,IF(AND(F1989="HEAT",ISNUMBER(Eingaben!$B$13)),Eingaben!$B$13,"")))</f>
        <v>28.2744</v>
      </c>
      <c r="I1989" s="6">
        <f>INDEX(Netzzeiten!$C$6:$C$29,HOUR(B1989)+1)</f>
        <v>5.48</v>
      </c>
      <c r="J1989" t="str">
        <f>IF(C1989="","FEHLT",IF(NOT(ISNUMBER(C1989)),"MESSWERT UNGUELTIG",IF(C1989&lt;0,"MESSWERT UNGUELTIG",IF(H1989="","TARIFPREIS FEHLT","OK"))))</f>
        <v>FEHLT</v>
      </c>
      <c r="K1989" s="7">
        <f>IF(J1989&lt;&gt;"OK","",C1989*I1989/100)</f>
        <v/>
      </c>
    </row>
    <row r="1990" spans="1:11">
      <c r="A1990" s="14">
        <v>46163</v>
      </c>
      <c r="B1990" s="15">
        <v>0.6666666666666666</v>
      </c>
      <c r="C1990" s="5">
        <f>IF('96 Werte'!BN26="","",'96 Werte'!BN26)</f>
        <v/>
      </c>
      <c r="D1990" t="str">
        <f>IF(IF(Eingaben!$B$21&lt;Eingaben!$B$22,AND(B1990&gt;=Eingaben!$B$21,B1990&lt;Eingaben!$B$22),OR(B1990&gt;=Eingaben!$B$21,B1990&lt;Eingaben!$B$22)),"GO",IF(AND(ISNUMBER(Eingaben!$B$23),ISNUMBER(Eingaben!$B$24),IF(Eingaben!$B$23&lt;Eingaben!$B$24,AND(B1990&gt;=Eingaben!$B$23,B1990&lt;Eingaben!$B$24),OR(B1990&gt;=Eingaben!$B$23,B1990&lt;Eingaben!$B$24))),"HEAT","STANDARD"))</f>
        <v>STANDARD</v>
      </c>
      <c r="E1990" s="9"/>
      <c r="F1990" t="str">
        <f>IF(E1990="",D1990,E1990)</f>
        <v>STANDARD</v>
      </c>
      <c r="G1990" t="str">
        <f>INDEX(Netzzeiten!$B$6:$B$29,HOUR(B1990)+1)</f>
        <v>ST</v>
      </c>
      <c r="H1990" s="6">
        <f>IF(F1990="GO",Eingaben!$B$11,IF(F1990="STANDARD",Eingaben!$B$12,IF(AND(F1990="HEAT",ISNUMBER(Eingaben!$B$13)),Eingaben!$B$13,"")))</f>
        <v>28.2744</v>
      </c>
      <c r="I1990" s="6">
        <f>INDEX(Netzzeiten!$C$6:$C$29,HOUR(B1990)+1)</f>
        <v>5.48</v>
      </c>
      <c r="J1990" t="str">
        <f>IF(C1990="","FEHLT",IF(NOT(ISNUMBER(C1990)),"MESSWERT UNGUELTIG",IF(C1990&lt;0,"MESSWERT UNGUELTIG",IF(H1990="","TARIFPREIS FEHLT","OK"))))</f>
        <v>FEHLT</v>
      </c>
      <c r="K1990" s="7">
        <f>IF(J1990&lt;&gt;"OK","",C1990*I1990/100)</f>
        <v/>
      </c>
    </row>
    <row r="1991" spans="1:11">
      <c r="A1991" s="14">
        <v>46163</v>
      </c>
      <c r="B1991" s="15">
        <v>0.6770833333333334</v>
      </c>
      <c r="C1991" s="5">
        <f>IF('96 Werte'!BO26="","",'96 Werte'!BO26)</f>
        <v/>
      </c>
      <c r="D1991" t="str">
        <f>IF(IF(Eingaben!$B$21&lt;Eingaben!$B$22,AND(B1991&gt;=Eingaben!$B$21,B1991&lt;Eingaben!$B$22),OR(B1991&gt;=Eingaben!$B$21,B1991&lt;Eingaben!$B$22)),"GO",IF(AND(ISNUMBER(Eingaben!$B$23),ISNUMBER(Eingaben!$B$24),IF(Eingaben!$B$23&lt;Eingaben!$B$24,AND(B1991&gt;=Eingaben!$B$23,B1991&lt;Eingaben!$B$24),OR(B1991&gt;=Eingaben!$B$23,B1991&lt;Eingaben!$B$24))),"HEAT","STANDARD"))</f>
        <v>STANDARD</v>
      </c>
      <c r="E1991" s="9"/>
      <c r="F1991" t="str">
        <f>IF(E1991="",D1991,E1991)</f>
        <v>STANDARD</v>
      </c>
      <c r="G1991" t="str">
        <f>INDEX(Netzzeiten!$B$6:$B$29,HOUR(B1991)+1)</f>
        <v>ST</v>
      </c>
      <c r="H1991" s="6">
        <f>IF(F1991="GO",Eingaben!$B$11,IF(F1991="STANDARD",Eingaben!$B$12,IF(AND(F1991="HEAT",ISNUMBER(Eingaben!$B$13)),Eingaben!$B$13,"")))</f>
        <v>28.2744</v>
      </c>
      <c r="I1991" s="6">
        <f>INDEX(Netzzeiten!$C$6:$C$29,HOUR(B1991)+1)</f>
        <v>5.48</v>
      </c>
      <c r="J1991" t="str">
        <f>IF(C1991="","FEHLT",IF(NOT(ISNUMBER(C1991)),"MESSWERT UNGUELTIG",IF(C1991&lt;0,"MESSWERT UNGUELTIG",IF(H1991="","TARIFPREIS FEHLT","OK"))))</f>
        <v>FEHLT</v>
      </c>
      <c r="K1991" s="7">
        <f>IF(J1991&lt;&gt;"OK","",C1991*I1991/100)</f>
        <v/>
      </c>
    </row>
    <row r="1992" spans="1:11">
      <c r="A1992" s="14">
        <v>46163</v>
      </c>
      <c r="B1992" s="15">
        <v>0.6875</v>
      </c>
      <c r="C1992" s="5">
        <f>IF('96 Werte'!BP26="","",'96 Werte'!BP26)</f>
        <v/>
      </c>
      <c r="D1992" t="str">
        <f>IF(IF(Eingaben!$B$21&lt;Eingaben!$B$22,AND(B1992&gt;=Eingaben!$B$21,B1992&lt;Eingaben!$B$22),OR(B1992&gt;=Eingaben!$B$21,B1992&lt;Eingaben!$B$22)),"GO",IF(AND(ISNUMBER(Eingaben!$B$23),ISNUMBER(Eingaben!$B$24),IF(Eingaben!$B$23&lt;Eingaben!$B$24,AND(B1992&gt;=Eingaben!$B$23,B1992&lt;Eingaben!$B$24),OR(B1992&gt;=Eingaben!$B$23,B1992&lt;Eingaben!$B$24))),"HEAT","STANDARD"))</f>
        <v>STANDARD</v>
      </c>
      <c r="E1992" s="9"/>
      <c r="F1992" t="str">
        <f>IF(E1992="",D1992,E1992)</f>
        <v>STANDARD</v>
      </c>
      <c r="G1992" t="str">
        <f>INDEX(Netzzeiten!$B$6:$B$29,HOUR(B1992)+1)</f>
        <v>ST</v>
      </c>
      <c r="H1992" s="6">
        <f>IF(F1992="GO",Eingaben!$B$11,IF(F1992="STANDARD",Eingaben!$B$12,IF(AND(F1992="HEAT",ISNUMBER(Eingaben!$B$13)),Eingaben!$B$13,"")))</f>
        <v>28.2744</v>
      </c>
      <c r="I1992" s="6">
        <f>INDEX(Netzzeiten!$C$6:$C$29,HOUR(B1992)+1)</f>
        <v>5.48</v>
      </c>
      <c r="J1992" t="str">
        <f>IF(C1992="","FEHLT",IF(NOT(ISNUMBER(C1992)),"MESSWERT UNGUELTIG",IF(C1992&lt;0,"MESSWERT UNGUELTIG",IF(H1992="","TARIFPREIS FEHLT","OK"))))</f>
        <v>FEHLT</v>
      </c>
      <c r="K1992" s="7">
        <f>IF(J1992&lt;&gt;"OK","",C1992*I1992/100)</f>
        <v/>
      </c>
    </row>
    <row r="1993" spans="1:11">
      <c r="A1993" s="14">
        <v>46163</v>
      </c>
      <c r="B1993" s="15">
        <v>0.6979166666666666</v>
      </c>
      <c r="C1993" s="5">
        <f>IF('96 Werte'!BQ26="","",'96 Werte'!BQ26)</f>
        <v/>
      </c>
      <c r="D1993" t="str">
        <f>IF(IF(Eingaben!$B$21&lt;Eingaben!$B$22,AND(B1993&gt;=Eingaben!$B$21,B1993&lt;Eingaben!$B$22),OR(B1993&gt;=Eingaben!$B$21,B1993&lt;Eingaben!$B$22)),"GO",IF(AND(ISNUMBER(Eingaben!$B$23),ISNUMBER(Eingaben!$B$24),IF(Eingaben!$B$23&lt;Eingaben!$B$24,AND(B1993&gt;=Eingaben!$B$23,B1993&lt;Eingaben!$B$24),OR(B1993&gt;=Eingaben!$B$23,B1993&lt;Eingaben!$B$24))),"HEAT","STANDARD"))</f>
        <v>STANDARD</v>
      </c>
      <c r="E1993" s="9"/>
      <c r="F1993" t="str">
        <f>IF(E1993="",D1993,E1993)</f>
        <v>STANDARD</v>
      </c>
      <c r="G1993" t="str">
        <f>INDEX(Netzzeiten!$B$6:$B$29,HOUR(B1993)+1)</f>
        <v>ST</v>
      </c>
      <c r="H1993" s="6">
        <f>IF(F1993="GO",Eingaben!$B$11,IF(F1993="STANDARD",Eingaben!$B$12,IF(AND(F1993="HEAT",ISNUMBER(Eingaben!$B$13)),Eingaben!$B$13,"")))</f>
        <v>28.2744</v>
      </c>
      <c r="I1993" s="6">
        <f>INDEX(Netzzeiten!$C$6:$C$29,HOUR(B1993)+1)</f>
        <v>5.48</v>
      </c>
      <c r="J1993" t="str">
        <f>IF(C1993="","FEHLT",IF(NOT(ISNUMBER(C1993)),"MESSWERT UNGUELTIG",IF(C1993&lt;0,"MESSWERT UNGUELTIG",IF(H1993="","TARIFPREIS FEHLT","OK"))))</f>
        <v>FEHLT</v>
      </c>
      <c r="K1993" s="7">
        <f>IF(J1993&lt;&gt;"OK","",C1993*I1993/100)</f>
        <v/>
      </c>
    </row>
    <row r="1994" spans="1:11">
      <c r="A1994" s="14">
        <v>46163</v>
      </c>
      <c r="B1994" s="15">
        <v>0.7083333333333334</v>
      </c>
      <c r="C1994" s="5">
        <f>IF('96 Werte'!BR26="","",'96 Werte'!BR26)</f>
        <v/>
      </c>
      <c r="D1994" t="str">
        <f>IF(IF(Eingaben!$B$21&lt;Eingaben!$B$22,AND(B1994&gt;=Eingaben!$B$21,B1994&lt;Eingaben!$B$22),OR(B1994&gt;=Eingaben!$B$21,B1994&lt;Eingaben!$B$22)),"GO",IF(AND(ISNUMBER(Eingaben!$B$23),ISNUMBER(Eingaben!$B$24),IF(Eingaben!$B$23&lt;Eingaben!$B$24,AND(B1994&gt;=Eingaben!$B$23,B1994&lt;Eingaben!$B$24),OR(B1994&gt;=Eingaben!$B$23,B1994&lt;Eingaben!$B$24))),"HEAT","STANDARD"))</f>
        <v>STANDARD</v>
      </c>
      <c r="E1994" s="9"/>
      <c r="F1994" t="str">
        <f>IF(E1994="",D1994,E1994)</f>
        <v>STANDARD</v>
      </c>
      <c r="G1994" t="str">
        <f>INDEX(Netzzeiten!$B$6:$B$29,HOUR(B1994)+1)</f>
        <v>HT</v>
      </c>
      <c r="H1994" s="6">
        <f>IF(F1994="GO",Eingaben!$B$11,IF(F1994="STANDARD",Eingaben!$B$12,IF(AND(F1994="HEAT",ISNUMBER(Eingaben!$B$13)),Eingaben!$B$13,"")))</f>
        <v>28.2744</v>
      </c>
      <c r="I1994" s="6">
        <f>INDEX(Netzzeiten!$C$6:$C$29,HOUR(B1994)+1)</f>
        <v>10.52</v>
      </c>
      <c r="J1994" t="str">
        <f>IF(C1994="","FEHLT",IF(NOT(ISNUMBER(C1994)),"MESSWERT UNGUELTIG",IF(C1994&lt;0,"MESSWERT UNGUELTIG",IF(H1994="","TARIFPREIS FEHLT","OK"))))</f>
        <v>FEHLT</v>
      </c>
      <c r="K1994" s="7">
        <f>IF(J1994&lt;&gt;"OK","",C1994*I1994/100)</f>
        <v/>
      </c>
    </row>
    <row r="1995" spans="1:11">
      <c r="A1995" s="14">
        <v>46163</v>
      </c>
      <c r="B1995" s="15">
        <v>0.71875</v>
      </c>
      <c r="C1995" s="5">
        <f>IF('96 Werte'!BS26="","",'96 Werte'!BS26)</f>
        <v/>
      </c>
      <c r="D1995" t="str">
        <f>IF(IF(Eingaben!$B$21&lt;Eingaben!$B$22,AND(B1995&gt;=Eingaben!$B$21,B1995&lt;Eingaben!$B$22),OR(B1995&gt;=Eingaben!$B$21,B1995&lt;Eingaben!$B$22)),"GO",IF(AND(ISNUMBER(Eingaben!$B$23),ISNUMBER(Eingaben!$B$24),IF(Eingaben!$B$23&lt;Eingaben!$B$24,AND(B1995&gt;=Eingaben!$B$23,B1995&lt;Eingaben!$B$24),OR(B1995&gt;=Eingaben!$B$23,B1995&lt;Eingaben!$B$24))),"HEAT","STANDARD"))</f>
        <v>STANDARD</v>
      </c>
      <c r="E1995" s="9"/>
      <c r="F1995" t="str">
        <f>IF(E1995="",D1995,E1995)</f>
        <v>STANDARD</v>
      </c>
      <c r="G1995" t="str">
        <f>INDEX(Netzzeiten!$B$6:$B$29,HOUR(B1995)+1)</f>
        <v>HT</v>
      </c>
      <c r="H1995" s="6">
        <f>IF(F1995="GO",Eingaben!$B$11,IF(F1995="STANDARD",Eingaben!$B$12,IF(AND(F1995="HEAT",ISNUMBER(Eingaben!$B$13)),Eingaben!$B$13,"")))</f>
        <v>28.2744</v>
      </c>
      <c r="I1995" s="6">
        <f>INDEX(Netzzeiten!$C$6:$C$29,HOUR(B1995)+1)</f>
        <v>10.52</v>
      </c>
      <c r="J1995" t="str">
        <f>IF(C1995="","FEHLT",IF(NOT(ISNUMBER(C1995)),"MESSWERT UNGUELTIG",IF(C1995&lt;0,"MESSWERT UNGUELTIG",IF(H1995="","TARIFPREIS FEHLT","OK"))))</f>
        <v>FEHLT</v>
      </c>
      <c r="K1995" s="7">
        <f>IF(J1995&lt;&gt;"OK","",C1995*I1995/100)</f>
        <v/>
      </c>
    </row>
    <row r="1996" spans="1:11">
      <c r="A1996" s="14">
        <v>46163</v>
      </c>
      <c r="B1996" s="15">
        <v>0.7291666666666666</v>
      </c>
      <c r="C1996" s="5">
        <f>IF('96 Werte'!BT26="","",'96 Werte'!BT26)</f>
        <v/>
      </c>
      <c r="D1996" t="str">
        <f>IF(IF(Eingaben!$B$21&lt;Eingaben!$B$22,AND(B1996&gt;=Eingaben!$B$21,B1996&lt;Eingaben!$B$22),OR(B1996&gt;=Eingaben!$B$21,B1996&lt;Eingaben!$B$22)),"GO",IF(AND(ISNUMBER(Eingaben!$B$23),ISNUMBER(Eingaben!$B$24),IF(Eingaben!$B$23&lt;Eingaben!$B$24,AND(B1996&gt;=Eingaben!$B$23,B1996&lt;Eingaben!$B$24),OR(B1996&gt;=Eingaben!$B$23,B1996&lt;Eingaben!$B$24))),"HEAT","STANDARD"))</f>
        <v>STANDARD</v>
      </c>
      <c r="E1996" s="9"/>
      <c r="F1996" t="str">
        <f>IF(E1996="",D1996,E1996)</f>
        <v>STANDARD</v>
      </c>
      <c r="G1996" t="str">
        <f>INDEX(Netzzeiten!$B$6:$B$29,HOUR(B1996)+1)</f>
        <v>HT</v>
      </c>
      <c r="H1996" s="6">
        <f>IF(F1996="GO",Eingaben!$B$11,IF(F1996="STANDARD",Eingaben!$B$12,IF(AND(F1996="HEAT",ISNUMBER(Eingaben!$B$13)),Eingaben!$B$13,"")))</f>
        <v>28.2744</v>
      </c>
      <c r="I1996" s="6">
        <f>INDEX(Netzzeiten!$C$6:$C$29,HOUR(B1996)+1)</f>
        <v>10.52</v>
      </c>
      <c r="J1996" t="str">
        <f>IF(C1996="","FEHLT",IF(NOT(ISNUMBER(C1996)),"MESSWERT UNGUELTIG",IF(C1996&lt;0,"MESSWERT UNGUELTIG",IF(H1996="","TARIFPREIS FEHLT","OK"))))</f>
        <v>FEHLT</v>
      </c>
      <c r="K1996" s="7">
        <f>IF(J1996&lt;&gt;"OK","",C1996*I1996/100)</f>
        <v/>
      </c>
    </row>
    <row r="1997" spans="1:11">
      <c r="A1997" s="14">
        <v>46163</v>
      </c>
      <c r="B1997" s="15">
        <v>0.7395833333333334</v>
      </c>
      <c r="C1997" s="5">
        <f>IF('96 Werte'!BU26="","",'96 Werte'!BU26)</f>
        <v/>
      </c>
      <c r="D1997" t="str">
        <f>IF(IF(Eingaben!$B$21&lt;Eingaben!$B$22,AND(B1997&gt;=Eingaben!$B$21,B1997&lt;Eingaben!$B$22),OR(B1997&gt;=Eingaben!$B$21,B1997&lt;Eingaben!$B$22)),"GO",IF(AND(ISNUMBER(Eingaben!$B$23),ISNUMBER(Eingaben!$B$24),IF(Eingaben!$B$23&lt;Eingaben!$B$24,AND(B1997&gt;=Eingaben!$B$23,B1997&lt;Eingaben!$B$24),OR(B1997&gt;=Eingaben!$B$23,B1997&lt;Eingaben!$B$24))),"HEAT","STANDARD"))</f>
        <v>STANDARD</v>
      </c>
      <c r="E1997" s="9"/>
      <c r="F1997" t="str">
        <f>IF(E1997="",D1997,E1997)</f>
        <v>STANDARD</v>
      </c>
      <c r="G1997" t="str">
        <f>INDEX(Netzzeiten!$B$6:$B$29,HOUR(B1997)+1)</f>
        <v>HT</v>
      </c>
      <c r="H1997" s="6">
        <f>IF(F1997="GO",Eingaben!$B$11,IF(F1997="STANDARD",Eingaben!$B$12,IF(AND(F1997="HEAT",ISNUMBER(Eingaben!$B$13)),Eingaben!$B$13,"")))</f>
        <v>28.2744</v>
      </c>
      <c r="I1997" s="6">
        <f>INDEX(Netzzeiten!$C$6:$C$29,HOUR(B1997)+1)</f>
        <v>10.52</v>
      </c>
      <c r="J1997" t="str">
        <f>IF(C1997="","FEHLT",IF(NOT(ISNUMBER(C1997)),"MESSWERT UNGUELTIG",IF(C1997&lt;0,"MESSWERT UNGUELTIG",IF(H1997="","TARIFPREIS FEHLT","OK"))))</f>
        <v>FEHLT</v>
      </c>
      <c r="K1997" s="7">
        <f>IF(J1997&lt;&gt;"OK","",C1997*I1997/100)</f>
        <v/>
      </c>
    </row>
    <row r="1998" spans="1:11">
      <c r="A1998" s="14">
        <v>46163</v>
      </c>
      <c r="B1998" s="15">
        <v>0.75</v>
      </c>
      <c r="C1998" s="5">
        <f>IF('96 Werte'!BV26="","",'96 Werte'!BV26)</f>
        <v/>
      </c>
      <c r="D1998" t="str">
        <f>IF(IF(Eingaben!$B$21&lt;Eingaben!$B$22,AND(B1998&gt;=Eingaben!$B$21,B1998&lt;Eingaben!$B$22),OR(B1998&gt;=Eingaben!$B$21,B1998&lt;Eingaben!$B$22)),"GO",IF(AND(ISNUMBER(Eingaben!$B$23),ISNUMBER(Eingaben!$B$24),IF(Eingaben!$B$23&lt;Eingaben!$B$24,AND(B1998&gt;=Eingaben!$B$23,B1998&lt;Eingaben!$B$24),OR(B1998&gt;=Eingaben!$B$23,B1998&lt;Eingaben!$B$24))),"HEAT","STANDARD"))</f>
        <v>STANDARD</v>
      </c>
      <c r="E1998" s="9"/>
      <c r="F1998" t="str">
        <f>IF(E1998="",D1998,E1998)</f>
        <v>STANDARD</v>
      </c>
      <c r="G1998" t="str">
        <f>INDEX(Netzzeiten!$B$6:$B$29,HOUR(B1998)+1)</f>
        <v>HT</v>
      </c>
      <c r="H1998" s="6">
        <f>IF(F1998="GO",Eingaben!$B$11,IF(F1998="STANDARD",Eingaben!$B$12,IF(AND(F1998="HEAT",ISNUMBER(Eingaben!$B$13)),Eingaben!$B$13,"")))</f>
        <v>28.2744</v>
      </c>
      <c r="I1998" s="6">
        <f>INDEX(Netzzeiten!$C$6:$C$29,HOUR(B1998)+1)</f>
        <v>10.52</v>
      </c>
      <c r="J1998" t="str">
        <f>IF(C1998="","FEHLT",IF(NOT(ISNUMBER(C1998)),"MESSWERT UNGUELTIG",IF(C1998&lt;0,"MESSWERT UNGUELTIG",IF(H1998="","TARIFPREIS FEHLT","OK"))))</f>
        <v>FEHLT</v>
      </c>
      <c r="K1998" s="7">
        <f>IF(J1998&lt;&gt;"OK","",C1998*I1998/100)</f>
        <v/>
      </c>
    </row>
    <row r="1999" spans="1:11">
      <c r="A1999" s="14">
        <v>46163</v>
      </c>
      <c r="B1999" s="15">
        <v>0.7604166666666666</v>
      </c>
      <c r="C1999" s="5">
        <f>IF('96 Werte'!BW26="","",'96 Werte'!BW26)</f>
        <v/>
      </c>
      <c r="D1999" t="str">
        <f>IF(IF(Eingaben!$B$21&lt;Eingaben!$B$22,AND(B1999&gt;=Eingaben!$B$21,B1999&lt;Eingaben!$B$22),OR(B1999&gt;=Eingaben!$B$21,B1999&lt;Eingaben!$B$22)),"GO",IF(AND(ISNUMBER(Eingaben!$B$23),ISNUMBER(Eingaben!$B$24),IF(Eingaben!$B$23&lt;Eingaben!$B$24,AND(B1999&gt;=Eingaben!$B$23,B1999&lt;Eingaben!$B$24),OR(B1999&gt;=Eingaben!$B$23,B1999&lt;Eingaben!$B$24))),"HEAT","STANDARD"))</f>
        <v>STANDARD</v>
      </c>
      <c r="E1999" s="9"/>
      <c r="F1999" t="str">
        <f>IF(E1999="",D1999,E1999)</f>
        <v>STANDARD</v>
      </c>
      <c r="G1999" t="str">
        <f>INDEX(Netzzeiten!$B$6:$B$29,HOUR(B1999)+1)</f>
        <v>HT</v>
      </c>
      <c r="H1999" s="6">
        <f>IF(F1999="GO",Eingaben!$B$11,IF(F1999="STANDARD",Eingaben!$B$12,IF(AND(F1999="HEAT",ISNUMBER(Eingaben!$B$13)),Eingaben!$B$13,"")))</f>
        <v>28.2744</v>
      </c>
      <c r="I1999" s="6">
        <f>INDEX(Netzzeiten!$C$6:$C$29,HOUR(B1999)+1)</f>
        <v>10.52</v>
      </c>
      <c r="J1999" t="str">
        <f>IF(C1999="","FEHLT",IF(NOT(ISNUMBER(C1999)),"MESSWERT UNGUELTIG",IF(C1999&lt;0,"MESSWERT UNGUELTIG",IF(H1999="","TARIFPREIS FEHLT","OK"))))</f>
        <v>FEHLT</v>
      </c>
      <c r="K1999" s="7">
        <f>IF(J1999&lt;&gt;"OK","",C1999*I1999/100)</f>
        <v/>
      </c>
    </row>
    <row r="2000" spans="1:11">
      <c r="A2000" s="14">
        <v>46163</v>
      </c>
      <c r="B2000" s="15">
        <v>0.7708333333333334</v>
      </c>
      <c r="C2000" s="5">
        <f>IF('96 Werte'!BX26="","",'96 Werte'!BX26)</f>
        <v/>
      </c>
      <c r="D2000" t="str">
        <f>IF(IF(Eingaben!$B$21&lt;Eingaben!$B$22,AND(B2000&gt;=Eingaben!$B$21,B2000&lt;Eingaben!$B$22),OR(B2000&gt;=Eingaben!$B$21,B2000&lt;Eingaben!$B$22)),"GO",IF(AND(ISNUMBER(Eingaben!$B$23),ISNUMBER(Eingaben!$B$24),IF(Eingaben!$B$23&lt;Eingaben!$B$24,AND(B2000&gt;=Eingaben!$B$23,B2000&lt;Eingaben!$B$24),OR(B2000&gt;=Eingaben!$B$23,B2000&lt;Eingaben!$B$24))),"HEAT","STANDARD"))</f>
        <v>STANDARD</v>
      </c>
      <c r="E2000" s="9"/>
      <c r="F2000" t="str">
        <f>IF(E2000="",D2000,E2000)</f>
        <v>STANDARD</v>
      </c>
      <c r="G2000" t="str">
        <f>INDEX(Netzzeiten!$B$6:$B$29,HOUR(B2000)+1)</f>
        <v>HT</v>
      </c>
      <c r="H2000" s="6">
        <f>IF(F2000="GO",Eingaben!$B$11,IF(F2000="STANDARD",Eingaben!$B$12,IF(AND(F2000="HEAT",ISNUMBER(Eingaben!$B$13)),Eingaben!$B$13,"")))</f>
        <v>28.2744</v>
      </c>
      <c r="I2000" s="6">
        <f>INDEX(Netzzeiten!$C$6:$C$29,HOUR(B2000)+1)</f>
        <v>10.52</v>
      </c>
      <c r="J2000" t="str">
        <f>IF(C2000="","FEHLT",IF(NOT(ISNUMBER(C2000)),"MESSWERT UNGUELTIG",IF(C2000&lt;0,"MESSWERT UNGUELTIG",IF(H2000="","TARIFPREIS FEHLT","OK"))))</f>
        <v>FEHLT</v>
      </c>
      <c r="K2000" s="7">
        <f>IF(J2000&lt;&gt;"OK","",C2000*I2000/100)</f>
        <v/>
      </c>
    </row>
    <row r="2001" spans="1:11">
      <c r="A2001" s="14">
        <v>46163</v>
      </c>
      <c r="B2001" s="15">
        <v>0.78125</v>
      </c>
      <c r="C2001" s="5">
        <f>IF('96 Werte'!BY26="","",'96 Werte'!BY26)</f>
        <v/>
      </c>
      <c r="D2001" t="str">
        <f>IF(IF(Eingaben!$B$21&lt;Eingaben!$B$22,AND(B2001&gt;=Eingaben!$B$21,B2001&lt;Eingaben!$B$22),OR(B2001&gt;=Eingaben!$B$21,B2001&lt;Eingaben!$B$22)),"GO",IF(AND(ISNUMBER(Eingaben!$B$23),ISNUMBER(Eingaben!$B$24),IF(Eingaben!$B$23&lt;Eingaben!$B$24,AND(B2001&gt;=Eingaben!$B$23,B2001&lt;Eingaben!$B$24),OR(B2001&gt;=Eingaben!$B$23,B2001&lt;Eingaben!$B$24))),"HEAT","STANDARD"))</f>
        <v>STANDARD</v>
      </c>
      <c r="E2001" s="9"/>
      <c r="F2001" t="str">
        <f>IF(E2001="",D2001,E2001)</f>
        <v>STANDARD</v>
      </c>
      <c r="G2001" t="str">
        <f>INDEX(Netzzeiten!$B$6:$B$29,HOUR(B2001)+1)</f>
        <v>HT</v>
      </c>
      <c r="H2001" s="6">
        <f>IF(F2001="GO",Eingaben!$B$11,IF(F2001="STANDARD",Eingaben!$B$12,IF(AND(F2001="HEAT",ISNUMBER(Eingaben!$B$13)),Eingaben!$B$13,"")))</f>
        <v>28.2744</v>
      </c>
      <c r="I2001" s="6">
        <f>INDEX(Netzzeiten!$C$6:$C$29,HOUR(B2001)+1)</f>
        <v>10.52</v>
      </c>
      <c r="J2001" t="str">
        <f>IF(C2001="","FEHLT",IF(NOT(ISNUMBER(C2001)),"MESSWERT UNGUELTIG",IF(C2001&lt;0,"MESSWERT UNGUELTIG",IF(H2001="","TARIFPREIS FEHLT","OK"))))</f>
        <v>FEHLT</v>
      </c>
      <c r="K2001" s="7">
        <f>IF(J2001&lt;&gt;"OK","",C2001*I2001/100)</f>
        <v/>
      </c>
    </row>
    <row r="2002" spans="1:11">
      <c r="A2002" s="14">
        <v>46163</v>
      </c>
      <c r="B2002" s="15">
        <v>0.7916666666666666</v>
      </c>
      <c r="C2002" s="5">
        <f>IF('96 Werte'!BZ26="","",'96 Werte'!BZ26)</f>
        <v/>
      </c>
      <c r="D2002" t="str">
        <f>IF(IF(Eingaben!$B$21&lt;Eingaben!$B$22,AND(B2002&gt;=Eingaben!$B$21,B2002&lt;Eingaben!$B$22),OR(B2002&gt;=Eingaben!$B$21,B2002&lt;Eingaben!$B$22)),"GO",IF(AND(ISNUMBER(Eingaben!$B$23),ISNUMBER(Eingaben!$B$24),IF(Eingaben!$B$23&lt;Eingaben!$B$24,AND(B2002&gt;=Eingaben!$B$23,B2002&lt;Eingaben!$B$24),OR(B2002&gt;=Eingaben!$B$23,B2002&lt;Eingaben!$B$24))),"HEAT","STANDARD"))</f>
        <v>STANDARD</v>
      </c>
      <c r="E2002" s="9"/>
      <c r="F2002" t="str">
        <f>IF(E2002="",D2002,E2002)</f>
        <v>STANDARD</v>
      </c>
      <c r="G2002" t="str">
        <f>INDEX(Netzzeiten!$B$6:$B$29,HOUR(B2002)+1)</f>
        <v>HT</v>
      </c>
      <c r="H2002" s="6">
        <f>IF(F2002="GO",Eingaben!$B$11,IF(F2002="STANDARD",Eingaben!$B$12,IF(AND(F2002="HEAT",ISNUMBER(Eingaben!$B$13)),Eingaben!$B$13,"")))</f>
        <v>28.2744</v>
      </c>
      <c r="I2002" s="6">
        <f>INDEX(Netzzeiten!$C$6:$C$29,HOUR(B2002)+1)</f>
        <v>10.52</v>
      </c>
      <c r="J2002" t="str">
        <f>IF(C2002="","FEHLT",IF(NOT(ISNUMBER(C2002)),"MESSWERT UNGUELTIG",IF(C2002&lt;0,"MESSWERT UNGUELTIG",IF(H2002="","TARIFPREIS FEHLT","OK"))))</f>
        <v>FEHLT</v>
      </c>
      <c r="K2002" s="7">
        <f>IF(J2002&lt;&gt;"OK","",C2002*I2002/100)</f>
        <v/>
      </c>
    </row>
    <row r="2003" spans="1:11">
      <c r="A2003" s="14">
        <v>46163</v>
      </c>
      <c r="B2003" s="15">
        <v>0.8020833333333334</v>
      </c>
      <c r="C2003" s="5">
        <f>IF('96 Werte'!CA26="","",'96 Werte'!CA26)</f>
        <v/>
      </c>
      <c r="D2003" t="str">
        <f>IF(IF(Eingaben!$B$21&lt;Eingaben!$B$22,AND(B2003&gt;=Eingaben!$B$21,B2003&lt;Eingaben!$B$22),OR(B2003&gt;=Eingaben!$B$21,B2003&lt;Eingaben!$B$22)),"GO",IF(AND(ISNUMBER(Eingaben!$B$23),ISNUMBER(Eingaben!$B$24),IF(Eingaben!$B$23&lt;Eingaben!$B$24,AND(B2003&gt;=Eingaben!$B$23,B2003&lt;Eingaben!$B$24),OR(B2003&gt;=Eingaben!$B$23,B2003&lt;Eingaben!$B$24))),"HEAT","STANDARD"))</f>
        <v>STANDARD</v>
      </c>
      <c r="E2003" s="9"/>
      <c r="F2003" t="str">
        <f>IF(E2003="",D2003,E2003)</f>
        <v>STANDARD</v>
      </c>
      <c r="G2003" t="str">
        <f>INDEX(Netzzeiten!$B$6:$B$29,HOUR(B2003)+1)</f>
        <v>HT</v>
      </c>
      <c r="H2003" s="6">
        <f>IF(F2003="GO",Eingaben!$B$11,IF(F2003="STANDARD",Eingaben!$B$12,IF(AND(F2003="HEAT",ISNUMBER(Eingaben!$B$13)),Eingaben!$B$13,"")))</f>
        <v>28.2744</v>
      </c>
      <c r="I2003" s="6">
        <f>INDEX(Netzzeiten!$C$6:$C$29,HOUR(B2003)+1)</f>
        <v>10.52</v>
      </c>
      <c r="J2003" t="str">
        <f>IF(C2003="","FEHLT",IF(NOT(ISNUMBER(C2003)),"MESSWERT UNGUELTIG",IF(C2003&lt;0,"MESSWERT UNGUELTIG",IF(H2003="","TARIFPREIS FEHLT","OK"))))</f>
        <v>FEHLT</v>
      </c>
      <c r="K2003" s="7">
        <f>IF(J2003&lt;&gt;"OK","",C2003*I2003/100)</f>
        <v/>
      </c>
    </row>
    <row r="2004" spans="1:11">
      <c r="A2004" s="14">
        <v>46163</v>
      </c>
      <c r="B2004" s="15">
        <v>0.8125</v>
      </c>
      <c r="C2004" s="5">
        <f>IF('96 Werte'!CB26="","",'96 Werte'!CB26)</f>
        <v/>
      </c>
      <c r="D2004" t="str">
        <f>IF(IF(Eingaben!$B$21&lt;Eingaben!$B$22,AND(B2004&gt;=Eingaben!$B$21,B2004&lt;Eingaben!$B$22),OR(B2004&gt;=Eingaben!$B$21,B2004&lt;Eingaben!$B$22)),"GO",IF(AND(ISNUMBER(Eingaben!$B$23),ISNUMBER(Eingaben!$B$24),IF(Eingaben!$B$23&lt;Eingaben!$B$24,AND(B2004&gt;=Eingaben!$B$23,B2004&lt;Eingaben!$B$24),OR(B2004&gt;=Eingaben!$B$23,B2004&lt;Eingaben!$B$24))),"HEAT","STANDARD"))</f>
        <v>STANDARD</v>
      </c>
      <c r="E2004" s="9"/>
      <c r="F2004" t="str">
        <f>IF(E2004="",D2004,E2004)</f>
        <v>STANDARD</v>
      </c>
      <c r="G2004" t="str">
        <f>INDEX(Netzzeiten!$B$6:$B$29,HOUR(B2004)+1)</f>
        <v>HT</v>
      </c>
      <c r="H2004" s="6">
        <f>IF(F2004="GO",Eingaben!$B$11,IF(F2004="STANDARD",Eingaben!$B$12,IF(AND(F2004="HEAT",ISNUMBER(Eingaben!$B$13)),Eingaben!$B$13,"")))</f>
        <v>28.2744</v>
      </c>
      <c r="I2004" s="6">
        <f>INDEX(Netzzeiten!$C$6:$C$29,HOUR(B2004)+1)</f>
        <v>10.52</v>
      </c>
      <c r="J2004" t="str">
        <f>IF(C2004="","FEHLT",IF(NOT(ISNUMBER(C2004)),"MESSWERT UNGUELTIG",IF(C2004&lt;0,"MESSWERT UNGUELTIG",IF(H2004="","TARIFPREIS FEHLT","OK"))))</f>
        <v>FEHLT</v>
      </c>
      <c r="K2004" s="7">
        <f>IF(J2004&lt;&gt;"OK","",C2004*I2004/100)</f>
        <v/>
      </c>
    </row>
    <row r="2005" spans="1:11">
      <c r="A2005" s="14">
        <v>46163</v>
      </c>
      <c r="B2005" s="15">
        <v>0.8229166666666666</v>
      </c>
      <c r="C2005" s="5">
        <f>IF('96 Werte'!CC26="","",'96 Werte'!CC26)</f>
        <v/>
      </c>
      <c r="D2005" t="str">
        <f>IF(IF(Eingaben!$B$21&lt;Eingaben!$B$22,AND(B2005&gt;=Eingaben!$B$21,B2005&lt;Eingaben!$B$22),OR(B2005&gt;=Eingaben!$B$21,B2005&lt;Eingaben!$B$22)),"GO",IF(AND(ISNUMBER(Eingaben!$B$23),ISNUMBER(Eingaben!$B$24),IF(Eingaben!$B$23&lt;Eingaben!$B$24,AND(B2005&gt;=Eingaben!$B$23,B2005&lt;Eingaben!$B$24),OR(B2005&gt;=Eingaben!$B$23,B2005&lt;Eingaben!$B$24))),"HEAT","STANDARD"))</f>
        <v>STANDARD</v>
      </c>
      <c r="E2005" s="9"/>
      <c r="F2005" t="str">
        <f>IF(E2005="",D2005,E2005)</f>
        <v>STANDARD</v>
      </c>
      <c r="G2005" t="str">
        <f>INDEX(Netzzeiten!$B$6:$B$29,HOUR(B2005)+1)</f>
        <v>HT</v>
      </c>
      <c r="H2005" s="6">
        <f>IF(F2005="GO",Eingaben!$B$11,IF(F2005="STANDARD",Eingaben!$B$12,IF(AND(F2005="HEAT",ISNUMBER(Eingaben!$B$13)),Eingaben!$B$13,"")))</f>
        <v>28.2744</v>
      </c>
      <c r="I2005" s="6">
        <f>INDEX(Netzzeiten!$C$6:$C$29,HOUR(B2005)+1)</f>
        <v>10.52</v>
      </c>
      <c r="J2005" t="str">
        <f>IF(C2005="","FEHLT",IF(NOT(ISNUMBER(C2005)),"MESSWERT UNGUELTIG",IF(C2005&lt;0,"MESSWERT UNGUELTIG",IF(H2005="","TARIFPREIS FEHLT","OK"))))</f>
        <v>FEHLT</v>
      </c>
      <c r="K2005" s="7">
        <f>IF(J2005&lt;&gt;"OK","",C2005*I2005/100)</f>
        <v/>
      </c>
    </row>
    <row r="2006" spans="1:11">
      <c r="A2006" s="14">
        <v>46163</v>
      </c>
      <c r="B2006" s="15">
        <v>0.8333333333333334</v>
      </c>
      <c r="C2006" s="5">
        <f>IF('96 Werte'!CD26="","",'96 Werte'!CD26)</f>
        <v/>
      </c>
      <c r="D2006" t="str">
        <f>IF(IF(Eingaben!$B$21&lt;Eingaben!$B$22,AND(B2006&gt;=Eingaben!$B$21,B2006&lt;Eingaben!$B$22),OR(B2006&gt;=Eingaben!$B$21,B2006&lt;Eingaben!$B$22)),"GO",IF(AND(ISNUMBER(Eingaben!$B$23),ISNUMBER(Eingaben!$B$24),IF(Eingaben!$B$23&lt;Eingaben!$B$24,AND(B2006&gt;=Eingaben!$B$23,B2006&lt;Eingaben!$B$24),OR(B2006&gt;=Eingaben!$B$23,B2006&lt;Eingaben!$B$24))),"HEAT","STANDARD"))</f>
        <v>STANDARD</v>
      </c>
      <c r="E2006" s="9"/>
      <c r="F2006" t="str">
        <f>IF(E2006="",D2006,E2006)</f>
        <v>STANDARD</v>
      </c>
      <c r="G2006" t="str">
        <f>INDEX(Netzzeiten!$B$6:$B$29,HOUR(B2006)+1)</f>
        <v>HT</v>
      </c>
      <c r="H2006" s="6">
        <f>IF(F2006="GO",Eingaben!$B$11,IF(F2006="STANDARD",Eingaben!$B$12,IF(AND(F2006="HEAT",ISNUMBER(Eingaben!$B$13)),Eingaben!$B$13,"")))</f>
        <v>28.2744</v>
      </c>
      <c r="I2006" s="6">
        <f>INDEX(Netzzeiten!$C$6:$C$29,HOUR(B2006)+1)</f>
        <v>10.52</v>
      </c>
      <c r="J2006" t="str">
        <f>IF(C2006="","FEHLT",IF(NOT(ISNUMBER(C2006)),"MESSWERT UNGUELTIG",IF(C2006&lt;0,"MESSWERT UNGUELTIG",IF(H2006="","TARIFPREIS FEHLT","OK"))))</f>
        <v>FEHLT</v>
      </c>
      <c r="K2006" s="7">
        <f>IF(J2006&lt;&gt;"OK","",C2006*I2006/100)</f>
        <v/>
      </c>
    </row>
    <row r="2007" spans="1:11">
      <c r="A2007" s="14">
        <v>46163</v>
      </c>
      <c r="B2007" s="15">
        <v>0.84375</v>
      </c>
      <c r="C2007" s="5">
        <f>IF('96 Werte'!CE26="","",'96 Werte'!CE26)</f>
        <v/>
      </c>
      <c r="D2007" t="str">
        <f>IF(IF(Eingaben!$B$21&lt;Eingaben!$B$22,AND(B2007&gt;=Eingaben!$B$21,B2007&lt;Eingaben!$B$22),OR(B2007&gt;=Eingaben!$B$21,B2007&lt;Eingaben!$B$22)),"GO",IF(AND(ISNUMBER(Eingaben!$B$23),ISNUMBER(Eingaben!$B$24),IF(Eingaben!$B$23&lt;Eingaben!$B$24,AND(B2007&gt;=Eingaben!$B$23,B2007&lt;Eingaben!$B$24),OR(B2007&gt;=Eingaben!$B$23,B2007&lt;Eingaben!$B$24))),"HEAT","STANDARD"))</f>
        <v>STANDARD</v>
      </c>
      <c r="E2007" s="9"/>
      <c r="F2007" t="str">
        <f>IF(E2007="",D2007,E2007)</f>
        <v>STANDARD</v>
      </c>
      <c r="G2007" t="str">
        <f>INDEX(Netzzeiten!$B$6:$B$29,HOUR(B2007)+1)</f>
        <v>HT</v>
      </c>
      <c r="H2007" s="6">
        <f>IF(F2007="GO",Eingaben!$B$11,IF(F2007="STANDARD",Eingaben!$B$12,IF(AND(F2007="HEAT",ISNUMBER(Eingaben!$B$13)),Eingaben!$B$13,"")))</f>
        <v>28.2744</v>
      </c>
      <c r="I2007" s="6">
        <f>INDEX(Netzzeiten!$C$6:$C$29,HOUR(B2007)+1)</f>
        <v>10.52</v>
      </c>
      <c r="J2007" t="str">
        <f>IF(C2007="","FEHLT",IF(NOT(ISNUMBER(C2007)),"MESSWERT UNGUELTIG",IF(C2007&lt;0,"MESSWERT UNGUELTIG",IF(H2007="","TARIFPREIS FEHLT","OK"))))</f>
        <v>FEHLT</v>
      </c>
      <c r="K2007" s="7">
        <f>IF(J2007&lt;&gt;"OK","",C2007*I2007/100)</f>
        <v/>
      </c>
    </row>
    <row r="2008" spans="1:11">
      <c r="A2008" s="14">
        <v>46163</v>
      </c>
      <c r="B2008" s="15">
        <v>0.8541666666666666</v>
      </c>
      <c r="C2008" s="5">
        <f>IF('96 Werte'!CF26="","",'96 Werte'!CF26)</f>
        <v/>
      </c>
      <c r="D2008" t="str">
        <f>IF(IF(Eingaben!$B$21&lt;Eingaben!$B$22,AND(B2008&gt;=Eingaben!$B$21,B2008&lt;Eingaben!$B$22),OR(B2008&gt;=Eingaben!$B$21,B2008&lt;Eingaben!$B$22)),"GO",IF(AND(ISNUMBER(Eingaben!$B$23),ISNUMBER(Eingaben!$B$24),IF(Eingaben!$B$23&lt;Eingaben!$B$24,AND(B2008&gt;=Eingaben!$B$23,B2008&lt;Eingaben!$B$24),OR(B2008&gt;=Eingaben!$B$23,B2008&lt;Eingaben!$B$24))),"HEAT","STANDARD"))</f>
        <v>STANDARD</v>
      </c>
      <c r="E2008" s="9"/>
      <c r="F2008" t="str">
        <f>IF(E2008="",D2008,E2008)</f>
        <v>STANDARD</v>
      </c>
      <c r="G2008" t="str">
        <f>INDEX(Netzzeiten!$B$6:$B$29,HOUR(B2008)+1)</f>
        <v>HT</v>
      </c>
      <c r="H2008" s="6">
        <f>IF(F2008="GO",Eingaben!$B$11,IF(F2008="STANDARD",Eingaben!$B$12,IF(AND(F2008="HEAT",ISNUMBER(Eingaben!$B$13)),Eingaben!$B$13,"")))</f>
        <v>28.2744</v>
      </c>
      <c r="I2008" s="6">
        <f>INDEX(Netzzeiten!$C$6:$C$29,HOUR(B2008)+1)</f>
        <v>10.52</v>
      </c>
      <c r="J2008" t="str">
        <f>IF(C2008="","FEHLT",IF(NOT(ISNUMBER(C2008)),"MESSWERT UNGUELTIG",IF(C2008&lt;0,"MESSWERT UNGUELTIG",IF(H2008="","TARIFPREIS FEHLT","OK"))))</f>
        <v>FEHLT</v>
      </c>
      <c r="K2008" s="7">
        <f>IF(J2008&lt;&gt;"OK","",C2008*I2008/100)</f>
        <v/>
      </c>
    </row>
    <row r="2009" spans="1:11">
      <c r="A2009" s="14">
        <v>46163</v>
      </c>
      <c r="B2009" s="15">
        <v>0.8645833333333334</v>
      </c>
      <c r="C2009" s="5">
        <f>IF('96 Werte'!CG26="","",'96 Werte'!CG26)</f>
        <v/>
      </c>
      <c r="D2009" t="str">
        <f>IF(IF(Eingaben!$B$21&lt;Eingaben!$B$22,AND(B2009&gt;=Eingaben!$B$21,B2009&lt;Eingaben!$B$22),OR(B2009&gt;=Eingaben!$B$21,B2009&lt;Eingaben!$B$22)),"GO",IF(AND(ISNUMBER(Eingaben!$B$23),ISNUMBER(Eingaben!$B$24),IF(Eingaben!$B$23&lt;Eingaben!$B$24,AND(B2009&gt;=Eingaben!$B$23,B2009&lt;Eingaben!$B$24),OR(B2009&gt;=Eingaben!$B$23,B2009&lt;Eingaben!$B$24))),"HEAT","STANDARD"))</f>
        <v>STANDARD</v>
      </c>
      <c r="E2009" s="9"/>
      <c r="F2009" t="str">
        <f>IF(E2009="",D2009,E2009)</f>
        <v>STANDARD</v>
      </c>
      <c r="G2009" t="str">
        <f>INDEX(Netzzeiten!$B$6:$B$29,HOUR(B2009)+1)</f>
        <v>HT</v>
      </c>
      <c r="H2009" s="6">
        <f>IF(F2009="GO",Eingaben!$B$11,IF(F2009="STANDARD",Eingaben!$B$12,IF(AND(F2009="HEAT",ISNUMBER(Eingaben!$B$13)),Eingaben!$B$13,"")))</f>
        <v>28.2744</v>
      </c>
      <c r="I2009" s="6">
        <f>INDEX(Netzzeiten!$C$6:$C$29,HOUR(B2009)+1)</f>
        <v>10.52</v>
      </c>
      <c r="J2009" t="str">
        <f>IF(C2009="","FEHLT",IF(NOT(ISNUMBER(C2009)),"MESSWERT UNGUELTIG",IF(C2009&lt;0,"MESSWERT UNGUELTIG",IF(H2009="","TARIFPREIS FEHLT","OK"))))</f>
        <v>FEHLT</v>
      </c>
      <c r="K2009" s="7">
        <f>IF(J2009&lt;&gt;"OK","",C2009*I2009/100)</f>
        <v/>
      </c>
    </row>
    <row r="2010" spans="1:11">
      <c r="A2010" s="14">
        <v>46163</v>
      </c>
      <c r="B2010" s="15">
        <v>0.875</v>
      </c>
      <c r="C2010" s="5">
        <f>IF('96 Werte'!CH26="","",'96 Werte'!CH26)</f>
        <v/>
      </c>
      <c r="D2010" t="str">
        <f>IF(IF(Eingaben!$B$21&lt;Eingaben!$B$22,AND(B2010&gt;=Eingaben!$B$21,B2010&lt;Eingaben!$B$22),OR(B2010&gt;=Eingaben!$B$21,B2010&lt;Eingaben!$B$22)),"GO",IF(AND(ISNUMBER(Eingaben!$B$23),ISNUMBER(Eingaben!$B$24),IF(Eingaben!$B$23&lt;Eingaben!$B$24,AND(B2010&gt;=Eingaben!$B$23,B2010&lt;Eingaben!$B$24),OR(B2010&gt;=Eingaben!$B$23,B2010&lt;Eingaben!$B$24))),"HEAT","STANDARD"))</f>
        <v>STANDARD</v>
      </c>
      <c r="E2010" s="9"/>
      <c r="F2010" t="str">
        <f>IF(E2010="",D2010,E2010)</f>
        <v>STANDARD</v>
      </c>
      <c r="G2010" t="str">
        <f>INDEX(Netzzeiten!$B$6:$B$29,HOUR(B2010)+1)</f>
        <v>HT</v>
      </c>
      <c r="H2010" s="6">
        <f>IF(F2010="GO",Eingaben!$B$11,IF(F2010="STANDARD",Eingaben!$B$12,IF(AND(F2010="HEAT",ISNUMBER(Eingaben!$B$13)),Eingaben!$B$13,"")))</f>
        <v>28.2744</v>
      </c>
      <c r="I2010" s="6">
        <f>INDEX(Netzzeiten!$C$6:$C$29,HOUR(B2010)+1)</f>
        <v>10.52</v>
      </c>
      <c r="J2010" t="str">
        <f>IF(C2010="","FEHLT",IF(NOT(ISNUMBER(C2010)),"MESSWERT UNGUELTIG",IF(C2010&lt;0,"MESSWERT UNGUELTIG",IF(H2010="","TARIFPREIS FEHLT","OK"))))</f>
        <v>FEHLT</v>
      </c>
      <c r="K2010" s="7">
        <f>IF(J2010&lt;&gt;"OK","",C2010*I2010/100)</f>
        <v/>
      </c>
    </row>
    <row r="2011" spans="1:11">
      <c r="A2011" s="14">
        <v>46163</v>
      </c>
      <c r="B2011" s="15">
        <v>0.8854166666666666</v>
      </c>
      <c r="C2011" s="5">
        <f>IF('96 Werte'!CI26="","",'96 Werte'!CI26)</f>
        <v/>
      </c>
      <c r="D2011" t="str">
        <f>IF(IF(Eingaben!$B$21&lt;Eingaben!$B$22,AND(B2011&gt;=Eingaben!$B$21,B2011&lt;Eingaben!$B$22),OR(B2011&gt;=Eingaben!$B$21,B2011&lt;Eingaben!$B$22)),"GO",IF(AND(ISNUMBER(Eingaben!$B$23),ISNUMBER(Eingaben!$B$24),IF(Eingaben!$B$23&lt;Eingaben!$B$24,AND(B2011&gt;=Eingaben!$B$23,B2011&lt;Eingaben!$B$24),OR(B2011&gt;=Eingaben!$B$23,B2011&lt;Eingaben!$B$24))),"HEAT","STANDARD"))</f>
        <v>STANDARD</v>
      </c>
      <c r="E2011" s="9"/>
      <c r="F2011" t="str">
        <f>IF(E2011="",D2011,E2011)</f>
        <v>STANDARD</v>
      </c>
      <c r="G2011" t="str">
        <f>INDEX(Netzzeiten!$B$6:$B$29,HOUR(B2011)+1)</f>
        <v>HT</v>
      </c>
      <c r="H2011" s="6">
        <f>IF(F2011="GO",Eingaben!$B$11,IF(F2011="STANDARD",Eingaben!$B$12,IF(AND(F2011="HEAT",ISNUMBER(Eingaben!$B$13)),Eingaben!$B$13,"")))</f>
        <v>28.2744</v>
      </c>
      <c r="I2011" s="6">
        <f>INDEX(Netzzeiten!$C$6:$C$29,HOUR(B2011)+1)</f>
        <v>10.52</v>
      </c>
      <c r="J2011" t="str">
        <f>IF(C2011="","FEHLT",IF(NOT(ISNUMBER(C2011)),"MESSWERT UNGUELTIG",IF(C2011&lt;0,"MESSWERT UNGUELTIG",IF(H2011="","TARIFPREIS FEHLT","OK"))))</f>
        <v>FEHLT</v>
      </c>
      <c r="K2011" s="7">
        <f>IF(J2011&lt;&gt;"OK","",C2011*I2011/100)</f>
        <v/>
      </c>
    </row>
    <row r="2012" spans="1:11">
      <c r="A2012" s="14">
        <v>46163</v>
      </c>
      <c r="B2012" s="15">
        <v>0.8958333333333334</v>
      </c>
      <c r="C2012" s="5">
        <f>IF('96 Werte'!CJ26="","",'96 Werte'!CJ26)</f>
        <v/>
      </c>
      <c r="D2012" t="str">
        <f>IF(IF(Eingaben!$B$21&lt;Eingaben!$B$22,AND(B2012&gt;=Eingaben!$B$21,B2012&lt;Eingaben!$B$22),OR(B2012&gt;=Eingaben!$B$21,B2012&lt;Eingaben!$B$22)),"GO",IF(AND(ISNUMBER(Eingaben!$B$23),ISNUMBER(Eingaben!$B$24),IF(Eingaben!$B$23&lt;Eingaben!$B$24,AND(B2012&gt;=Eingaben!$B$23,B2012&lt;Eingaben!$B$24),OR(B2012&gt;=Eingaben!$B$23,B2012&lt;Eingaben!$B$24))),"HEAT","STANDARD"))</f>
        <v>STANDARD</v>
      </c>
      <c r="E2012" s="9"/>
      <c r="F2012" t="str">
        <f>IF(E2012="",D2012,E2012)</f>
        <v>STANDARD</v>
      </c>
      <c r="G2012" t="str">
        <f>INDEX(Netzzeiten!$B$6:$B$29,HOUR(B2012)+1)</f>
        <v>HT</v>
      </c>
      <c r="H2012" s="6">
        <f>IF(F2012="GO",Eingaben!$B$11,IF(F2012="STANDARD",Eingaben!$B$12,IF(AND(F2012="HEAT",ISNUMBER(Eingaben!$B$13)),Eingaben!$B$13,"")))</f>
        <v>28.2744</v>
      </c>
      <c r="I2012" s="6">
        <f>INDEX(Netzzeiten!$C$6:$C$29,HOUR(B2012)+1)</f>
        <v>10.52</v>
      </c>
      <c r="J2012" t="str">
        <f>IF(C2012="","FEHLT",IF(NOT(ISNUMBER(C2012)),"MESSWERT UNGUELTIG",IF(C2012&lt;0,"MESSWERT UNGUELTIG",IF(H2012="","TARIFPREIS FEHLT","OK"))))</f>
        <v>FEHLT</v>
      </c>
      <c r="K2012" s="7">
        <f>IF(J2012&lt;&gt;"OK","",C2012*I2012/100)</f>
        <v/>
      </c>
    </row>
    <row r="2013" spans="1:11">
      <c r="A2013" s="14">
        <v>46163</v>
      </c>
      <c r="B2013" s="15">
        <v>0.90625</v>
      </c>
      <c r="C2013" s="5">
        <f>IF('96 Werte'!CK26="","",'96 Werte'!CK26)</f>
        <v/>
      </c>
      <c r="D2013" t="str">
        <f>IF(IF(Eingaben!$B$21&lt;Eingaben!$B$22,AND(B2013&gt;=Eingaben!$B$21,B2013&lt;Eingaben!$B$22),OR(B2013&gt;=Eingaben!$B$21,B2013&lt;Eingaben!$B$22)),"GO",IF(AND(ISNUMBER(Eingaben!$B$23),ISNUMBER(Eingaben!$B$24),IF(Eingaben!$B$23&lt;Eingaben!$B$24,AND(B2013&gt;=Eingaben!$B$23,B2013&lt;Eingaben!$B$24),OR(B2013&gt;=Eingaben!$B$23,B2013&lt;Eingaben!$B$24))),"HEAT","STANDARD"))</f>
        <v>STANDARD</v>
      </c>
      <c r="E2013" s="9"/>
      <c r="F2013" t="str">
        <f>IF(E2013="",D2013,E2013)</f>
        <v>STANDARD</v>
      </c>
      <c r="G2013" t="str">
        <f>INDEX(Netzzeiten!$B$6:$B$29,HOUR(B2013)+1)</f>
        <v>HT</v>
      </c>
      <c r="H2013" s="6">
        <f>IF(F2013="GO",Eingaben!$B$11,IF(F2013="STANDARD",Eingaben!$B$12,IF(AND(F2013="HEAT",ISNUMBER(Eingaben!$B$13)),Eingaben!$B$13,"")))</f>
        <v>28.2744</v>
      </c>
      <c r="I2013" s="6">
        <f>INDEX(Netzzeiten!$C$6:$C$29,HOUR(B2013)+1)</f>
        <v>10.52</v>
      </c>
      <c r="J2013" t="str">
        <f>IF(C2013="","FEHLT",IF(NOT(ISNUMBER(C2013)),"MESSWERT UNGUELTIG",IF(C2013&lt;0,"MESSWERT UNGUELTIG",IF(H2013="","TARIFPREIS FEHLT","OK"))))</f>
        <v>FEHLT</v>
      </c>
      <c r="K2013" s="7">
        <f>IF(J2013&lt;&gt;"OK","",C2013*I2013/100)</f>
        <v/>
      </c>
    </row>
    <row r="2014" spans="1:11">
      <c r="A2014" s="14">
        <v>46163</v>
      </c>
      <c r="B2014" s="15">
        <v>0.9166666666666666</v>
      </c>
      <c r="C2014" s="5">
        <f>IF('96 Werte'!CL26="","",'96 Werte'!CL26)</f>
        <v/>
      </c>
      <c r="D2014" t="str">
        <f>IF(IF(Eingaben!$B$21&lt;Eingaben!$B$22,AND(B2014&gt;=Eingaben!$B$21,B2014&lt;Eingaben!$B$22),OR(B2014&gt;=Eingaben!$B$21,B2014&lt;Eingaben!$B$22)),"GO",IF(AND(ISNUMBER(Eingaben!$B$23),ISNUMBER(Eingaben!$B$24),IF(Eingaben!$B$23&lt;Eingaben!$B$24,AND(B2014&gt;=Eingaben!$B$23,B2014&lt;Eingaben!$B$24),OR(B2014&gt;=Eingaben!$B$23,B2014&lt;Eingaben!$B$24))),"HEAT","STANDARD"))</f>
        <v>STANDARD</v>
      </c>
      <c r="E2014" s="9"/>
      <c r="F2014" t="str">
        <f>IF(E2014="",D2014,E2014)</f>
        <v>STANDARD</v>
      </c>
      <c r="G2014" t="str">
        <f>INDEX(Netzzeiten!$B$6:$B$29,HOUR(B2014)+1)</f>
        <v>ST</v>
      </c>
      <c r="H2014" s="6">
        <f>IF(F2014="GO",Eingaben!$B$11,IF(F2014="STANDARD",Eingaben!$B$12,IF(AND(F2014="HEAT",ISNUMBER(Eingaben!$B$13)),Eingaben!$B$13,"")))</f>
        <v>28.2744</v>
      </c>
      <c r="I2014" s="6">
        <f>INDEX(Netzzeiten!$C$6:$C$29,HOUR(B2014)+1)</f>
        <v>5.48</v>
      </c>
      <c r="J2014" t="str">
        <f>IF(C2014="","FEHLT",IF(NOT(ISNUMBER(C2014)),"MESSWERT UNGUELTIG",IF(C2014&lt;0,"MESSWERT UNGUELTIG",IF(H2014="","TARIFPREIS FEHLT","OK"))))</f>
        <v>FEHLT</v>
      </c>
      <c r="K2014" s="7">
        <f>IF(J2014&lt;&gt;"OK","",C2014*I2014/100)</f>
        <v/>
      </c>
    </row>
    <row r="2015" spans="1:11">
      <c r="A2015" s="14">
        <v>46163</v>
      </c>
      <c r="B2015" s="15">
        <v>0.9270833333333334</v>
      </c>
      <c r="C2015" s="5">
        <f>IF('96 Werte'!CM26="","",'96 Werte'!CM26)</f>
        <v/>
      </c>
      <c r="D2015" t="str">
        <f>IF(IF(Eingaben!$B$21&lt;Eingaben!$B$22,AND(B2015&gt;=Eingaben!$B$21,B2015&lt;Eingaben!$B$22),OR(B2015&gt;=Eingaben!$B$21,B2015&lt;Eingaben!$B$22)),"GO",IF(AND(ISNUMBER(Eingaben!$B$23),ISNUMBER(Eingaben!$B$24),IF(Eingaben!$B$23&lt;Eingaben!$B$24,AND(B2015&gt;=Eingaben!$B$23,B2015&lt;Eingaben!$B$24),OR(B2015&gt;=Eingaben!$B$23,B2015&lt;Eingaben!$B$24))),"HEAT","STANDARD"))</f>
        <v>STANDARD</v>
      </c>
      <c r="E2015" s="9"/>
      <c r="F2015" t="str">
        <f>IF(E2015="",D2015,E2015)</f>
        <v>STANDARD</v>
      </c>
      <c r="G2015" t="str">
        <f>INDEX(Netzzeiten!$B$6:$B$29,HOUR(B2015)+1)</f>
        <v>ST</v>
      </c>
      <c r="H2015" s="6">
        <f>IF(F2015="GO",Eingaben!$B$11,IF(F2015="STANDARD",Eingaben!$B$12,IF(AND(F2015="HEAT",ISNUMBER(Eingaben!$B$13)),Eingaben!$B$13,"")))</f>
        <v>28.2744</v>
      </c>
      <c r="I2015" s="6">
        <f>INDEX(Netzzeiten!$C$6:$C$29,HOUR(B2015)+1)</f>
        <v>5.48</v>
      </c>
      <c r="J2015" t="str">
        <f>IF(C2015="","FEHLT",IF(NOT(ISNUMBER(C2015)),"MESSWERT UNGUELTIG",IF(C2015&lt;0,"MESSWERT UNGUELTIG",IF(H2015="","TARIFPREIS FEHLT","OK"))))</f>
        <v>FEHLT</v>
      </c>
      <c r="K2015" s="7">
        <f>IF(J2015&lt;&gt;"OK","",C2015*I2015/100)</f>
        <v/>
      </c>
    </row>
    <row r="2016" spans="1:11">
      <c r="A2016" s="14">
        <v>46163</v>
      </c>
      <c r="B2016" s="15">
        <v>0.9375</v>
      </c>
      <c r="C2016" s="5">
        <f>IF('96 Werte'!CN26="","",'96 Werte'!CN26)</f>
        <v/>
      </c>
      <c r="D2016" t="str">
        <f>IF(IF(Eingaben!$B$21&lt;Eingaben!$B$22,AND(B2016&gt;=Eingaben!$B$21,B2016&lt;Eingaben!$B$22),OR(B2016&gt;=Eingaben!$B$21,B2016&lt;Eingaben!$B$22)),"GO",IF(AND(ISNUMBER(Eingaben!$B$23),ISNUMBER(Eingaben!$B$24),IF(Eingaben!$B$23&lt;Eingaben!$B$24,AND(B2016&gt;=Eingaben!$B$23,B2016&lt;Eingaben!$B$24),OR(B2016&gt;=Eingaben!$B$23,B2016&lt;Eingaben!$B$24))),"HEAT","STANDARD"))</f>
        <v>STANDARD</v>
      </c>
      <c r="E2016" s="9"/>
      <c r="F2016" t="str">
        <f>IF(E2016="",D2016,E2016)</f>
        <v>STANDARD</v>
      </c>
      <c r="G2016" t="str">
        <f>INDEX(Netzzeiten!$B$6:$B$29,HOUR(B2016)+1)</f>
        <v>ST</v>
      </c>
      <c r="H2016" s="6">
        <f>IF(F2016="GO",Eingaben!$B$11,IF(F2016="STANDARD",Eingaben!$B$12,IF(AND(F2016="HEAT",ISNUMBER(Eingaben!$B$13)),Eingaben!$B$13,"")))</f>
        <v>28.2744</v>
      </c>
      <c r="I2016" s="6">
        <f>INDEX(Netzzeiten!$C$6:$C$29,HOUR(B2016)+1)</f>
        <v>5.48</v>
      </c>
      <c r="J2016" t="str">
        <f>IF(C2016="","FEHLT",IF(NOT(ISNUMBER(C2016)),"MESSWERT UNGUELTIG",IF(C2016&lt;0,"MESSWERT UNGUELTIG",IF(H2016="","TARIFPREIS FEHLT","OK"))))</f>
        <v>FEHLT</v>
      </c>
      <c r="K2016" s="7">
        <f>IF(J2016&lt;&gt;"OK","",C2016*I2016/100)</f>
        <v/>
      </c>
    </row>
    <row r="2017" spans="1:11">
      <c r="A2017" s="14">
        <v>46163</v>
      </c>
      <c r="B2017" s="15">
        <v>0.9479166666666666</v>
      </c>
      <c r="C2017" s="5">
        <f>IF('96 Werte'!CO26="","",'96 Werte'!CO26)</f>
        <v/>
      </c>
      <c r="D2017" t="str">
        <f>IF(IF(Eingaben!$B$21&lt;Eingaben!$B$22,AND(B2017&gt;=Eingaben!$B$21,B2017&lt;Eingaben!$B$22),OR(B2017&gt;=Eingaben!$B$21,B2017&lt;Eingaben!$B$22)),"GO",IF(AND(ISNUMBER(Eingaben!$B$23),ISNUMBER(Eingaben!$B$24),IF(Eingaben!$B$23&lt;Eingaben!$B$24,AND(B2017&gt;=Eingaben!$B$23,B2017&lt;Eingaben!$B$24),OR(B2017&gt;=Eingaben!$B$23,B2017&lt;Eingaben!$B$24))),"HEAT","STANDARD"))</f>
        <v>STANDARD</v>
      </c>
      <c r="E2017" s="9"/>
      <c r="F2017" t="str">
        <f>IF(E2017="",D2017,E2017)</f>
        <v>STANDARD</v>
      </c>
      <c r="G2017" t="str">
        <f>INDEX(Netzzeiten!$B$6:$B$29,HOUR(B2017)+1)</f>
        <v>ST</v>
      </c>
      <c r="H2017" s="6">
        <f>IF(F2017="GO",Eingaben!$B$11,IF(F2017="STANDARD",Eingaben!$B$12,IF(AND(F2017="HEAT",ISNUMBER(Eingaben!$B$13)),Eingaben!$B$13,"")))</f>
        <v>28.2744</v>
      </c>
      <c r="I2017" s="6">
        <f>INDEX(Netzzeiten!$C$6:$C$29,HOUR(B2017)+1)</f>
        <v>5.48</v>
      </c>
      <c r="J2017" t="str">
        <f>IF(C2017="","FEHLT",IF(NOT(ISNUMBER(C2017)),"MESSWERT UNGUELTIG",IF(C2017&lt;0,"MESSWERT UNGUELTIG",IF(H2017="","TARIFPREIS FEHLT","OK"))))</f>
        <v>FEHLT</v>
      </c>
      <c r="K2017" s="7">
        <f>IF(J2017&lt;&gt;"OK","",C2017*I2017/100)</f>
        <v/>
      </c>
    </row>
    <row r="2018" spans="1:11">
      <c r="A2018" s="14">
        <v>46163</v>
      </c>
      <c r="B2018" s="15">
        <v>0.9583333333333334</v>
      </c>
      <c r="C2018" s="5">
        <f>IF('96 Werte'!CP26="","",'96 Werte'!CP26)</f>
        <v/>
      </c>
      <c r="D2018" t="str">
        <f>IF(IF(Eingaben!$B$21&lt;Eingaben!$B$22,AND(B2018&gt;=Eingaben!$B$21,B2018&lt;Eingaben!$B$22),OR(B2018&gt;=Eingaben!$B$21,B2018&lt;Eingaben!$B$22)),"GO",IF(AND(ISNUMBER(Eingaben!$B$23),ISNUMBER(Eingaben!$B$24),IF(Eingaben!$B$23&lt;Eingaben!$B$24,AND(B2018&gt;=Eingaben!$B$23,B2018&lt;Eingaben!$B$24),OR(B2018&gt;=Eingaben!$B$23,B2018&lt;Eingaben!$B$24))),"HEAT","STANDARD"))</f>
        <v>STANDARD</v>
      </c>
      <c r="E2018" s="9"/>
      <c r="F2018" t="str">
        <f>IF(E2018="",D2018,E2018)</f>
        <v>STANDARD</v>
      </c>
      <c r="G2018" t="str">
        <f>INDEX(Netzzeiten!$B$6:$B$29,HOUR(B2018)+1)</f>
        <v>NT</v>
      </c>
      <c r="H2018" s="6">
        <f>IF(F2018="GO",Eingaben!$B$11,IF(F2018="STANDARD",Eingaben!$B$12,IF(AND(F2018="HEAT",ISNUMBER(Eingaben!$B$13)),Eingaben!$B$13,"")))</f>
        <v>28.2744</v>
      </c>
      <c r="I2018" s="6">
        <f>INDEX(Netzzeiten!$C$6:$C$29,HOUR(B2018)+1)</f>
        <v>1.64</v>
      </c>
      <c r="J2018" t="str">
        <f>IF(C2018="","FEHLT",IF(NOT(ISNUMBER(C2018)),"MESSWERT UNGUELTIG",IF(C2018&lt;0,"MESSWERT UNGUELTIG",IF(H2018="","TARIFPREIS FEHLT","OK"))))</f>
        <v>FEHLT</v>
      </c>
      <c r="K2018" s="7">
        <f>IF(J2018&lt;&gt;"OK","",C2018*I2018/100)</f>
        <v/>
      </c>
    </row>
    <row r="2019" spans="1:11">
      <c r="A2019" s="14">
        <v>46163</v>
      </c>
      <c r="B2019" s="15">
        <v>0.96875</v>
      </c>
      <c r="C2019" s="5">
        <f>IF('96 Werte'!CQ26="","",'96 Werte'!CQ26)</f>
        <v/>
      </c>
      <c r="D2019" t="str">
        <f>IF(IF(Eingaben!$B$21&lt;Eingaben!$B$22,AND(B2019&gt;=Eingaben!$B$21,B2019&lt;Eingaben!$B$22),OR(B2019&gt;=Eingaben!$B$21,B2019&lt;Eingaben!$B$22)),"GO",IF(AND(ISNUMBER(Eingaben!$B$23),ISNUMBER(Eingaben!$B$24),IF(Eingaben!$B$23&lt;Eingaben!$B$24,AND(B2019&gt;=Eingaben!$B$23,B2019&lt;Eingaben!$B$24),OR(B2019&gt;=Eingaben!$B$23,B2019&lt;Eingaben!$B$24))),"HEAT","STANDARD"))</f>
        <v>STANDARD</v>
      </c>
      <c r="E2019" s="9"/>
      <c r="F2019" t="str">
        <f>IF(E2019="",D2019,E2019)</f>
        <v>STANDARD</v>
      </c>
      <c r="G2019" t="str">
        <f>INDEX(Netzzeiten!$B$6:$B$29,HOUR(B2019)+1)</f>
        <v>NT</v>
      </c>
      <c r="H2019" s="6">
        <f>IF(F2019="GO",Eingaben!$B$11,IF(F2019="STANDARD",Eingaben!$B$12,IF(AND(F2019="HEAT",ISNUMBER(Eingaben!$B$13)),Eingaben!$B$13,"")))</f>
        <v>28.2744</v>
      </c>
      <c r="I2019" s="6">
        <f>INDEX(Netzzeiten!$C$6:$C$29,HOUR(B2019)+1)</f>
        <v>1.64</v>
      </c>
      <c r="J2019" t="str">
        <f>IF(C2019="","FEHLT",IF(NOT(ISNUMBER(C2019)),"MESSWERT UNGUELTIG",IF(C2019&lt;0,"MESSWERT UNGUELTIG",IF(H2019="","TARIFPREIS FEHLT","OK"))))</f>
        <v>FEHLT</v>
      </c>
      <c r="K2019" s="7">
        <f>IF(J2019&lt;&gt;"OK","",C2019*I2019/100)</f>
        <v/>
      </c>
    </row>
    <row r="2020" spans="1:11">
      <c r="A2020" s="14">
        <v>46163</v>
      </c>
      <c r="B2020" s="15">
        <v>0.9791666666666666</v>
      </c>
      <c r="C2020" s="5">
        <f>IF('96 Werte'!CR26="","",'96 Werte'!CR26)</f>
        <v/>
      </c>
      <c r="D2020" t="str">
        <f>IF(IF(Eingaben!$B$21&lt;Eingaben!$B$22,AND(B2020&gt;=Eingaben!$B$21,B2020&lt;Eingaben!$B$22),OR(B2020&gt;=Eingaben!$B$21,B2020&lt;Eingaben!$B$22)),"GO",IF(AND(ISNUMBER(Eingaben!$B$23),ISNUMBER(Eingaben!$B$24),IF(Eingaben!$B$23&lt;Eingaben!$B$24,AND(B2020&gt;=Eingaben!$B$23,B2020&lt;Eingaben!$B$24),OR(B2020&gt;=Eingaben!$B$23,B2020&lt;Eingaben!$B$24))),"HEAT","STANDARD"))</f>
        <v>STANDARD</v>
      </c>
      <c r="E2020" s="9"/>
      <c r="F2020" t="str">
        <f>IF(E2020="",D2020,E2020)</f>
        <v>STANDARD</v>
      </c>
      <c r="G2020" t="str">
        <f>INDEX(Netzzeiten!$B$6:$B$29,HOUR(B2020)+1)</f>
        <v>NT</v>
      </c>
      <c r="H2020" s="6">
        <f>IF(F2020="GO",Eingaben!$B$11,IF(F2020="STANDARD",Eingaben!$B$12,IF(AND(F2020="HEAT",ISNUMBER(Eingaben!$B$13)),Eingaben!$B$13,"")))</f>
        <v>28.2744</v>
      </c>
      <c r="I2020" s="6">
        <f>INDEX(Netzzeiten!$C$6:$C$29,HOUR(B2020)+1)</f>
        <v>1.64</v>
      </c>
      <c r="J2020" t="str">
        <f>IF(C2020="","FEHLT",IF(NOT(ISNUMBER(C2020)),"MESSWERT UNGUELTIG",IF(C2020&lt;0,"MESSWERT UNGUELTIG",IF(H2020="","TARIFPREIS FEHLT","OK"))))</f>
        <v>FEHLT</v>
      </c>
      <c r="K2020" s="7">
        <f>IF(J2020&lt;&gt;"OK","",C2020*I2020/100)</f>
        <v/>
      </c>
    </row>
    <row r="2021" spans="1:11">
      <c r="A2021" s="14">
        <v>46163</v>
      </c>
      <c r="B2021" s="15">
        <v>0.9895833333333334</v>
      </c>
      <c r="C2021" s="5">
        <f>IF('96 Werte'!CS26="","",'96 Werte'!CS26)</f>
        <v/>
      </c>
      <c r="D2021" t="str">
        <f>IF(IF(Eingaben!$B$21&lt;Eingaben!$B$22,AND(B2021&gt;=Eingaben!$B$21,B2021&lt;Eingaben!$B$22),OR(B2021&gt;=Eingaben!$B$21,B2021&lt;Eingaben!$B$22)),"GO",IF(AND(ISNUMBER(Eingaben!$B$23),ISNUMBER(Eingaben!$B$24),IF(Eingaben!$B$23&lt;Eingaben!$B$24,AND(B2021&gt;=Eingaben!$B$23,B2021&lt;Eingaben!$B$24),OR(B2021&gt;=Eingaben!$B$23,B2021&lt;Eingaben!$B$24))),"HEAT","STANDARD"))</f>
        <v>STANDARD</v>
      </c>
      <c r="E2021" s="9"/>
      <c r="F2021" t="str">
        <f>IF(E2021="",D2021,E2021)</f>
        <v>STANDARD</v>
      </c>
      <c r="G2021" t="str">
        <f>INDEX(Netzzeiten!$B$6:$B$29,HOUR(B2021)+1)</f>
        <v>NT</v>
      </c>
      <c r="H2021" s="6">
        <f>IF(F2021="GO",Eingaben!$B$11,IF(F2021="STANDARD",Eingaben!$B$12,IF(AND(F2021="HEAT",ISNUMBER(Eingaben!$B$13)),Eingaben!$B$13,"")))</f>
        <v>28.2744</v>
      </c>
      <c r="I2021" s="6">
        <f>INDEX(Netzzeiten!$C$6:$C$29,HOUR(B2021)+1)</f>
        <v>1.64</v>
      </c>
      <c r="J2021" t="str">
        <f>IF(C2021="","FEHLT",IF(NOT(ISNUMBER(C2021)),"MESSWERT UNGUELTIG",IF(C2021&lt;0,"MESSWERT UNGUELTIG",IF(H2021="","TARIFPREIS FEHLT","OK"))))</f>
        <v>FEHLT</v>
      </c>
      <c r="K2021" s="7">
        <f>IF(J2021&lt;&gt;"OK","",C2021*I2021/100)</f>
        <v/>
      </c>
    </row>
    <row r="2022" spans="1:11">
      <c r="A2022" s="14">
        <v>46164</v>
      </c>
      <c r="B2022" s="15">
        <v>0</v>
      </c>
      <c r="C2022" s="5">
        <f>IF('96 Werte'!B27="","",'96 Werte'!B27)</f>
        <v/>
      </c>
      <c r="D2022" t="str">
        <f>IF(IF(Eingaben!$B$21&lt;Eingaben!$B$22,AND(B2022&gt;=Eingaben!$B$21,B2022&lt;Eingaben!$B$22),OR(B2022&gt;=Eingaben!$B$21,B2022&lt;Eingaben!$B$22)),"GO",IF(AND(ISNUMBER(Eingaben!$B$23),ISNUMBER(Eingaben!$B$24),IF(Eingaben!$B$23&lt;Eingaben!$B$24,AND(B2022&gt;=Eingaben!$B$23,B2022&lt;Eingaben!$B$24),OR(B2022&gt;=Eingaben!$B$23,B2022&lt;Eingaben!$B$24))),"HEAT","STANDARD"))</f>
        <v>GO</v>
      </c>
      <c r="E2022" s="9"/>
      <c r="F2022" t="str">
        <f>IF(E2022="",D2022,E2022)</f>
        <v>GO</v>
      </c>
      <c r="G2022" t="str">
        <f>INDEX(Netzzeiten!$B$6:$B$29,HOUR(B2022)+1)</f>
        <v>NT</v>
      </c>
      <c r="H2022" s="6">
        <f>IF(F2022="GO",Eingaben!$B$11,IF(F2022="STANDARD",Eingaben!$B$12,IF(AND(F2022="HEAT",ISNUMBER(Eingaben!$B$13)),Eingaben!$B$13,"")))</f>
        <v>15.0654</v>
      </c>
      <c r="I2022" s="6">
        <f>INDEX(Netzzeiten!$C$6:$C$29,HOUR(B2022)+1)</f>
        <v>1.64</v>
      </c>
      <c r="J2022" t="str">
        <f>IF(C2022="","FEHLT",IF(NOT(ISNUMBER(C2022)),"MESSWERT UNGUELTIG",IF(C2022&lt;0,"MESSWERT UNGUELTIG",IF(H2022="","TARIFPREIS FEHLT","OK"))))</f>
        <v>FEHLT</v>
      </c>
      <c r="K2022" s="7">
        <f>IF(J2022&lt;&gt;"OK","",C2022*I2022/100)</f>
        <v/>
      </c>
    </row>
    <row r="2023" spans="1:11">
      <c r="A2023" s="14">
        <v>46164</v>
      </c>
      <c r="B2023" s="15">
        <v>0.01041666666666667</v>
      </c>
      <c r="C2023" s="5">
        <f>IF('96 Werte'!C27="","",'96 Werte'!C27)</f>
        <v/>
      </c>
      <c r="D2023" t="str">
        <f>IF(IF(Eingaben!$B$21&lt;Eingaben!$B$22,AND(B2023&gt;=Eingaben!$B$21,B2023&lt;Eingaben!$B$22),OR(B2023&gt;=Eingaben!$B$21,B2023&lt;Eingaben!$B$22)),"GO",IF(AND(ISNUMBER(Eingaben!$B$23),ISNUMBER(Eingaben!$B$24),IF(Eingaben!$B$23&lt;Eingaben!$B$24,AND(B2023&gt;=Eingaben!$B$23,B2023&lt;Eingaben!$B$24),OR(B2023&gt;=Eingaben!$B$23,B2023&lt;Eingaben!$B$24))),"HEAT","STANDARD"))</f>
        <v>GO</v>
      </c>
      <c r="E2023" s="9"/>
      <c r="F2023" t="str">
        <f>IF(E2023="",D2023,E2023)</f>
        <v>GO</v>
      </c>
      <c r="G2023" t="str">
        <f>INDEX(Netzzeiten!$B$6:$B$29,HOUR(B2023)+1)</f>
        <v>NT</v>
      </c>
      <c r="H2023" s="6">
        <f>IF(F2023="GO",Eingaben!$B$11,IF(F2023="STANDARD",Eingaben!$B$12,IF(AND(F2023="HEAT",ISNUMBER(Eingaben!$B$13)),Eingaben!$B$13,"")))</f>
        <v>15.0654</v>
      </c>
      <c r="I2023" s="6">
        <f>INDEX(Netzzeiten!$C$6:$C$29,HOUR(B2023)+1)</f>
        <v>1.64</v>
      </c>
      <c r="J2023" t="str">
        <f>IF(C2023="","FEHLT",IF(NOT(ISNUMBER(C2023)),"MESSWERT UNGUELTIG",IF(C2023&lt;0,"MESSWERT UNGUELTIG",IF(H2023="","TARIFPREIS FEHLT","OK"))))</f>
        <v>FEHLT</v>
      </c>
      <c r="K2023" s="7">
        <f>IF(J2023&lt;&gt;"OK","",C2023*I2023/100)</f>
        <v/>
      </c>
    </row>
    <row r="2024" spans="1:11">
      <c r="A2024" s="14">
        <v>46164</v>
      </c>
      <c r="B2024" s="15">
        <v>0.02083333333333333</v>
      </c>
      <c r="C2024" s="5">
        <f>IF('96 Werte'!D27="","",'96 Werte'!D27)</f>
        <v/>
      </c>
      <c r="D2024" t="str">
        <f>IF(IF(Eingaben!$B$21&lt;Eingaben!$B$22,AND(B2024&gt;=Eingaben!$B$21,B2024&lt;Eingaben!$B$22),OR(B2024&gt;=Eingaben!$B$21,B2024&lt;Eingaben!$B$22)),"GO",IF(AND(ISNUMBER(Eingaben!$B$23),ISNUMBER(Eingaben!$B$24),IF(Eingaben!$B$23&lt;Eingaben!$B$24,AND(B2024&gt;=Eingaben!$B$23,B2024&lt;Eingaben!$B$24),OR(B2024&gt;=Eingaben!$B$23,B2024&lt;Eingaben!$B$24))),"HEAT","STANDARD"))</f>
        <v>GO</v>
      </c>
      <c r="E2024" s="9"/>
      <c r="F2024" t="str">
        <f>IF(E2024="",D2024,E2024)</f>
        <v>GO</v>
      </c>
      <c r="G2024" t="str">
        <f>INDEX(Netzzeiten!$B$6:$B$29,HOUR(B2024)+1)</f>
        <v>NT</v>
      </c>
      <c r="H2024" s="6">
        <f>IF(F2024="GO",Eingaben!$B$11,IF(F2024="STANDARD",Eingaben!$B$12,IF(AND(F2024="HEAT",ISNUMBER(Eingaben!$B$13)),Eingaben!$B$13,"")))</f>
        <v>15.0654</v>
      </c>
      <c r="I2024" s="6">
        <f>INDEX(Netzzeiten!$C$6:$C$29,HOUR(B2024)+1)</f>
        <v>1.64</v>
      </c>
      <c r="J2024" t="str">
        <f>IF(C2024="","FEHLT",IF(NOT(ISNUMBER(C2024)),"MESSWERT UNGUELTIG",IF(C2024&lt;0,"MESSWERT UNGUELTIG",IF(H2024="","TARIFPREIS FEHLT","OK"))))</f>
        <v>FEHLT</v>
      </c>
      <c r="K2024" s="7">
        <f>IF(J2024&lt;&gt;"OK","",C2024*I2024/100)</f>
        <v/>
      </c>
    </row>
    <row r="2025" spans="1:11">
      <c r="A2025" s="14">
        <v>46164</v>
      </c>
      <c r="B2025" s="15">
        <v>0.03125</v>
      </c>
      <c r="C2025" s="5">
        <f>IF('96 Werte'!E27="","",'96 Werte'!E27)</f>
        <v/>
      </c>
      <c r="D2025" t="str">
        <f>IF(IF(Eingaben!$B$21&lt;Eingaben!$B$22,AND(B2025&gt;=Eingaben!$B$21,B2025&lt;Eingaben!$B$22),OR(B2025&gt;=Eingaben!$B$21,B2025&lt;Eingaben!$B$22)),"GO",IF(AND(ISNUMBER(Eingaben!$B$23),ISNUMBER(Eingaben!$B$24),IF(Eingaben!$B$23&lt;Eingaben!$B$24,AND(B2025&gt;=Eingaben!$B$23,B2025&lt;Eingaben!$B$24),OR(B2025&gt;=Eingaben!$B$23,B2025&lt;Eingaben!$B$24))),"HEAT","STANDARD"))</f>
        <v>GO</v>
      </c>
      <c r="E2025" s="9"/>
      <c r="F2025" t="str">
        <f>IF(E2025="",D2025,E2025)</f>
        <v>GO</v>
      </c>
      <c r="G2025" t="str">
        <f>INDEX(Netzzeiten!$B$6:$B$29,HOUR(B2025)+1)</f>
        <v>NT</v>
      </c>
      <c r="H2025" s="6">
        <f>IF(F2025="GO",Eingaben!$B$11,IF(F2025="STANDARD",Eingaben!$B$12,IF(AND(F2025="HEAT",ISNUMBER(Eingaben!$B$13)),Eingaben!$B$13,"")))</f>
        <v>15.0654</v>
      </c>
      <c r="I2025" s="6">
        <f>INDEX(Netzzeiten!$C$6:$C$29,HOUR(B2025)+1)</f>
        <v>1.64</v>
      </c>
      <c r="J2025" t="str">
        <f>IF(C2025="","FEHLT",IF(NOT(ISNUMBER(C2025)),"MESSWERT UNGUELTIG",IF(C2025&lt;0,"MESSWERT UNGUELTIG",IF(H2025="","TARIFPREIS FEHLT","OK"))))</f>
        <v>FEHLT</v>
      </c>
      <c r="K2025" s="7">
        <f>IF(J2025&lt;&gt;"OK","",C2025*I2025/100)</f>
        <v/>
      </c>
    </row>
    <row r="2026" spans="1:11">
      <c r="A2026" s="14">
        <v>46164</v>
      </c>
      <c r="B2026" s="15">
        <v>0.04166666666666666</v>
      </c>
      <c r="C2026" s="5">
        <f>IF('96 Werte'!F27="","",'96 Werte'!F27)</f>
        <v/>
      </c>
      <c r="D2026" t="str">
        <f>IF(IF(Eingaben!$B$21&lt;Eingaben!$B$22,AND(B2026&gt;=Eingaben!$B$21,B2026&lt;Eingaben!$B$22),OR(B2026&gt;=Eingaben!$B$21,B2026&lt;Eingaben!$B$22)),"GO",IF(AND(ISNUMBER(Eingaben!$B$23),ISNUMBER(Eingaben!$B$24),IF(Eingaben!$B$23&lt;Eingaben!$B$24,AND(B2026&gt;=Eingaben!$B$23,B2026&lt;Eingaben!$B$24),OR(B2026&gt;=Eingaben!$B$23,B2026&lt;Eingaben!$B$24))),"HEAT","STANDARD"))</f>
        <v>GO</v>
      </c>
      <c r="E2026" s="9"/>
      <c r="F2026" t="str">
        <f>IF(E2026="",D2026,E2026)</f>
        <v>GO</v>
      </c>
      <c r="G2026" t="str">
        <f>INDEX(Netzzeiten!$B$6:$B$29,HOUR(B2026)+1)</f>
        <v>NT</v>
      </c>
      <c r="H2026" s="6">
        <f>IF(F2026="GO",Eingaben!$B$11,IF(F2026="STANDARD",Eingaben!$B$12,IF(AND(F2026="HEAT",ISNUMBER(Eingaben!$B$13)),Eingaben!$B$13,"")))</f>
        <v>15.0654</v>
      </c>
      <c r="I2026" s="6">
        <f>INDEX(Netzzeiten!$C$6:$C$29,HOUR(B2026)+1)</f>
        <v>1.64</v>
      </c>
      <c r="J2026" t="str">
        <f>IF(C2026="","FEHLT",IF(NOT(ISNUMBER(C2026)),"MESSWERT UNGUELTIG",IF(C2026&lt;0,"MESSWERT UNGUELTIG",IF(H2026="","TARIFPREIS FEHLT","OK"))))</f>
        <v>FEHLT</v>
      </c>
      <c r="K2026" s="7">
        <f>IF(J2026&lt;&gt;"OK","",C2026*I2026/100)</f>
        <v/>
      </c>
    </row>
    <row r="2027" spans="1:11">
      <c r="A2027" s="14">
        <v>46164</v>
      </c>
      <c r="B2027" s="15">
        <v>0.05208333333333334</v>
      </c>
      <c r="C2027" s="5">
        <f>IF('96 Werte'!G27="","",'96 Werte'!G27)</f>
        <v/>
      </c>
      <c r="D2027" t="str">
        <f>IF(IF(Eingaben!$B$21&lt;Eingaben!$B$22,AND(B2027&gt;=Eingaben!$B$21,B2027&lt;Eingaben!$B$22),OR(B2027&gt;=Eingaben!$B$21,B2027&lt;Eingaben!$B$22)),"GO",IF(AND(ISNUMBER(Eingaben!$B$23),ISNUMBER(Eingaben!$B$24),IF(Eingaben!$B$23&lt;Eingaben!$B$24,AND(B2027&gt;=Eingaben!$B$23,B2027&lt;Eingaben!$B$24),OR(B2027&gt;=Eingaben!$B$23,B2027&lt;Eingaben!$B$24))),"HEAT","STANDARD"))</f>
        <v>GO</v>
      </c>
      <c r="E2027" s="9"/>
      <c r="F2027" t="str">
        <f>IF(E2027="",D2027,E2027)</f>
        <v>GO</v>
      </c>
      <c r="G2027" t="str">
        <f>INDEX(Netzzeiten!$B$6:$B$29,HOUR(B2027)+1)</f>
        <v>NT</v>
      </c>
      <c r="H2027" s="6">
        <f>IF(F2027="GO",Eingaben!$B$11,IF(F2027="STANDARD",Eingaben!$B$12,IF(AND(F2027="HEAT",ISNUMBER(Eingaben!$B$13)),Eingaben!$B$13,"")))</f>
        <v>15.0654</v>
      </c>
      <c r="I2027" s="6">
        <f>INDEX(Netzzeiten!$C$6:$C$29,HOUR(B2027)+1)</f>
        <v>1.64</v>
      </c>
      <c r="J2027" t="str">
        <f>IF(C2027="","FEHLT",IF(NOT(ISNUMBER(C2027)),"MESSWERT UNGUELTIG",IF(C2027&lt;0,"MESSWERT UNGUELTIG",IF(H2027="","TARIFPREIS FEHLT","OK"))))</f>
        <v>FEHLT</v>
      </c>
      <c r="K2027" s="7">
        <f>IF(J2027&lt;&gt;"OK","",C2027*I2027/100)</f>
        <v/>
      </c>
    </row>
    <row r="2028" spans="1:11">
      <c r="A2028" s="14">
        <v>46164</v>
      </c>
      <c r="B2028" s="15">
        <v>0.0625</v>
      </c>
      <c r="C2028" s="5">
        <f>IF('96 Werte'!H27="","",'96 Werte'!H27)</f>
        <v/>
      </c>
      <c r="D2028" t="str">
        <f>IF(IF(Eingaben!$B$21&lt;Eingaben!$B$22,AND(B2028&gt;=Eingaben!$B$21,B2028&lt;Eingaben!$B$22),OR(B2028&gt;=Eingaben!$B$21,B2028&lt;Eingaben!$B$22)),"GO",IF(AND(ISNUMBER(Eingaben!$B$23),ISNUMBER(Eingaben!$B$24),IF(Eingaben!$B$23&lt;Eingaben!$B$24,AND(B2028&gt;=Eingaben!$B$23,B2028&lt;Eingaben!$B$24),OR(B2028&gt;=Eingaben!$B$23,B2028&lt;Eingaben!$B$24))),"HEAT","STANDARD"))</f>
        <v>GO</v>
      </c>
      <c r="E2028" s="9"/>
      <c r="F2028" t="str">
        <f>IF(E2028="",D2028,E2028)</f>
        <v>GO</v>
      </c>
      <c r="G2028" t="str">
        <f>INDEX(Netzzeiten!$B$6:$B$29,HOUR(B2028)+1)</f>
        <v>NT</v>
      </c>
      <c r="H2028" s="6">
        <f>IF(F2028="GO",Eingaben!$B$11,IF(F2028="STANDARD",Eingaben!$B$12,IF(AND(F2028="HEAT",ISNUMBER(Eingaben!$B$13)),Eingaben!$B$13,"")))</f>
        <v>15.0654</v>
      </c>
      <c r="I2028" s="6">
        <f>INDEX(Netzzeiten!$C$6:$C$29,HOUR(B2028)+1)</f>
        <v>1.64</v>
      </c>
      <c r="J2028" t="str">
        <f>IF(C2028="","FEHLT",IF(NOT(ISNUMBER(C2028)),"MESSWERT UNGUELTIG",IF(C2028&lt;0,"MESSWERT UNGUELTIG",IF(H2028="","TARIFPREIS FEHLT","OK"))))</f>
        <v>FEHLT</v>
      </c>
      <c r="K2028" s="7">
        <f>IF(J2028&lt;&gt;"OK","",C2028*I2028/100)</f>
        <v/>
      </c>
    </row>
    <row r="2029" spans="1:11">
      <c r="A2029" s="14">
        <v>46164</v>
      </c>
      <c r="B2029" s="15">
        <v>0.07291666666666667</v>
      </c>
      <c r="C2029" s="5">
        <f>IF('96 Werte'!I27="","",'96 Werte'!I27)</f>
        <v/>
      </c>
      <c r="D2029" t="str">
        <f>IF(IF(Eingaben!$B$21&lt;Eingaben!$B$22,AND(B2029&gt;=Eingaben!$B$21,B2029&lt;Eingaben!$B$22),OR(B2029&gt;=Eingaben!$B$21,B2029&lt;Eingaben!$B$22)),"GO",IF(AND(ISNUMBER(Eingaben!$B$23),ISNUMBER(Eingaben!$B$24),IF(Eingaben!$B$23&lt;Eingaben!$B$24,AND(B2029&gt;=Eingaben!$B$23,B2029&lt;Eingaben!$B$24),OR(B2029&gt;=Eingaben!$B$23,B2029&lt;Eingaben!$B$24))),"HEAT","STANDARD"))</f>
        <v>GO</v>
      </c>
      <c r="E2029" s="9"/>
      <c r="F2029" t="str">
        <f>IF(E2029="",D2029,E2029)</f>
        <v>GO</v>
      </c>
      <c r="G2029" t="str">
        <f>INDEX(Netzzeiten!$B$6:$B$29,HOUR(B2029)+1)</f>
        <v>NT</v>
      </c>
      <c r="H2029" s="6">
        <f>IF(F2029="GO",Eingaben!$B$11,IF(F2029="STANDARD",Eingaben!$B$12,IF(AND(F2029="HEAT",ISNUMBER(Eingaben!$B$13)),Eingaben!$B$13,"")))</f>
        <v>15.0654</v>
      </c>
      <c r="I2029" s="6">
        <f>INDEX(Netzzeiten!$C$6:$C$29,HOUR(B2029)+1)</f>
        <v>1.64</v>
      </c>
      <c r="J2029" t="str">
        <f>IF(C2029="","FEHLT",IF(NOT(ISNUMBER(C2029)),"MESSWERT UNGUELTIG",IF(C2029&lt;0,"MESSWERT UNGUELTIG",IF(H2029="","TARIFPREIS FEHLT","OK"))))</f>
        <v>FEHLT</v>
      </c>
      <c r="K2029" s="7">
        <f>IF(J2029&lt;&gt;"OK","",C2029*I2029/100)</f>
        <v/>
      </c>
    </row>
    <row r="2030" spans="1:11">
      <c r="A2030" s="14">
        <v>46164</v>
      </c>
      <c r="B2030" s="15">
        <v>0.08333333333333333</v>
      </c>
      <c r="C2030" s="5">
        <f>IF('96 Werte'!J27="","",'96 Werte'!J27)</f>
        <v/>
      </c>
      <c r="D2030" t="str">
        <f>IF(IF(Eingaben!$B$21&lt;Eingaben!$B$22,AND(B2030&gt;=Eingaben!$B$21,B2030&lt;Eingaben!$B$22),OR(B2030&gt;=Eingaben!$B$21,B2030&lt;Eingaben!$B$22)),"GO",IF(AND(ISNUMBER(Eingaben!$B$23),ISNUMBER(Eingaben!$B$24),IF(Eingaben!$B$23&lt;Eingaben!$B$24,AND(B2030&gt;=Eingaben!$B$23,B2030&lt;Eingaben!$B$24),OR(B2030&gt;=Eingaben!$B$23,B2030&lt;Eingaben!$B$24))),"HEAT","STANDARD"))</f>
        <v>GO</v>
      </c>
      <c r="E2030" s="9"/>
      <c r="F2030" t="str">
        <f>IF(E2030="",D2030,E2030)</f>
        <v>GO</v>
      </c>
      <c r="G2030" t="str">
        <f>INDEX(Netzzeiten!$B$6:$B$29,HOUR(B2030)+1)</f>
        <v>NT</v>
      </c>
      <c r="H2030" s="6">
        <f>IF(F2030="GO",Eingaben!$B$11,IF(F2030="STANDARD",Eingaben!$B$12,IF(AND(F2030="HEAT",ISNUMBER(Eingaben!$B$13)),Eingaben!$B$13,"")))</f>
        <v>15.0654</v>
      </c>
      <c r="I2030" s="6">
        <f>INDEX(Netzzeiten!$C$6:$C$29,HOUR(B2030)+1)</f>
        <v>1.64</v>
      </c>
      <c r="J2030" t="str">
        <f>IF(C2030="","FEHLT",IF(NOT(ISNUMBER(C2030)),"MESSWERT UNGUELTIG",IF(C2030&lt;0,"MESSWERT UNGUELTIG",IF(H2030="","TARIFPREIS FEHLT","OK"))))</f>
        <v>FEHLT</v>
      </c>
      <c r="K2030" s="7">
        <f>IF(J2030&lt;&gt;"OK","",C2030*I2030/100)</f>
        <v/>
      </c>
    </row>
    <row r="2031" spans="1:11">
      <c r="A2031" s="14">
        <v>46164</v>
      </c>
      <c r="B2031" s="15">
        <v>0.09375</v>
      </c>
      <c r="C2031" s="5">
        <f>IF('96 Werte'!K27="","",'96 Werte'!K27)</f>
        <v/>
      </c>
      <c r="D2031" t="str">
        <f>IF(IF(Eingaben!$B$21&lt;Eingaben!$B$22,AND(B2031&gt;=Eingaben!$B$21,B2031&lt;Eingaben!$B$22),OR(B2031&gt;=Eingaben!$B$21,B2031&lt;Eingaben!$B$22)),"GO",IF(AND(ISNUMBER(Eingaben!$B$23),ISNUMBER(Eingaben!$B$24),IF(Eingaben!$B$23&lt;Eingaben!$B$24,AND(B2031&gt;=Eingaben!$B$23,B2031&lt;Eingaben!$B$24),OR(B2031&gt;=Eingaben!$B$23,B2031&lt;Eingaben!$B$24))),"HEAT","STANDARD"))</f>
        <v>GO</v>
      </c>
      <c r="E2031" s="9"/>
      <c r="F2031" t="str">
        <f>IF(E2031="",D2031,E2031)</f>
        <v>GO</v>
      </c>
      <c r="G2031" t="str">
        <f>INDEX(Netzzeiten!$B$6:$B$29,HOUR(B2031)+1)</f>
        <v>NT</v>
      </c>
      <c r="H2031" s="6">
        <f>IF(F2031="GO",Eingaben!$B$11,IF(F2031="STANDARD",Eingaben!$B$12,IF(AND(F2031="HEAT",ISNUMBER(Eingaben!$B$13)),Eingaben!$B$13,"")))</f>
        <v>15.0654</v>
      </c>
      <c r="I2031" s="6">
        <f>INDEX(Netzzeiten!$C$6:$C$29,HOUR(B2031)+1)</f>
        <v>1.64</v>
      </c>
      <c r="J2031" t="str">
        <f>IF(C2031="","FEHLT",IF(NOT(ISNUMBER(C2031)),"MESSWERT UNGUELTIG",IF(C2031&lt;0,"MESSWERT UNGUELTIG",IF(H2031="","TARIFPREIS FEHLT","OK"))))</f>
        <v>FEHLT</v>
      </c>
      <c r="K2031" s="7">
        <f>IF(J2031&lt;&gt;"OK","",C2031*I2031/100)</f>
        <v/>
      </c>
    </row>
    <row r="2032" spans="1:11">
      <c r="A2032" s="14">
        <v>46164</v>
      </c>
      <c r="B2032" s="15">
        <v>0.1041666666666667</v>
      </c>
      <c r="C2032" s="5">
        <f>IF('96 Werte'!L27="","",'96 Werte'!L27)</f>
        <v/>
      </c>
      <c r="D2032" t="str">
        <f>IF(IF(Eingaben!$B$21&lt;Eingaben!$B$22,AND(B2032&gt;=Eingaben!$B$21,B2032&lt;Eingaben!$B$22),OR(B2032&gt;=Eingaben!$B$21,B2032&lt;Eingaben!$B$22)),"GO",IF(AND(ISNUMBER(Eingaben!$B$23),ISNUMBER(Eingaben!$B$24),IF(Eingaben!$B$23&lt;Eingaben!$B$24,AND(B2032&gt;=Eingaben!$B$23,B2032&lt;Eingaben!$B$24),OR(B2032&gt;=Eingaben!$B$23,B2032&lt;Eingaben!$B$24))),"HEAT","STANDARD"))</f>
        <v>GO</v>
      </c>
      <c r="E2032" s="9"/>
      <c r="F2032" t="str">
        <f>IF(E2032="",D2032,E2032)</f>
        <v>GO</v>
      </c>
      <c r="G2032" t="str">
        <f>INDEX(Netzzeiten!$B$6:$B$29,HOUR(B2032)+1)</f>
        <v>NT</v>
      </c>
      <c r="H2032" s="6">
        <f>IF(F2032="GO",Eingaben!$B$11,IF(F2032="STANDARD",Eingaben!$B$12,IF(AND(F2032="HEAT",ISNUMBER(Eingaben!$B$13)),Eingaben!$B$13,"")))</f>
        <v>15.0654</v>
      </c>
      <c r="I2032" s="6">
        <f>INDEX(Netzzeiten!$C$6:$C$29,HOUR(B2032)+1)</f>
        <v>1.64</v>
      </c>
      <c r="J2032" t="str">
        <f>IF(C2032="","FEHLT",IF(NOT(ISNUMBER(C2032)),"MESSWERT UNGUELTIG",IF(C2032&lt;0,"MESSWERT UNGUELTIG",IF(H2032="","TARIFPREIS FEHLT","OK"))))</f>
        <v>FEHLT</v>
      </c>
      <c r="K2032" s="7">
        <f>IF(J2032&lt;&gt;"OK","",C2032*I2032/100)</f>
        <v/>
      </c>
    </row>
    <row r="2033" spans="1:11">
      <c r="A2033" s="14">
        <v>46164</v>
      </c>
      <c r="B2033" s="15">
        <v>0.1145833333333333</v>
      </c>
      <c r="C2033" s="5">
        <f>IF('96 Werte'!M27="","",'96 Werte'!M27)</f>
        <v/>
      </c>
      <c r="D2033" t="str">
        <f>IF(IF(Eingaben!$B$21&lt;Eingaben!$B$22,AND(B2033&gt;=Eingaben!$B$21,B2033&lt;Eingaben!$B$22),OR(B2033&gt;=Eingaben!$B$21,B2033&lt;Eingaben!$B$22)),"GO",IF(AND(ISNUMBER(Eingaben!$B$23),ISNUMBER(Eingaben!$B$24),IF(Eingaben!$B$23&lt;Eingaben!$B$24,AND(B2033&gt;=Eingaben!$B$23,B2033&lt;Eingaben!$B$24),OR(B2033&gt;=Eingaben!$B$23,B2033&lt;Eingaben!$B$24))),"HEAT","STANDARD"))</f>
        <v>GO</v>
      </c>
      <c r="E2033" s="9"/>
      <c r="F2033" t="str">
        <f>IF(E2033="",D2033,E2033)</f>
        <v>GO</v>
      </c>
      <c r="G2033" t="str">
        <f>INDEX(Netzzeiten!$B$6:$B$29,HOUR(B2033)+1)</f>
        <v>NT</v>
      </c>
      <c r="H2033" s="6">
        <f>IF(F2033="GO",Eingaben!$B$11,IF(F2033="STANDARD",Eingaben!$B$12,IF(AND(F2033="HEAT",ISNUMBER(Eingaben!$B$13)),Eingaben!$B$13,"")))</f>
        <v>15.0654</v>
      </c>
      <c r="I2033" s="6">
        <f>INDEX(Netzzeiten!$C$6:$C$29,HOUR(B2033)+1)</f>
        <v>1.64</v>
      </c>
      <c r="J2033" t="str">
        <f>IF(C2033="","FEHLT",IF(NOT(ISNUMBER(C2033)),"MESSWERT UNGUELTIG",IF(C2033&lt;0,"MESSWERT UNGUELTIG",IF(H2033="","TARIFPREIS FEHLT","OK"))))</f>
        <v>FEHLT</v>
      </c>
      <c r="K2033" s="7">
        <f>IF(J2033&lt;&gt;"OK","",C2033*I2033/100)</f>
        <v/>
      </c>
    </row>
    <row r="2034" spans="1:11">
      <c r="A2034" s="14">
        <v>46164</v>
      </c>
      <c r="B2034" s="15">
        <v>0.125</v>
      </c>
      <c r="C2034" s="5">
        <f>IF('96 Werte'!N27="","",'96 Werte'!N27)</f>
        <v/>
      </c>
      <c r="D2034" t="str">
        <f>IF(IF(Eingaben!$B$21&lt;Eingaben!$B$22,AND(B2034&gt;=Eingaben!$B$21,B2034&lt;Eingaben!$B$22),OR(B2034&gt;=Eingaben!$B$21,B2034&lt;Eingaben!$B$22)),"GO",IF(AND(ISNUMBER(Eingaben!$B$23),ISNUMBER(Eingaben!$B$24),IF(Eingaben!$B$23&lt;Eingaben!$B$24,AND(B2034&gt;=Eingaben!$B$23,B2034&lt;Eingaben!$B$24),OR(B2034&gt;=Eingaben!$B$23,B2034&lt;Eingaben!$B$24))),"HEAT","STANDARD"))</f>
        <v>GO</v>
      </c>
      <c r="E2034" s="9"/>
      <c r="F2034" t="str">
        <f>IF(E2034="",D2034,E2034)</f>
        <v>GO</v>
      </c>
      <c r="G2034" t="str">
        <f>INDEX(Netzzeiten!$B$6:$B$29,HOUR(B2034)+1)</f>
        <v>NT</v>
      </c>
      <c r="H2034" s="6">
        <f>IF(F2034="GO",Eingaben!$B$11,IF(F2034="STANDARD",Eingaben!$B$12,IF(AND(F2034="HEAT",ISNUMBER(Eingaben!$B$13)),Eingaben!$B$13,"")))</f>
        <v>15.0654</v>
      </c>
      <c r="I2034" s="6">
        <f>INDEX(Netzzeiten!$C$6:$C$29,HOUR(B2034)+1)</f>
        <v>1.64</v>
      </c>
      <c r="J2034" t="str">
        <f>IF(C2034="","FEHLT",IF(NOT(ISNUMBER(C2034)),"MESSWERT UNGUELTIG",IF(C2034&lt;0,"MESSWERT UNGUELTIG",IF(H2034="","TARIFPREIS FEHLT","OK"))))</f>
        <v>FEHLT</v>
      </c>
      <c r="K2034" s="7">
        <f>IF(J2034&lt;&gt;"OK","",C2034*I2034/100)</f>
        <v/>
      </c>
    </row>
    <row r="2035" spans="1:11">
      <c r="A2035" s="14">
        <v>46164</v>
      </c>
      <c r="B2035" s="15">
        <v>0.1354166666666667</v>
      </c>
      <c r="C2035" s="5">
        <f>IF('96 Werte'!O27="","",'96 Werte'!O27)</f>
        <v/>
      </c>
      <c r="D2035" t="str">
        <f>IF(IF(Eingaben!$B$21&lt;Eingaben!$B$22,AND(B2035&gt;=Eingaben!$B$21,B2035&lt;Eingaben!$B$22),OR(B2035&gt;=Eingaben!$B$21,B2035&lt;Eingaben!$B$22)),"GO",IF(AND(ISNUMBER(Eingaben!$B$23),ISNUMBER(Eingaben!$B$24),IF(Eingaben!$B$23&lt;Eingaben!$B$24,AND(B2035&gt;=Eingaben!$B$23,B2035&lt;Eingaben!$B$24),OR(B2035&gt;=Eingaben!$B$23,B2035&lt;Eingaben!$B$24))),"HEAT","STANDARD"))</f>
        <v>GO</v>
      </c>
      <c r="E2035" s="9"/>
      <c r="F2035" t="str">
        <f>IF(E2035="",D2035,E2035)</f>
        <v>GO</v>
      </c>
      <c r="G2035" t="str">
        <f>INDEX(Netzzeiten!$B$6:$B$29,HOUR(B2035)+1)</f>
        <v>NT</v>
      </c>
      <c r="H2035" s="6">
        <f>IF(F2035="GO",Eingaben!$B$11,IF(F2035="STANDARD",Eingaben!$B$12,IF(AND(F2035="HEAT",ISNUMBER(Eingaben!$B$13)),Eingaben!$B$13,"")))</f>
        <v>15.0654</v>
      </c>
      <c r="I2035" s="6">
        <f>INDEX(Netzzeiten!$C$6:$C$29,HOUR(B2035)+1)</f>
        <v>1.64</v>
      </c>
      <c r="J2035" t="str">
        <f>IF(C2035="","FEHLT",IF(NOT(ISNUMBER(C2035)),"MESSWERT UNGUELTIG",IF(C2035&lt;0,"MESSWERT UNGUELTIG",IF(H2035="","TARIFPREIS FEHLT","OK"))))</f>
        <v>FEHLT</v>
      </c>
      <c r="K2035" s="7">
        <f>IF(J2035&lt;&gt;"OK","",C2035*I2035/100)</f>
        <v/>
      </c>
    </row>
    <row r="2036" spans="1:11">
      <c r="A2036" s="14">
        <v>46164</v>
      </c>
      <c r="B2036" s="15">
        <v>0.1458333333333333</v>
      </c>
      <c r="C2036" s="5">
        <f>IF('96 Werte'!P27="","",'96 Werte'!P27)</f>
        <v/>
      </c>
      <c r="D2036" t="str">
        <f>IF(IF(Eingaben!$B$21&lt;Eingaben!$B$22,AND(B2036&gt;=Eingaben!$B$21,B2036&lt;Eingaben!$B$22),OR(B2036&gt;=Eingaben!$B$21,B2036&lt;Eingaben!$B$22)),"GO",IF(AND(ISNUMBER(Eingaben!$B$23),ISNUMBER(Eingaben!$B$24),IF(Eingaben!$B$23&lt;Eingaben!$B$24,AND(B2036&gt;=Eingaben!$B$23,B2036&lt;Eingaben!$B$24),OR(B2036&gt;=Eingaben!$B$23,B2036&lt;Eingaben!$B$24))),"HEAT","STANDARD"))</f>
        <v>GO</v>
      </c>
      <c r="E2036" s="9"/>
      <c r="F2036" t="str">
        <f>IF(E2036="",D2036,E2036)</f>
        <v>GO</v>
      </c>
      <c r="G2036" t="str">
        <f>INDEX(Netzzeiten!$B$6:$B$29,HOUR(B2036)+1)</f>
        <v>NT</v>
      </c>
      <c r="H2036" s="6">
        <f>IF(F2036="GO",Eingaben!$B$11,IF(F2036="STANDARD",Eingaben!$B$12,IF(AND(F2036="HEAT",ISNUMBER(Eingaben!$B$13)),Eingaben!$B$13,"")))</f>
        <v>15.0654</v>
      </c>
      <c r="I2036" s="6">
        <f>INDEX(Netzzeiten!$C$6:$C$29,HOUR(B2036)+1)</f>
        <v>1.64</v>
      </c>
      <c r="J2036" t="str">
        <f>IF(C2036="","FEHLT",IF(NOT(ISNUMBER(C2036)),"MESSWERT UNGUELTIG",IF(C2036&lt;0,"MESSWERT UNGUELTIG",IF(H2036="","TARIFPREIS FEHLT","OK"))))</f>
        <v>FEHLT</v>
      </c>
      <c r="K2036" s="7">
        <f>IF(J2036&lt;&gt;"OK","",C2036*I2036/100)</f>
        <v/>
      </c>
    </row>
    <row r="2037" spans="1:11">
      <c r="A2037" s="14">
        <v>46164</v>
      </c>
      <c r="B2037" s="15">
        <v>0.15625</v>
      </c>
      <c r="C2037" s="5">
        <f>IF('96 Werte'!Q27="","",'96 Werte'!Q27)</f>
        <v/>
      </c>
      <c r="D2037" t="str">
        <f>IF(IF(Eingaben!$B$21&lt;Eingaben!$B$22,AND(B2037&gt;=Eingaben!$B$21,B2037&lt;Eingaben!$B$22),OR(B2037&gt;=Eingaben!$B$21,B2037&lt;Eingaben!$B$22)),"GO",IF(AND(ISNUMBER(Eingaben!$B$23),ISNUMBER(Eingaben!$B$24),IF(Eingaben!$B$23&lt;Eingaben!$B$24,AND(B2037&gt;=Eingaben!$B$23,B2037&lt;Eingaben!$B$24),OR(B2037&gt;=Eingaben!$B$23,B2037&lt;Eingaben!$B$24))),"HEAT","STANDARD"))</f>
        <v>GO</v>
      </c>
      <c r="E2037" s="9"/>
      <c r="F2037" t="str">
        <f>IF(E2037="",D2037,E2037)</f>
        <v>GO</v>
      </c>
      <c r="G2037" t="str">
        <f>INDEX(Netzzeiten!$B$6:$B$29,HOUR(B2037)+1)</f>
        <v>NT</v>
      </c>
      <c r="H2037" s="6">
        <f>IF(F2037="GO",Eingaben!$B$11,IF(F2037="STANDARD",Eingaben!$B$12,IF(AND(F2037="HEAT",ISNUMBER(Eingaben!$B$13)),Eingaben!$B$13,"")))</f>
        <v>15.0654</v>
      </c>
      <c r="I2037" s="6">
        <f>INDEX(Netzzeiten!$C$6:$C$29,HOUR(B2037)+1)</f>
        <v>1.64</v>
      </c>
      <c r="J2037" t="str">
        <f>IF(C2037="","FEHLT",IF(NOT(ISNUMBER(C2037)),"MESSWERT UNGUELTIG",IF(C2037&lt;0,"MESSWERT UNGUELTIG",IF(H2037="","TARIFPREIS FEHLT","OK"))))</f>
        <v>FEHLT</v>
      </c>
      <c r="K2037" s="7">
        <f>IF(J2037&lt;&gt;"OK","",C2037*I2037/100)</f>
        <v/>
      </c>
    </row>
    <row r="2038" spans="1:11">
      <c r="A2038" s="14">
        <v>46164</v>
      </c>
      <c r="B2038" s="15">
        <v>0.1666666666666667</v>
      </c>
      <c r="C2038" s="5">
        <f>IF('96 Werte'!R27="","",'96 Werte'!R27)</f>
        <v/>
      </c>
      <c r="D2038" t="str">
        <f>IF(IF(Eingaben!$B$21&lt;Eingaben!$B$22,AND(B2038&gt;=Eingaben!$B$21,B2038&lt;Eingaben!$B$22),OR(B2038&gt;=Eingaben!$B$21,B2038&lt;Eingaben!$B$22)),"GO",IF(AND(ISNUMBER(Eingaben!$B$23),ISNUMBER(Eingaben!$B$24),IF(Eingaben!$B$23&lt;Eingaben!$B$24,AND(B2038&gt;=Eingaben!$B$23,B2038&lt;Eingaben!$B$24),OR(B2038&gt;=Eingaben!$B$23,B2038&lt;Eingaben!$B$24))),"HEAT","STANDARD"))</f>
        <v>GO</v>
      </c>
      <c r="E2038" s="9"/>
      <c r="F2038" t="str">
        <f>IF(E2038="",D2038,E2038)</f>
        <v>GO</v>
      </c>
      <c r="G2038" t="str">
        <f>INDEX(Netzzeiten!$B$6:$B$29,HOUR(B2038)+1)</f>
        <v>NT</v>
      </c>
      <c r="H2038" s="6">
        <f>IF(F2038="GO",Eingaben!$B$11,IF(F2038="STANDARD",Eingaben!$B$12,IF(AND(F2038="HEAT",ISNUMBER(Eingaben!$B$13)),Eingaben!$B$13,"")))</f>
        <v>15.0654</v>
      </c>
      <c r="I2038" s="6">
        <f>INDEX(Netzzeiten!$C$6:$C$29,HOUR(B2038)+1)</f>
        <v>1.64</v>
      </c>
      <c r="J2038" t="str">
        <f>IF(C2038="","FEHLT",IF(NOT(ISNUMBER(C2038)),"MESSWERT UNGUELTIG",IF(C2038&lt;0,"MESSWERT UNGUELTIG",IF(H2038="","TARIFPREIS FEHLT","OK"))))</f>
        <v>FEHLT</v>
      </c>
      <c r="K2038" s="7">
        <f>IF(J2038&lt;&gt;"OK","",C2038*I2038/100)</f>
        <v/>
      </c>
    </row>
    <row r="2039" spans="1:11">
      <c r="A2039" s="14">
        <v>46164</v>
      </c>
      <c r="B2039" s="15">
        <v>0.1770833333333333</v>
      </c>
      <c r="C2039" s="5">
        <f>IF('96 Werte'!S27="","",'96 Werte'!S27)</f>
        <v/>
      </c>
      <c r="D2039" t="str">
        <f>IF(IF(Eingaben!$B$21&lt;Eingaben!$B$22,AND(B2039&gt;=Eingaben!$B$21,B2039&lt;Eingaben!$B$22),OR(B2039&gt;=Eingaben!$B$21,B2039&lt;Eingaben!$B$22)),"GO",IF(AND(ISNUMBER(Eingaben!$B$23),ISNUMBER(Eingaben!$B$24),IF(Eingaben!$B$23&lt;Eingaben!$B$24,AND(B2039&gt;=Eingaben!$B$23,B2039&lt;Eingaben!$B$24),OR(B2039&gt;=Eingaben!$B$23,B2039&lt;Eingaben!$B$24))),"HEAT","STANDARD"))</f>
        <v>GO</v>
      </c>
      <c r="E2039" s="9"/>
      <c r="F2039" t="str">
        <f>IF(E2039="",D2039,E2039)</f>
        <v>GO</v>
      </c>
      <c r="G2039" t="str">
        <f>INDEX(Netzzeiten!$B$6:$B$29,HOUR(B2039)+1)</f>
        <v>NT</v>
      </c>
      <c r="H2039" s="6">
        <f>IF(F2039="GO",Eingaben!$B$11,IF(F2039="STANDARD",Eingaben!$B$12,IF(AND(F2039="HEAT",ISNUMBER(Eingaben!$B$13)),Eingaben!$B$13,"")))</f>
        <v>15.0654</v>
      </c>
      <c r="I2039" s="6">
        <f>INDEX(Netzzeiten!$C$6:$C$29,HOUR(B2039)+1)</f>
        <v>1.64</v>
      </c>
      <c r="J2039" t="str">
        <f>IF(C2039="","FEHLT",IF(NOT(ISNUMBER(C2039)),"MESSWERT UNGUELTIG",IF(C2039&lt;0,"MESSWERT UNGUELTIG",IF(H2039="","TARIFPREIS FEHLT","OK"))))</f>
        <v>FEHLT</v>
      </c>
      <c r="K2039" s="7">
        <f>IF(J2039&lt;&gt;"OK","",C2039*I2039/100)</f>
        <v/>
      </c>
    </row>
    <row r="2040" spans="1:11">
      <c r="A2040" s="14">
        <v>46164</v>
      </c>
      <c r="B2040" s="15">
        <v>0.1875</v>
      </c>
      <c r="C2040" s="5">
        <f>IF('96 Werte'!T27="","",'96 Werte'!T27)</f>
        <v/>
      </c>
      <c r="D2040" t="str">
        <f>IF(IF(Eingaben!$B$21&lt;Eingaben!$B$22,AND(B2040&gt;=Eingaben!$B$21,B2040&lt;Eingaben!$B$22),OR(B2040&gt;=Eingaben!$B$21,B2040&lt;Eingaben!$B$22)),"GO",IF(AND(ISNUMBER(Eingaben!$B$23),ISNUMBER(Eingaben!$B$24),IF(Eingaben!$B$23&lt;Eingaben!$B$24,AND(B2040&gt;=Eingaben!$B$23,B2040&lt;Eingaben!$B$24),OR(B2040&gt;=Eingaben!$B$23,B2040&lt;Eingaben!$B$24))),"HEAT","STANDARD"))</f>
        <v>GO</v>
      </c>
      <c r="E2040" s="9"/>
      <c r="F2040" t="str">
        <f>IF(E2040="",D2040,E2040)</f>
        <v>GO</v>
      </c>
      <c r="G2040" t="str">
        <f>INDEX(Netzzeiten!$B$6:$B$29,HOUR(B2040)+1)</f>
        <v>NT</v>
      </c>
      <c r="H2040" s="6">
        <f>IF(F2040="GO",Eingaben!$B$11,IF(F2040="STANDARD",Eingaben!$B$12,IF(AND(F2040="HEAT",ISNUMBER(Eingaben!$B$13)),Eingaben!$B$13,"")))</f>
        <v>15.0654</v>
      </c>
      <c r="I2040" s="6">
        <f>INDEX(Netzzeiten!$C$6:$C$29,HOUR(B2040)+1)</f>
        <v>1.64</v>
      </c>
      <c r="J2040" t="str">
        <f>IF(C2040="","FEHLT",IF(NOT(ISNUMBER(C2040)),"MESSWERT UNGUELTIG",IF(C2040&lt;0,"MESSWERT UNGUELTIG",IF(H2040="","TARIFPREIS FEHLT","OK"))))</f>
        <v>FEHLT</v>
      </c>
      <c r="K2040" s="7">
        <f>IF(J2040&lt;&gt;"OK","",C2040*I2040/100)</f>
        <v/>
      </c>
    </row>
    <row r="2041" spans="1:11">
      <c r="A2041" s="14">
        <v>46164</v>
      </c>
      <c r="B2041" s="15">
        <v>0.1979166666666667</v>
      </c>
      <c r="C2041" s="5">
        <f>IF('96 Werte'!U27="","",'96 Werte'!U27)</f>
        <v/>
      </c>
      <c r="D2041" t="str">
        <f>IF(IF(Eingaben!$B$21&lt;Eingaben!$B$22,AND(B2041&gt;=Eingaben!$B$21,B2041&lt;Eingaben!$B$22),OR(B2041&gt;=Eingaben!$B$21,B2041&lt;Eingaben!$B$22)),"GO",IF(AND(ISNUMBER(Eingaben!$B$23),ISNUMBER(Eingaben!$B$24),IF(Eingaben!$B$23&lt;Eingaben!$B$24,AND(B2041&gt;=Eingaben!$B$23,B2041&lt;Eingaben!$B$24),OR(B2041&gt;=Eingaben!$B$23,B2041&lt;Eingaben!$B$24))),"HEAT","STANDARD"))</f>
        <v>GO</v>
      </c>
      <c r="E2041" s="9"/>
      <c r="F2041" t="str">
        <f>IF(E2041="",D2041,E2041)</f>
        <v>GO</v>
      </c>
      <c r="G2041" t="str">
        <f>INDEX(Netzzeiten!$B$6:$B$29,HOUR(B2041)+1)</f>
        <v>NT</v>
      </c>
      <c r="H2041" s="6">
        <f>IF(F2041="GO",Eingaben!$B$11,IF(F2041="STANDARD",Eingaben!$B$12,IF(AND(F2041="HEAT",ISNUMBER(Eingaben!$B$13)),Eingaben!$B$13,"")))</f>
        <v>15.0654</v>
      </c>
      <c r="I2041" s="6">
        <f>INDEX(Netzzeiten!$C$6:$C$29,HOUR(B2041)+1)</f>
        <v>1.64</v>
      </c>
      <c r="J2041" t="str">
        <f>IF(C2041="","FEHLT",IF(NOT(ISNUMBER(C2041)),"MESSWERT UNGUELTIG",IF(C2041&lt;0,"MESSWERT UNGUELTIG",IF(H2041="","TARIFPREIS FEHLT","OK"))))</f>
        <v>FEHLT</v>
      </c>
      <c r="K2041" s="7">
        <f>IF(J2041&lt;&gt;"OK","",C2041*I2041/100)</f>
        <v/>
      </c>
    </row>
    <row r="2042" spans="1:11">
      <c r="A2042" s="14">
        <v>46164</v>
      </c>
      <c r="B2042" s="15">
        <v>0.2083333333333333</v>
      </c>
      <c r="C2042" s="5">
        <f>IF('96 Werte'!V27="","",'96 Werte'!V27)</f>
        <v/>
      </c>
      <c r="D2042" t="str">
        <f>IF(IF(Eingaben!$B$21&lt;Eingaben!$B$22,AND(B2042&gt;=Eingaben!$B$21,B2042&lt;Eingaben!$B$22),OR(B2042&gt;=Eingaben!$B$21,B2042&lt;Eingaben!$B$22)),"GO",IF(AND(ISNUMBER(Eingaben!$B$23),ISNUMBER(Eingaben!$B$24),IF(Eingaben!$B$23&lt;Eingaben!$B$24,AND(B2042&gt;=Eingaben!$B$23,B2042&lt;Eingaben!$B$24),OR(B2042&gt;=Eingaben!$B$23,B2042&lt;Eingaben!$B$24))),"HEAT","STANDARD"))</f>
        <v>STANDARD</v>
      </c>
      <c r="E2042" s="9"/>
      <c r="F2042" t="str">
        <f>IF(E2042="",D2042,E2042)</f>
        <v>STANDARD</v>
      </c>
      <c r="G2042" t="str">
        <f>INDEX(Netzzeiten!$B$6:$B$29,HOUR(B2042)+1)</f>
        <v>NT</v>
      </c>
      <c r="H2042" s="6">
        <f>IF(F2042="GO",Eingaben!$B$11,IF(F2042="STANDARD",Eingaben!$B$12,IF(AND(F2042="HEAT",ISNUMBER(Eingaben!$B$13)),Eingaben!$B$13,"")))</f>
        <v>28.2744</v>
      </c>
      <c r="I2042" s="6">
        <f>INDEX(Netzzeiten!$C$6:$C$29,HOUR(B2042)+1)</f>
        <v>1.64</v>
      </c>
      <c r="J2042" t="str">
        <f>IF(C2042="","FEHLT",IF(NOT(ISNUMBER(C2042)),"MESSWERT UNGUELTIG",IF(C2042&lt;0,"MESSWERT UNGUELTIG",IF(H2042="","TARIFPREIS FEHLT","OK"))))</f>
        <v>FEHLT</v>
      </c>
      <c r="K2042" s="7">
        <f>IF(J2042&lt;&gt;"OK","",C2042*I2042/100)</f>
        <v/>
      </c>
    </row>
    <row r="2043" spans="1:11">
      <c r="A2043" s="14">
        <v>46164</v>
      </c>
      <c r="B2043" s="15">
        <v>0.21875</v>
      </c>
      <c r="C2043" s="5">
        <f>IF('96 Werte'!W27="","",'96 Werte'!W27)</f>
        <v/>
      </c>
      <c r="D2043" t="str">
        <f>IF(IF(Eingaben!$B$21&lt;Eingaben!$B$22,AND(B2043&gt;=Eingaben!$B$21,B2043&lt;Eingaben!$B$22),OR(B2043&gt;=Eingaben!$B$21,B2043&lt;Eingaben!$B$22)),"GO",IF(AND(ISNUMBER(Eingaben!$B$23),ISNUMBER(Eingaben!$B$24),IF(Eingaben!$B$23&lt;Eingaben!$B$24,AND(B2043&gt;=Eingaben!$B$23,B2043&lt;Eingaben!$B$24),OR(B2043&gt;=Eingaben!$B$23,B2043&lt;Eingaben!$B$24))),"HEAT","STANDARD"))</f>
        <v>STANDARD</v>
      </c>
      <c r="E2043" s="9"/>
      <c r="F2043" t="str">
        <f>IF(E2043="",D2043,E2043)</f>
        <v>STANDARD</v>
      </c>
      <c r="G2043" t="str">
        <f>INDEX(Netzzeiten!$B$6:$B$29,HOUR(B2043)+1)</f>
        <v>NT</v>
      </c>
      <c r="H2043" s="6">
        <f>IF(F2043="GO",Eingaben!$B$11,IF(F2043="STANDARD",Eingaben!$B$12,IF(AND(F2043="HEAT",ISNUMBER(Eingaben!$B$13)),Eingaben!$B$13,"")))</f>
        <v>28.2744</v>
      </c>
      <c r="I2043" s="6">
        <f>INDEX(Netzzeiten!$C$6:$C$29,HOUR(B2043)+1)</f>
        <v>1.64</v>
      </c>
      <c r="J2043" t="str">
        <f>IF(C2043="","FEHLT",IF(NOT(ISNUMBER(C2043)),"MESSWERT UNGUELTIG",IF(C2043&lt;0,"MESSWERT UNGUELTIG",IF(H2043="","TARIFPREIS FEHLT","OK"))))</f>
        <v>FEHLT</v>
      </c>
      <c r="K2043" s="7">
        <f>IF(J2043&lt;&gt;"OK","",C2043*I2043/100)</f>
        <v/>
      </c>
    </row>
    <row r="2044" spans="1:11">
      <c r="A2044" s="14">
        <v>46164</v>
      </c>
      <c r="B2044" s="15">
        <v>0.2291666666666667</v>
      </c>
      <c r="C2044" s="5">
        <f>IF('96 Werte'!X27="","",'96 Werte'!X27)</f>
        <v/>
      </c>
      <c r="D2044" t="str">
        <f>IF(IF(Eingaben!$B$21&lt;Eingaben!$B$22,AND(B2044&gt;=Eingaben!$B$21,B2044&lt;Eingaben!$B$22),OR(B2044&gt;=Eingaben!$B$21,B2044&lt;Eingaben!$B$22)),"GO",IF(AND(ISNUMBER(Eingaben!$B$23),ISNUMBER(Eingaben!$B$24),IF(Eingaben!$B$23&lt;Eingaben!$B$24,AND(B2044&gt;=Eingaben!$B$23,B2044&lt;Eingaben!$B$24),OR(B2044&gt;=Eingaben!$B$23,B2044&lt;Eingaben!$B$24))),"HEAT","STANDARD"))</f>
        <v>STANDARD</v>
      </c>
      <c r="E2044" s="9"/>
      <c r="F2044" t="str">
        <f>IF(E2044="",D2044,E2044)</f>
        <v>STANDARD</v>
      </c>
      <c r="G2044" t="str">
        <f>INDEX(Netzzeiten!$B$6:$B$29,HOUR(B2044)+1)</f>
        <v>NT</v>
      </c>
      <c r="H2044" s="6">
        <f>IF(F2044="GO",Eingaben!$B$11,IF(F2044="STANDARD",Eingaben!$B$12,IF(AND(F2044="HEAT",ISNUMBER(Eingaben!$B$13)),Eingaben!$B$13,"")))</f>
        <v>28.2744</v>
      </c>
      <c r="I2044" s="6">
        <f>INDEX(Netzzeiten!$C$6:$C$29,HOUR(B2044)+1)</f>
        <v>1.64</v>
      </c>
      <c r="J2044" t="str">
        <f>IF(C2044="","FEHLT",IF(NOT(ISNUMBER(C2044)),"MESSWERT UNGUELTIG",IF(C2044&lt;0,"MESSWERT UNGUELTIG",IF(H2044="","TARIFPREIS FEHLT","OK"))))</f>
        <v>FEHLT</v>
      </c>
      <c r="K2044" s="7">
        <f>IF(J2044&lt;&gt;"OK","",C2044*I2044/100)</f>
        <v/>
      </c>
    </row>
    <row r="2045" spans="1:11">
      <c r="A2045" s="14">
        <v>46164</v>
      </c>
      <c r="B2045" s="15">
        <v>0.2395833333333333</v>
      </c>
      <c r="C2045" s="5">
        <f>IF('96 Werte'!Y27="","",'96 Werte'!Y27)</f>
        <v/>
      </c>
      <c r="D2045" t="str">
        <f>IF(IF(Eingaben!$B$21&lt;Eingaben!$B$22,AND(B2045&gt;=Eingaben!$B$21,B2045&lt;Eingaben!$B$22),OR(B2045&gt;=Eingaben!$B$21,B2045&lt;Eingaben!$B$22)),"GO",IF(AND(ISNUMBER(Eingaben!$B$23),ISNUMBER(Eingaben!$B$24),IF(Eingaben!$B$23&lt;Eingaben!$B$24,AND(B2045&gt;=Eingaben!$B$23,B2045&lt;Eingaben!$B$24),OR(B2045&gt;=Eingaben!$B$23,B2045&lt;Eingaben!$B$24))),"HEAT","STANDARD"))</f>
        <v>STANDARD</v>
      </c>
      <c r="E2045" s="9"/>
      <c r="F2045" t="str">
        <f>IF(E2045="",D2045,E2045)</f>
        <v>STANDARD</v>
      </c>
      <c r="G2045" t="str">
        <f>INDEX(Netzzeiten!$B$6:$B$29,HOUR(B2045)+1)</f>
        <v>NT</v>
      </c>
      <c r="H2045" s="6">
        <f>IF(F2045="GO",Eingaben!$B$11,IF(F2045="STANDARD",Eingaben!$B$12,IF(AND(F2045="HEAT",ISNUMBER(Eingaben!$B$13)),Eingaben!$B$13,"")))</f>
        <v>28.2744</v>
      </c>
      <c r="I2045" s="6">
        <f>INDEX(Netzzeiten!$C$6:$C$29,HOUR(B2045)+1)</f>
        <v>1.64</v>
      </c>
      <c r="J2045" t="str">
        <f>IF(C2045="","FEHLT",IF(NOT(ISNUMBER(C2045)),"MESSWERT UNGUELTIG",IF(C2045&lt;0,"MESSWERT UNGUELTIG",IF(H2045="","TARIFPREIS FEHLT","OK"))))</f>
        <v>FEHLT</v>
      </c>
      <c r="K2045" s="7">
        <f>IF(J2045&lt;&gt;"OK","",C2045*I2045/100)</f>
        <v/>
      </c>
    </row>
    <row r="2046" spans="1:11">
      <c r="A2046" s="14">
        <v>46164</v>
      </c>
      <c r="B2046" s="15">
        <v>0.25</v>
      </c>
      <c r="C2046" s="5">
        <f>IF('96 Werte'!Z27="","",'96 Werte'!Z27)</f>
        <v/>
      </c>
      <c r="D2046" t="str">
        <f>IF(IF(Eingaben!$B$21&lt;Eingaben!$B$22,AND(B2046&gt;=Eingaben!$B$21,B2046&lt;Eingaben!$B$22),OR(B2046&gt;=Eingaben!$B$21,B2046&lt;Eingaben!$B$22)),"GO",IF(AND(ISNUMBER(Eingaben!$B$23),ISNUMBER(Eingaben!$B$24),IF(Eingaben!$B$23&lt;Eingaben!$B$24,AND(B2046&gt;=Eingaben!$B$23,B2046&lt;Eingaben!$B$24),OR(B2046&gt;=Eingaben!$B$23,B2046&lt;Eingaben!$B$24))),"HEAT","STANDARD"))</f>
        <v>STANDARD</v>
      </c>
      <c r="E2046" s="9"/>
      <c r="F2046" t="str">
        <f>IF(E2046="",D2046,E2046)</f>
        <v>STANDARD</v>
      </c>
      <c r="G2046" t="str">
        <f>INDEX(Netzzeiten!$B$6:$B$29,HOUR(B2046)+1)</f>
        <v>ST</v>
      </c>
      <c r="H2046" s="6">
        <f>IF(F2046="GO",Eingaben!$B$11,IF(F2046="STANDARD",Eingaben!$B$12,IF(AND(F2046="HEAT",ISNUMBER(Eingaben!$B$13)),Eingaben!$B$13,"")))</f>
        <v>28.2744</v>
      </c>
      <c r="I2046" s="6">
        <f>INDEX(Netzzeiten!$C$6:$C$29,HOUR(B2046)+1)</f>
        <v>5.48</v>
      </c>
      <c r="J2046" t="str">
        <f>IF(C2046="","FEHLT",IF(NOT(ISNUMBER(C2046)),"MESSWERT UNGUELTIG",IF(C2046&lt;0,"MESSWERT UNGUELTIG",IF(H2046="","TARIFPREIS FEHLT","OK"))))</f>
        <v>FEHLT</v>
      </c>
      <c r="K2046" s="7">
        <f>IF(J2046&lt;&gt;"OK","",C2046*I2046/100)</f>
        <v/>
      </c>
    </row>
    <row r="2047" spans="1:11">
      <c r="A2047" s="14">
        <v>46164</v>
      </c>
      <c r="B2047" s="15">
        <v>0.2604166666666667</v>
      </c>
      <c r="C2047" s="5">
        <f>IF('96 Werte'!AA27="","",'96 Werte'!AA27)</f>
        <v/>
      </c>
      <c r="D2047" t="str">
        <f>IF(IF(Eingaben!$B$21&lt;Eingaben!$B$22,AND(B2047&gt;=Eingaben!$B$21,B2047&lt;Eingaben!$B$22),OR(B2047&gt;=Eingaben!$B$21,B2047&lt;Eingaben!$B$22)),"GO",IF(AND(ISNUMBER(Eingaben!$B$23),ISNUMBER(Eingaben!$B$24),IF(Eingaben!$B$23&lt;Eingaben!$B$24,AND(B2047&gt;=Eingaben!$B$23,B2047&lt;Eingaben!$B$24),OR(B2047&gt;=Eingaben!$B$23,B2047&lt;Eingaben!$B$24))),"HEAT","STANDARD"))</f>
        <v>STANDARD</v>
      </c>
      <c r="E2047" s="9"/>
      <c r="F2047" t="str">
        <f>IF(E2047="",D2047,E2047)</f>
        <v>STANDARD</v>
      </c>
      <c r="G2047" t="str">
        <f>INDEX(Netzzeiten!$B$6:$B$29,HOUR(B2047)+1)</f>
        <v>ST</v>
      </c>
      <c r="H2047" s="6">
        <f>IF(F2047="GO",Eingaben!$B$11,IF(F2047="STANDARD",Eingaben!$B$12,IF(AND(F2047="HEAT",ISNUMBER(Eingaben!$B$13)),Eingaben!$B$13,"")))</f>
        <v>28.2744</v>
      </c>
      <c r="I2047" s="6">
        <f>INDEX(Netzzeiten!$C$6:$C$29,HOUR(B2047)+1)</f>
        <v>5.48</v>
      </c>
      <c r="J2047" t="str">
        <f>IF(C2047="","FEHLT",IF(NOT(ISNUMBER(C2047)),"MESSWERT UNGUELTIG",IF(C2047&lt;0,"MESSWERT UNGUELTIG",IF(H2047="","TARIFPREIS FEHLT","OK"))))</f>
        <v>FEHLT</v>
      </c>
      <c r="K2047" s="7">
        <f>IF(J2047&lt;&gt;"OK","",C2047*I2047/100)</f>
        <v/>
      </c>
    </row>
    <row r="2048" spans="1:11">
      <c r="A2048" s="14">
        <v>46164</v>
      </c>
      <c r="B2048" s="15">
        <v>0.2708333333333333</v>
      </c>
      <c r="C2048" s="5">
        <f>IF('96 Werte'!AB27="","",'96 Werte'!AB27)</f>
        <v/>
      </c>
      <c r="D2048" t="str">
        <f>IF(IF(Eingaben!$B$21&lt;Eingaben!$B$22,AND(B2048&gt;=Eingaben!$B$21,B2048&lt;Eingaben!$B$22),OR(B2048&gt;=Eingaben!$B$21,B2048&lt;Eingaben!$B$22)),"GO",IF(AND(ISNUMBER(Eingaben!$B$23),ISNUMBER(Eingaben!$B$24),IF(Eingaben!$B$23&lt;Eingaben!$B$24,AND(B2048&gt;=Eingaben!$B$23,B2048&lt;Eingaben!$B$24),OR(B2048&gt;=Eingaben!$B$23,B2048&lt;Eingaben!$B$24))),"HEAT","STANDARD"))</f>
        <v>STANDARD</v>
      </c>
      <c r="E2048" s="9"/>
      <c r="F2048" t="str">
        <f>IF(E2048="",D2048,E2048)</f>
        <v>STANDARD</v>
      </c>
      <c r="G2048" t="str">
        <f>INDEX(Netzzeiten!$B$6:$B$29,HOUR(B2048)+1)</f>
        <v>ST</v>
      </c>
      <c r="H2048" s="6">
        <f>IF(F2048="GO",Eingaben!$B$11,IF(F2048="STANDARD",Eingaben!$B$12,IF(AND(F2048="HEAT",ISNUMBER(Eingaben!$B$13)),Eingaben!$B$13,"")))</f>
        <v>28.2744</v>
      </c>
      <c r="I2048" s="6">
        <f>INDEX(Netzzeiten!$C$6:$C$29,HOUR(B2048)+1)</f>
        <v>5.48</v>
      </c>
      <c r="J2048" t="str">
        <f>IF(C2048="","FEHLT",IF(NOT(ISNUMBER(C2048)),"MESSWERT UNGUELTIG",IF(C2048&lt;0,"MESSWERT UNGUELTIG",IF(H2048="","TARIFPREIS FEHLT","OK"))))</f>
        <v>FEHLT</v>
      </c>
      <c r="K2048" s="7">
        <f>IF(J2048&lt;&gt;"OK","",C2048*I2048/100)</f>
        <v/>
      </c>
    </row>
    <row r="2049" spans="1:11">
      <c r="A2049" s="14">
        <v>46164</v>
      </c>
      <c r="B2049" s="15">
        <v>0.28125</v>
      </c>
      <c r="C2049" s="5">
        <f>IF('96 Werte'!AC27="","",'96 Werte'!AC27)</f>
        <v/>
      </c>
      <c r="D2049" t="str">
        <f>IF(IF(Eingaben!$B$21&lt;Eingaben!$B$22,AND(B2049&gt;=Eingaben!$B$21,B2049&lt;Eingaben!$B$22),OR(B2049&gt;=Eingaben!$B$21,B2049&lt;Eingaben!$B$22)),"GO",IF(AND(ISNUMBER(Eingaben!$B$23),ISNUMBER(Eingaben!$B$24),IF(Eingaben!$B$23&lt;Eingaben!$B$24,AND(B2049&gt;=Eingaben!$B$23,B2049&lt;Eingaben!$B$24),OR(B2049&gt;=Eingaben!$B$23,B2049&lt;Eingaben!$B$24))),"HEAT","STANDARD"))</f>
        <v>STANDARD</v>
      </c>
      <c r="E2049" s="9"/>
      <c r="F2049" t="str">
        <f>IF(E2049="",D2049,E2049)</f>
        <v>STANDARD</v>
      </c>
      <c r="G2049" t="str">
        <f>INDEX(Netzzeiten!$B$6:$B$29,HOUR(B2049)+1)</f>
        <v>ST</v>
      </c>
      <c r="H2049" s="6">
        <f>IF(F2049="GO",Eingaben!$B$11,IF(F2049="STANDARD",Eingaben!$B$12,IF(AND(F2049="HEAT",ISNUMBER(Eingaben!$B$13)),Eingaben!$B$13,"")))</f>
        <v>28.2744</v>
      </c>
      <c r="I2049" s="6">
        <f>INDEX(Netzzeiten!$C$6:$C$29,HOUR(B2049)+1)</f>
        <v>5.48</v>
      </c>
      <c r="J2049" t="str">
        <f>IF(C2049="","FEHLT",IF(NOT(ISNUMBER(C2049)),"MESSWERT UNGUELTIG",IF(C2049&lt;0,"MESSWERT UNGUELTIG",IF(H2049="","TARIFPREIS FEHLT","OK"))))</f>
        <v>FEHLT</v>
      </c>
      <c r="K2049" s="7">
        <f>IF(J2049&lt;&gt;"OK","",C2049*I2049/100)</f>
        <v/>
      </c>
    </row>
    <row r="2050" spans="1:11">
      <c r="A2050" s="14">
        <v>46164</v>
      </c>
      <c r="B2050" s="15">
        <v>0.2916666666666667</v>
      </c>
      <c r="C2050" s="5">
        <f>IF('96 Werte'!AD27="","",'96 Werte'!AD27)</f>
        <v/>
      </c>
      <c r="D2050" t="str">
        <f>IF(IF(Eingaben!$B$21&lt;Eingaben!$B$22,AND(B2050&gt;=Eingaben!$B$21,B2050&lt;Eingaben!$B$22),OR(B2050&gt;=Eingaben!$B$21,B2050&lt;Eingaben!$B$22)),"GO",IF(AND(ISNUMBER(Eingaben!$B$23),ISNUMBER(Eingaben!$B$24),IF(Eingaben!$B$23&lt;Eingaben!$B$24,AND(B2050&gt;=Eingaben!$B$23,B2050&lt;Eingaben!$B$24),OR(B2050&gt;=Eingaben!$B$23,B2050&lt;Eingaben!$B$24))),"HEAT","STANDARD"))</f>
        <v>STANDARD</v>
      </c>
      <c r="E2050" s="9"/>
      <c r="F2050" t="str">
        <f>IF(E2050="",D2050,E2050)</f>
        <v>STANDARD</v>
      </c>
      <c r="G2050" t="str">
        <f>INDEX(Netzzeiten!$B$6:$B$29,HOUR(B2050)+1)</f>
        <v>ST</v>
      </c>
      <c r="H2050" s="6">
        <f>IF(F2050="GO",Eingaben!$B$11,IF(F2050="STANDARD",Eingaben!$B$12,IF(AND(F2050="HEAT",ISNUMBER(Eingaben!$B$13)),Eingaben!$B$13,"")))</f>
        <v>28.2744</v>
      </c>
      <c r="I2050" s="6">
        <f>INDEX(Netzzeiten!$C$6:$C$29,HOUR(B2050)+1)</f>
        <v>5.48</v>
      </c>
      <c r="J2050" t="str">
        <f>IF(C2050="","FEHLT",IF(NOT(ISNUMBER(C2050)),"MESSWERT UNGUELTIG",IF(C2050&lt;0,"MESSWERT UNGUELTIG",IF(H2050="","TARIFPREIS FEHLT","OK"))))</f>
        <v>FEHLT</v>
      </c>
      <c r="K2050" s="7">
        <f>IF(J2050&lt;&gt;"OK","",C2050*I2050/100)</f>
        <v/>
      </c>
    </row>
    <row r="2051" spans="1:11">
      <c r="A2051" s="14">
        <v>46164</v>
      </c>
      <c r="B2051" s="15">
        <v>0.3020833333333333</v>
      </c>
      <c r="C2051" s="5">
        <f>IF('96 Werte'!AE27="","",'96 Werte'!AE27)</f>
        <v/>
      </c>
      <c r="D2051" t="str">
        <f>IF(IF(Eingaben!$B$21&lt;Eingaben!$B$22,AND(B2051&gt;=Eingaben!$B$21,B2051&lt;Eingaben!$B$22),OR(B2051&gt;=Eingaben!$B$21,B2051&lt;Eingaben!$B$22)),"GO",IF(AND(ISNUMBER(Eingaben!$B$23),ISNUMBER(Eingaben!$B$24),IF(Eingaben!$B$23&lt;Eingaben!$B$24,AND(B2051&gt;=Eingaben!$B$23,B2051&lt;Eingaben!$B$24),OR(B2051&gt;=Eingaben!$B$23,B2051&lt;Eingaben!$B$24))),"HEAT","STANDARD"))</f>
        <v>STANDARD</v>
      </c>
      <c r="E2051" s="9"/>
      <c r="F2051" t="str">
        <f>IF(E2051="",D2051,E2051)</f>
        <v>STANDARD</v>
      </c>
      <c r="G2051" t="str">
        <f>INDEX(Netzzeiten!$B$6:$B$29,HOUR(B2051)+1)</f>
        <v>ST</v>
      </c>
      <c r="H2051" s="6">
        <f>IF(F2051="GO",Eingaben!$B$11,IF(F2051="STANDARD",Eingaben!$B$12,IF(AND(F2051="HEAT",ISNUMBER(Eingaben!$B$13)),Eingaben!$B$13,"")))</f>
        <v>28.2744</v>
      </c>
      <c r="I2051" s="6">
        <f>INDEX(Netzzeiten!$C$6:$C$29,HOUR(B2051)+1)</f>
        <v>5.48</v>
      </c>
      <c r="J2051" t="str">
        <f>IF(C2051="","FEHLT",IF(NOT(ISNUMBER(C2051)),"MESSWERT UNGUELTIG",IF(C2051&lt;0,"MESSWERT UNGUELTIG",IF(H2051="","TARIFPREIS FEHLT","OK"))))</f>
        <v>FEHLT</v>
      </c>
      <c r="K2051" s="7">
        <f>IF(J2051&lt;&gt;"OK","",C2051*I2051/100)</f>
        <v/>
      </c>
    </row>
    <row r="2052" spans="1:11">
      <c r="A2052" s="14">
        <v>46164</v>
      </c>
      <c r="B2052" s="15">
        <v>0.3125</v>
      </c>
      <c r="C2052" s="5">
        <f>IF('96 Werte'!AF27="","",'96 Werte'!AF27)</f>
        <v/>
      </c>
      <c r="D2052" t="str">
        <f>IF(IF(Eingaben!$B$21&lt;Eingaben!$B$22,AND(B2052&gt;=Eingaben!$B$21,B2052&lt;Eingaben!$B$22),OR(B2052&gt;=Eingaben!$B$21,B2052&lt;Eingaben!$B$22)),"GO",IF(AND(ISNUMBER(Eingaben!$B$23),ISNUMBER(Eingaben!$B$24),IF(Eingaben!$B$23&lt;Eingaben!$B$24,AND(B2052&gt;=Eingaben!$B$23,B2052&lt;Eingaben!$B$24),OR(B2052&gt;=Eingaben!$B$23,B2052&lt;Eingaben!$B$24))),"HEAT","STANDARD"))</f>
        <v>STANDARD</v>
      </c>
      <c r="E2052" s="9"/>
      <c r="F2052" t="str">
        <f>IF(E2052="",D2052,E2052)</f>
        <v>STANDARD</v>
      </c>
      <c r="G2052" t="str">
        <f>INDEX(Netzzeiten!$B$6:$B$29,HOUR(B2052)+1)</f>
        <v>ST</v>
      </c>
      <c r="H2052" s="6">
        <f>IF(F2052="GO",Eingaben!$B$11,IF(F2052="STANDARD",Eingaben!$B$12,IF(AND(F2052="HEAT",ISNUMBER(Eingaben!$B$13)),Eingaben!$B$13,"")))</f>
        <v>28.2744</v>
      </c>
      <c r="I2052" s="6">
        <f>INDEX(Netzzeiten!$C$6:$C$29,HOUR(B2052)+1)</f>
        <v>5.48</v>
      </c>
      <c r="J2052" t="str">
        <f>IF(C2052="","FEHLT",IF(NOT(ISNUMBER(C2052)),"MESSWERT UNGUELTIG",IF(C2052&lt;0,"MESSWERT UNGUELTIG",IF(H2052="","TARIFPREIS FEHLT","OK"))))</f>
        <v>FEHLT</v>
      </c>
      <c r="K2052" s="7">
        <f>IF(J2052&lt;&gt;"OK","",C2052*I2052/100)</f>
        <v/>
      </c>
    </row>
    <row r="2053" spans="1:11">
      <c r="A2053" s="14">
        <v>46164</v>
      </c>
      <c r="B2053" s="15">
        <v>0.3229166666666667</v>
      </c>
      <c r="C2053" s="5">
        <f>IF('96 Werte'!AG27="","",'96 Werte'!AG27)</f>
        <v/>
      </c>
      <c r="D2053" t="str">
        <f>IF(IF(Eingaben!$B$21&lt;Eingaben!$B$22,AND(B2053&gt;=Eingaben!$B$21,B2053&lt;Eingaben!$B$22),OR(B2053&gt;=Eingaben!$B$21,B2053&lt;Eingaben!$B$22)),"GO",IF(AND(ISNUMBER(Eingaben!$B$23),ISNUMBER(Eingaben!$B$24),IF(Eingaben!$B$23&lt;Eingaben!$B$24,AND(B2053&gt;=Eingaben!$B$23,B2053&lt;Eingaben!$B$24),OR(B2053&gt;=Eingaben!$B$23,B2053&lt;Eingaben!$B$24))),"HEAT","STANDARD"))</f>
        <v>STANDARD</v>
      </c>
      <c r="E2053" s="9"/>
      <c r="F2053" t="str">
        <f>IF(E2053="",D2053,E2053)</f>
        <v>STANDARD</v>
      </c>
      <c r="G2053" t="str">
        <f>INDEX(Netzzeiten!$B$6:$B$29,HOUR(B2053)+1)</f>
        <v>ST</v>
      </c>
      <c r="H2053" s="6">
        <f>IF(F2053="GO",Eingaben!$B$11,IF(F2053="STANDARD",Eingaben!$B$12,IF(AND(F2053="HEAT",ISNUMBER(Eingaben!$B$13)),Eingaben!$B$13,"")))</f>
        <v>28.2744</v>
      </c>
      <c r="I2053" s="6">
        <f>INDEX(Netzzeiten!$C$6:$C$29,HOUR(B2053)+1)</f>
        <v>5.48</v>
      </c>
      <c r="J2053" t="str">
        <f>IF(C2053="","FEHLT",IF(NOT(ISNUMBER(C2053)),"MESSWERT UNGUELTIG",IF(C2053&lt;0,"MESSWERT UNGUELTIG",IF(H2053="","TARIFPREIS FEHLT","OK"))))</f>
        <v>FEHLT</v>
      </c>
      <c r="K2053" s="7">
        <f>IF(J2053&lt;&gt;"OK","",C2053*I2053/100)</f>
        <v/>
      </c>
    </row>
    <row r="2054" spans="1:11">
      <c r="A2054" s="14">
        <v>46164</v>
      </c>
      <c r="B2054" s="15">
        <v>0.3333333333333333</v>
      </c>
      <c r="C2054" s="5">
        <f>IF('96 Werte'!AH27="","",'96 Werte'!AH27)</f>
        <v/>
      </c>
      <c r="D2054" t="str">
        <f>IF(IF(Eingaben!$B$21&lt;Eingaben!$B$22,AND(B2054&gt;=Eingaben!$B$21,B2054&lt;Eingaben!$B$22),OR(B2054&gt;=Eingaben!$B$21,B2054&lt;Eingaben!$B$22)),"GO",IF(AND(ISNUMBER(Eingaben!$B$23),ISNUMBER(Eingaben!$B$24),IF(Eingaben!$B$23&lt;Eingaben!$B$24,AND(B2054&gt;=Eingaben!$B$23,B2054&lt;Eingaben!$B$24),OR(B2054&gt;=Eingaben!$B$23,B2054&lt;Eingaben!$B$24))),"HEAT","STANDARD"))</f>
        <v>STANDARD</v>
      </c>
      <c r="E2054" s="9"/>
      <c r="F2054" t="str">
        <f>IF(E2054="",D2054,E2054)</f>
        <v>STANDARD</v>
      </c>
      <c r="G2054" t="str">
        <f>INDEX(Netzzeiten!$B$6:$B$29,HOUR(B2054)+1)</f>
        <v>ST</v>
      </c>
      <c r="H2054" s="6">
        <f>IF(F2054="GO",Eingaben!$B$11,IF(F2054="STANDARD",Eingaben!$B$12,IF(AND(F2054="HEAT",ISNUMBER(Eingaben!$B$13)),Eingaben!$B$13,"")))</f>
        <v>28.2744</v>
      </c>
      <c r="I2054" s="6">
        <f>INDEX(Netzzeiten!$C$6:$C$29,HOUR(B2054)+1)</f>
        <v>5.48</v>
      </c>
      <c r="J2054" t="str">
        <f>IF(C2054="","FEHLT",IF(NOT(ISNUMBER(C2054)),"MESSWERT UNGUELTIG",IF(C2054&lt;0,"MESSWERT UNGUELTIG",IF(H2054="","TARIFPREIS FEHLT","OK"))))</f>
        <v>FEHLT</v>
      </c>
      <c r="K2054" s="7">
        <f>IF(J2054&lt;&gt;"OK","",C2054*I2054/100)</f>
        <v/>
      </c>
    </row>
    <row r="2055" spans="1:11">
      <c r="A2055" s="14">
        <v>46164</v>
      </c>
      <c r="B2055" s="15">
        <v>0.34375</v>
      </c>
      <c r="C2055" s="5">
        <f>IF('96 Werte'!AI27="","",'96 Werte'!AI27)</f>
        <v/>
      </c>
      <c r="D2055" t="str">
        <f>IF(IF(Eingaben!$B$21&lt;Eingaben!$B$22,AND(B2055&gt;=Eingaben!$B$21,B2055&lt;Eingaben!$B$22),OR(B2055&gt;=Eingaben!$B$21,B2055&lt;Eingaben!$B$22)),"GO",IF(AND(ISNUMBER(Eingaben!$B$23),ISNUMBER(Eingaben!$B$24),IF(Eingaben!$B$23&lt;Eingaben!$B$24,AND(B2055&gt;=Eingaben!$B$23,B2055&lt;Eingaben!$B$24),OR(B2055&gt;=Eingaben!$B$23,B2055&lt;Eingaben!$B$24))),"HEAT","STANDARD"))</f>
        <v>STANDARD</v>
      </c>
      <c r="E2055" s="9"/>
      <c r="F2055" t="str">
        <f>IF(E2055="",D2055,E2055)</f>
        <v>STANDARD</v>
      </c>
      <c r="G2055" t="str">
        <f>INDEX(Netzzeiten!$B$6:$B$29,HOUR(B2055)+1)</f>
        <v>ST</v>
      </c>
      <c r="H2055" s="6">
        <f>IF(F2055="GO",Eingaben!$B$11,IF(F2055="STANDARD",Eingaben!$B$12,IF(AND(F2055="HEAT",ISNUMBER(Eingaben!$B$13)),Eingaben!$B$13,"")))</f>
        <v>28.2744</v>
      </c>
      <c r="I2055" s="6">
        <f>INDEX(Netzzeiten!$C$6:$C$29,HOUR(B2055)+1)</f>
        <v>5.48</v>
      </c>
      <c r="J2055" t="str">
        <f>IF(C2055="","FEHLT",IF(NOT(ISNUMBER(C2055)),"MESSWERT UNGUELTIG",IF(C2055&lt;0,"MESSWERT UNGUELTIG",IF(H2055="","TARIFPREIS FEHLT","OK"))))</f>
        <v>FEHLT</v>
      </c>
      <c r="K2055" s="7">
        <f>IF(J2055&lt;&gt;"OK","",C2055*I2055/100)</f>
        <v/>
      </c>
    </row>
    <row r="2056" spans="1:11">
      <c r="A2056" s="14">
        <v>46164</v>
      </c>
      <c r="B2056" s="15">
        <v>0.3541666666666667</v>
      </c>
      <c r="C2056" s="5">
        <f>IF('96 Werte'!AJ27="","",'96 Werte'!AJ27)</f>
        <v/>
      </c>
      <c r="D2056" t="str">
        <f>IF(IF(Eingaben!$B$21&lt;Eingaben!$B$22,AND(B2056&gt;=Eingaben!$B$21,B2056&lt;Eingaben!$B$22),OR(B2056&gt;=Eingaben!$B$21,B2056&lt;Eingaben!$B$22)),"GO",IF(AND(ISNUMBER(Eingaben!$B$23),ISNUMBER(Eingaben!$B$24),IF(Eingaben!$B$23&lt;Eingaben!$B$24,AND(B2056&gt;=Eingaben!$B$23,B2056&lt;Eingaben!$B$24),OR(B2056&gt;=Eingaben!$B$23,B2056&lt;Eingaben!$B$24))),"HEAT","STANDARD"))</f>
        <v>STANDARD</v>
      </c>
      <c r="E2056" s="9"/>
      <c r="F2056" t="str">
        <f>IF(E2056="",D2056,E2056)</f>
        <v>STANDARD</v>
      </c>
      <c r="G2056" t="str">
        <f>INDEX(Netzzeiten!$B$6:$B$29,HOUR(B2056)+1)</f>
        <v>ST</v>
      </c>
      <c r="H2056" s="6">
        <f>IF(F2056="GO",Eingaben!$B$11,IF(F2056="STANDARD",Eingaben!$B$12,IF(AND(F2056="HEAT",ISNUMBER(Eingaben!$B$13)),Eingaben!$B$13,"")))</f>
        <v>28.2744</v>
      </c>
      <c r="I2056" s="6">
        <f>INDEX(Netzzeiten!$C$6:$C$29,HOUR(B2056)+1)</f>
        <v>5.48</v>
      </c>
      <c r="J2056" t="str">
        <f>IF(C2056="","FEHLT",IF(NOT(ISNUMBER(C2056)),"MESSWERT UNGUELTIG",IF(C2056&lt;0,"MESSWERT UNGUELTIG",IF(H2056="","TARIFPREIS FEHLT","OK"))))</f>
        <v>FEHLT</v>
      </c>
      <c r="K2056" s="7">
        <f>IF(J2056&lt;&gt;"OK","",C2056*I2056/100)</f>
        <v/>
      </c>
    </row>
    <row r="2057" spans="1:11">
      <c r="A2057" s="14">
        <v>46164</v>
      </c>
      <c r="B2057" s="15">
        <v>0.3645833333333333</v>
      </c>
      <c r="C2057" s="5">
        <f>IF('96 Werte'!AK27="","",'96 Werte'!AK27)</f>
        <v/>
      </c>
      <c r="D2057" t="str">
        <f>IF(IF(Eingaben!$B$21&lt;Eingaben!$B$22,AND(B2057&gt;=Eingaben!$B$21,B2057&lt;Eingaben!$B$22),OR(B2057&gt;=Eingaben!$B$21,B2057&lt;Eingaben!$B$22)),"GO",IF(AND(ISNUMBER(Eingaben!$B$23),ISNUMBER(Eingaben!$B$24),IF(Eingaben!$B$23&lt;Eingaben!$B$24,AND(B2057&gt;=Eingaben!$B$23,B2057&lt;Eingaben!$B$24),OR(B2057&gt;=Eingaben!$B$23,B2057&lt;Eingaben!$B$24))),"HEAT","STANDARD"))</f>
        <v>STANDARD</v>
      </c>
      <c r="E2057" s="9"/>
      <c r="F2057" t="str">
        <f>IF(E2057="",D2057,E2057)</f>
        <v>STANDARD</v>
      </c>
      <c r="G2057" t="str">
        <f>INDEX(Netzzeiten!$B$6:$B$29,HOUR(B2057)+1)</f>
        <v>ST</v>
      </c>
      <c r="H2057" s="6">
        <f>IF(F2057="GO",Eingaben!$B$11,IF(F2057="STANDARD",Eingaben!$B$12,IF(AND(F2057="HEAT",ISNUMBER(Eingaben!$B$13)),Eingaben!$B$13,"")))</f>
        <v>28.2744</v>
      </c>
      <c r="I2057" s="6">
        <f>INDEX(Netzzeiten!$C$6:$C$29,HOUR(B2057)+1)</f>
        <v>5.48</v>
      </c>
      <c r="J2057" t="str">
        <f>IF(C2057="","FEHLT",IF(NOT(ISNUMBER(C2057)),"MESSWERT UNGUELTIG",IF(C2057&lt;0,"MESSWERT UNGUELTIG",IF(H2057="","TARIFPREIS FEHLT","OK"))))</f>
        <v>FEHLT</v>
      </c>
      <c r="K2057" s="7">
        <f>IF(J2057&lt;&gt;"OK","",C2057*I2057/100)</f>
        <v/>
      </c>
    </row>
    <row r="2058" spans="1:11">
      <c r="A2058" s="14">
        <v>46164</v>
      </c>
      <c r="B2058" s="15">
        <v>0.375</v>
      </c>
      <c r="C2058" s="5">
        <f>IF('96 Werte'!AL27="","",'96 Werte'!AL27)</f>
        <v/>
      </c>
      <c r="D2058" t="str">
        <f>IF(IF(Eingaben!$B$21&lt;Eingaben!$B$22,AND(B2058&gt;=Eingaben!$B$21,B2058&lt;Eingaben!$B$22),OR(B2058&gt;=Eingaben!$B$21,B2058&lt;Eingaben!$B$22)),"GO",IF(AND(ISNUMBER(Eingaben!$B$23),ISNUMBER(Eingaben!$B$24),IF(Eingaben!$B$23&lt;Eingaben!$B$24,AND(B2058&gt;=Eingaben!$B$23,B2058&lt;Eingaben!$B$24),OR(B2058&gt;=Eingaben!$B$23,B2058&lt;Eingaben!$B$24))),"HEAT","STANDARD"))</f>
        <v>STANDARD</v>
      </c>
      <c r="E2058" s="9"/>
      <c r="F2058" t="str">
        <f>IF(E2058="",D2058,E2058)</f>
        <v>STANDARD</v>
      </c>
      <c r="G2058" t="str">
        <f>INDEX(Netzzeiten!$B$6:$B$29,HOUR(B2058)+1)</f>
        <v>ST</v>
      </c>
      <c r="H2058" s="6">
        <f>IF(F2058="GO",Eingaben!$B$11,IF(F2058="STANDARD",Eingaben!$B$12,IF(AND(F2058="HEAT",ISNUMBER(Eingaben!$B$13)),Eingaben!$B$13,"")))</f>
        <v>28.2744</v>
      </c>
      <c r="I2058" s="6">
        <f>INDEX(Netzzeiten!$C$6:$C$29,HOUR(B2058)+1)</f>
        <v>5.48</v>
      </c>
      <c r="J2058" t="str">
        <f>IF(C2058="","FEHLT",IF(NOT(ISNUMBER(C2058)),"MESSWERT UNGUELTIG",IF(C2058&lt;0,"MESSWERT UNGUELTIG",IF(H2058="","TARIFPREIS FEHLT","OK"))))</f>
        <v>FEHLT</v>
      </c>
      <c r="K2058" s="7">
        <f>IF(J2058&lt;&gt;"OK","",C2058*I2058/100)</f>
        <v/>
      </c>
    </row>
    <row r="2059" spans="1:11">
      <c r="A2059" s="14">
        <v>46164</v>
      </c>
      <c r="B2059" s="15">
        <v>0.3854166666666667</v>
      </c>
      <c r="C2059" s="5">
        <f>IF('96 Werte'!AM27="","",'96 Werte'!AM27)</f>
        <v/>
      </c>
      <c r="D2059" t="str">
        <f>IF(IF(Eingaben!$B$21&lt;Eingaben!$B$22,AND(B2059&gt;=Eingaben!$B$21,B2059&lt;Eingaben!$B$22),OR(B2059&gt;=Eingaben!$B$21,B2059&lt;Eingaben!$B$22)),"GO",IF(AND(ISNUMBER(Eingaben!$B$23),ISNUMBER(Eingaben!$B$24),IF(Eingaben!$B$23&lt;Eingaben!$B$24,AND(B2059&gt;=Eingaben!$B$23,B2059&lt;Eingaben!$B$24),OR(B2059&gt;=Eingaben!$B$23,B2059&lt;Eingaben!$B$24))),"HEAT","STANDARD"))</f>
        <v>STANDARD</v>
      </c>
      <c r="E2059" s="9"/>
      <c r="F2059" t="str">
        <f>IF(E2059="",D2059,E2059)</f>
        <v>STANDARD</v>
      </c>
      <c r="G2059" t="str">
        <f>INDEX(Netzzeiten!$B$6:$B$29,HOUR(B2059)+1)</f>
        <v>ST</v>
      </c>
      <c r="H2059" s="6">
        <f>IF(F2059="GO",Eingaben!$B$11,IF(F2059="STANDARD",Eingaben!$B$12,IF(AND(F2059="HEAT",ISNUMBER(Eingaben!$B$13)),Eingaben!$B$13,"")))</f>
        <v>28.2744</v>
      </c>
      <c r="I2059" s="6">
        <f>INDEX(Netzzeiten!$C$6:$C$29,HOUR(B2059)+1)</f>
        <v>5.48</v>
      </c>
      <c r="J2059" t="str">
        <f>IF(C2059="","FEHLT",IF(NOT(ISNUMBER(C2059)),"MESSWERT UNGUELTIG",IF(C2059&lt;0,"MESSWERT UNGUELTIG",IF(H2059="","TARIFPREIS FEHLT","OK"))))</f>
        <v>FEHLT</v>
      </c>
      <c r="K2059" s="7">
        <f>IF(J2059&lt;&gt;"OK","",C2059*I2059/100)</f>
        <v/>
      </c>
    </row>
    <row r="2060" spans="1:11">
      <c r="A2060" s="14">
        <v>46164</v>
      </c>
      <c r="B2060" s="15">
        <v>0.3958333333333333</v>
      </c>
      <c r="C2060" s="5">
        <f>IF('96 Werte'!AN27="","",'96 Werte'!AN27)</f>
        <v/>
      </c>
      <c r="D2060" t="str">
        <f>IF(IF(Eingaben!$B$21&lt;Eingaben!$B$22,AND(B2060&gt;=Eingaben!$B$21,B2060&lt;Eingaben!$B$22),OR(B2060&gt;=Eingaben!$B$21,B2060&lt;Eingaben!$B$22)),"GO",IF(AND(ISNUMBER(Eingaben!$B$23),ISNUMBER(Eingaben!$B$24),IF(Eingaben!$B$23&lt;Eingaben!$B$24,AND(B2060&gt;=Eingaben!$B$23,B2060&lt;Eingaben!$B$24),OR(B2060&gt;=Eingaben!$B$23,B2060&lt;Eingaben!$B$24))),"HEAT","STANDARD"))</f>
        <v>STANDARD</v>
      </c>
      <c r="E2060" s="9"/>
      <c r="F2060" t="str">
        <f>IF(E2060="",D2060,E2060)</f>
        <v>STANDARD</v>
      </c>
      <c r="G2060" t="str">
        <f>INDEX(Netzzeiten!$B$6:$B$29,HOUR(B2060)+1)</f>
        <v>ST</v>
      </c>
      <c r="H2060" s="6">
        <f>IF(F2060="GO",Eingaben!$B$11,IF(F2060="STANDARD",Eingaben!$B$12,IF(AND(F2060="HEAT",ISNUMBER(Eingaben!$B$13)),Eingaben!$B$13,"")))</f>
        <v>28.2744</v>
      </c>
      <c r="I2060" s="6">
        <f>INDEX(Netzzeiten!$C$6:$C$29,HOUR(B2060)+1)</f>
        <v>5.48</v>
      </c>
      <c r="J2060" t="str">
        <f>IF(C2060="","FEHLT",IF(NOT(ISNUMBER(C2060)),"MESSWERT UNGUELTIG",IF(C2060&lt;0,"MESSWERT UNGUELTIG",IF(H2060="","TARIFPREIS FEHLT","OK"))))</f>
        <v>FEHLT</v>
      </c>
      <c r="K2060" s="7">
        <f>IF(J2060&lt;&gt;"OK","",C2060*I2060/100)</f>
        <v/>
      </c>
    </row>
    <row r="2061" spans="1:11">
      <c r="A2061" s="14">
        <v>46164</v>
      </c>
      <c r="B2061" s="15">
        <v>0.40625</v>
      </c>
      <c r="C2061" s="5">
        <f>IF('96 Werte'!AO27="","",'96 Werte'!AO27)</f>
        <v/>
      </c>
      <c r="D2061" t="str">
        <f>IF(IF(Eingaben!$B$21&lt;Eingaben!$B$22,AND(B2061&gt;=Eingaben!$B$21,B2061&lt;Eingaben!$B$22),OR(B2061&gt;=Eingaben!$B$21,B2061&lt;Eingaben!$B$22)),"GO",IF(AND(ISNUMBER(Eingaben!$B$23),ISNUMBER(Eingaben!$B$24),IF(Eingaben!$B$23&lt;Eingaben!$B$24,AND(B2061&gt;=Eingaben!$B$23,B2061&lt;Eingaben!$B$24),OR(B2061&gt;=Eingaben!$B$23,B2061&lt;Eingaben!$B$24))),"HEAT","STANDARD"))</f>
        <v>STANDARD</v>
      </c>
      <c r="E2061" s="9"/>
      <c r="F2061" t="str">
        <f>IF(E2061="",D2061,E2061)</f>
        <v>STANDARD</v>
      </c>
      <c r="G2061" t="str">
        <f>INDEX(Netzzeiten!$B$6:$B$29,HOUR(B2061)+1)</f>
        <v>ST</v>
      </c>
      <c r="H2061" s="6">
        <f>IF(F2061="GO",Eingaben!$B$11,IF(F2061="STANDARD",Eingaben!$B$12,IF(AND(F2061="HEAT",ISNUMBER(Eingaben!$B$13)),Eingaben!$B$13,"")))</f>
        <v>28.2744</v>
      </c>
      <c r="I2061" s="6">
        <f>INDEX(Netzzeiten!$C$6:$C$29,HOUR(B2061)+1)</f>
        <v>5.48</v>
      </c>
      <c r="J2061" t="str">
        <f>IF(C2061="","FEHLT",IF(NOT(ISNUMBER(C2061)),"MESSWERT UNGUELTIG",IF(C2061&lt;0,"MESSWERT UNGUELTIG",IF(H2061="","TARIFPREIS FEHLT","OK"))))</f>
        <v>FEHLT</v>
      </c>
      <c r="K2061" s="7">
        <f>IF(J2061&lt;&gt;"OK","",C2061*I2061/100)</f>
        <v/>
      </c>
    </row>
    <row r="2062" spans="1:11">
      <c r="A2062" s="14">
        <v>46164</v>
      </c>
      <c r="B2062" s="15">
        <v>0.4166666666666667</v>
      </c>
      <c r="C2062" s="5">
        <f>IF('96 Werte'!AP27="","",'96 Werte'!AP27)</f>
        <v/>
      </c>
      <c r="D2062" t="str">
        <f>IF(IF(Eingaben!$B$21&lt;Eingaben!$B$22,AND(B2062&gt;=Eingaben!$B$21,B2062&lt;Eingaben!$B$22),OR(B2062&gt;=Eingaben!$B$21,B2062&lt;Eingaben!$B$22)),"GO",IF(AND(ISNUMBER(Eingaben!$B$23),ISNUMBER(Eingaben!$B$24),IF(Eingaben!$B$23&lt;Eingaben!$B$24,AND(B2062&gt;=Eingaben!$B$23,B2062&lt;Eingaben!$B$24),OR(B2062&gt;=Eingaben!$B$23,B2062&lt;Eingaben!$B$24))),"HEAT","STANDARD"))</f>
        <v>STANDARD</v>
      </c>
      <c r="E2062" s="9"/>
      <c r="F2062" t="str">
        <f>IF(E2062="",D2062,E2062)</f>
        <v>STANDARD</v>
      </c>
      <c r="G2062" t="str">
        <f>INDEX(Netzzeiten!$B$6:$B$29,HOUR(B2062)+1)</f>
        <v>ST</v>
      </c>
      <c r="H2062" s="6">
        <f>IF(F2062="GO",Eingaben!$B$11,IF(F2062="STANDARD",Eingaben!$B$12,IF(AND(F2062="HEAT",ISNUMBER(Eingaben!$B$13)),Eingaben!$B$13,"")))</f>
        <v>28.2744</v>
      </c>
      <c r="I2062" s="6">
        <f>INDEX(Netzzeiten!$C$6:$C$29,HOUR(B2062)+1)</f>
        <v>5.48</v>
      </c>
      <c r="J2062" t="str">
        <f>IF(C2062="","FEHLT",IF(NOT(ISNUMBER(C2062)),"MESSWERT UNGUELTIG",IF(C2062&lt;0,"MESSWERT UNGUELTIG",IF(H2062="","TARIFPREIS FEHLT","OK"))))</f>
        <v>FEHLT</v>
      </c>
      <c r="K2062" s="7">
        <f>IF(J2062&lt;&gt;"OK","",C2062*I2062/100)</f>
        <v/>
      </c>
    </row>
    <row r="2063" spans="1:11">
      <c r="A2063" s="14">
        <v>46164</v>
      </c>
      <c r="B2063" s="15">
        <v>0.4270833333333333</v>
      </c>
      <c r="C2063" s="5">
        <f>IF('96 Werte'!AQ27="","",'96 Werte'!AQ27)</f>
        <v/>
      </c>
      <c r="D2063" t="str">
        <f>IF(IF(Eingaben!$B$21&lt;Eingaben!$B$22,AND(B2063&gt;=Eingaben!$B$21,B2063&lt;Eingaben!$B$22),OR(B2063&gt;=Eingaben!$B$21,B2063&lt;Eingaben!$B$22)),"GO",IF(AND(ISNUMBER(Eingaben!$B$23),ISNUMBER(Eingaben!$B$24),IF(Eingaben!$B$23&lt;Eingaben!$B$24,AND(B2063&gt;=Eingaben!$B$23,B2063&lt;Eingaben!$B$24),OR(B2063&gt;=Eingaben!$B$23,B2063&lt;Eingaben!$B$24))),"HEAT","STANDARD"))</f>
        <v>STANDARD</v>
      </c>
      <c r="E2063" s="9"/>
      <c r="F2063" t="str">
        <f>IF(E2063="",D2063,E2063)</f>
        <v>STANDARD</v>
      </c>
      <c r="G2063" t="str">
        <f>INDEX(Netzzeiten!$B$6:$B$29,HOUR(B2063)+1)</f>
        <v>ST</v>
      </c>
      <c r="H2063" s="6">
        <f>IF(F2063="GO",Eingaben!$B$11,IF(F2063="STANDARD",Eingaben!$B$12,IF(AND(F2063="HEAT",ISNUMBER(Eingaben!$B$13)),Eingaben!$B$13,"")))</f>
        <v>28.2744</v>
      </c>
      <c r="I2063" s="6">
        <f>INDEX(Netzzeiten!$C$6:$C$29,HOUR(B2063)+1)</f>
        <v>5.48</v>
      </c>
      <c r="J2063" t="str">
        <f>IF(C2063="","FEHLT",IF(NOT(ISNUMBER(C2063)),"MESSWERT UNGUELTIG",IF(C2063&lt;0,"MESSWERT UNGUELTIG",IF(H2063="","TARIFPREIS FEHLT","OK"))))</f>
        <v>FEHLT</v>
      </c>
      <c r="K2063" s="7">
        <f>IF(J2063&lt;&gt;"OK","",C2063*I2063/100)</f>
        <v/>
      </c>
    </row>
    <row r="2064" spans="1:11">
      <c r="A2064" s="14">
        <v>46164</v>
      </c>
      <c r="B2064" s="15">
        <v>0.4375</v>
      </c>
      <c r="C2064" s="5">
        <f>IF('96 Werte'!AR27="","",'96 Werte'!AR27)</f>
        <v/>
      </c>
      <c r="D2064" t="str">
        <f>IF(IF(Eingaben!$B$21&lt;Eingaben!$B$22,AND(B2064&gt;=Eingaben!$B$21,B2064&lt;Eingaben!$B$22),OR(B2064&gt;=Eingaben!$B$21,B2064&lt;Eingaben!$B$22)),"GO",IF(AND(ISNUMBER(Eingaben!$B$23),ISNUMBER(Eingaben!$B$24),IF(Eingaben!$B$23&lt;Eingaben!$B$24,AND(B2064&gt;=Eingaben!$B$23,B2064&lt;Eingaben!$B$24),OR(B2064&gt;=Eingaben!$B$23,B2064&lt;Eingaben!$B$24))),"HEAT","STANDARD"))</f>
        <v>STANDARD</v>
      </c>
      <c r="E2064" s="9"/>
      <c r="F2064" t="str">
        <f>IF(E2064="",D2064,E2064)</f>
        <v>STANDARD</v>
      </c>
      <c r="G2064" t="str">
        <f>INDEX(Netzzeiten!$B$6:$B$29,HOUR(B2064)+1)</f>
        <v>ST</v>
      </c>
      <c r="H2064" s="6">
        <f>IF(F2064="GO",Eingaben!$B$11,IF(F2064="STANDARD",Eingaben!$B$12,IF(AND(F2064="HEAT",ISNUMBER(Eingaben!$B$13)),Eingaben!$B$13,"")))</f>
        <v>28.2744</v>
      </c>
      <c r="I2064" s="6">
        <f>INDEX(Netzzeiten!$C$6:$C$29,HOUR(B2064)+1)</f>
        <v>5.48</v>
      </c>
      <c r="J2064" t="str">
        <f>IF(C2064="","FEHLT",IF(NOT(ISNUMBER(C2064)),"MESSWERT UNGUELTIG",IF(C2064&lt;0,"MESSWERT UNGUELTIG",IF(H2064="","TARIFPREIS FEHLT","OK"))))</f>
        <v>FEHLT</v>
      </c>
      <c r="K2064" s="7">
        <f>IF(J2064&lt;&gt;"OK","",C2064*I2064/100)</f>
        <v/>
      </c>
    </row>
    <row r="2065" spans="1:11">
      <c r="A2065" s="14">
        <v>46164</v>
      </c>
      <c r="B2065" s="15">
        <v>0.4479166666666667</v>
      </c>
      <c r="C2065" s="5">
        <f>IF('96 Werte'!AS27="","",'96 Werte'!AS27)</f>
        <v/>
      </c>
      <c r="D2065" t="str">
        <f>IF(IF(Eingaben!$B$21&lt;Eingaben!$B$22,AND(B2065&gt;=Eingaben!$B$21,B2065&lt;Eingaben!$B$22),OR(B2065&gt;=Eingaben!$B$21,B2065&lt;Eingaben!$B$22)),"GO",IF(AND(ISNUMBER(Eingaben!$B$23),ISNUMBER(Eingaben!$B$24),IF(Eingaben!$B$23&lt;Eingaben!$B$24,AND(B2065&gt;=Eingaben!$B$23,B2065&lt;Eingaben!$B$24),OR(B2065&gt;=Eingaben!$B$23,B2065&lt;Eingaben!$B$24))),"HEAT","STANDARD"))</f>
        <v>STANDARD</v>
      </c>
      <c r="E2065" s="9"/>
      <c r="F2065" t="str">
        <f>IF(E2065="",D2065,E2065)</f>
        <v>STANDARD</v>
      </c>
      <c r="G2065" t="str">
        <f>INDEX(Netzzeiten!$B$6:$B$29,HOUR(B2065)+1)</f>
        <v>ST</v>
      </c>
      <c r="H2065" s="6">
        <f>IF(F2065="GO",Eingaben!$B$11,IF(F2065="STANDARD",Eingaben!$B$12,IF(AND(F2065="HEAT",ISNUMBER(Eingaben!$B$13)),Eingaben!$B$13,"")))</f>
        <v>28.2744</v>
      </c>
      <c r="I2065" s="6">
        <f>INDEX(Netzzeiten!$C$6:$C$29,HOUR(B2065)+1)</f>
        <v>5.48</v>
      </c>
      <c r="J2065" t="str">
        <f>IF(C2065="","FEHLT",IF(NOT(ISNUMBER(C2065)),"MESSWERT UNGUELTIG",IF(C2065&lt;0,"MESSWERT UNGUELTIG",IF(H2065="","TARIFPREIS FEHLT","OK"))))</f>
        <v>FEHLT</v>
      </c>
      <c r="K2065" s="7">
        <f>IF(J2065&lt;&gt;"OK","",C2065*I2065/100)</f>
        <v/>
      </c>
    </row>
    <row r="2066" spans="1:11">
      <c r="A2066" s="14">
        <v>46164</v>
      </c>
      <c r="B2066" s="15">
        <v>0.4583333333333333</v>
      </c>
      <c r="C2066" s="5">
        <f>IF('96 Werte'!AT27="","",'96 Werte'!AT27)</f>
        <v/>
      </c>
      <c r="D2066" t="str">
        <f>IF(IF(Eingaben!$B$21&lt;Eingaben!$B$22,AND(B2066&gt;=Eingaben!$B$21,B2066&lt;Eingaben!$B$22),OR(B2066&gt;=Eingaben!$B$21,B2066&lt;Eingaben!$B$22)),"GO",IF(AND(ISNUMBER(Eingaben!$B$23),ISNUMBER(Eingaben!$B$24),IF(Eingaben!$B$23&lt;Eingaben!$B$24,AND(B2066&gt;=Eingaben!$B$23,B2066&lt;Eingaben!$B$24),OR(B2066&gt;=Eingaben!$B$23,B2066&lt;Eingaben!$B$24))),"HEAT","STANDARD"))</f>
        <v>STANDARD</v>
      </c>
      <c r="E2066" s="9"/>
      <c r="F2066" t="str">
        <f>IF(E2066="",D2066,E2066)</f>
        <v>STANDARD</v>
      </c>
      <c r="G2066" t="str">
        <f>INDEX(Netzzeiten!$B$6:$B$29,HOUR(B2066)+1)</f>
        <v>NT</v>
      </c>
      <c r="H2066" s="6">
        <f>IF(F2066="GO",Eingaben!$B$11,IF(F2066="STANDARD",Eingaben!$B$12,IF(AND(F2066="HEAT",ISNUMBER(Eingaben!$B$13)),Eingaben!$B$13,"")))</f>
        <v>28.2744</v>
      </c>
      <c r="I2066" s="6">
        <f>INDEX(Netzzeiten!$C$6:$C$29,HOUR(B2066)+1)</f>
        <v>1.64</v>
      </c>
      <c r="J2066" t="str">
        <f>IF(C2066="","FEHLT",IF(NOT(ISNUMBER(C2066)),"MESSWERT UNGUELTIG",IF(C2066&lt;0,"MESSWERT UNGUELTIG",IF(H2066="","TARIFPREIS FEHLT","OK"))))</f>
        <v>FEHLT</v>
      </c>
      <c r="K2066" s="7">
        <f>IF(J2066&lt;&gt;"OK","",C2066*I2066/100)</f>
        <v/>
      </c>
    </row>
    <row r="2067" spans="1:11">
      <c r="A2067" s="14">
        <v>46164</v>
      </c>
      <c r="B2067" s="15">
        <v>0.46875</v>
      </c>
      <c r="C2067" s="5">
        <f>IF('96 Werte'!AU27="","",'96 Werte'!AU27)</f>
        <v/>
      </c>
      <c r="D2067" t="str">
        <f>IF(IF(Eingaben!$B$21&lt;Eingaben!$B$22,AND(B2067&gt;=Eingaben!$B$21,B2067&lt;Eingaben!$B$22),OR(B2067&gt;=Eingaben!$B$21,B2067&lt;Eingaben!$B$22)),"GO",IF(AND(ISNUMBER(Eingaben!$B$23),ISNUMBER(Eingaben!$B$24),IF(Eingaben!$B$23&lt;Eingaben!$B$24,AND(B2067&gt;=Eingaben!$B$23,B2067&lt;Eingaben!$B$24),OR(B2067&gt;=Eingaben!$B$23,B2067&lt;Eingaben!$B$24))),"HEAT","STANDARD"))</f>
        <v>STANDARD</v>
      </c>
      <c r="E2067" s="9"/>
      <c r="F2067" t="str">
        <f>IF(E2067="",D2067,E2067)</f>
        <v>STANDARD</v>
      </c>
      <c r="G2067" t="str">
        <f>INDEX(Netzzeiten!$B$6:$B$29,HOUR(B2067)+1)</f>
        <v>NT</v>
      </c>
      <c r="H2067" s="6">
        <f>IF(F2067="GO",Eingaben!$B$11,IF(F2067="STANDARD",Eingaben!$B$12,IF(AND(F2067="HEAT",ISNUMBER(Eingaben!$B$13)),Eingaben!$B$13,"")))</f>
        <v>28.2744</v>
      </c>
      <c r="I2067" s="6">
        <f>INDEX(Netzzeiten!$C$6:$C$29,HOUR(B2067)+1)</f>
        <v>1.64</v>
      </c>
      <c r="J2067" t="str">
        <f>IF(C2067="","FEHLT",IF(NOT(ISNUMBER(C2067)),"MESSWERT UNGUELTIG",IF(C2067&lt;0,"MESSWERT UNGUELTIG",IF(H2067="","TARIFPREIS FEHLT","OK"))))</f>
        <v>FEHLT</v>
      </c>
      <c r="K2067" s="7">
        <f>IF(J2067&lt;&gt;"OK","",C2067*I2067/100)</f>
        <v/>
      </c>
    </row>
    <row r="2068" spans="1:11">
      <c r="A2068" s="14">
        <v>46164</v>
      </c>
      <c r="B2068" s="15">
        <v>0.4791666666666667</v>
      </c>
      <c r="C2068" s="5">
        <f>IF('96 Werte'!AV27="","",'96 Werte'!AV27)</f>
        <v/>
      </c>
      <c r="D2068" t="str">
        <f>IF(IF(Eingaben!$B$21&lt;Eingaben!$B$22,AND(B2068&gt;=Eingaben!$B$21,B2068&lt;Eingaben!$B$22),OR(B2068&gt;=Eingaben!$B$21,B2068&lt;Eingaben!$B$22)),"GO",IF(AND(ISNUMBER(Eingaben!$B$23),ISNUMBER(Eingaben!$B$24),IF(Eingaben!$B$23&lt;Eingaben!$B$24,AND(B2068&gt;=Eingaben!$B$23,B2068&lt;Eingaben!$B$24),OR(B2068&gt;=Eingaben!$B$23,B2068&lt;Eingaben!$B$24))),"HEAT","STANDARD"))</f>
        <v>STANDARD</v>
      </c>
      <c r="E2068" s="9"/>
      <c r="F2068" t="str">
        <f>IF(E2068="",D2068,E2068)</f>
        <v>STANDARD</v>
      </c>
      <c r="G2068" t="str">
        <f>INDEX(Netzzeiten!$B$6:$B$29,HOUR(B2068)+1)</f>
        <v>NT</v>
      </c>
      <c r="H2068" s="6">
        <f>IF(F2068="GO",Eingaben!$B$11,IF(F2068="STANDARD",Eingaben!$B$12,IF(AND(F2068="HEAT",ISNUMBER(Eingaben!$B$13)),Eingaben!$B$13,"")))</f>
        <v>28.2744</v>
      </c>
      <c r="I2068" s="6">
        <f>INDEX(Netzzeiten!$C$6:$C$29,HOUR(B2068)+1)</f>
        <v>1.64</v>
      </c>
      <c r="J2068" t="str">
        <f>IF(C2068="","FEHLT",IF(NOT(ISNUMBER(C2068)),"MESSWERT UNGUELTIG",IF(C2068&lt;0,"MESSWERT UNGUELTIG",IF(H2068="","TARIFPREIS FEHLT","OK"))))</f>
        <v>FEHLT</v>
      </c>
      <c r="K2068" s="7">
        <f>IF(J2068&lt;&gt;"OK","",C2068*I2068/100)</f>
        <v/>
      </c>
    </row>
    <row r="2069" spans="1:11">
      <c r="A2069" s="14">
        <v>46164</v>
      </c>
      <c r="B2069" s="15">
        <v>0.4895833333333333</v>
      </c>
      <c r="C2069" s="5">
        <f>IF('96 Werte'!AW27="","",'96 Werte'!AW27)</f>
        <v/>
      </c>
      <c r="D2069" t="str">
        <f>IF(IF(Eingaben!$B$21&lt;Eingaben!$B$22,AND(B2069&gt;=Eingaben!$B$21,B2069&lt;Eingaben!$B$22),OR(B2069&gt;=Eingaben!$B$21,B2069&lt;Eingaben!$B$22)),"GO",IF(AND(ISNUMBER(Eingaben!$B$23),ISNUMBER(Eingaben!$B$24),IF(Eingaben!$B$23&lt;Eingaben!$B$24,AND(B2069&gt;=Eingaben!$B$23,B2069&lt;Eingaben!$B$24),OR(B2069&gt;=Eingaben!$B$23,B2069&lt;Eingaben!$B$24))),"HEAT","STANDARD"))</f>
        <v>STANDARD</v>
      </c>
      <c r="E2069" s="9"/>
      <c r="F2069" t="str">
        <f>IF(E2069="",D2069,E2069)</f>
        <v>STANDARD</v>
      </c>
      <c r="G2069" t="str">
        <f>INDEX(Netzzeiten!$B$6:$B$29,HOUR(B2069)+1)</f>
        <v>NT</v>
      </c>
      <c r="H2069" s="6">
        <f>IF(F2069="GO",Eingaben!$B$11,IF(F2069="STANDARD",Eingaben!$B$12,IF(AND(F2069="HEAT",ISNUMBER(Eingaben!$B$13)),Eingaben!$B$13,"")))</f>
        <v>28.2744</v>
      </c>
      <c r="I2069" s="6">
        <f>INDEX(Netzzeiten!$C$6:$C$29,HOUR(B2069)+1)</f>
        <v>1.64</v>
      </c>
      <c r="J2069" t="str">
        <f>IF(C2069="","FEHLT",IF(NOT(ISNUMBER(C2069)),"MESSWERT UNGUELTIG",IF(C2069&lt;0,"MESSWERT UNGUELTIG",IF(H2069="","TARIFPREIS FEHLT","OK"))))</f>
        <v>FEHLT</v>
      </c>
      <c r="K2069" s="7">
        <f>IF(J2069&lt;&gt;"OK","",C2069*I2069/100)</f>
        <v/>
      </c>
    </row>
    <row r="2070" spans="1:11">
      <c r="A2070" s="14">
        <v>46164</v>
      </c>
      <c r="B2070" s="15">
        <v>0.5</v>
      </c>
      <c r="C2070" s="5">
        <f>IF('96 Werte'!AX27="","",'96 Werte'!AX27)</f>
        <v/>
      </c>
      <c r="D2070" t="str">
        <f>IF(IF(Eingaben!$B$21&lt;Eingaben!$B$22,AND(B2070&gt;=Eingaben!$B$21,B2070&lt;Eingaben!$B$22),OR(B2070&gt;=Eingaben!$B$21,B2070&lt;Eingaben!$B$22)),"GO",IF(AND(ISNUMBER(Eingaben!$B$23),ISNUMBER(Eingaben!$B$24),IF(Eingaben!$B$23&lt;Eingaben!$B$24,AND(B2070&gt;=Eingaben!$B$23,B2070&lt;Eingaben!$B$24),OR(B2070&gt;=Eingaben!$B$23,B2070&lt;Eingaben!$B$24))),"HEAT","STANDARD"))</f>
        <v>STANDARD</v>
      </c>
      <c r="E2070" s="9"/>
      <c r="F2070" t="str">
        <f>IF(E2070="",D2070,E2070)</f>
        <v>STANDARD</v>
      </c>
      <c r="G2070" t="str">
        <f>INDEX(Netzzeiten!$B$6:$B$29,HOUR(B2070)+1)</f>
        <v>NT</v>
      </c>
      <c r="H2070" s="6">
        <f>IF(F2070="GO",Eingaben!$B$11,IF(F2070="STANDARD",Eingaben!$B$12,IF(AND(F2070="HEAT",ISNUMBER(Eingaben!$B$13)),Eingaben!$B$13,"")))</f>
        <v>28.2744</v>
      </c>
      <c r="I2070" s="6">
        <f>INDEX(Netzzeiten!$C$6:$C$29,HOUR(B2070)+1)</f>
        <v>1.64</v>
      </c>
      <c r="J2070" t="str">
        <f>IF(C2070="","FEHLT",IF(NOT(ISNUMBER(C2070)),"MESSWERT UNGUELTIG",IF(C2070&lt;0,"MESSWERT UNGUELTIG",IF(H2070="","TARIFPREIS FEHLT","OK"))))</f>
        <v>FEHLT</v>
      </c>
      <c r="K2070" s="7">
        <f>IF(J2070&lt;&gt;"OK","",C2070*I2070/100)</f>
        <v/>
      </c>
    </row>
    <row r="2071" spans="1:11">
      <c r="A2071" s="14">
        <v>46164</v>
      </c>
      <c r="B2071" s="15">
        <v>0.5104166666666666</v>
      </c>
      <c r="C2071" s="5">
        <f>IF('96 Werte'!AY27="","",'96 Werte'!AY27)</f>
        <v/>
      </c>
      <c r="D2071" t="str">
        <f>IF(IF(Eingaben!$B$21&lt;Eingaben!$B$22,AND(B2071&gt;=Eingaben!$B$21,B2071&lt;Eingaben!$B$22),OR(B2071&gt;=Eingaben!$B$21,B2071&lt;Eingaben!$B$22)),"GO",IF(AND(ISNUMBER(Eingaben!$B$23),ISNUMBER(Eingaben!$B$24),IF(Eingaben!$B$23&lt;Eingaben!$B$24,AND(B2071&gt;=Eingaben!$B$23,B2071&lt;Eingaben!$B$24),OR(B2071&gt;=Eingaben!$B$23,B2071&lt;Eingaben!$B$24))),"HEAT","STANDARD"))</f>
        <v>STANDARD</v>
      </c>
      <c r="E2071" s="9"/>
      <c r="F2071" t="str">
        <f>IF(E2071="",D2071,E2071)</f>
        <v>STANDARD</v>
      </c>
      <c r="G2071" t="str">
        <f>INDEX(Netzzeiten!$B$6:$B$29,HOUR(B2071)+1)</f>
        <v>NT</v>
      </c>
      <c r="H2071" s="6">
        <f>IF(F2071="GO",Eingaben!$B$11,IF(F2071="STANDARD",Eingaben!$B$12,IF(AND(F2071="HEAT",ISNUMBER(Eingaben!$B$13)),Eingaben!$B$13,"")))</f>
        <v>28.2744</v>
      </c>
      <c r="I2071" s="6">
        <f>INDEX(Netzzeiten!$C$6:$C$29,HOUR(B2071)+1)</f>
        <v>1.64</v>
      </c>
      <c r="J2071" t="str">
        <f>IF(C2071="","FEHLT",IF(NOT(ISNUMBER(C2071)),"MESSWERT UNGUELTIG",IF(C2071&lt;0,"MESSWERT UNGUELTIG",IF(H2071="","TARIFPREIS FEHLT","OK"))))</f>
        <v>FEHLT</v>
      </c>
      <c r="K2071" s="7">
        <f>IF(J2071&lt;&gt;"OK","",C2071*I2071/100)</f>
        <v/>
      </c>
    </row>
    <row r="2072" spans="1:11">
      <c r="A2072" s="14">
        <v>46164</v>
      </c>
      <c r="B2072" s="15">
        <v>0.5208333333333334</v>
      </c>
      <c r="C2072" s="5">
        <f>IF('96 Werte'!AZ27="","",'96 Werte'!AZ27)</f>
        <v/>
      </c>
      <c r="D2072" t="str">
        <f>IF(IF(Eingaben!$B$21&lt;Eingaben!$B$22,AND(B2072&gt;=Eingaben!$B$21,B2072&lt;Eingaben!$B$22),OR(B2072&gt;=Eingaben!$B$21,B2072&lt;Eingaben!$B$22)),"GO",IF(AND(ISNUMBER(Eingaben!$B$23),ISNUMBER(Eingaben!$B$24),IF(Eingaben!$B$23&lt;Eingaben!$B$24,AND(B2072&gt;=Eingaben!$B$23,B2072&lt;Eingaben!$B$24),OR(B2072&gt;=Eingaben!$B$23,B2072&lt;Eingaben!$B$24))),"HEAT","STANDARD"))</f>
        <v>STANDARD</v>
      </c>
      <c r="E2072" s="9"/>
      <c r="F2072" t="str">
        <f>IF(E2072="",D2072,E2072)</f>
        <v>STANDARD</v>
      </c>
      <c r="G2072" t="str">
        <f>INDEX(Netzzeiten!$B$6:$B$29,HOUR(B2072)+1)</f>
        <v>NT</v>
      </c>
      <c r="H2072" s="6">
        <f>IF(F2072="GO",Eingaben!$B$11,IF(F2072="STANDARD",Eingaben!$B$12,IF(AND(F2072="HEAT",ISNUMBER(Eingaben!$B$13)),Eingaben!$B$13,"")))</f>
        <v>28.2744</v>
      </c>
      <c r="I2072" s="6">
        <f>INDEX(Netzzeiten!$C$6:$C$29,HOUR(B2072)+1)</f>
        <v>1.64</v>
      </c>
      <c r="J2072" t="str">
        <f>IF(C2072="","FEHLT",IF(NOT(ISNUMBER(C2072)),"MESSWERT UNGUELTIG",IF(C2072&lt;0,"MESSWERT UNGUELTIG",IF(H2072="","TARIFPREIS FEHLT","OK"))))</f>
        <v>FEHLT</v>
      </c>
      <c r="K2072" s="7">
        <f>IF(J2072&lt;&gt;"OK","",C2072*I2072/100)</f>
        <v/>
      </c>
    </row>
    <row r="2073" spans="1:11">
      <c r="A2073" s="14">
        <v>46164</v>
      </c>
      <c r="B2073" s="15">
        <v>0.53125</v>
      </c>
      <c r="C2073" s="5">
        <f>IF('96 Werte'!BA27="","",'96 Werte'!BA27)</f>
        <v/>
      </c>
      <c r="D2073" t="str">
        <f>IF(IF(Eingaben!$B$21&lt;Eingaben!$B$22,AND(B2073&gt;=Eingaben!$B$21,B2073&lt;Eingaben!$B$22),OR(B2073&gt;=Eingaben!$B$21,B2073&lt;Eingaben!$B$22)),"GO",IF(AND(ISNUMBER(Eingaben!$B$23),ISNUMBER(Eingaben!$B$24),IF(Eingaben!$B$23&lt;Eingaben!$B$24,AND(B2073&gt;=Eingaben!$B$23,B2073&lt;Eingaben!$B$24),OR(B2073&gt;=Eingaben!$B$23,B2073&lt;Eingaben!$B$24))),"HEAT","STANDARD"))</f>
        <v>STANDARD</v>
      </c>
      <c r="E2073" s="9"/>
      <c r="F2073" t="str">
        <f>IF(E2073="",D2073,E2073)</f>
        <v>STANDARD</v>
      </c>
      <c r="G2073" t="str">
        <f>INDEX(Netzzeiten!$B$6:$B$29,HOUR(B2073)+1)</f>
        <v>NT</v>
      </c>
      <c r="H2073" s="6">
        <f>IF(F2073="GO",Eingaben!$B$11,IF(F2073="STANDARD",Eingaben!$B$12,IF(AND(F2073="HEAT",ISNUMBER(Eingaben!$B$13)),Eingaben!$B$13,"")))</f>
        <v>28.2744</v>
      </c>
      <c r="I2073" s="6">
        <f>INDEX(Netzzeiten!$C$6:$C$29,HOUR(B2073)+1)</f>
        <v>1.64</v>
      </c>
      <c r="J2073" t="str">
        <f>IF(C2073="","FEHLT",IF(NOT(ISNUMBER(C2073)),"MESSWERT UNGUELTIG",IF(C2073&lt;0,"MESSWERT UNGUELTIG",IF(H2073="","TARIFPREIS FEHLT","OK"))))</f>
        <v>FEHLT</v>
      </c>
      <c r="K2073" s="7">
        <f>IF(J2073&lt;&gt;"OK","",C2073*I2073/100)</f>
        <v/>
      </c>
    </row>
    <row r="2074" spans="1:11">
      <c r="A2074" s="14">
        <v>46164</v>
      </c>
      <c r="B2074" s="15">
        <v>0.5416666666666666</v>
      </c>
      <c r="C2074" s="5">
        <f>IF('96 Werte'!BB27="","",'96 Werte'!BB27)</f>
        <v/>
      </c>
      <c r="D2074" t="str">
        <f>IF(IF(Eingaben!$B$21&lt;Eingaben!$B$22,AND(B2074&gt;=Eingaben!$B$21,B2074&lt;Eingaben!$B$22),OR(B2074&gt;=Eingaben!$B$21,B2074&lt;Eingaben!$B$22)),"GO",IF(AND(ISNUMBER(Eingaben!$B$23),ISNUMBER(Eingaben!$B$24),IF(Eingaben!$B$23&lt;Eingaben!$B$24,AND(B2074&gt;=Eingaben!$B$23,B2074&lt;Eingaben!$B$24),OR(B2074&gt;=Eingaben!$B$23,B2074&lt;Eingaben!$B$24))),"HEAT","STANDARD"))</f>
        <v>STANDARD</v>
      </c>
      <c r="E2074" s="9"/>
      <c r="F2074" t="str">
        <f>IF(E2074="",D2074,E2074)</f>
        <v>STANDARD</v>
      </c>
      <c r="G2074" t="str">
        <f>INDEX(Netzzeiten!$B$6:$B$29,HOUR(B2074)+1)</f>
        <v>NT</v>
      </c>
      <c r="H2074" s="6">
        <f>IF(F2074="GO",Eingaben!$B$11,IF(F2074="STANDARD",Eingaben!$B$12,IF(AND(F2074="HEAT",ISNUMBER(Eingaben!$B$13)),Eingaben!$B$13,"")))</f>
        <v>28.2744</v>
      </c>
      <c r="I2074" s="6">
        <f>INDEX(Netzzeiten!$C$6:$C$29,HOUR(B2074)+1)</f>
        <v>1.64</v>
      </c>
      <c r="J2074" t="str">
        <f>IF(C2074="","FEHLT",IF(NOT(ISNUMBER(C2074)),"MESSWERT UNGUELTIG",IF(C2074&lt;0,"MESSWERT UNGUELTIG",IF(H2074="","TARIFPREIS FEHLT","OK"))))</f>
        <v>FEHLT</v>
      </c>
      <c r="K2074" s="7">
        <f>IF(J2074&lt;&gt;"OK","",C2074*I2074/100)</f>
        <v/>
      </c>
    </row>
    <row r="2075" spans="1:11">
      <c r="A2075" s="14">
        <v>46164</v>
      </c>
      <c r="B2075" s="15">
        <v>0.5520833333333334</v>
      </c>
      <c r="C2075" s="5">
        <f>IF('96 Werte'!BC27="","",'96 Werte'!BC27)</f>
        <v/>
      </c>
      <c r="D2075" t="str">
        <f>IF(IF(Eingaben!$B$21&lt;Eingaben!$B$22,AND(B2075&gt;=Eingaben!$B$21,B2075&lt;Eingaben!$B$22),OR(B2075&gt;=Eingaben!$B$21,B2075&lt;Eingaben!$B$22)),"GO",IF(AND(ISNUMBER(Eingaben!$B$23),ISNUMBER(Eingaben!$B$24),IF(Eingaben!$B$23&lt;Eingaben!$B$24,AND(B2075&gt;=Eingaben!$B$23,B2075&lt;Eingaben!$B$24),OR(B2075&gt;=Eingaben!$B$23,B2075&lt;Eingaben!$B$24))),"HEAT","STANDARD"))</f>
        <v>STANDARD</v>
      </c>
      <c r="E2075" s="9"/>
      <c r="F2075" t="str">
        <f>IF(E2075="",D2075,E2075)</f>
        <v>STANDARD</v>
      </c>
      <c r="G2075" t="str">
        <f>INDEX(Netzzeiten!$B$6:$B$29,HOUR(B2075)+1)</f>
        <v>NT</v>
      </c>
      <c r="H2075" s="6">
        <f>IF(F2075="GO",Eingaben!$B$11,IF(F2075="STANDARD",Eingaben!$B$12,IF(AND(F2075="HEAT",ISNUMBER(Eingaben!$B$13)),Eingaben!$B$13,"")))</f>
        <v>28.2744</v>
      </c>
      <c r="I2075" s="6">
        <f>INDEX(Netzzeiten!$C$6:$C$29,HOUR(B2075)+1)</f>
        <v>1.64</v>
      </c>
      <c r="J2075" t="str">
        <f>IF(C2075="","FEHLT",IF(NOT(ISNUMBER(C2075)),"MESSWERT UNGUELTIG",IF(C2075&lt;0,"MESSWERT UNGUELTIG",IF(H2075="","TARIFPREIS FEHLT","OK"))))</f>
        <v>FEHLT</v>
      </c>
      <c r="K2075" s="7">
        <f>IF(J2075&lt;&gt;"OK","",C2075*I2075/100)</f>
        <v/>
      </c>
    </row>
    <row r="2076" spans="1:11">
      <c r="A2076" s="14">
        <v>46164</v>
      </c>
      <c r="B2076" s="15">
        <v>0.5625</v>
      </c>
      <c r="C2076" s="5">
        <f>IF('96 Werte'!BD27="","",'96 Werte'!BD27)</f>
        <v/>
      </c>
      <c r="D2076" t="str">
        <f>IF(IF(Eingaben!$B$21&lt;Eingaben!$B$22,AND(B2076&gt;=Eingaben!$B$21,B2076&lt;Eingaben!$B$22),OR(B2076&gt;=Eingaben!$B$21,B2076&lt;Eingaben!$B$22)),"GO",IF(AND(ISNUMBER(Eingaben!$B$23),ISNUMBER(Eingaben!$B$24),IF(Eingaben!$B$23&lt;Eingaben!$B$24,AND(B2076&gt;=Eingaben!$B$23,B2076&lt;Eingaben!$B$24),OR(B2076&gt;=Eingaben!$B$23,B2076&lt;Eingaben!$B$24))),"HEAT","STANDARD"))</f>
        <v>STANDARD</v>
      </c>
      <c r="E2076" s="9"/>
      <c r="F2076" t="str">
        <f>IF(E2076="",D2076,E2076)</f>
        <v>STANDARD</v>
      </c>
      <c r="G2076" t="str">
        <f>INDEX(Netzzeiten!$B$6:$B$29,HOUR(B2076)+1)</f>
        <v>NT</v>
      </c>
      <c r="H2076" s="6">
        <f>IF(F2076="GO",Eingaben!$B$11,IF(F2076="STANDARD",Eingaben!$B$12,IF(AND(F2076="HEAT",ISNUMBER(Eingaben!$B$13)),Eingaben!$B$13,"")))</f>
        <v>28.2744</v>
      </c>
      <c r="I2076" s="6">
        <f>INDEX(Netzzeiten!$C$6:$C$29,HOUR(B2076)+1)</f>
        <v>1.64</v>
      </c>
      <c r="J2076" t="str">
        <f>IF(C2076="","FEHLT",IF(NOT(ISNUMBER(C2076)),"MESSWERT UNGUELTIG",IF(C2076&lt;0,"MESSWERT UNGUELTIG",IF(H2076="","TARIFPREIS FEHLT","OK"))))</f>
        <v>FEHLT</v>
      </c>
      <c r="K2076" s="7">
        <f>IF(J2076&lt;&gt;"OK","",C2076*I2076/100)</f>
        <v/>
      </c>
    </row>
    <row r="2077" spans="1:11">
      <c r="A2077" s="14">
        <v>46164</v>
      </c>
      <c r="B2077" s="15">
        <v>0.5729166666666666</v>
      </c>
      <c r="C2077" s="5">
        <f>IF('96 Werte'!BE27="","",'96 Werte'!BE27)</f>
        <v/>
      </c>
      <c r="D2077" t="str">
        <f>IF(IF(Eingaben!$B$21&lt;Eingaben!$B$22,AND(B2077&gt;=Eingaben!$B$21,B2077&lt;Eingaben!$B$22),OR(B2077&gt;=Eingaben!$B$21,B2077&lt;Eingaben!$B$22)),"GO",IF(AND(ISNUMBER(Eingaben!$B$23),ISNUMBER(Eingaben!$B$24),IF(Eingaben!$B$23&lt;Eingaben!$B$24,AND(B2077&gt;=Eingaben!$B$23,B2077&lt;Eingaben!$B$24),OR(B2077&gt;=Eingaben!$B$23,B2077&lt;Eingaben!$B$24))),"HEAT","STANDARD"))</f>
        <v>STANDARD</v>
      </c>
      <c r="E2077" s="9"/>
      <c r="F2077" t="str">
        <f>IF(E2077="",D2077,E2077)</f>
        <v>STANDARD</v>
      </c>
      <c r="G2077" t="str">
        <f>INDEX(Netzzeiten!$B$6:$B$29,HOUR(B2077)+1)</f>
        <v>NT</v>
      </c>
      <c r="H2077" s="6">
        <f>IF(F2077="GO",Eingaben!$B$11,IF(F2077="STANDARD",Eingaben!$B$12,IF(AND(F2077="HEAT",ISNUMBER(Eingaben!$B$13)),Eingaben!$B$13,"")))</f>
        <v>28.2744</v>
      </c>
      <c r="I2077" s="6">
        <f>INDEX(Netzzeiten!$C$6:$C$29,HOUR(B2077)+1)</f>
        <v>1.64</v>
      </c>
      <c r="J2077" t="str">
        <f>IF(C2077="","FEHLT",IF(NOT(ISNUMBER(C2077)),"MESSWERT UNGUELTIG",IF(C2077&lt;0,"MESSWERT UNGUELTIG",IF(H2077="","TARIFPREIS FEHLT","OK"))))</f>
        <v>FEHLT</v>
      </c>
      <c r="K2077" s="7">
        <f>IF(J2077&lt;&gt;"OK","",C2077*I2077/100)</f>
        <v/>
      </c>
    </row>
    <row r="2078" spans="1:11">
      <c r="A2078" s="14">
        <v>46164</v>
      </c>
      <c r="B2078" s="15">
        <v>0.5833333333333334</v>
      </c>
      <c r="C2078" s="5">
        <f>IF('96 Werte'!BF27="","",'96 Werte'!BF27)</f>
        <v/>
      </c>
      <c r="D2078" t="str">
        <f>IF(IF(Eingaben!$B$21&lt;Eingaben!$B$22,AND(B2078&gt;=Eingaben!$B$21,B2078&lt;Eingaben!$B$22),OR(B2078&gt;=Eingaben!$B$21,B2078&lt;Eingaben!$B$22)),"GO",IF(AND(ISNUMBER(Eingaben!$B$23),ISNUMBER(Eingaben!$B$24),IF(Eingaben!$B$23&lt;Eingaben!$B$24,AND(B2078&gt;=Eingaben!$B$23,B2078&lt;Eingaben!$B$24),OR(B2078&gt;=Eingaben!$B$23,B2078&lt;Eingaben!$B$24))),"HEAT","STANDARD"))</f>
        <v>STANDARD</v>
      </c>
      <c r="E2078" s="9"/>
      <c r="F2078" t="str">
        <f>IF(E2078="",D2078,E2078)</f>
        <v>STANDARD</v>
      </c>
      <c r="G2078" t="str">
        <f>INDEX(Netzzeiten!$B$6:$B$29,HOUR(B2078)+1)</f>
        <v>NT</v>
      </c>
      <c r="H2078" s="6">
        <f>IF(F2078="GO",Eingaben!$B$11,IF(F2078="STANDARD",Eingaben!$B$12,IF(AND(F2078="HEAT",ISNUMBER(Eingaben!$B$13)),Eingaben!$B$13,"")))</f>
        <v>28.2744</v>
      </c>
      <c r="I2078" s="6">
        <f>INDEX(Netzzeiten!$C$6:$C$29,HOUR(B2078)+1)</f>
        <v>1.64</v>
      </c>
      <c r="J2078" t="str">
        <f>IF(C2078="","FEHLT",IF(NOT(ISNUMBER(C2078)),"MESSWERT UNGUELTIG",IF(C2078&lt;0,"MESSWERT UNGUELTIG",IF(H2078="","TARIFPREIS FEHLT","OK"))))</f>
        <v>FEHLT</v>
      </c>
      <c r="K2078" s="7">
        <f>IF(J2078&lt;&gt;"OK","",C2078*I2078/100)</f>
        <v/>
      </c>
    </row>
    <row r="2079" spans="1:11">
      <c r="A2079" s="14">
        <v>46164</v>
      </c>
      <c r="B2079" s="15">
        <v>0.59375</v>
      </c>
      <c r="C2079" s="5">
        <f>IF('96 Werte'!BG27="","",'96 Werte'!BG27)</f>
        <v/>
      </c>
      <c r="D2079" t="str">
        <f>IF(IF(Eingaben!$B$21&lt;Eingaben!$B$22,AND(B2079&gt;=Eingaben!$B$21,B2079&lt;Eingaben!$B$22),OR(B2079&gt;=Eingaben!$B$21,B2079&lt;Eingaben!$B$22)),"GO",IF(AND(ISNUMBER(Eingaben!$B$23),ISNUMBER(Eingaben!$B$24),IF(Eingaben!$B$23&lt;Eingaben!$B$24,AND(B2079&gt;=Eingaben!$B$23,B2079&lt;Eingaben!$B$24),OR(B2079&gt;=Eingaben!$B$23,B2079&lt;Eingaben!$B$24))),"HEAT","STANDARD"))</f>
        <v>STANDARD</v>
      </c>
      <c r="E2079" s="9"/>
      <c r="F2079" t="str">
        <f>IF(E2079="",D2079,E2079)</f>
        <v>STANDARD</v>
      </c>
      <c r="G2079" t="str">
        <f>INDEX(Netzzeiten!$B$6:$B$29,HOUR(B2079)+1)</f>
        <v>NT</v>
      </c>
      <c r="H2079" s="6">
        <f>IF(F2079="GO",Eingaben!$B$11,IF(F2079="STANDARD",Eingaben!$B$12,IF(AND(F2079="HEAT",ISNUMBER(Eingaben!$B$13)),Eingaben!$B$13,"")))</f>
        <v>28.2744</v>
      </c>
      <c r="I2079" s="6">
        <f>INDEX(Netzzeiten!$C$6:$C$29,HOUR(B2079)+1)</f>
        <v>1.64</v>
      </c>
      <c r="J2079" t="str">
        <f>IF(C2079="","FEHLT",IF(NOT(ISNUMBER(C2079)),"MESSWERT UNGUELTIG",IF(C2079&lt;0,"MESSWERT UNGUELTIG",IF(H2079="","TARIFPREIS FEHLT","OK"))))</f>
        <v>FEHLT</v>
      </c>
      <c r="K2079" s="7">
        <f>IF(J2079&lt;&gt;"OK","",C2079*I2079/100)</f>
        <v/>
      </c>
    </row>
    <row r="2080" spans="1:11">
      <c r="A2080" s="14">
        <v>46164</v>
      </c>
      <c r="B2080" s="15">
        <v>0.6041666666666666</v>
      </c>
      <c r="C2080" s="5">
        <f>IF('96 Werte'!BH27="","",'96 Werte'!BH27)</f>
        <v/>
      </c>
      <c r="D2080" t="str">
        <f>IF(IF(Eingaben!$B$21&lt;Eingaben!$B$22,AND(B2080&gt;=Eingaben!$B$21,B2080&lt;Eingaben!$B$22),OR(B2080&gt;=Eingaben!$B$21,B2080&lt;Eingaben!$B$22)),"GO",IF(AND(ISNUMBER(Eingaben!$B$23),ISNUMBER(Eingaben!$B$24),IF(Eingaben!$B$23&lt;Eingaben!$B$24,AND(B2080&gt;=Eingaben!$B$23,B2080&lt;Eingaben!$B$24),OR(B2080&gt;=Eingaben!$B$23,B2080&lt;Eingaben!$B$24))),"HEAT","STANDARD"))</f>
        <v>STANDARD</v>
      </c>
      <c r="E2080" s="9"/>
      <c r="F2080" t="str">
        <f>IF(E2080="",D2080,E2080)</f>
        <v>STANDARD</v>
      </c>
      <c r="G2080" t="str">
        <f>INDEX(Netzzeiten!$B$6:$B$29,HOUR(B2080)+1)</f>
        <v>NT</v>
      </c>
      <c r="H2080" s="6">
        <f>IF(F2080="GO",Eingaben!$B$11,IF(F2080="STANDARD",Eingaben!$B$12,IF(AND(F2080="HEAT",ISNUMBER(Eingaben!$B$13)),Eingaben!$B$13,"")))</f>
        <v>28.2744</v>
      </c>
      <c r="I2080" s="6">
        <f>INDEX(Netzzeiten!$C$6:$C$29,HOUR(B2080)+1)</f>
        <v>1.64</v>
      </c>
      <c r="J2080" t="str">
        <f>IF(C2080="","FEHLT",IF(NOT(ISNUMBER(C2080)),"MESSWERT UNGUELTIG",IF(C2080&lt;0,"MESSWERT UNGUELTIG",IF(H2080="","TARIFPREIS FEHLT","OK"))))</f>
        <v>FEHLT</v>
      </c>
      <c r="K2080" s="7">
        <f>IF(J2080&lt;&gt;"OK","",C2080*I2080/100)</f>
        <v/>
      </c>
    </row>
    <row r="2081" spans="1:11">
      <c r="A2081" s="14">
        <v>46164</v>
      </c>
      <c r="B2081" s="15">
        <v>0.6145833333333334</v>
      </c>
      <c r="C2081" s="5">
        <f>IF('96 Werte'!BI27="","",'96 Werte'!BI27)</f>
        <v/>
      </c>
      <c r="D2081" t="str">
        <f>IF(IF(Eingaben!$B$21&lt;Eingaben!$B$22,AND(B2081&gt;=Eingaben!$B$21,B2081&lt;Eingaben!$B$22),OR(B2081&gt;=Eingaben!$B$21,B2081&lt;Eingaben!$B$22)),"GO",IF(AND(ISNUMBER(Eingaben!$B$23),ISNUMBER(Eingaben!$B$24),IF(Eingaben!$B$23&lt;Eingaben!$B$24,AND(B2081&gt;=Eingaben!$B$23,B2081&lt;Eingaben!$B$24),OR(B2081&gt;=Eingaben!$B$23,B2081&lt;Eingaben!$B$24))),"HEAT","STANDARD"))</f>
        <v>STANDARD</v>
      </c>
      <c r="E2081" s="9"/>
      <c r="F2081" t="str">
        <f>IF(E2081="",D2081,E2081)</f>
        <v>STANDARD</v>
      </c>
      <c r="G2081" t="str">
        <f>INDEX(Netzzeiten!$B$6:$B$29,HOUR(B2081)+1)</f>
        <v>NT</v>
      </c>
      <c r="H2081" s="6">
        <f>IF(F2081="GO",Eingaben!$B$11,IF(F2081="STANDARD",Eingaben!$B$12,IF(AND(F2081="HEAT",ISNUMBER(Eingaben!$B$13)),Eingaben!$B$13,"")))</f>
        <v>28.2744</v>
      </c>
      <c r="I2081" s="6">
        <f>INDEX(Netzzeiten!$C$6:$C$29,HOUR(B2081)+1)</f>
        <v>1.64</v>
      </c>
      <c r="J2081" t="str">
        <f>IF(C2081="","FEHLT",IF(NOT(ISNUMBER(C2081)),"MESSWERT UNGUELTIG",IF(C2081&lt;0,"MESSWERT UNGUELTIG",IF(H2081="","TARIFPREIS FEHLT","OK"))))</f>
        <v>FEHLT</v>
      </c>
      <c r="K2081" s="7">
        <f>IF(J2081&lt;&gt;"OK","",C2081*I2081/100)</f>
        <v/>
      </c>
    </row>
    <row r="2082" spans="1:11">
      <c r="A2082" s="14">
        <v>46164</v>
      </c>
      <c r="B2082" s="15">
        <v>0.625</v>
      </c>
      <c r="C2082" s="5">
        <f>IF('96 Werte'!BJ27="","",'96 Werte'!BJ27)</f>
        <v/>
      </c>
      <c r="D2082" t="str">
        <f>IF(IF(Eingaben!$B$21&lt;Eingaben!$B$22,AND(B2082&gt;=Eingaben!$B$21,B2082&lt;Eingaben!$B$22),OR(B2082&gt;=Eingaben!$B$21,B2082&lt;Eingaben!$B$22)),"GO",IF(AND(ISNUMBER(Eingaben!$B$23),ISNUMBER(Eingaben!$B$24),IF(Eingaben!$B$23&lt;Eingaben!$B$24,AND(B2082&gt;=Eingaben!$B$23,B2082&lt;Eingaben!$B$24),OR(B2082&gt;=Eingaben!$B$23,B2082&lt;Eingaben!$B$24))),"HEAT","STANDARD"))</f>
        <v>STANDARD</v>
      </c>
      <c r="E2082" s="9"/>
      <c r="F2082" t="str">
        <f>IF(E2082="",D2082,E2082)</f>
        <v>STANDARD</v>
      </c>
      <c r="G2082" t="str">
        <f>INDEX(Netzzeiten!$B$6:$B$29,HOUR(B2082)+1)</f>
        <v>ST</v>
      </c>
      <c r="H2082" s="6">
        <f>IF(F2082="GO",Eingaben!$B$11,IF(F2082="STANDARD",Eingaben!$B$12,IF(AND(F2082="HEAT",ISNUMBER(Eingaben!$B$13)),Eingaben!$B$13,"")))</f>
        <v>28.2744</v>
      </c>
      <c r="I2082" s="6">
        <f>INDEX(Netzzeiten!$C$6:$C$29,HOUR(B2082)+1)</f>
        <v>5.48</v>
      </c>
      <c r="J2082" t="str">
        <f>IF(C2082="","FEHLT",IF(NOT(ISNUMBER(C2082)),"MESSWERT UNGUELTIG",IF(C2082&lt;0,"MESSWERT UNGUELTIG",IF(H2082="","TARIFPREIS FEHLT","OK"))))</f>
        <v>FEHLT</v>
      </c>
      <c r="K2082" s="7">
        <f>IF(J2082&lt;&gt;"OK","",C2082*I2082/100)</f>
        <v/>
      </c>
    </row>
    <row r="2083" spans="1:11">
      <c r="A2083" s="14">
        <v>46164</v>
      </c>
      <c r="B2083" s="15">
        <v>0.6354166666666666</v>
      </c>
      <c r="C2083" s="5">
        <f>IF('96 Werte'!BK27="","",'96 Werte'!BK27)</f>
        <v/>
      </c>
      <c r="D2083" t="str">
        <f>IF(IF(Eingaben!$B$21&lt;Eingaben!$B$22,AND(B2083&gt;=Eingaben!$B$21,B2083&lt;Eingaben!$B$22),OR(B2083&gt;=Eingaben!$B$21,B2083&lt;Eingaben!$B$22)),"GO",IF(AND(ISNUMBER(Eingaben!$B$23),ISNUMBER(Eingaben!$B$24),IF(Eingaben!$B$23&lt;Eingaben!$B$24,AND(B2083&gt;=Eingaben!$B$23,B2083&lt;Eingaben!$B$24),OR(B2083&gt;=Eingaben!$B$23,B2083&lt;Eingaben!$B$24))),"HEAT","STANDARD"))</f>
        <v>STANDARD</v>
      </c>
      <c r="E2083" s="9"/>
      <c r="F2083" t="str">
        <f>IF(E2083="",D2083,E2083)</f>
        <v>STANDARD</v>
      </c>
      <c r="G2083" t="str">
        <f>INDEX(Netzzeiten!$B$6:$B$29,HOUR(B2083)+1)</f>
        <v>ST</v>
      </c>
      <c r="H2083" s="6">
        <f>IF(F2083="GO",Eingaben!$B$11,IF(F2083="STANDARD",Eingaben!$B$12,IF(AND(F2083="HEAT",ISNUMBER(Eingaben!$B$13)),Eingaben!$B$13,"")))</f>
        <v>28.2744</v>
      </c>
      <c r="I2083" s="6">
        <f>INDEX(Netzzeiten!$C$6:$C$29,HOUR(B2083)+1)</f>
        <v>5.48</v>
      </c>
      <c r="J2083" t="str">
        <f>IF(C2083="","FEHLT",IF(NOT(ISNUMBER(C2083)),"MESSWERT UNGUELTIG",IF(C2083&lt;0,"MESSWERT UNGUELTIG",IF(H2083="","TARIFPREIS FEHLT","OK"))))</f>
        <v>FEHLT</v>
      </c>
      <c r="K2083" s="7">
        <f>IF(J2083&lt;&gt;"OK","",C2083*I2083/100)</f>
        <v/>
      </c>
    </row>
    <row r="2084" spans="1:11">
      <c r="A2084" s="14">
        <v>46164</v>
      </c>
      <c r="B2084" s="15">
        <v>0.6458333333333334</v>
      </c>
      <c r="C2084" s="5">
        <f>IF('96 Werte'!BL27="","",'96 Werte'!BL27)</f>
        <v/>
      </c>
      <c r="D2084" t="str">
        <f>IF(IF(Eingaben!$B$21&lt;Eingaben!$B$22,AND(B2084&gt;=Eingaben!$B$21,B2084&lt;Eingaben!$B$22),OR(B2084&gt;=Eingaben!$B$21,B2084&lt;Eingaben!$B$22)),"GO",IF(AND(ISNUMBER(Eingaben!$B$23),ISNUMBER(Eingaben!$B$24),IF(Eingaben!$B$23&lt;Eingaben!$B$24,AND(B2084&gt;=Eingaben!$B$23,B2084&lt;Eingaben!$B$24),OR(B2084&gt;=Eingaben!$B$23,B2084&lt;Eingaben!$B$24))),"HEAT","STANDARD"))</f>
        <v>STANDARD</v>
      </c>
      <c r="E2084" s="9"/>
      <c r="F2084" t="str">
        <f>IF(E2084="",D2084,E2084)</f>
        <v>STANDARD</v>
      </c>
      <c r="G2084" t="str">
        <f>INDEX(Netzzeiten!$B$6:$B$29,HOUR(B2084)+1)</f>
        <v>ST</v>
      </c>
      <c r="H2084" s="6">
        <f>IF(F2084="GO",Eingaben!$B$11,IF(F2084="STANDARD",Eingaben!$B$12,IF(AND(F2084="HEAT",ISNUMBER(Eingaben!$B$13)),Eingaben!$B$13,"")))</f>
        <v>28.2744</v>
      </c>
      <c r="I2084" s="6">
        <f>INDEX(Netzzeiten!$C$6:$C$29,HOUR(B2084)+1)</f>
        <v>5.48</v>
      </c>
      <c r="J2084" t="str">
        <f>IF(C2084="","FEHLT",IF(NOT(ISNUMBER(C2084)),"MESSWERT UNGUELTIG",IF(C2084&lt;0,"MESSWERT UNGUELTIG",IF(H2084="","TARIFPREIS FEHLT","OK"))))</f>
        <v>FEHLT</v>
      </c>
      <c r="K2084" s="7">
        <f>IF(J2084&lt;&gt;"OK","",C2084*I2084/100)</f>
        <v/>
      </c>
    </row>
    <row r="2085" spans="1:11">
      <c r="A2085" s="14">
        <v>46164</v>
      </c>
      <c r="B2085" s="15">
        <v>0.65625</v>
      </c>
      <c r="C2085" s="5">
        <f>IF('96 Werte'!BM27="","",'96 Werte'!BM27)</f>
        <v/>
      </c>
      <c r="D2085" t="str">
        <f>IF(IF(Eingaben!$B$21&lt;Eingaben!$B$22,AND(B2085&gt;=Eingaben!$B$21,B2085&lt;Eingaben!$B$22),OR(B2085&gt;=Eingaben!$B$21,B2085&lt;Eingaben!$B$22)),"GO",IF(AND(ISNUMBER(Eingaben!$B$23),ISNUMBER(Eingaben!$B$24),IF(Eingaben!$B$23&lt;Eingaben!$B$24,AND(B2085&gt;=Eingaben!$B$23,B2085&lt;Eingaben!$B$24),OR(B2085&gt;=Eingaben!$B$23,B2085&lt;Eingaben!$B$24))),"HEAT","STANDARD"))</f>
        <v>STANDARD</v>
      </c>
      <c r="E2085" s="9"/>
      <c r="F2085" t="str">
        <f>IF(E2085="",D2085,E2085)</f>
        <v>STANDARD</v>
      </c>
      <c r="G2085" t="str">
        <f>INDEX(Netzzeiten!$B$6:$B$29,HOUR(B2085)+1)</f>
        <v>ST</v>
      </c>
      <c r="H2085" s="6">
        <f>IF(F2085="GO",Eingaben!$B$11,IF(F2085="STANDARD",Eingaben!$B$12,IF(AND(F2085="HEAT",ISNUMBER(Eingaben!$B$13)),Eingaben!$B$13,"")))</f>
        <v>28.2744</v>
      </c>
      <c r="I2085" s="6">
        <f>INDEX(Netzzeiten!$C$6:$C$29,HOUR(B2085)+1)</f>
        <v>5.48</v>
      </c>
      <c r="J2085" t="str">
        <f>IF(C2085="","FEHLT",IF(NOT(ISNUMBER(C2085)),"MESSWERT UNGUELTIG",IF(C2085&lt;0,"MESSWERT UNGUELTIG",IF(H2085="","TARIFPREIS FEHLT","OK"))))</f>
        <v>FEHLT</v>
      </c>
      <c r="K2085" s="7">
        <f>IF(J2085&lt;&gt;"OK","",C2085*I2085/100)</f>
        <v/>
      </c>
    </row>
    <row r="2086" spans="1:11">
      <c r="A2086" s="14">
        <v>46164</v>
      </c>
      <c r="B2086" s="15">
        <v>0.6666666666666666</v>
      </c>
      <c r="C2086" s="5">
        <f>IF('96 Werte'!BN27="","",'96 Werte'!BN27)</f>
        <v/>
      </c>
      <c r="D2086" t="str">
        <f>IF(IF(Eingaben!$B$21&lt;Eingaben!$B$22,AND(B2086&gt;=Eingaben!$B$21,B2086&lt;Eingaben!$B$22),OR(B2086&gt;=Eingaben!$B$21,B2086&lt;Eingaben!$B$22)),"GO",IF(AND(ISNUMBER(Eingaben!$B$23),ISNUMBER(Eingaben!$B$24),IF(Eingaben!$B$23&lt;Eingaben!$B$24,AND(B2086&gt;=Eingaben!$B$23,B2086&lt;Eingaben!$B$24),OR(B2086&gt;=Eingaben!$B$23,B2086&lt;Eingaben!$B$24))),"HEAT","STANDARD"))</f>
        <v>STANDARD</v>
      </c>
      <c r="E2086" s="9"/>
      <c r="F2086" t="str">
        <f>IF(E2086="",D2086,E2086)</f>
        <v>STANDARD</v>
      </c>
      <c r="G2086" t="str">
        <f>INDEX(Netzzeiten!$B$6:$B$29,HOUR(B2086)+1)</f>
        <v>ST</v>
      </c>
      <c r="H2086" s="6">
        <f>IF(F2086="GO",Eingaben!$B$11,IF(F2086="STANDARD",Eingaben!$B$12,IF(AND(F2086="HEAT",ISNUMBER(Eingaben!$B$13)),Eingaben!$B$13,"")))</f>
        <v>28.2744</v>
      </c>
      <c r="I2086" s="6">
        <f>INDEX(Netzzeiten!$C$6:$C$29,HOUR(B2086)+1)</f>
        <v>5.48</v>
      </c>
      <c r="J2086" t="str">
        <f>IF(C2086="","FEHLT",IF(NOT(ISNUMBER(C2086)),"MESSWERT UNGUELTIG",IF(C2086&lt;0,"MESSWERT UNGUELTIG",IF(H2086="","TARIFPREIS FEHLT","OK"))))</f>
        <v>FEHLT</v>
      </c>
      <c r="K2086" s="7">
        <f>IF(J2086&lt;&gt;"OK","",C2086*I2086/100)</f>
        <v/>
      </c>
    </row>
    <row r="2087" spans="1:11">
      <c r="A2087" s="14">
        <v>46164</v>
      </c>
      <c r="B2087" s="15">
        <v>0.6770833333333334</v>
      </c>
      <c r="C2087" s="5">
        <f>IF('96 Werte'!BO27="","",'96 Werte'!BO27)</f>
        <v/>
      </c>
      <c r="D2087" t="str">
        <f>IF(IF(Eingaben!$B$21&lt;Eingaben!$B$22,AND(B2087&gt;=Eingaben!$B$21,B2087&lt;Eingaben!$B$22),OR(B2087&gt;=Eingaben!$B$21,B2087&lt;Eingaben!$B$22)),"GO",IF(AND(ISNUMBER(Eingaben!$B$23),ISNUMBER(Eingaben!$B$24),IF(Eingaben!$B$23&lt;Eingaben!$B$24,AND(B2087&gt;=Eingaben!$B$23,B2087&lt;Eingaben!$B$24),OR(B2087&gt;=Eingaben!$B$23,B2087&lt;Eingaben!$B$24))),"HEAT","STANDARD"))</f>
        <v>STANDARD</v>
      </c>
      <c r="E2087" s="9"/>
      <c r="F2087" t="str">
        <f>IF(E2087="",D2087,E2087)</f>
        <v>STANDARD</v>
      </c>
      <c r="G2087" t="str">
        <f>INDEX(Netzzeiten!$B$6:$B$29,HOUR(B2087)+1)</f>
        <v>ST</v>
      </c>
      <c r="H2087" s="6">
        <f>IF(F2087="GO",Eingaben!$B$11,IF(F2087="STANDARD",Eingaben!$B$12,IF(AND(F2087="HEAT",ISNUMBER(Eingaben!$B$13)),Eingaben!$B$13,"")))</f>
        <v>28.2744</v>
      </c>
      <c r="I2087" s="6">
        <f>INDEX(Netzzeiten!$C$6:$C$29,HOUR(B2087)+1)</f>
        <v>5.48</v>
      </c>
      <c r="J2087" t="str">
        <f>IF(C2087="","FEHLT",IF(NOT(ISNUMBER(C2087)),"MESSWERT UNGUELTIG",IF(C2087&lt;0,"MESSWERT UNGUELTIG",IF(H2087="","TARIFPREIS FEHLT","OK"))))</f>
        <v>FEHLT</v>
      </c>
      <c r="K2087" s="7">
        <f>IF(J2087&lt;&gt;"OK","",C2087*I2087/100)</f>
        <v/>
      </c>
    </row>
    <row r="2088" spans="1:11">
      <c r="A2088" s="14">
        <v>46164</v>
      </c>
      <c r="B2088" s="15">
        <v>0.6875</v>
      </c>
      <c r="C2088" s="5">
        <f>IF('96 Werte'!BP27="","",'96 Werte'!BP27)</f>
        <v/>
      </c>
      <c r="D2088" t="str">
        <f>IF(IF(Eingaben!$B$21&lt;Eingaben!$B$22,AND(B2088&gt;=Eingaben!$B$21,B2088&lt;Eingaben!$B$22),OR(B2088&gt;=Eingaben!$B$21,B2088&lt;Eingaben!$B$22)),"GO",IF(AND(ISNUMBER(Eingaben!$B$23),ISNUMBER(Eingaben!$B$24),IF(Eingaben!$B$23&lt;Eingaben!$B$24,AND(B2088&gt;=Eingaben!$B$23,B2088&lt;Eingaben!$B$24),OR(B2088&gt;=Eingaben!$B$23,B2088&lt;Eingaben!$B$24))),"HEAT","STANDARD"))</f>
        <v>STANDARD</v>
      </c>
      <c r="E2088" s="9"/>
      <c r="F2088" t="str">
        <f>IF(E2088="",D2088,E2088)</f>
        <v>STANDARD</v>
      </c>
      <c r="G2088" t="str">
        <f>INDEX(Netzzeiten!$B$6:$B$29,HOUR(B2088)+1)</f>
        <v>ST</v>
      </c>
      <c r="H2088" s="6">
        <f>IF(F2088="GO",Eingaben!$B$11,IF(F2088="STANDARD",Eingaben!$B$12,IF(AND(F2088="HEAT",ISNUMBER(Eingaben!$B$13)),Eingaben!$B$13,"")))</f>
        <v>28.2744</v>
      </c>
      <c r="I2088" s="6">
        <f>INDEX(Netzzeiten!$C$6:$C$29,HOUR(B2088)+1)</f>
        <v>5.48</v>
      </c>
      <c r="J2088" t="str">
        <f>IF(C2088="","FEHLT",IF(NOT(ISNUMBER(C2088)),"MESSWERT UNGUELTIG",IF(C2088&lt;0,"MESSWERT UNGUELTIG",IF(H2088="","TARIFPREIS FEHLT","OK"))))</f>
        <v>FEHLT</v>
      </c>
      <c r="K2088" s="7">
        <f>IF(J2088&lt;&gt;"OK","",C2088*I2088/100)</f>
        <v/>
      </c>
    </row>
    <row r="2089" spans="1:11">
      <c r="A2089" s="14">
        <v>46164</v>
      </c>
      <c r="B2089" s="15">
        <v>0.6979166666666666</v>
      </c>
      <c r="C2089" s="5">
        <f>IF('96 Werte'!BQ27="","",'96 Werte'!BQ27)</f>
        <v/>
      </c>
      <c r="D2089" t="str">
        <f>IF(IF(Eingaben!$B$21&lt;Eingaben!$B$22,AND(B2089&gt;=Eingaben!$B$21,B2089&lt;Eingaben!$B$22),OR(B2089&gt;=Eingaben!$B$21,B2089&lt;Eingaben!$B$22)),"GO",IF(AND(ISNUMBER(Eingaben!$B$23),ISNUMBER(Eingaben!$B$24),IF(Eingaben!$B$23&lt;Eingaben!$B$24,AND(B2089&gt;=Eingaben!$B$23,B2089&lt;Eingaben!$B$24),OR(B2089&gt;=Eingaben!$B$23,B2089&lt;Eingaben!$B$24))),"HEAT","STANDARD"))</f>
        <v>STANDARD</v>
      </c>
      <c r="E2089" s="9"/>
      <c r="F2089" t="str">
        <f>IF(E2089="",D2089,E2089)</f>
        <v>STANDARD</v>
      </c>
      <c r="G2089" t="str">
        <f>INDEX(Netzzeiten!$B$6:$B$29,HOUR(B2089)+1)</f>
        <v>ST</v>
      </c>
      <c r="H2089" s="6">
        <f>IF(F2089="GO",Eingaben!$B$11,IF(F2089="STANDARD",Eingaben!$B$12,IF(AND(F2089="HEAT",ISNUMBER(Eingaben!$B$13)),Eingaben!$B$13,"")))</f>
        <v>28.2744</v>
      </c>
      <c r="I2089" s="6">
        <f>INDEX(Netzzeiten!$C$6:$C$29,HOUR(B2089)+1)</f>
        <v>5.48</v>
      </c>
      <c r="J2089" t="str">
        <f>IF(C2089="","FEHLT",IF(NOT(ISNUMBER(C2089)),"MESSWERT UNGUELTIG",IF(C2089&lt;0,"MESSWERT UNGUELTIG",IF(H2089="","TARIFPREIS FEHLT","OK"))))</f>
        <v>FEHLT</v>
      </c>
      <c r="K2089" s="7">
        <f>IF(J2089&lt;&gt;"OK","",C2089*I2089/100)</f>
        <v/>
      </c>
    </row>
    <row r="2090" spans="1:11">
      <c r="A2090" s="14">
        <v>46164</v>
      </c>
      <c r="B2090" s="15">
        <v>0.7083333333333334</v>
      </c>
      <c r="C2090" s="5">
        <f>IF('96 Werte'!BR27="","",'96 Werte'!BR27)</f>
        <v/>
      </c>
      <c r="D2090" t="str">
        <f>IF(IF(Eingaben!$B$21&lt;Eingaben!$B$22,AND(B2090&gt;=Eingaben!$B$21,B2090&lt;Eingaben!$B$22),OR(B2090&gt;=Eingaben!$B$21,B2090&lt;Eingaben!$B$22)),"GO",IF(AND(ISNUMBER(Eingaben!$B$23),ISNUMBER(Eingaben!$B$24),IF(Eingaben!$B$23&lt;Eingaben!$B$24,AND(B2090&gt;=Eingaben!$B$23,B2090&lt;Eingaben!$B$24),OR(B2090&gt;=Eingaben!$B$23,B2090&lt;Eingaben!$B$24))),"HEAT","STANDARD"))</f>
        <v>STANDARD</v>
      </c>
      <c r="E2090" s="9"/>
      <c r="F2090" t="str">
        <f>IF(E2090="",D2090,E2090)</f>
        <v>STANDARD</v>
      </c>
      <c r="G2090" t="str">
        <f>INDEX(Netzzeiten!$B$6:$B$29,HOUR(B2090)+1)</f>
        <v>HT</v>
      </c>
      <c r="H2090" s="6">
        <f>IF(F2090="GO",Eingaben!$B$11,IF(F2090="STANDARD",Eingaben!$B$12,IF(AND(F2090="HEAT",ISNUMBER(Eingaben!$B$13)),Eingaben!$B$13,"")))</f>
        <v>28.2744</v>
      </c>
      <c r="I2090" s="6">
        <f>INDEX(Netzzeiten!$C$6:$C$29,HOUR(B2090)+1)</f>
        <v>10.52</v>
      </c>
      <c r="J2090" t="str">
        <f>IF(C2090="","FEHLT",IF(NOT(ISNUMBER(C2090)),"MESSWERT UNGUELTIG",IF(C2090&lt;0,"MESSWERT UNGUELTIG",IF(H2090="","TARIFPREIS FEHLT","OK"))))</f>
        <v>FEHLT</v>
      </c>
      <c r="K2090" s="7">
        <f>IF(J2090&lt;&gt;"OK","",C2090*I2090/100)</f>
        <v/>
      </c>
    </row>
    <row r="2091" spans="1:11">
      <c r="A2091" s="14">
        <v>46164</v>
      </c>
      <c r="B2091" s="15">
        <v>0.71875</v>
      </c>
      <c r="C2091" s="5">
        <f>IF('96 Werte'!BS27="","",'96 Werte'!BS27)</f>
        <v/>
      </c>
      <c r="D2091" t="str">
        <f>IF(IF(Eingaben!$B$21&lt;Eingaben!$B$22,AND(B2091&gt;=Eingaben!$B$21,B2091&lt;Eingaben!$B$22),OR(B2091&gt;=Eingaben!$B$21,B2091&lt;Eingaben!$B$22)),"GO",IF(AND(ISNUMBER(Eingaben!$B$23),ISNUMBER(Eingaben!$B$24),IF(Eingaben!$B$23&lt;Eingaben!$B$24,AND(B2091&gt;=Eingaben!$B$23,B2091&lt;Eingaben!$B$24),OR(B2091&gt;=Eingaben!$B$23,B2091&lt;Eingaben!$B$24))),"HEAT","STANDARD"))</f>
        <v>STANDARD</v>
      </c>
      <c r="E2091" s="9"/>
      <c r="F2091" t="str">
        <f>IF(E2091="",D2091,E2091)</f>
        <v>STANDARD</v>
      </c>
      <c r="G2091" t="str">
        <f>INDEX(Netzzeiten!$B$6:$B$29,HOUR(B2091)+1)</f>
        <v>HT</v>
      </c>
      <c r="H2091" s="6">
        <f>IF(F2091="GO",Eingaben!$B$11,IF(F2091="STANDARD",Eingaben!$B$12,IF(AND(F2091="HEAT",ISNUMBER(Eingaben!$B$13)),Eingaben!$B$13,"")))</f>
        <v>28.2744</v>
      </c>
      <c r="I2091" s="6">
        <f>INDEX(Netzzeiten!$C$6:$C$29,HOUR(B2091)+1)</f>
        <v>10.52</v>
      </c>
      <c r="J2091" t="str">
        <f>IF(C2091="","FEHLT",IF(NOT(ISNUMBER(C2091)),"MESSWERT UNGUELTIG",IF(C2091&lt;0,"MESSWERT UNGUELTIG",IF(H2091="","TARIFPREIS FEHLT","OK"))))</f>
        <v>FEHLT</v>
      </c>
      <c r="K2091" s="7">
        <f>IF(J2091&lt;&gt;"OK","",C2091*I2091/100)</f>
        <v/>
      </c>
    </row>
    <row r="2092" spans="1:11">
      <c r="A2092" s="14">
        <v>46164</v>
      </c>
      <c r="B2092" s="15">
        <v>0.7291666666666666</v>
      </c>
      <c r="C2092" s="5">
        <f>IF('96 Werte'!BT27="","",'96 Werte'!BT27)</f>
        <v/>
      </c>
      <c r="D2092" t="str">
        <f>IF(IF(Eingaben!$B$21&lt;Eingaben!$B$22,AND(B2092&gt;=Eingaben!$B$21,B2092&lt;Eingaben!$B$22),OR(B2092&gt;=Eingaben!$B$21,B2092&lt;Eingaben!$B$22)),"GO",IF(AND(ISNUMBER(Eingaben!$B$23),ISNUMBER(Eingaben!$B$24),IF(Eingaben!$B$23&lt;Eingaben!$B$24,AND(B2092&gt;=Eingaben!$B$23,B2092&lt;Eingaben!$B$24),OR(B2092&gt;=Eingaben!$B$23,B2092&lt;Eingaben!$B$24))),"HEAT","STANDARD"))</f>
        <v>STANDARD</v>
      </c>
      <c r="E2092" s="9"/>
      <c r="F2092" t="str">
        <f>IF(E2092="",D2092,E2092)</f>
        <v>STANDARD</v>
      </c>
      <c r="G2092" t="str">
        <f>INDEX(Netzzeiten!$B$6:$B$29,HOUR(B2092)+1)</f>
        <v>HT</v>
      </c>
      <c r="H2092" s="6">
        <f>IF(F2092="GO",Eingaben!$B$11,IF(F2092="STANDARD",Eingaben!$B$12,IF(AND(F2092="HEAT",ISNUMBER(Eingaben!$B$13)),Eingaben!$B$13,"")))</f>
        <v>28.2744</v>
      </c>
      <c r="I2092" s="6">
        <f>INDEX(Netzzeiten!$C$6:$C$29,HOUR(B2092)+1)</f>
        <v>10.52</v>
      </c>
      <c r="J2092" t="str">
        <f>IF(C2092="","FEHLT",IF(NOT(ISNUMBER(C2092)),"MESSWERT UNGUELTIG",IF(C2092&lt;0,"MESSWERT UNGUELTIG",IF(H2092="","TARIFPREIS FEHLT","OK"))))</f>
        <v>FEHLT</v>
      </c>
      <c r="K2092" s="7">
        <f>IF(J2092&lt;&gt;"OK","",C2092*I2092/100)</f>
        <v/>
      </c>
    </row>
    <row r="2093" spans="1:11">
      <c r="A2093" s="14">
        <v>46164</v>
      </c>
      <c r="B2093" s="15">
        <v>0.7395833333333334</v>
      </c>
      <c r="C2093" s="5">
        <f>IF('96 Werte'!BU27="","",'96 Werte'!BU27)</f>
        <v/>
      </c>
      <c r="D2093" t="str">
        <f>IF(IF(Eingaben!$B$21&lt;Eingaben!$B$22,AND(B2093&gt;=Eingaben!$B$21,B2093&lt;Eingaben!$B$22),OR(B2093&gt;=Eingaben!$B$21,B2093&lt;Eingaben!$B$22)),"GO",IF(AND(ISNUMBER(Eingaben!$B$23),ISNUMBER(Eingaben!$B$24),IF(Eingaben!$B$23&lt;Eingaben!$B$24,AND(B2093&gt;=Eingaben!$B$23,B2093&lt;Eingaben!$B$24),OR(B2093&gt;=Eingaben!$B$23,B2093&lt;Eingaben!$B$24))),"HEAT","STANDARD"))</f>
        <v>STANDARD</v>
      </c>
      <c r="E2093" s="9"/>
      <c r="F2093" t="str">
        <f>IF(E2093="",D2093,E2093)</f>
        <v>STANDARD</v>
      </c>
      <c r="G2093" t="str">
        <f>INDEX(Netzzeiten!$B$6:$B$29,HOUR(B2093)+1)</f>
        <v>HT</v>
      </c>
      <c r="H2093" s="6">
        <f>IF(F2093="GO",Eingaben!$B$11,IF(F2093="STANDARD",Eingaben!$B$12,IF(AND(F2093="HEAT",ISNUMBER(Eingaben!$B$13)),Eingaben!$B$13,"")))</f>
        <v>28.2744</v>
      </c>
      <c r="I2093" s="6">
        <f>INDEX(Netzzeiten!$C$6:$C$29,HOUR(B2093)+1)</f>
        <v>10.52</v>
      </c>
      <c r="J2093" t="str">
        <f>IF(C2093="","FEHLT",IF(NOT(ISNUMBER(C2093)),"MESSWERT UNGUELTIG",IF(C2093&lt;0,"MESSWERT UNGUELTIG",IF(H2093="","TARIFPREIS FEHLT","OK"))))</f>
        <v>FEHLT</v>
      </c>
      <c r="K2093" s="7">
        <f>IF(J2093&lt;&gt;"OK","",C2093*I2093/100)</f>
        <v/>
      </c>
    </row>
    <row r="2094" spans="1:11">
      <c r="A2094" s="14">
        <v>46164</v>
      </c>
      <c r="B2094" s="15">
        <v>0.75</v>
      </c>
      <c r="C2094" s="5">
        <f>IF('96 Werte'!BV27="","",'96 Werte'!BV27)</f>
        <v/>
      </c>
      <c r="D2094" t="str">
        <f>IF(IF(Eingaben!$B$21&lt;Eingaben!$B$22,AND(B2094&gt;=Eingaben!$B$21,B2094&lt;Eingaben!$B$22),OR(B2094&gt;=Eingaben!$B$21,B2094&lt;Eingaben!$B$22)),"GO",IF(AND(ISNUMBER(Eingaben!$B$23),ISNUMBER(Eingaben!$B$24),IF(Eingaben!$B$23&lt;Eingaben!$B$24,AND(B2094&gt;=Eingaben!$B$23,B2094&lt;Eingaben!$B$24),OR(B2094&gt;=Eingaben!$B$23,B2094&lt;Eingaben!$B$24))),"HEAT","STANDARD"))</f>
        <v>STANDARD</v>
      </c>
      <c r="E2094" s="9"/>
      <c r="F2094" t="str">
        <f>IF(E2094="",D2094,E2094)</f>
        <v>STANDARD</v>
      </c>
      <c r="G2094" t="str">
        <f>INDEX(Netzzeiten!$B$6:$B$29,HOUR(B2094)+1)</f>
        <v>HT</v>
      </c>
      <c r="H2094" s="6">
        <f>IF(F2094="GO",Eingaben!$B$11,IF(F2094="STANDARD",Eingaben!$B$12,IF(AND(F2094="HEAT",ISNUMBER(Eingaben!$B$13)),Eingaben!$B$13,"")))</f>
        <v>28.2744</v>
      </c>
      <c r="I2094" s="6">
        <f>INDEX(Netzzeiten!$C$6:$C$29,HOUR(B2094)+1)</f>
        <v>10.52</v>
      </c>
      <c r="J2094" t="str">
        <f>IF(C2094="","FEHLT",IF(NOT(ISNUMBER(C2094)),"MESSWERT UNGUELTIG",IF(C2094&lt;0,"MESSWERT UNGUELTIG",IF(H2094="","TARIFPREIS FEHLT","OK"))))</f>
        <v>FEHLT</v>
      </c>
      <c r="K2094" s="7">
        <f>IF(J2094&lt;&gt;"OK","",C2094*I2094/100)</f>
        <v/>
      </c>
    </row>
    <row r="2095" spans="1:11">
      <c r="A2095" s="14">
        <v>46164</v>
      </c>
      <c r="B2095" s="15">
        <v>0.7604166666666666</v>
      </c>
      <c r="C2095" s="5">
        <f>IF('96 Werte'!BW27="","",'96 Werte'!BW27)</f>
        <v/>
      </c>
      <c r="D2095" t="str">
        <f>IF(IF(Eingaben!$B$21&lt;Eingaben!$B$22,AND(B2095&gt;=Eingaben!$B$21,B2095&lt;Eingaben!$B$22),OR(B2095&gt;=Eingaben!$B$21,B2095&lt;Eingaben!$B$22)),"GO",IF(AND(ISNUMBER(Eingaben!$B$23),ISNUMBER(Eingaben!$B$24),IF(Eingaben!$B$23&lt;Eingaben!$B$24,AND(B2095&gt;=Eingaben!$B$23,B2095&lt;Eingaben!$B$24),OR(B2095&gt;=Eingaben!$B$23,B2095&lt;Eingaben!$B$24))),"HEAT","STANDARD"))</f>
        <v>STANDARD</v>
      </c>
      <c r="E2095" s="9"/>
      <c r="F2095" t="str">
        <f>IF(E2095="",D2095,E2095)</f>
        <v>STANDARD</v>
      </c>
      <c r="G2095" t="str">
        <f>INDEX(Netzzeiten!$B$6:$B$29,HOUR(B2095)+1)</f>
        <v>HT</v>
      </c>
      <c r="H2095" s="6">
        <f>IF(F2095="GO",Eingaben!$B$11,IF(F2095="STANDARD",Eingaben!$B$12,IF(AND(F2095="HEAT",ISNUMBER(Eingaben!$B$13)),Eingaben!$B$13,"")))</f>
        <v>28.2744</v>
      </c>
      <c r="I2095" s="6">
        <f>INDEX(Netzzeiten!$C$6:$C$29,HOUR(B2095)+1)</f>
        <v>10.52</v>
      </c>
      <c r="J2095" t="str">
        <f>IF(C2095="","FEHLT",IF(NOT(ISNUMBER(C2095)),"MESSWERT UNGUELTIG",IF(C2095&lt;0,"MESSWERT UNGUELTIG",IF(H2095="","TARIFPREIS FEHLT","OK"))))</f>
        <v>FEHLT</v>
      </c>
      <c r="K2095" s="7">
        <f>IF(J2095&lt;&gt;"OK","",C2095*I2095/100)</f>
        <v/>
      </c>
    </row>
    <row r="2096" spans="1:11">
      <c r="A2096" s="14">
        <v>46164</v>
      </c>
      <c r="B2096" s="15">
        <v>0.7708333333333334</v>
      </c>
      <c r="C2096" s="5">
        <f>IF('96 Werte'!BX27="","",'96 Werte'!BX27)</f>
        <v/>
      </c>
      <c r="D2096" t="str">
        <f>IF(IF(Eingaben!$B$21&lt;Eingaben!$B$22,AND(B2096&gt;=Eingaben!$B$21,B2096&lt;Eingaben!$B$22),OR(B2096&gt;=Eingaben!$B$21,B2096&lt;Eingaben!$B$22)),"GO",IF(AND(ISNUMBER(Eingaben!$B$23),ISNUMBER(Eingaben!$B$24),IF(Eingaben!$B$23&lt;Eingaben!$B$24,AND(B2096&gt;=Eingaben!$B$23,B2096&lt;Eingaben!$B$24),OR(B2096&gt;=Eingaben!$B$23,B2096&lt;Eingaben!$B$24))),"HEAT","STANDARD"))</f>
        <v>STANDARD</v>
      </c>
      <c r="E2096" s="9"/>
      <c r="F2096" t="str">
        <f>IF(E2096="",D2096,E2096)</f>
        <v>STANDARD</v>
      </c>
      <c r="G2096" t="str">
        <f>INDEX(Netzzeiten!$B$6:$B$29,HOUR(B2096)+1)</f>
        <v>HT</v>
      </c>
      <c r="H2096" s="6">
        <f>IF(F2096="GO",Eingaben!$B$11,IF(F2096="STANDARD",Eingaben!$B$12,IF(AND(F2096="HEAT",ISNUMBER(Eingaben!$B$13)),Eingaben!$B$13,"")))</f>
        <v>28.2744</v>
      </c>
      <c r="I2096" s="6">
        <f>INDEX(Netzzeiten!$C$6:$C$29,HOUR(B2096)+1)</f>
        <v>10.52</v>
      </c>
      <c r="J2096" t="str">
        <f>IF(C2096="","FEHLT",IF(NOT(ISNUMBER(C2096)),"MESSWERT UNGUELTIG",IF(C2096&lt;0,"MESSWERT UNGUELTIG",IF(H2096="","TARIFPREIS FEHLT","OK"))))</f>
        <v>FEHLT</v>
      </c>
      <c r="K2096" s="7">
        <f>IF(J2096&lt;&gt;"OK","",C2096*I2096/100)</f>
        <v/>
      </c>
    </row>
    <row r="2097" spans="1:11">
      <c r="A2097" s="14">
        <v>46164</v>
      </c>
      <c r="B2097" s="15">
        <v>0.78125</v>
      </c>
      <c r="C2097" s="5">
        <f>IF('96 Werte'!BY27="","",'96 Werte'!BY27)</f>
        <v/>
      </c>
      <c r="D2097" t="str">
        <f>IF(IF(Eingaben!$B$21&lt;Eingaben!$B$22,AND(B2097&gt;=Eingaben!$B$21,B2097&lt;Eingaben!$B$22),OR(B2097&gt;=Eingaben!$B$21,B2097&lt;Eingaben!$B$22)),"GO",IF(AND(ISNUMBER(Eingaben!$B$23),ISNUMBER(Eingaben!$B$24),IF(Eingaben!$B$23&lt;Eingaben!$B$24,AND(B2097&gt;=Eingaben!$B$23,B2097&lt;Eingaben!$B$24),OR(B2097&gt;=Eingaben!$B$23,B2097&lt;Eingaben!$B$24))),"HEAT","STANDARD"))</f>
        <v>STANDARD</v>
      </c>
      <c r="E2097" s="9"/>
      <c r="F2097" t="str">
        <f>IF(E2097="",D2097,E2097)</f>
        <v>STANDARD</v>
      </c>
      <c r="G2097" t="str">
        <f>INDEX(Netzzeiten!$B$6:$B$29,HOUR(B2097)+1)</f>
        <v>HT</v>
      </c>
      <c r="H2097" s="6">
        <f>IF(F2097="GO",Eingaben!$B$11,IF(F2097="STANDARD",Eingaben!$B$12,IF(AND(F2097="HEAT",ISNUMBER(Eingaben!$B$13)),Eingaben!$B$13,"")))</f>
        <v>28.2744</v>
      </c>
      <c r="I2097" s="6">
        <f>INDEX(Netzzeiten!$C$6:$C$29,HOUR(B2097)+1)</f>
        <v>10.52</v>
      </c>
      <c r="J2097" t="str">
        <f>IF(C2097="","FEHLT",IF(NOT(ISNUMBER(C2097)),"MESSWERT UNGUELTIG",IF(C2097&lt;0,"MESSWERT UNGUELTIG",IF(H2097="","TARIFPREIS FEHLT","OK"))))</f>
        <v>FEHLT</v>
      </c>
      <c r="K2097" s="7">
        <f>IF(J2097&lt;&gt;"OK","",C2097*I2097/100)</f>
        <v/>
      </c>
    </row>
    <row r="2098" spans="1:11">
      <c r="A2098" s="14">
        <v>46164</v>
      </c>
      <c r="B2098" s="15">
        <v>0.7916666666666666</v>
      </c>
      <c r="C2098" s="5">
        <f>IF('96 Werte'!BZ27="","",'96 Werte'!BZ27)</f>
        <v/>
      </c>
      <c r="D2098" t="str">
        <f>IF(IF(Eingaben!$B$21&lt;Eingaben!$B$22,AND(B2098&gt;=Eingaben!$B$21,B2098&lt;Eingaben!$B$22),OR(B2098&gt;=Eingaben!$B$21,B2098&lt;Eingaben!$B$22)),"GO",IF(AND(ISNUMBER(Eingaben!$B$23),ISNUMBER(Eingaben!$B$24),IF(Eingaben!$B$23&lt;Eingaben!$B$24,AND(B2098&gt;=Eingaben!$B$23,B2098&lt;Eingaben!$B$24),OR(B2098&gt;=Eingaben!$B$23,B2098&lt;Eingaben!$B$24))),"HEAT","STANDARD"))</f>
        <v>STANDARD</v>
      </c>
      <c r="E2098" s="9"/>
      <c r="F2098" t="str">
        <f>IF(E2098="",D2098,E2098)</f>
        <v>STANDARD</v>
      </c>
      <c r="G2098" t="str">
        <f>INDEX(Netzzeiten!$B$6:$B$29,HOUR(B2098)+1)</f>
        <v>HT</v>
      </c>
      <c r="H2098" s="6">
        <f>IF(F2098="GO",Eingaben!$B$11,IF(F2098="STANDARD",Eingaben!$B$12,IF(AND(F2098="HEAT",ISNUMBER(Eingaben!$B$13)),Eingaben!$B$13,"")))</f>
        <v>28.2744</v>
      </c>
      <c r="I2098" s="6">
        <f>INDEX(Netzzeiten!$C$6:$C$29,HOUR(B2098)+1)</f>
        <v>10.52</v>
      </c>
      <c r="J2098" t="str">
        <f>IF(C2098="","FEHLT",IF(NOT(ISNUMBER(C2098)),"MESSWERT UNGUELTIG",IF(C2098&lt;0,"MESSWERT UNGUELTIG",IF(H2098="","TARIFPREIS FEHLT","OK"))))</f>
        <v>FEHLT</v>
      </c>
      <c r="K2098" s="7">
        <f>IF(J2098&lt;&gt;"OK","",C2098*I2098/100)</f>
        <v/>
      </c>
    </row>
    <row r="2099" spans="1:11">
      <c r="A2099" s="14">
        <v>46164</v>
      </c>
      <c r="B2099" s="15">
        <v>0.8020833333333334</v>
      </c>
      <c r="C2099" s="5">
        <f>IF('96 Werte'!CA27="","",'96 Werte'!CA27)</f>
        <v/>
      </c>
      <c r="D2099" t="str">
        <f>IF(IF(Eingaben!$B$21&lt;Eingaben!$B$22,AND(B2099&gt;=Eingaben!$B$21,B2099&lt;Eingaben!$B$22),OR(B2099&gt;=Eingaben!$B$21,B2099&lt;Eingaben!$B$22)),"GO",IF(AND(ISNUMBER(Eingaben!$B$23),ISNUMBER(Eingaben!$B$24),IF(Eingaben!$B$23&lt;Eingaben!$B$24,AND(B2099&gt;=Eingaben!$B$23,B2099&lt;Eingaben!$B$24),OR(B2099&gt;=Eingaben!$B$23,B2099&lt;Eingaben!$B$24))),"HEAT","STANDARD"))</f>
        <v>STANDARD</v>
      </c>
      <c r="E2099" s="9"/>
      <c r="F2099" t="str">
        <f>IF(E2099="",D2099,E2099)</f>
        <v>STANDARD</v>
      </c>
      <c r="G2099" t="str">
        <f>INDEX(Netzzeiten!$B$6:$B$29,HOUR(B2099)+1)</f>
        <v>HT</v>
      </c>
      <c r="H2099" s="6">
        <f>IF(F2099="GO",Eingaben!$B$11,IF(F2099="STANDARD",Eingaben!$B$12,IF(AND(F2099="HEAT",ISNUMBER(Eingaben!$B$13)),Eingaben!$B$13,"")))</f>
        <v>28.2744</v>
      </c>
      <c r="I2099" s="6">
        <f>INDEX(Netzzeiten!$C$6:$C$29,HOUR(B2099)+1)</f>
        <v>10.52</v>
      </c>
      <c r="J2099" t="str">
        <f>IF(C2099="","FEHLT",IF(NOT(ISNUMBER(C2099)),"MESSWERT UNGUELTIG",IF(C2099&lt;0,"MESSWERT UNGUELTIG",IF(H2099="","TARIFPREIS FEHLT","OK"))))</f>
        <v>FEHLT</v>
      </c>
      <c r="K2099" s="7">
        <f>IF(J2099&lt;&gt;"OK","",C2099*I2099/100)</f>
        <v/>
      </c>
    </row>
    <row r="2100" spans="1:11">
      <c r="A2100" s="14">
        <v>46164</v>
      </c>
      <c r="B2100" s="15">
        <v>0.8125</v>
      </c>
      <c r="C2100" s="5">
        <f>IF('96 Werte'!CB27="","",'96 Werte'!CB27)</f>
        <v/>
      </c>
      <c r="D2100" t="str">
        <f>IF(IF(Eingaben!$B$21&lt;Eingaben!$B$22,AND(B2100&gt;=Eingaben!$B$21,B2100&lt;Eingaben!$B$22),OR(B2100&gt;=Eingaben!$B$21,B2100&lt;Eingaben!$B$22)),"GO",IF(AND(ISNUMBER(Eingaben!$B$23),ISNUMBER(Eingaben!$B$24),IF(Eingaben!$B$23&lt;Eingaben!$B$24,AND(B2100&gt;=Eingaben!$B$23,B2100&lt;Eingaben!$B$24),OR(B2100&gt;=Eingaben!$B$23,B2100&lt;Eingaben!$B$24))),"HEAT","STANDARD"))</f>
        <v>STANDARD</v>
      </c>
      <c r="E2100" s="9"/>
      <c r="F2100" t="str">
        <f>IF(E2100="",D2100,E2100)</f>
        <v>STANDARD</v>
      </c>
      <c r="G2100" t="str">
        <f>INDEX(Netzzeiten!$B$6:$B$29,HOUR(B2100)+1)</f>
        <v>HT</v>
      </c>
      <c r="H2100" s="6">
        <f>IF(F2100="GO",Eingaben!$B$11,IF(F2100="STANDARD",Eingaben!$B$12,IF(AND(F2100="HEAT",ISNUMBER(Eingaben!$B$13)),Eingaben!$B$13,"")))</f>
        <v>28.2744</v>
      </c>
      <c r="I2100" s="6">
        <f>INDEX(Netzzeiten!$C$6:$C$29,HOUR(B2100)+1)</f>
        <v>10.52</v>
      </c>
      <c r="J2100" t="str">
        <f>IF(C2100="","FEHLT",IF(NOT(ISNUMBER(C2100)),"MESSWERT UNGUELTIG",IF(C2100&lt;0,"MESSWERT UNGUELTIG",IF(H2100="","TARIFPREIS FEHLT","OK"))))</f>
        <v>FEHLT</v>
      </c>
      <c r="K2100" s="7">
        <f>IF(J2100&lt;&gt;"OK","",C2100*I2100/100)</f>
        <v/>
      </c>
    </row>
    <row r="2101" spans="1:11">
      <c r="A2101" s="14">
        <v>46164</v>
      </c>
      <c r="B2101" s="15">
        <v>0.8229166666666666</v>
      </c>
      <c r="C2101" s="5">
        <f>IF('96 Werte'!CC27="","",'96 Werte'!CC27)</f>
        <v/>
      </c>
      <c r="D2101" t="str">
        <f>IF(IF(Eingaben!$B$21&lt;Eingaben!$B$22,AND(B2101&gt;=Eingaben!$B$21,B2101&lt;Eingaben!$B$22),OR(B2101&gt;=Eingaben!$B$21,B2101&lt;Eingaben!$B$22)),"GO",IF(AND(ISNUMBER(Eingaben!$B$23),ISNUMBER(Eingaben!$B$24),IF(Eingaben!$B$23&lt;Eingaben!$B$24,AND(B2101&gt;=Eingaben!$B$23,B2101&lt;Eingaben!$B$24),OR(B2101&gt;=Eingaben!$B$23,B2101&lt;Eingaben!$B$24))),"HEAT","STANDARD"))</f>
        <v>STANDARD</v>
      </c>
      <c r="E2101" s="9"/>
      <c r="F2101" t="str">
        <f>IF(E2101="",D2101,E2101)</f>
        <v>STANDARD</v>
      </c>
      <c r="G2101" t="str">
        <f>INDEX(Netzzeiten!$B$6:$B$29,HOUR(B2101)+1)</f>
        <v>HT</v>
      </c>
      <c r="H2101" s="6">
        <f>IF(F2101="GO",Eingaben!$B$11,IF(F2101="STANDARD",Eingaben!$B$12,IF(AND(F2101="HEAT",ISNUMBER(Eingaben!$B$13)),Eingaben!$B$13,"")))</f>
        <v>28.2744</v>
      </c>
      <c r="I2101" s="6">
        <f>INDEX(Netzzeiten!$C$6:$C$29,HOUR(B2101)+1)</f>
        <v>10.52</v>
      </c>
      <c r="J2101" t="str">
        <f>IF(C2101="","FEHLT",IF(NOT(ISNUMBER(C2101)),"MESSWERT UNGUELTIG",IF(C2101&lt;0,"MESSWERT UNGUELTIG",IF(H2101="","TARIFPREIS FEHLT","OK"))))</f>
        <v>FEHLT</v>
      </c>
      <c r="K2101" s="7">
        <f>IF(J2101&lt;&gt;"OK","",C2101*I2101/100)</f>
        <v/>
      </c>
    </row>
    <row r="2102" spans="1:11">
      <c r="A2102" s="14">
        <v>46164</v>
      </c>
      <c r="B2102" s="15">
        <v>0.8333333333333334</v>
      </c>
      <c r="C2102" s="5">
        <f>IF('96 Werte'!CD27="","",'96 Werte'!CD27)</f>
        <v/>
      </c>
      <c r="D2102" t="str">
        <f>IF(IF(Eingaben!$B$21&lt;Eingaben!$B$22,AND(B2102&gt;=Eingaben!$B$21,B2102&lt;Eingaben!$B$22),OR(B2102&gt;=Eingaben!$B$21,B2102&lt;Eingaben!$B$22)),"GO",IF(AND(ISNUMBER(Eingaben!$B$23),ISNUMBER(Eingaben!$B$24),IF(Eingaben!$B$23&lt;Eingaben!$B$24,AND(B2102&gt;=Eingaben!$B$23,B2102&lt;Eingaben!$B$24),OR(B2102&gt;=Eingaben!$B$23,B2102&lt;Eingaben!$B$24))),"HEAT","STANDARD"))</f>
        <v>STANDARD</v>
      </c>
      <c r="E2102" s="9"/>
      <c r="F2102" t="str">
        <f>IF(E2102="",D2102,E2102)</f>
        <v>STANDARD</v>
      </c>
      <c r="G2102" t="str">
        <f>INDEX(Netzzeiten!$B$6:$B$29,HOUR(B2102)+1)</f>
        <v>HT</v>
      </c>
      <c r="H2102" s="6">
        <f>IF(F2102="GO",Eingaben!$B$11,IF(F2102="STANDARD",Eingaben!$B$12,IF(AND(F2102="HEAT",ISNUMBER(Eingaben!$B$13)),Eingaben!$B$13,"")))</f>
        <v>28.2744</v>
      </c>
      <c r="I2102" s="6">
        <f>INDEX(Netzzeiten!$C$6:$C$29,HOUR(B2102)+1)</f>
        <v>10.52</v>
      </c>
      <c r="J2102" t="str">
        <f>IF(C2102="","FEHLT",IF(NOT(ISNUMBER(C2102)),"MESSWERT UNGUELTIG",IF(C2102&lt;0,"MESSWERT UNGUELTIG",IF(H2102="","TARIFPREIS FEHLT","OK"))))</f>
        <v>FEHLT</v>
      </c>
      <c r="K2102" s="7">
        <f>IF(J2102&lt;&gt;"OK","",C2102*I2102/100)</f>
        <v/>
      </c>
    </row>
    <row r="2103" spans="1:11">
      <c r="A2103" s="14">
        <v>46164</v>
      </c>
      <c r="B2103" s="15">
        <v>0.84375</v>
      </c>
      <c r="C2103" s="5">
        <f>IF('96 Werte'!CE27="","",'96 Werte'!CE27)</f>
        <v/>
      </c>
      <c r="D2103" t="str">
        <f>IF(IF(Eingaben!$B$21&lt;Eingaben!$B$22,AND(B2103&gt;=Eingaben!$B$21,B2103&lt;Eingaben!$B$22),OR(B2103&gt;=Eingaben!$B$21,B2103&lt;Eingaben!$B$22)),"GO",IF(AND(ISNUMBER(Eingaben!$B$23),ISNUMBER(Eingaben!$B$24),IF(Eingaben!$B$23&lt;Eingaben!$B$24,AND(B2103&gt;=Eingaben!$B$23,B2103&lt;Eingaben!$B$24),OR(B2103&gt;=Eingaben!$B$23,B2103&lt;Eingaben!$B$24))),"HEAT","STANDARD"))</f>
        <v>STANDARD</v>
      </c>
      <c r="E2103" s="9"/>
      <c r="F2103" t="str">
        <f>IF(E2103="",D2103,E2103)</f>
        <v>STANDARD</v>
      </c>
      <c r="G2103" t="str">
        <f>INDEX(Netzzeiten!$B$6:$B$29,HOUR(B2103)+1)</f>
        <v>HT</v>
      </c>
      <c r="H2103" s="6">
        <f>IF(F2103="GO",Eingaben!$B$11,IF(F2103="STANDARD",Eingaben!$B$12,IF(AND(F2103="HEAT",ISNUMBER(Eingaben!$B$13)),Eingaben!$B$13,"")))</f>
        <v>28.2744</v>
      </c>
      <c r="I2103" s="6">
        <f>INDEX(Netzzeiten!$C$6:$C$29,HOUR(B2103)+1)</f>
        <v>10.52</v>
      </c>
      <c r="J2103" t="str">
        <f>IF(C2103="","FEHLT",IF(NOT(ISNUMBER(C2103)),"MESSWERT UNGUELTIG",IF(C2103&lt;0,"MESSWERT UNGUELTIG",IF(H2103="","TARIFPREIS FEHLT","OK"))))</f>
        <v>FEHLT</v>
      </c>
      <c r="K2103" s="7">
        <f>IF(J2103&lt;&gt;"OK","",C2103*I2103/100)</f>
        <v/>
      </c>
    </row>
    <row r="2104" spans="1:11">
      <c r="A2104" s="14">
        <v>46164</v>
      </c>
      <c r="B2104" s="15">
        <v>0.8541666666666666</v>
      </c>
      <c r="C2104" s="5">
        <f>IF('96 Werte'!CF27="","",'96 Werte'!CF27)</f>
        <v/>
      </c>
      <c r="D2104" t="str">
        <f>IF(IF(Eingaben!$B$21&lt;Eingaben!$B$22,AND(B2104&gt;=Eingaben!$B$21,B2104&lt;Eingaben!$B$22),OR(B2104&gt;=Eingaben!$B$21,B2104&lt;Eingaben!$B$22)),"GO",IF(AND(ISNUMBER(Eingaben!$B$23),ISNUMBER(Eingaben!$B$24),IF(Eingaben!$B$23&lt;Eingaben!$B$24,AND(B2104&gt;=Eingaben!$B$23,B2104&lt;Eingaben!$B$24),OR(B2104&gt;=Eingaben!$B$23,B2104&lt;Eingaben!$B$24))),"HEAT","STANDARD"))</f>
        <v>STANDARD</v>
      </c>
      <c r="E2104" s="9"/>
      <c r="F2104" t="str">
        <f>IF(E2104="",D2104,E2104)</f>
        <v>STANDARD</v>
      </c>
      <c r="G2104" t="str">
        <f>INDEX(Netzzeiten!$B$6:$B$29,HOUR(B2104)+1)</f>
        <v>HT</v>
      </c>
      <c r="H2104" s="6">
        <f>IF(F2104="GO",Eingaben!$B$11,IF(F2104="STANDARD",Eingaben!$B$12,IF(AND(F2104="HEAT",ISNUMBER(Eingaben!$B$13)),Eingaben!$B$13,"")))</f>
        <v>28.2744</v>
      </c>
      <c r="I2104" s="6">
        <f>INDEX(Netzzeiten!$C$6:$C$29,HOUR(B2104)+1)</f>
        <v>10.52</v>
      </c>
      <c r="J2104" t="str">
        <f>IF(C2104="","FEHLT",IF(NOT(ISNUMBER(C2104)),"MESSWERT UNGUELTIG",IF(C2104&lt;0,"MESSWERT UNGUELTIG",IF(H2104="","TARIFPREIS FEHLT","OK"))))</f>
        <v>FEHLT</v>
      </c>
      <c r="K2104" s="7">
        <f>IF(J2104&lt;&gt;"OK","",C2104*I2104/100)</f>
        <v/>
      </c>
    </row>
    <row r="2105" spans="1:11">
      <c r="A2105" s="14">
        <v>46164</v>
      </c>
      <c r="B2105" s="15">
        <v>0.8645833333333334</v>
      </c>
      <c r="C2105" s="5">
        <f>IF('96 Werte'!CG27="","",'96 Werte'!CG27)</f>
        <v/>
      </c>
      <c r="D2105" t="str">
        <f>IF(IF(Eingaben!$B$21&lt;Eingaben!$B$22,AND(B2105&gt;=Eingaben!$B$21,B2105&lt;Eingaben!$B$22),OR(B2105&gt;=Eingaben!$B$21,B2105&lt;Eingaben!$B$22)),"GO",IF(AND(ISNUMBER(Eingaben!$B$23),ISNUMBER(Eingaben!$B$24),IF(Eingaben!$B$23&lt;Eingaben!$B$24,AND(B2105&gt;=Eingaben!$B$23,B2105&lt;Eingaben!$B$24),OR(B2105&gt;=Eingaben!$B$23,B2105&lt;Eingaben!$B$24))),"HEAT","STANDARD"))</f>
        <v>STANDARD</v>
      </c>
      <c r="E2105" s="9"/>
      <c r="F2105" t="str">
        <f>IF(E2105="",D2105,E2105)</f>
        <v>STANDARD</v>
      </c>
      <c r="G2105" t="str">
        <f>INDEX(Netzzeiten!$B$6:$B$29,HOUR(B2105)+1)</f>
        <v>HT</v>
      </c>
      <c r="H2105" s="6">
        <f>IF(F2105="GO",Eingaben!$B$11,IF(F2105="STANDARD",Eingaben!$B$12,IF(AND(F2105="HEAT",ISNUMBER(Eingaben!$B$13)),Eingaben!$B$13,"")))</f>
        <v>28.2744</v>
      </c>
      <c r="I2105" s="6">
        <f>INDEX(Netzzeiten!$C$6:$C$29,HOUR(B2105)+1)</f>
        <v>10.52</v>
      </c>
      <c r="J2105" t="str">
        <f>IF(C2105="","FEHLT",IF(NOT(ISNUMBER(C2105)),"MESSWERT UNGUELTIG",IF(C2105&lt;0,"MESSWERT UNGUELTIG",IF(H2105="","TARIFPREIS FEHLT","OK"))))</f>
        <v>FEHLT</v>
      </c>
      <c r="K2105" s="7">
        <f>IF(J2105&lt;&gt;"OK","",C2105*I2105/100)</f>
        <v/>
      </c>
    </row>
    <row r="2106" spans="1:11">
      <c r="A2106" s="14">
        <v>46164</v>
      </c>
      <c r="B2106" s="15">
        <v>0.875</v>
      </c>
      <c r="C2106" s="5">
        <f>IF('96 Werte'!CH27="","",'96 Werte'!CH27)</f>
        <v/>
      </c>
      <c r="D2106" t="str">
        <f>IF(IF(Eingaben!$B$21&lt;Eingaben!$B$22,AND(B2106&gt;=Eingaben!$B$21,B2106&lt;Eingaben!$B$22),OR(B2106&gt;=Eingaben!$B$21,B2106&lt;Eingaben!$B$22)),"GO",IF(AND(ISNUMBER(Eingaben!$B$23),ISNUMBER(Eingaben!$B$24),IF(Eingaben!$B$23&lt;Eingaben!$B$24,AND(B2106&gt;=Eingaben!$B$23,B2106&lt;Eingaben!$B$24),OR(B2106&gt;=Eingaben!$B$23,B2106&lt;Eingaben!$B$24))),"HEAT","STANDARD"))</f>
        <v>STANDARD</v>
      </c>
      <c r="E2106" s="9"/>
      <c r="F2106" t="str">
        <f>IF(E2106="",D2106,E2106)</f>
        <v>STANDARD</v>
      </c>
      <c r="G2106" t="str">
        <f>INDEX(Netzzeiten!$B$6:$B$29,HOUR(B2106)+1)</f>
        <v>HT</v>
      </c>
      <c r="H2106" s="6">
        <f>IF(F2106="GO",Eingaben!$B$11,IF(F2106="STANDARD",Eingaben!$B$12,IF(AND(F2106="HEAT",ISNUMBER(Eingaben!$B$13)),Eingaben!$B$13,"")))</f>
        <v>28.2744</v>
      </c>
      <c r="I2106" s="6">
        <f>INDEX(Netzzeiten!$C$6:$C$29,HOUR(B2106)+1)</f>
        <v>10.52</v>
      </c>
      <c r="J2106" t="str">
        <f>IF(C2106="","FEHLT",IF(NOT(ISNUMBER(C2106)),"MESSWERT UNGUELTIG",IF(C2106&lt;0,"MESSWERT UNGUELTIG",IF(H2106="","TARIFPREIS FEHLT","OK"))))</f>
        <v>FEHLT</v>
      </c>
      <c r="K2106" s="7">
        <f>IF(J2106&lt;&gt;"OK","",C2106*I2106/100)</f>
        <v/>
      </c>
    </row>
    <row r="2107" spans="1:11">
      <c r="A2107" s="14">
        <v>46164</v>
      </c>
      <c r="B2107" s="15">
        <v>0.8854166666666666</v>
      </c>
      <c r="C2107" s="5">
        <f>IF('96 Werte'!CI27="","",'96 Werte'!CI27)</f>
        <v/>
      </c>
      <c r="D2107" t="str">
        <f>IF(IF(Eingaben!$B$21&lt;Eingaben!$B$22,AND(B2107&gt;=Eingaben!$B$21,B2107&lt;Eingaben!$B$22),OR(B2107&gt;=Eingaben!$B$21,B2107&lt;Eingaben!$B$22)),"GO",IF(AND(ISNUMBER(Eingaben!$B$23),ISNUMBER(Eingaben!$B$24),IF(Eingaben!$B$23&lt;Eingaben!$B$24,AND(B2107&gt;=Eingaben!$B$23,B2107&lt;Eingaben!$B$24),OR(B2107&gt;=Eingaben!$B$23,B2107&lt;Eingaben!$B$24))),"HEAT","STANDARD"))</f>
        <v>STANDARD</v>
      </c>
      <c r="E2107" s="9"/>
      <c r="F2107" t="str">
        <f>IF(E2107="",D2107,E2107)</f>
        <v>STANDARD</v>
      </c>
      <c r="G2107" t="str">
        <f>INDEX(Netzzeiten!$B$6:$B$29,HOUR(B2107)+1)</f>
        <v>HT</v>
      </c>
      <c r="H2107" s="6">
        <f>IF(F2107="GO",Eingaben!$B$11,IF(F2107="STANDARD",Eingaben!$B$12,IF(AND(F2107="HEAT",ISNUMBER(Eingaben!$B$13)),Eingaben!$B$13,"")))</f>
        <v>28.2744</v>
      </c>
      <c r="I2107" s="6">
        <f>INDEX(Netzzeiten!$C$6:$C$29,HOUR(B2107)+1)</f>
        <v>10.52</v>
      </c>
      <c r="J2107" t="str">
        <f>IF(C2107="","FEHLT",IF(NOT(ISNUMBER(C2107)),"MESSWERT UNGUELTIG",IF(C2107&lt;0,"MESSWERT UNGUELTIG",IF(H2107="","TARIFPREIS FEHLT","OK"))))</f>
        <v>FEHLT</v>
      </c>
      <c r="K2107" s="7">
        <f>IF(J2107&lt;&gt;"OK","",C2107*I2107/100)</f>
        <v/>
      </c>
    </row>
    <row r="2108" spans="1:11">
      <c r="A2108" s="14">
        <v>46164</v>
      </c>
      <c r="B2108" s="15">
        <v>0.8958333333333334</v>
      </c>
      <c r="C2108" s="5">
        <f>IF('96 Werte'!CJ27="","",'96 Werte'!CJ27)</f>
        <v/>
      </c>
      <c r="D2108" t="str">
        <f>IF(IF(Eingaben!$B$21&lt;Eingaben!$B$22,AND(B2108&gt;=Eingaben!$B$21,B2108&lt;Eingaben!$B$22),OR(B2108&gt;=Eingaben!$B$21,B2108&lt;Eingaben!$B$22)),"GO",IF(AND(ISNUMBER(Eingaben!$B$23),ISNUMBER(Eingaben!$B$24),IF(Eingaben!$B$23&lt;Eingaben!$B$24,AND(B2108&gt;=Eingaben!$B$23,B2108&lt;Eingaben!$B$24),OR(B2108&gt;=Eingaben!$B$23,B2108&lt;Eingaben!$B$24))),"HEAT","STANDARD"))</f>
        <v>STANDARD</v>
      </c>
      <c r="E2108" s="9"/>
      <c r="F2108" t="str">
        <f>IF(E2108="",D2108,E2108)</f>
        <v>STANDARD</v>
      </c>
      <c r="G2108" t="str">
        <f>INDEX(Netzzeiten!$B$6:$B$29,HOUR(B2108)+1)</f>
        <v>HT</v>
      </c>
      <c r="H2108" s="6">
        <f>IF(F2108="GO",Eingaben!$B$11,IF(F2108="STANDARD",Eingaben!$B$12,IF(AND(F2108="HEAT",ISNUMBER(Eingaben!$B$13)),Eingaben!$B$13,"")))</f>
        <v>28.2744</v>
      </c>
      <c r="I2108" s="6">
        <f>INDEX(Netzzeiten!$C$6:$C$29,HOUR(B2108)+1)</f>
        <v>10.52</v>
      </c>
      <c r="J2108" t="str">
        <f>IF(C2108="","FEHLT",IF(NOT(ISNUMBER(C2108)),"MESSWERT UNGUELTIG",IF(C2108&lt;0,"MESSWERT UNGUELTIG",IF(H2108="","TARIFPREIS FEHLT","OK"))))</f>
        <v>FEHLT</v>
      </c>
      <c r="K2108" s="7">
        <f>IF(J2108&lt;&gt;"OK","",C2108*I2108/100)</f>
        <v/>
      </c>
    </row>
    <row r="2109" spans="1:11">
      <c r="A2109" s="14">
        <v>46164</v>
      </c>
      <c r="B2109" s="15">
        <v>0.90625</v>
      </c>
      <c r="C2109" s="5">
        <f>IF('96 Werte'!CK27="","",'96 Werte'!CK27)</f>
        <v/>
      </c>
      <c r="D2109" t="str">
        <f>IF(IF(Eingaben!$B$21&lt;Eingaben!$B$22,AND(B2109&gt;=Eingaben!$B$21,B2109&lt;Eingaben!$B$22),OR(B2109&gt;=Eingaben!$B$21,B2109&lt;Eingaben!$B$22)),"GO",IF(AND(ISNUMBER(Eingaben!$B$23),ISNUMBER(Eingaben!$B$24),IF(Eingaben!$B$23&lt;Eingaben!$B$24,AND(B2109&gt;=Eingaben!$B$23,B2109&lt;Eingaben!$B$24),OR(B2109&gt;=Eingaben!$B$23,B2109&lt;Eingaben!$B$24))),"HEAT","STANDARD"))</f>
        <v>STANDARD</v>
      </c>
      <c r="E2109" s="9"/>
      <c r="F2109" t="str">
        <f>IF(E2109="",D2109,E2109)</f>
        <v>STANDARD</v>
      </c>
      <c r="G2109" t="str">
        <f>INDEX(Netzzeiten!$B$6:$B$29,HOUR(B2109)+1)</f>
        <v>HT</v>
      </c>
      <c r="H2109" s="6">
        <f>IF(F2109="GO",Eingaben!$B$11,IF(F2109="STANDARD",Eingaben!$B$12,IF(AND(F2109="HEAT",ISNUMBER(Eingaben!$B$13)),Eingaben!$B$13,"")))</f>
        <v>28.2744</v>
      </c>
      <c r="I2109" s="6">
        <f>INDEX(Netzzeiten!$C$6:$C$29,HOUR(B2109)+1)</f>
        <v>10.52</v>
      </c>
      <c r="J2109" t="str">
        <f>IF(C2109="","FEHLT",IF(NOT(ISNUMBER(C2109)),"MESSWERT UNGUELTIG",IF(C2109&lt;0,"MESSWERT UNGUELTIG",IF(H2109="","TARIFPREIS FEHLT","OK"))))</f>
        <v>FEHLT</v>
      </c>
      <c r="K2109" s="7">
        <f>IF(J2109&lt;&gt;"OK","",C2109*I2109/100)</f>
        <v/>
      </c>
    </row>
    <row r="2110" spans="1:11">
      <c r="A2110" s="14">
        <v>46164</v>
      </c>
      <c r="B2110" s="15">
        <v>0.9166666666666666</v>
      </c>
      <c r="C2110" s="5">
        <f>IF('96 Werte'!CL27="","",'96 Werte'!CL27)</f>
        <v/>
      </c>
      <c r="D2110" t="str">
        <f>IF(IF(Eingaben!$B$21&lt;Eingaben!$B$22,AND(B2110&gt;=Eingaben!$B$21,B2110&lt;Eingaben!$B$22),OR(B2110&gt;=Eingaben!$B$21,B2110&lt;Eingaben!$B$22)),"GO",IF(AND(ISNUMBER(Eingaben!$B$23),ISNUMBER(Eingaben!$B$24),IF(Eingaben!$B$23&lt;Eingaben!$B$24,AND(B2110&gt;=Eingaben!$B$23,B2110&lt;Eingaben!$B$24),OR(B2110&gt;=Eingaben!$B$23,B2110&lt;Eingaben!$B$24))),"HEAT","STANDARD"))</f>
        <v>STANDARD</v>
      </c>
      <c r="E2110" s="9"/>
      <c r="F2110" t="str">
        <f>IF(E2110="",D2110,E2110)</f>
        <v>STANDARD</v>
      </c>
      <c r="G2110" t="str">
        <f>INDEX(Netzzeiten!$B$6:$B$29,HOUR(B2110)+1)</f>
        <v>ST</v>
      </c>
      <c r="H2110" s="6">
        <f>IF(F2110="GO",Eingaben!$B$11,IF(F2110="STANDARD",Eingaben!$B$12,IF(AND(F2110="HEAT",ISNUMBER(Eingaben!$B$13)),Eingaben!$B$13,"")))</f>
        <v>28.2744</v>
      </c>
      <c r="I2110" s="6">
        <f>INDEX(Netzzeiten!$C$6:$C$29,HOUR(B2110)+1)</f>
        <v>5.48</v>
      </c>
      <c r="J2110" t="str">
        <f>IF(C2110="","FEHLT",IF(NOT(ISNUMBER(C2110)),"MESSWERT UNGUELTIG",IF(C2110&lt;0,"MESSWERT UNGUELTIG",IF(H2110="","TARIFPREIS FEHLT","OK"))))</f>
        <v>FEHLT</v>
      </c>
      <c r="K2110" s="7">
        <f>IF(J2110&lt;&gt;"OK","",C2110*I2110/100)</f>
        <v/>
      </c>
    </row>
    <row r="2111" spans="1:11">
      <c r="A2111" s="14">
        <v>46164</v>
      </c>
      <c r="B2111" s="15">
        <v>0.9270833333333334</v>
      </c>
      <c r="C2111" s="5">
        <f>IF('96 Werte'!CM27="","",'96 Werte'!CM27)</f>
        <v/>
      </c>
      <c r="D2111" t="str">
        <f>IF(IF(Eingaben!$B$21&lt;Eingaben!$B$22,AND(B2111&gt;=Eingaben!$B$21,B2111&lt;Eingaben!$B$22),OR(B2111&gt;=Eingaben!$B$21,B2111&lt;Eingaben!$B$22)),"GO",IF(AND(ISNUMBER(Eingaben!$B$23),ISNUMBER(Eingaben!$B$24),IF(Eingaben!$B$23&lt;Eingaben!$B$24,AND(B2111&gt;=Eingaben!$B$23,B2111&lt;Eingaben!$B$24),OR(B2111&gt;=Eingaben!$B$23,B2111&lt;Eingaben!$B$24))),"HEAT","STANDARD"))</f>
        <v>STANDARD</v>
      </c>
      <c r="E2111" s="9"/>
      <c r="F2111" t="str">
        <f>IF(E2111="",D2111,E2111)</f>
        <v>STANDARD</v>
      </c>
      <c r="G2111" t="str">
        <f>INDEX(Netzzeiten!$B$6:$B$29,HOUR(B2111)+1)</f>
        <v>ST</v>
      </c>
      <c r="H2111" s="6">
        <f>IF(F2111="GO",Eingaben!$B$11,IF(F2111="STANDARD",Eingaben!$B$12,IF(AND(F2111="HEAT",ISNUMBER(Eingaben!$B$13)),Eingaben!$B$13,"")))</f>
        <v>28.2744</v>
      </c>
      <c r="I2111" s="6">
        <f>INDEX(Netzzeiten!$C$6:$C$29,HOUR(B2111)+1)</f>
        <v>5.48</v>
      </c>
      <c r="J2111" t="str">
        <f>IF(C2111="","FEHLT",IF(NOT(ISNUMBER(C2111)),"MESSWERT UNGUELTIG",IF(C2111&lt;0,"MESSWERT UNGUELTIG",IF(H2111="","TARIFPREIS FEHLT","OK"))))</f>
        <v>FEHLT</v>
      </c>
      <c r="K2111" s="7">
        <f>IF(J2111&lt;&gt;"OK","",C2111*I2111/100)</f>
        <v/>
      </c>
    </row>
    <row r="2112" spans="1:11">
      <c r="A2112" s="14">
        <v>46164</v>
      </c>
      <c r="B2112" s="15">
        <v>0.9375</v>
      </c>
      <c r="C2112" s="5">
        <f>IF('96 Werte'!CN27="","",'96 Werte'!CN27)</f>
        <v/>
      </c>
      <c r="D2112" t="str">
        <f>IF(IF(Eingaben!$B$21&lt;Eingaben!$B$22,AND(B2112&gt;=Eingaben!$B$21,B2112&lt;Eingaben!$B$22),OR(B2112&gt;=Eingaben!$B$21,B2112&lt;Eingaben!$B$22)),"GO",IF(AND(ISNUMBER(Eingaben!$B$23),ISNUMBER(Eingaben!$B$24),IF(Eingaben!$B$23&lt;Eingaben!$B$24,AND(B2112&gt;=Eingaben!$B$23,B2112&lt;Eingaben!$B$24),OR(B2112&gt;=Eingaben!$B$23,B2112&lt;Eingaben!$B$24))),"HEAT","STANDARD"))</f>
        <v>STANDARD</v>
      </c>
      <c r="E2112" s="9"/>
      <c r="F2112" t="str">
        <f>IF(E2112="",D2112,E2112)</f>
        <v>STANDARD</v>
      </c>
      <c r="G2112" t="str">
        <f>INDEX(Netzzeiten!$B$6:$B$29,HOUR(B2112)+1)</f>
        <v>ST</v>
      </c>
      <c r="H2112" s="6">
        <f>IF(F2112="GO",Eingaben!$B$11,IF(F2112="STANDARD",Eingaben!$B$12,IF(AND(F2112="HEAT",ISNUMBER(Eingaben!$B$13)),Eingaben!$B$13,"")))</f>
        <v>28.2744</v>
      </c>
      <c r="I2112" s="6">
        <f>INDEX(Netzzeiten!$C$6:$C$29,HOUR(B2112)+1)</f>
        <v>5.48</v>
      </c>
      <c r="J2112" t="str">
        <f>IF(C2112="","FEHLT",IF(NOT(ISNUMBER(C2112)),"MESSWERT UNGUELTIG",IF(C2112&lt;0,"MESSWERT UNGUELTIG",IF(H2112="","TARIFPREIS FEHLT","OK"))))</f>
        <v>FEHLT</v>
      </c>
      <c r="K2112" s="7">
        <f>IF(J2112&lt;&gt;"OK","",C2112*I2112/100)</f>
        <v/>
      </c>
    </row>
    <row r="2113" spans="1:11">
      <c r="A2113" s="14">
        <v>46164</v>
      </c>
      <c r="B2113" s="15">
        <v>0.9479166666666666</v>
      </c>
      <c r="C2113" s="5">
        <f>IF('96 Werte'!CO27="","",'96 Werte'!CO27)</f>
        <v/>
      </c>
      <c r="D2113" t="str">
        <f>IF(IF(Eingaben!$B$21&lt;Eingaben!$B$22,AND(B2113&gt;=Eingaben!$B$21,B2113&lt;Eingaben!$B$22),OR(B2113&gt;=Eingaben!$B$21,B2113&lt;Eingaben!$B$22)),"GO",IF(AND(ISNUMBER(Eingaben!$B$23),ISNUMBER(Eingaben!$B$24),IF(Eingaben!$B$23&lt;Eingaben!$B$24,AND(B2113&gt;=Eingaben!$B$23,B2113&lt;Eingaben!$B$24),OR(B2113&gt;=Eingaben!$B$23,B2113&lt;Eingaben!$B$24))),"HEAT","STANDARD"))</f>
        <v>STANDARD</v>
      </c>
      <c r="E2113" s="9"/>
      <c r="F2113" t="str">
        <f>IF(E2113="",D2113,E2113)</f>
        <v>STANDARD</v>
      </c>
      <c r="G2113" t="str">
        <f>INDEX(Netzzeiten!$B$6:$B$29,HOUR(B2113)+1)</f>
        <v>ST</v>
      </c>
      <c r="H2113" s="6">
        <f>IF(F2113="GO",Eingaben!$B$11,IF(F2113="STANDARD",Eingaben!$B$12,IF(AND(F2113="HEAT",ISNUMBER(Eingaben!$B$13)),Eingaben!$B$13,"")))</f>
        <v>28.2744</v>
      </c>
      <c r="I2113" s="6">
        <f>INDEX(Netzzeiten!$C$6:$C$29,HOUR(B2113)+1)</f>
        <v>5.48</v>
      </c>
      <c r="J2113" t="str">
        <f>IF(C2113="","FEHLT",IF(NOT(ISNUMBER(C2113)),"MESSWERT UNGUELTIG",IF(C2113&lt;0,"MESSWERT UNGUELTIG",IF(H2113="","TARIFPREIS FEHLT","OK"))))</f>
        <v>FEHLT</v>
      </c>
      <c r="K2113" s="7">
        <f>IF(J2113&lt;&gt;"OK","",C2113*I2113/100)</f>
        <v/>
      </c>
    </row>
    <row r="2114" spans="1:11">
      <c r="A2114" s="14">
        <v>46164</v>
      </c>
      <c r="B2114" s="15">
        <v>0.9583333333333334</v>
      </c>
      <c r="C2114" s="5">
        <f>IF('96 Werte'!CP27="","",'96 Werte'!CP27)</f>
        <v/>
      </c>
      <c r="D2114" t="str">
        <f>IF(IF(Eingaben!$B$21&lt;Eingaben!$B$22,AND(B2114&gt;=Eingaben!$B$21,B2114&lt;Eingaben!$B$22),OR(B2114&gt;=Eingaben!$B$21,B2114&lt;Eingaben!$B$22)),"GO",IF(AND(ISNUMBER(Eingaben!$B$23),ISNUMBER(Eingaben!$B$24),IF(Eingaben!$B$23&lt;Eingaben!$B$24,AND(B2114&gt;=Eingaben!$B$23,B2114&lt;Eingaben!$B$24),OR(B2114&gt;=Eingaben!$B$23,B2114&lt;Eingaben!$B$24))),"HEAT","STANDARD"))</f>
        <v>STANDARD</v>
      </c>
      <c r="E2114" s="9"/>
      <c r="F2114" t="str">
        <f>IF(E2114="",D2114,E2114)</f>
        <v>STANDARD</v>
      </c>
      <c r="G2114" t="str">
        <f>INDEX(Netzzeiten!$B$6:$B$29,HOUR(B2114)+1)</f>
        <v>NT</v>
      </c>
      <c r="H2114" s="6">
        <f>IF(F2114="GO",Eingaben!$B$11,IF(F2114="STANDARD",Eingaben!$B$12,IF(AND(F2114="HEAT",ISNUMBER(Eingaben!$B$13)),Eingaben!$B$13,"")))</f>
        <v>28.2744</v>
      </c>
      <c r="I2114" s="6">
        <f>INDEX(Netzzeiten!$C$6:$C$29,HOUR(B2114)+1)</f>
        <v>1.64</v>
      </c>
      <c r="J2114" t="str">
        <f>IF(C2114="","FEHLT",IF(NOT(ISNUMBER(C2114)),"MESSWERT UNGUELTIG",IF(C2114&lt;0,"MESSWERT UNGUELTIG",IF(H2114="","TARIFPREIS FEHLT","OK"))))</f>
        <v>FEHLT</v>
      </c>
      <c r="K2114" s="7">
        <f>IF(J2114&lt;&gt;"OK","",C2114*I2114/100)</f>
        <v/>
      </c>
    </row>
    <row r="2115" spans="1:11">
      <c r="A2115" s="14">
        <v>46164</v>
      </c>
      <c r="B2115" s="15">
        <v>0.96875</v>
      </c>
      <c r="C2115" s="5">
        <f>IF('96 Werte'!CQ27="","",'96 Werte'!CQ27)</f>
        <v/>
      </c>
      <c r="D2115" t="str">
        <f>IF(IF(Eingaben!$B$21&lt;Eingaben!$B$22,AND(B2115&gt;=Eingaben!$B$21,B2115&lt;Eingaben!$B$22),OR(B2115&gt;=Eingaben!$B$21,B2115&lt;Eingaben!$B$22)),"GO",IF(AND(ISNUMBER(Eingaben!$B$23),ISNUMBER(Eingaben!$B$24),IF(Eingaben!$B$23&lt;Eingaben!$B$24,AND(B2115&gt;=Eingaben!$B$23,B2115&lt;Eingaben!$B$24),OR(B2115&gt;=Eingaben!$B$23,B2115&lt;Eingaben!$B$24))),"HEAT","STANDARD"))</f>
        <v>STANDARD</v>
      </c>
      <c r="E2115" s="9"/>
      <c r="F2115" t="str">
        <f>IF(E2115="",D2115,E2115)</f>
        <v>STANDARD</v>
      </c>
      <c r="G2115" t="str">
        <f>INDEX(Netzzeiten!$B$6:$B$29,HOUR(B2115)+1)</f>
        <v>NT</v>
      </c>
      <c r="H2115" s="6">
        <f>IF(F2115="GO",Eingaben!$B$11,IF(F2115="STANDARD",Eingaben!$B$12,IF(AND(F2115="HEAT",ISNUMBER(Eingaben!$B$13)),Eingaben!$B$13,"")))</f>
        <v>28.2744</v>
      </c>
      <c r="I2115" s="6">
        <f>INDEX(Netzzeiten!$C$6:$C$29,HOUR(B2115)+1)</f>
        <v>1.64</v>
      </c>
      <c r="J2115" t="str">
        <f>IF(C2115="","FEHLT",IF(NOT(ISNUMBER(C2115)),"MESSWERT UNGUELTIG",IF(C2115&lt;0,"MESSWERT UNGUELTIG",IF(H2115="","TARIFPREIS FEHLT","OK"))))</f>
        <v>FEHLT</v>
      </c>
      <c r="K2115" s="7">
        <f>IF(J2115&lt;&gt;"OK","",C2115*I2115/100)</f>
        <v/>
      </c>
    </row>
    <row r="2116" spans="1:11">
      <c r="A2116" s="14">
        <v>46164</v>
      </c>
      <c r="B2116" s="15">
        <v>0.9791666666666666</v>
      </c>
      <c r="C2116" s="5">
        <f>IF('96 Werte'!CR27="","",'96 Werte'!CR27)</f>
        <v/>
      </c>
      <c r="D2116" t="str">
        <f>IF(IF(Eingaben!$B$21&lt;Eingaben!$B$22,AND(B2116&gt;=Eingaben!$B$21,B2116&lt;Eingaben!$B$22),OR(B2116&gt;=Eingaben!$B$21,B2116&lt;Eingaben!$B$22)),"GO",IF(AND(ISNUMBER(Eingaben!$B$23),ISNUMBER(Eingaben!$B$24),IF(Eingaben!$B$23&lt;Eingaben!$B$24,AND(B2116&gt;=Eingaben!$B$23,B2116&lt;Eingaben!$B$24),OR(B2116&gt;=Eingaben!$B$23,B2116&lt;Eingaben!$B$24))),"HEAT","STANDARD"))</f>
        <v>STANDARD</v>
      </c>
      <c r="E2116" s="9"/>
      <c r="F2116" t="str">
        <f>IF(E2116="",D2116,E2116)</f>
        <v>STANDARD</v>
      </c>
      <c r="G2116" t="str">
        <f>INDEX(Netzzeiten!$B$6:$B$29,HOUR(B2116)+1)</f>
        <v>NT</v>
      </c>
      <c r="H2116" s="6">
        <f>IF(F2116="GO",Eingaben!$B$11,IF(F2116="STANDARD",Eingaben!$B$12,IF(AND(F2116="HEAT",ISNUMBER(Eingaben!$B$13)),Eingaben!$B$13,"")))</f>
        <v>28.2744</v>
      </c>
      <c r="I2116" s="6">
        <f>INDEX(Netzzeiten!$C$6:$C$29,HOUR(B2116)+1)</f>
        <v>1.64</v>
      </c>
      <c r="J2116" t="str">
        <f>IF(C2116="","FEHLT",IF(NOT(ISNUMBER(C2116)),"MESSWERT UNGUELTIG",IF(C2116&lt;0,"MESSWERT UNGUELTIG",IF(H2116="","TARIFPREIS FEHLT","OK"))))</f>
        <v>FEHLT</v>
      </c>
      <c r="K2116" s="7">
        <f>IF(J2116&lt;&gt;"OK","",C2116*I2116/100)</f>
        <v/>
      </c>
    </row>
    <row r="2117" spans="1:11">
      <c r="A2117" s="14">
        <v>46164</v>
      </c>
      <c r="B2117" s="15">
        <v>0.9895833333333334</v>
      </c>
      <c r="C2117" s="5">
        <f>IF('96 Werte'!CS27="","",'96 Werte'!CS27)</f>
        <v/>
      </c>
      <c r="D2117" t="str">
        <f>IF(IF(Eingaben!$B$21&lt;Eingaben!$B$22,AND(B2117&gt;=Eingaben!$B$21,B2117&lt;Eingaben!$B$22),OR(B2117&gt;=Eingaben!$B$21,B2117&lt;Eingaben!$B$22)),"GO",IF(AND(ISNUMBER(Eingaben!$B$23),ISNUMBER(Eingaben!$B$24),IF(Eingaben!$B$23&lt;Eingaben!$B$24,AND(B2117&gt;=Eingaben!$B$23,B2117&lt;Eingaben!$B$24),OR(B2117&gt;=Eingaben!$B$23,B2117&lt;Eingaben!$B$24))),"HEAT","STANDARD"))</f>
        <v>STANDARD</v>
      </c>
      <c r="E2117" s="9"/>
      <c r="F2117" t="str">
        <f>IF(E2117="",D2117,E2117)</f>
        <v>STANDARD</v>
      </c>
      <c r="G2117" t="str">
        <f>INDEX(Netzzeiten!$B$6:$B$29,HOUR(B2117)+1)</f>
        <v>NT</v>
      </c>
      <c r="H2117" s="6">
        <f>IF(F2117="GO",Eingaben!$B$11,IF(F2117="STANDARD",Eingaben!$B$12,IF(AND(F2117="HEAT",ISNUMBER(Eingaben!$B$13)),Eingaben!$B$13,"")))</f>
        <v>28.2744</v>
      </c>
      <c r="I2117" s="6">
        <f>INDEX(Netzzeiten!$C$6:$C$29,HOUR(B2117)+1)</f>
        <v>1.64</v>
      </c>
      <c r="J2117" t="str">
        <f>IF(C2117="","FEHLT",IF(NOT(ISNUMBER(C2117)),"MESSWERT UNGUELTIG",IF(C2117&lt;0,"MESSWERT UNGUELTIG",IF(H2117="","TARIFPREIS FEHLT","OK"))))</f>
        <v>FEHLT</v>
      </c>
      <c r="K2117" s="7">
        <f>IF(J2117&lt;&gt;"OK","",C2117*I2117/100)</f>
        <v/>
      </c>
    </row>
    <row r="2118" spans="1:11">
      <c r="A2118" s="14">
        <v>46165</v>
      </c>
      <c r="B2118" s="15">
        <v>0</v>
      </c>
      <c r="C2118" s="5">
        <f>IF('96 Werte'!B28="","",'96 Werte'!B28)</f>
        <v/>
      </c>
      <c r="D2118" t="str">
        <f>IF(IF(Eingaben!$B$21&lt;Eingaben!$B$22,AND(B2118&gt;=Eingaben!$B$21,B2118&lt;Eingaben!$B$22),OR(B2118&gt;=Eingaben!$B$21,B2118&lt;Eingaben!$B$22)),"GO",IF(AND(ISNUMBER(Eingaben!$B$23),ISNUMBER(Eingaben!$B$24),IF(Eingaben!$B$23&lt;Eingaben!$B$24,AND(B2118&gt;=Eingaben!$B$23,B2118&lt;Eingaben!$B$24),OR(B2118&gt;=Eingaben!$B$23,B2118&lt;Eingaben!$B$24))),"HEAT","STANDARD"))</f>
        <v>GO</v>
      </c>
      <c r="E2118" s="9"/>
      <c r="F2118" t="str">
        <f>IF(E2118="",D2118,E2118)</f>
        <v>GO</v>
      </c>
      <c r="G2118" t="str">
        <f>INDEX(Netzzeiten!$B$6:$B$29,HOUR(B2118)+1)</f>
        <v>NT</v>
      </c>
      <c r="H2118" s="6">
        <f>IF(F2118="GO",Eingaben!$B$11,IF(F2118="STANDARD",Eingaben!$B$12,IF(AND(F2118="HEAT",ISNUMBER(Eingaben!$B$13)),Eingaben!$B$13,"")))</f>
        <v>15.0654</v>
      </c>
      <c r="I2118" s="6">
        <f>INDEX(Netzzeiten!$C$6:$C$29,HOUR(B2118)+1)</f>
        <v>1.64</v>
      </c>
      <c r="J2118" t="str">
        <f>IF(C2118="","FEHLT",IF(NOT(ISNUMBER(C2118)),"MESSWERT UNGUELTIG",IF(C2118&lt;0,"MESSWERT UNGUELTIG",IF(H2118="","TARIFPREIS FEHLT","OK"))))</f>
        <v>FEHLT</v>
      </c>
      <c r="K2118" s="7">
        <f>IF(J2118&lt;&gt;"OK","",C2118*I2118/100)</f>
        <v/>
      </c>
    </row>
    <row r="2119" spans="1:11">
      <c r="A2119" s="14">
        <v>46165</v>
      </c>
      <c r="B2119" s="15">
        <v>0.01041666666666667</v>
      </c>
      <c r="C2119" s="5">
        <f>IF('96 Werte'!C28="","",'96 Werte'!C28)</f>
        <v/>
      </c>
      <c r="D2119" t="str">
        <f>IF(IF(Eingaben!$B$21&lt;Eingaben!$B$22,AND(B2119&gt;=Eingaben!$B$21,B2119&lt;Eingaben!$B$22),OR(B2119&gt;=Eingaben!$B$21,B2119&lt;Eingaben!$B$22)),"GO",IF(AND(ISNUMBER(Eingaben!$B$23),ISNUMBER(Eingaben!$B$24),IF(Eingaben!$B$23&lt;Eingaben!$B$24,AND(B2119&gt;=Eingaben!$B$23,B2119&lt;Eingaben!$B$24),OR(B2119&gt;=Eingaben!$B$23,B2119&lt;Eingaben!$B$24))),"HEAT","STANDARD"))</f>
        <v>GO</v>
      </c>
      <c r="E2119" s="9"/>
      <c r="F2119" t="str">
        <f>IF(E2119="",D2119,E2119)</f>
        <v>GO</v>
      </c>
      <c r="G2119" t="str">
        <f>INDEX(Netzzeiten!$B$6:$B$29,HOUR(B2119)+1)</f>
        <v>NT</v>
      </c>
      <c r="H2119" s="6">
        <f>IF(F2119="GO",Eingaben!$B$11,IF(F2119="STANDARD",Eingaben!$B$12,IF(AND(F2119="HEAT",ISNUMBER(Eingaben!$B$13)),Eingaben!$B$13,"")))</f>
        <v>15.0654</v>
      </c>
      <c r="I2119" s="6">
        <f>INDEX(Netzzeiten!$C$6:$C$29,HOUR(B2119)+1)</f>
        <v>1.64</v>
      </c>
      <c r="J2119" t="str">
        <f>IF(C2119="","FEHLT",IF(NOT(ISNUMBER(C2119)),"MESSWERT UNGUELTIG",IF(C2119&lt;0,"MESSWERT UNGUELTIG",IF(H2119="","TARIFPREIS FEHLT","OK"))))</f>
        <v>FEHLT</v>
      </c>
      <c r="K2119" s="7">
        <f>IF(J2119&lt;&gt;"OK","",C2119*I2119/100)</f>
        <v/>
      </c>
    </row>
    <row r="2120" spans="1:11">
      <c r="A2120" s="14">
        <v>46165</v>
      </c>
      <c r="B2120" s="15">
        <v>0.02083333333333333</v>
      </c>
      <c r="C2120" s="5">
        <f>IF('96 Werte'!D28="","",'96 Werte'!D28)</f>
        <v/>
      </c>
      <c r="D2120" t="str">
        <f>IF(IF(Eingaben!$B$21&lt;Eingaben!$B$22,AND(B2120&gt;=Eingaben!$B$21,B2120&lt;Eingaben!$B$22),OR(B2120&gt;=Eingaben!$B$21,B2120&lt;Eingaben!$B$22)),"GO",IF(AND(ISNUMBER(Eingaben!$B$23),ISNUMBER(Eingaben!$B$24),IF(Eingaben!$B$23&lt;Eingaben!$B$24,AND(B2120&gt;=Eingaben!$B$23,B2120&lt;Eingaben!$B$24),OR(B2120&gt;=Eingaben!$B$23,B2120&lt;Eingaben!$B$24))),"HEAT","STANDARD"))</f>
        <v>GO</v>
      </c>
      <c r="E2120" s="9"/>
      <c r="F2120" t="str">
        <f>IF(E2120="",D2120,E2120)</f>
        <v>GO</v>
      </c>
      <c r="G2120" t="str">
        <f>INDEX(Netzzeiten!$B$6:$B$29,HOUR(B2120)+1)</f>
        <v>NT</v>
      </c>
      <c r="H2120" s="6">
        <f>IF(F2120="GO",Eingaben!$B$11,IF(F2120="STANDARD",Eingaben!$B$12,IF(AND(F2120="HEAT",ISNUMBER(Eingaben!$B$13)),Eingaben!$B$13,"")))</f>
        <v>15.0654</v>
      </c>
      <c r="I2120" s="6">
        <f>INDEX(Netzzeiten!$C$6:$C$29,HOUR(B2120)+1)</f>
        <v>1.64</v>
      </c>
      <c r="J2120" t="str">
        <f>IF(C2120="","FEHLT",IF(NOT(ISNUMBER(C2120)),"MESSWERT UNGUELTIG",IF(C2120&lt;0,"MESSWERT UNGUELTIG",IF(H2120="","TARIFPREIS FEHLT","OK"))))</f>
        <v>FEHLT</v>
      </c>
      <c r="K2120" s="7">
        <f>IF(J2120&lt;&gt;"OK","",C2120*I2120/100)</f>
        <v/>
      </c>
    </row>
    <row r="2121" spans="1:11">
      <c r="A2121" s="14">
        <v>46165</v>
      </c>
      <c r="B2121" s="15">
        <v>0.03125</v>
      </c>
      <c r="C2121" s="5">
        <f>IF('96 Werte'!E28="","",'96 Werte'!E28)</f>
        <v/>
      </c>
      <c r="D2121" t="str">
        <f>IF(IF(Eingaben!$B$21&lt;Eingaben!$B$22,AND(B2121&gt;=Eingaben!$B$21,B2121&lt;Eingaben!$B$22),OR(B2121&gt;=Eingaben!$B$21,B2121&lt;Eingaben!$B$22)),"GO",IF(AND(ISNUMBER(Eingaben!$B$23),ISNUMBER(Eingaben!$B$24),IF(Eingaben!$B$23&lt;Eingaben!$B$24,AND(B2121&gt;=Eingaben!$B$23,B2121&lt;Eingaben!$B$24),OR(B2121&gt;=Eingaben!$B$23,B2121&lt;Eingaben!$B$24))),"HEAT","STANDARD"))</f>
        <v>GO</v>
      </c>
      <c r="E2121" s="9"/>
      <c r="F2121" t="str">
        <f>IF(E2121="",D2121,E2121)</f>
        <v>GO</v>
      </c>
      <c r="G2121" t="str">
        <f>INDEX(Netzzeiten!$B$6:$B$29,HOUR(B2121)+1)</f>
        <v>NT</v>
      </c>
      <c r="H2121" s="6">
        <f>IF(F2121="GO",Eingaben!$B$11,IF(F2121="STANDARD",Eingaben!$B$12,IF(AND(F2121="HEAT",ISNUMBER(Eingaben!$B$13)),Eingaben!$B$13,"")))</f>
        <v>15.0654</v>
      </c>
      <c r="I2121" s="6">
        <f>INDEX(Netzzeiten!$C$6:$C$29,HOUR(B2121)+1)</f>
        <v>1.64</v>
      </c>
      <c r="J2121" t="str">
        <f>IF(C2121="","FEHLT",IF(NOT(ISNUMBER(C2121)),"MESSWERT UNGUELTIG",IF(C2121&lt;0,"MESSWERT UNGUELTIG",IF(H2121="","TARIFPREIS FEHLT","OK"))))</f>
        <v>FEHLT</v>
      </c>
      <c r="K2121" s="7">
        <f>IF(J2121&lt;&gt;"OK","",C2121*I2121/100)</f>
        <v/>
      </c>
    </row>
    <row r="2122" spans="1:11">
      <c r="A2122" s="14">
        <v>46165</v>
      </c>
      <c r="B2122" s="15">
        <v>0.04166666666666666</v>
      </c>
      <c r="C2122" s="5">
        <f>IF('96 Werte'!F28="","",'96 Werte'!F28)</f>
        <v/>
      </c>
      <c r="D2122" t="str">
        <f>IF(IF(Eingaben!$B$21&lt;Eingaben!$B$22,AND(B2122&gt;=Eingaben!$B$21,B2122&lt;Eingaben!$B$22),OR(B2122&gt;=Eingaben!$B$21,B2122&lt;Eingaben!$B$22)),"GO",IF(AND(ISNUMBER(Eingaben!$B$23),ISNUMBER(Eingaben!$B$24),IF(Eingaben!$B$23&lt;Eingaben!$B$24,AND(B2122&gt;=Eingaben!$B$23,B2122&lt;Eingaben!$B$24),OR(B2122&gt;=Eingaben!$B$23,B2122&lt;Eingaben!$B$24))),"HEAT","STANDARD"))</f>
        <v>GO</v>
      </c>
      <c r="E2122" s="9"/>
      <c r="F2122" t="str">
        <f>IF(E2122="",D2122,E2122)</f>
        <v>GO</v>
      </c>
      <c r="G2122" t="str">
        <f>INDEX(Netzzeiten!$B$6:$B$29,HOUR(B2122)+1)</f>
        <v>NT</v>
      </c>
      <c r="H2122" s="6">
        <f>IF(F2122="GO",Eingaben!$B$11,IF(F2122="STANDARD",Eingaben!$B$12,IF(AND(F2122="HEAT",ISNUMBER(Eingaben!$B$13)),Eingaben!$B$13,"")))</f>
        <v>15.0654</v>
      </c>
      <c r="I2122" s="6">
        <f>INDEX(Netzzeiten!$C$6:$C$29,HOUR(B2122)+1)</f>
        <v>1.64</v>
      </c>
      <c r="J2122" t="str">
        <f>IF(C2122="","FEHLT",IF(NOT(ISNUMBER(C2122)),"MESSWERT UNGUELTIG",IF(C2122&lt;0,"MESSWERT UNGUELTIG",IF(H2122="","TARIFPREIS FEHLT","OK"))))</f>
        <v>FEHLT</v>
      </c>
      <c r="K2122" s="7">
        <f>IF(J2122&lt;&gt;"OK","",C2122*I2122/100)</f>
        <v/>
      </c>
    </row>
    <row r="2123" spans="1:11">
      <c r="A2123" s="14">
        <v>46165</v>
      </c>
      <c r="B2123" s="15">
        <v>0.05208333333333334</v>
      </c>
      <c r="C2123" s="5">
        <f>IF('96 Werte'!G28="","",'96 Werte'!G28)</f>
        <v/>
      </c>
      <c r="D2123" t="str">
        <f>IF(IF(Eingaben!$B$21&lt;Eingaben!$B$22,AND(B2123&gt;=Eingaben!$B$21,B2123&lt;Eingaben!$B$22),OR(B2123&gt;=Eingaben!$B$21,B2123&lt;Eingaben!$B$22)),"GO",IF(AND(ISNUMBER(Eingaben!$B$23),ISNUMBER(Eingaben!$B$24),IF(Eingaben!$B$23&lt;Eingaben!$B$24,AND(B2123&gt;=Eingaben!$B$23,B2123&lt;Eingaben!$B$24),OR(B2123&gt;=Eingaben!$B$23,B2123&lt;Eingaben!$B$24))),"HEAT","STANDARD"))</f>
        <v>GO</v>
      </c>
      <c r="E2123" s="9"/>
      <c r="F2123" t="str">
        <f>IF(E2123="",D2123,E2123)</f>
        <v>GO</v>
      </c>
      <c r="G2123" t="str">
        <f>INDEX(Netzzeiten!$B$6:$B$29,HOUR(B2123)+1)</f>
        <v>NT</v>
      </c>
      <c r="H2123" s="6">
        <f>IF(F2123="GO",Eingaben!$B$11,IF(F2123="STANDARD",Eingaben!$B$12,IF(AND(F2123="HEAT",ISNUMBER(Eingaben!$B$13)),Eingaben!$B$13,"")))</f>
        <v>15.0654</v>
      </c>
      <c r="I2123" s="6">
        <f>INDEX(Netzzeiten!$C$6:$C$29,HOUR(B2123)+1)</f>
        <v>1.64</v>
      </c>
      <c r="J2123" t="str">
        <f>IF(C2123="","FEHLT",IF(NOT(ISNUMBER(C2123)),"MESSWERT UNGUELTIG",IF(C2123&lt;0,"MESSWERT UNGUELTIG",IF(H2123="","TARIFPREIS FEHLT","OK"))))</f>
        <v>FEHLT</v>
      </c>
      <c r="K2123" s="7">
        <f>IF(J2123&lt;&gt;"OK","",C2123*I2123/100)</f>
        <v/>
      </c>
    </row>
    <row r="2124" spans="1:11">
      <c r="A2124" s="14">
        <v>46165</v>
      </c>
      <c r="B2124" s="15">
        <v>0.0625</v>
      </c>
      <c r="C2124" s="5">
        <f>IF('96 Werte'!H28="","",'96 Werte'!H28)</f>
        <v/>
      </c>
      <c r="D2124" t="str">
        <f>IF(IF(Eingaben!$B$21&lt;Eingaben!$B$22,AND(B2124&gt;=Eingaben!$B$21,B2124&lt;Eingaben!$B$22),OR(B2124&gt;=Eingaben!$B$21,B2124&lt;Eingaben!$B$22)),"GO",IF(AND(ISNUMBER(Eingaben!$B$23),ISNUMBER(Eingaben!$B$24),IF(Eingaben!$B$23&lt;Eingaben!$B$24,AND(B2124&gt;=Eingaben!$B$23,B2124&lt;Eingaben!$B$24),OR(B2124&gt;=Eingaben!$B$23,B2124&lt;Eingaben!$B$24))),"HEAT","STANDARD"))</f>
        <v>GO</v>
      </c>
      <c r="E2124" s="9"/>
      <c r="F2124" t="str">
        <f>IF(E2124="",D2124,E2124)</f>
        <v>GO</v>
      </c>
      <c r="G2124" t="str">
        <f>INDEX(Netzzeiten!$B$6:$B$29,HOUR(B2124)+1)</f>
        <v>NT</v>
      </c>
      <c r="H2124" s="6">
        <f>IF(F2124="GO",Eingaben!$B$11,IF(F2124="STANDARD",Eingaben!$B$12,IF(AND(F2124="HEAT",ISNUMBER(Eingaben!$B$13)),Eingaben!$B$13,"")))</f>
        <v>15.0654</v>
      </c>
      <c r="I2124" s="6">
        <f>INDEX(Netzzeiten!$C$6:$C$29,HOUR(B2124)+1)</f>
        <v>1.64</v>
      </c>
      <c r="J2124" t="str">
        <f>IF(C2124="","FEHLT",IF(NOT(ISNUMBER(C2124)),"MESSWERT UNGUELTIG",IF(C2124&lt;0,"MESSWERT UNGUELTIG",IF(H2124="","TARIFPREIS FEHLT","OK"))))</f>
        <v>FEHLT</v>
      </c>
      <c r="K2124" s="7">
        <f>IF(J2124&lt;&gt;"OK","",C2124*I2124/100)</f>
        <v/>
      </c>
    </row>
    <row r="2125" spans="1:11">
      <c r="A2125" s="14">
        <v>46165</v>
      </c>
      <c r="B2125" s="15">
        <v>0.07291666666666667</v>
      </c>
      <c r="C2125" s="5">
        <f>IF('96 Werte'!I28="","",'96 Werte'!I28)</f>
        <v/>
      </c>
      <c r="D2125" t="str">
        <f>IF(IF(Eingaben!$B$21&lt;Eingaben!$B$22,AND(B2125&gt;=Eingaben!$B$21,B2125&lt;Eingaben!$B$22),OR(B2125&gt;=Eingaben!$B$21,B2125&lt;Eingaben!$B$22)),"GO",IF(AND(ISNUMBER(Eingaben!$B$23),ISNUMBER(Eingaben!$B$24),IF(Eingaben!$B$23&lt;Eingaben!$B$24,AND(B2125&gt;=Eingaben!$B$23,B2125&lt;Eingaben!$B$24),OR(B2125&gt;=Eingaben!$B$23,B2125&lt;Eingaben!$B$24))),"HEAT","STANDARD"))</f>
        <v>GO</v>
      </c>
      <c r="E2125" s="9"/>
      <c r="F2125" t="str">
        <f>IF(E2125="",D2125,E2125)</f>
        <v>GO</v>
      </c>
      <c r="G2125" t="str">
        <f>INDEX(Netzzeiten!$B$6:$B$29,HOUR(B2125)+1)</f>
        <v>NT</v>
      </c>
      <c r="H2125" s="6">
        <f>IF(F2125="GO",Eingaben!$B$11,IF(F2125="STANDARD",Eingaben!$B$12,IF(AND(F2125="HEAT",ISNUMBER(Eingaben!$B$13)),Eingaben!$B$13,"")))</f>
        <v>15.0654</v>
      </c>
      <c r="I2125" s="6">
        <f>INDEX(Netzzeiten!$C$6:$C$29,HOUR(B2125)+1)</f>
        <v>1.64</v>
      </c>
      <c r="J2125" t="str">
        <f>IF(C2125="","FEHLT",IF(NOT(ISNUMBER(C2125)),"MESSWERT UNGUELTIG",IF(C2125&lt;0,"MESSWERT UNGUELTIG",IF(H2125="","TARIFPREIS FEHLT","OK"))))</f>
        <v>FEHLT</v>
      </c>
      <c r="K2125" s="7">
        <f>IF(J2125&lt;&gt;"OK","",C2125*I2125/100)</f>
        <v/>
      </c>
    </row>
    <row r="2126" spans="1:11">
      <c r="A2126" s="14">
        <v>46165</v>
      </c>
      <c r="B2126" s="15">
        <v>0.08333333333333333</v>
      </c>
      <c r="C2126" s="5">
        <f>IF('96 Werte'!J28="","",'96 Werte'!J28)</f>
        <v/>
      </c>
      <c r="D2126" t="str">
        <f>IF(IF(Eingaben!$B$21&lt;Eingaben!$B$22,AND(B2126&gt;=Eingaben!$B$21,B2126&lt;Eingaben!$B$22),OR(B2126&gt;=Eingaben!$B$21,B2126&lt;Eingaben!$B$22)),"GO",IF(AND(ISNUMBER(Eingaben!$B$23),ISNUMBER(Eingaben!$B$24),IF(Eingaben!$B$23&lt;Eingaben!$B$24,AND(B2126&gt;=Eingaben!$B$23,B2126&lt;Eingaben!$B$24),OR(B2126&gt;=Eingaben!$B$23,B2126&lt;Eingaben!$B$24))),"HEAT","STANDARD"))</f>
        <v>GO</v>
      </c>
      <c r="E2126" s="9"/>
      <c r="F2126" t="str">
        <f>IF(E2126="",D2126,E2126)</f>
        <v>GO</v>
      </c>
      <c r="G2126" t="str">
        <f>INDEX(Netzzeiten!$B$6:$B$29,HOUR(B2126)+1)</f>
        <v>NT</v>
      </c>
      <c r="H2126" s="6">
        <f>IF(F2126="GO",Eingaben!$B$11,IF(F2126="STANDARD",Eingaben!$B$12,IF(AND(F2126="HEAT",ISNUMBER(Eingaben!$B$13)),Eingaben!$B$13,"")))</f>
        <v>15.0654</v>
      </c>
      <c r="I2126" s="6">
        <f>INDEX(Netzzeiten!$C$6:$C$29,HOUR(B2126)+1)</f>
        <v>1.64</v>
      </c>
      <c r="J2126" t="str">
        <f>IF(C2126="","FEHLT",IF(NOT(ISNUMBER(C2126)),"MESSWERT UNGUELTIG",IF(C2126&lt;0,"MESSWERT UNGUELTIG",IF(H2126="","TARIFPREIS FEHLT","OK"))))</f>
        <v>FEHLT</v>
      </c>
      <c r="K2126" s="7">
        <f>IF(J2126&lt;&gt;"OK","",C2126*I2126/100)</f>
        <v/>
      </c>
    </row>
    <row r="2127" spans="1:11">
      <c r="A2127" s="14">
        <v>46165</v>
      </c>
      <c r="B2127" s="15">
        <v>0.09375</v>
      </c>
      <c r="C2127" s="5">
        <f>IF('96 Werte'!K28="","",'96 Werte'!K28)</f>
        <v/>
      </c>
      <c r="D2127" t="str">
        <f>IF(IF(Eingaben!$B$21&lt;Eingaben!$B$22,AND(B2127&gt;=Eingaben!$B$21,B2127&lt;Eingaben!$B$22),OR(B2127&gt;=Eingaben!$B$21,B2127&lt;Eingaben!$B$22)),"GO",IF(AND(ISNUMBER(Eingaben!$B$23),ISNUMBER(Eingaben!$B$24),IF(Eingaben!$B$23&lt;Eingaben!$B$24,AND(B2127&gt;=Eingaben!$B$23,B2127&lt;Eingaben!$B$24),OR(B2127&gt;=Eingaben!$B$23,B2127&lt;Eingaben!$B$24))),"HEAT","STANDARD"))</f>
        <v>GO</v>
      </c>
      <c r="E2127" s="9"/>
      <c r="F2127" t="str">
        <f>IF(E2127="",D2127,E2127)</f>
        <v>GO</v>
      </c>
      <c r="G2127" t="str">
        <f>INDEX(Netzzeiten!$B$6:$B$29,HOUR(B2127)+1)</f>
        <v>NT</v>
      </c>
      <c r="H2127" s="6">
        <f>IF(F2127="GO",Eingaben!$B$11,IF(F2127="STANDARD",Eingaben!$B$12,IF(AND(F2127="HEAT",ISNUMBER(Eingaben!$B$13)),Eingaben!$B$13,"")))</f>
        <v>15.0654</v>
      </c>
      <c r="I2127" s="6">
        <f>INDEX(Netzzeiten!$C$6:$C$29,HOUR(B2127)+1)</f>
        <v>1.64</v>
      </c>
      <c r="J2127" t="str">
        <f>IF(C2127="","FEHLT",IF(NOT(ISNUMBER(C2127)),"MESSWERT UNGUELTIG",IF(C2127&lt;0,"MESSWERT UNGUELTIG",IF(H2127="","TARIFPREIS FEHLT","OK"))))</f>
        <v>FEHLT</v>
      </c>
      <c r="K2127" s="7">
        <f>IF(J2127&lt;&gt;"OK","",C2127*I2127/100)</f>
        <v/>
      </c>
    </row>
    <row r="2128" spans="1:11">
      <c r="A2128" s="14">
        <v>46165</v>
      </c>
      <c r="B2128" s="15">
        <v>0.1041666666666667</v>
      </c>
      <c r="C2128" s="5">
        <f>IF('96 Werte'!L28="","",'96 Werte'!L28)</f>
        <v/>
      </c>
      <c r="D2128" t="str">
        <f>IF(IF(Eingaben!$B$21&lt;Eingaben!$B$22,AND(B2128&gt;=Eingaben!$B$21,B2128&lt;Eingaben!$B$22),OR(B2128&gt;=Eingaben!$B$21,B2128&lt;Eingaben!$B$22)),"GO",IF(AND(ISNUMBER(Eingaben!$B$23),ISNUMBER(Eingaben!$B$24),IF(Eingaben!$B$23&lt;Eingaben!$B$24,AND(B2128&gt;=Eingaben!$B$23,B2128&lt;Eingaben!$B$24),OR(B2128&gt;=Eingaben!$B$23,B2128&lt;Eingaben!$B$24))),"HEAT","STANDARD"))</f>
        <v>GO</v>
      </c>
      <c r="E2128" s="9"/>
      <c r="F2128" t="str">
        <f>IF(E2128="",D2128,E2128)</f>
        <v>GO</v>
      </c>
      <c r="G2128" t="str">
        <f>INDEX(Netzzeiten!$B$6:$B$29,HOUR(B2128)+1)</f>
        <v>NT</v>
      </c>
      <c r="H2128" s="6">
        <f>IF(F2128="GO",Eingaben!$B$11,IF(F2128="STANDARD",Eingaben!$B$12,IF(AND(F2128="HEAT",ISNUMBER(Eingaben!$B$13)),Eingaben!$B$13,"")))</f>
        <v>15.0654</v>
      </c>
      <c r="I2128" s="6">
        <f>INDEX(Netzzeiten!$C$6:$C$29,HOUR(B2128)+1)</f>
        <v>1.64</v>
      </c>
      <c r="J2128" t="str">
        <f>IF(C2128="","FEHLT",IF(NOT(ISNUMBER(C2128)),"MESSWERT UNGUELTIG",IF(C2128&lt;0,"MESSWERT UNGUELTIG",IF(H2128="","TARIFPREIS FEHLT","OK"))))</f>
        <v>FEHLT</v>
      </c>
      <c r="K2128" s="7">
        <f>IF(J2128&lt;&gt;"OK","",C2128*I2128/100)</f>
        <v/>
      </c>
    </row>
    <row r="2129" spans="1:11">
      <c r="A2129" s="14">
        <v>46165</v>
      </c>
      <c r="B2129" s="15">
        <v>0.1145833333333333</v>
      </c>
      <c r="C2129" s="5">
        <f>IF('96 Werte'!M28="","",'96 Werte'!M28)</f>
        <v/>
      </c>
      <c r="D2129" t="str">
        <f>IF(IF(Eingaben!$B$21&lt;Eingaben!$B$22,AND(B2129&gt;=Eingaben!$B$21,B2129&lt;Eingaben!$B$22),OR(B2129&gt;=Eingaben!$B$21,B2129&lt;Eingaben!$B$22)),"GO",IF(AND(ISNUMBER(Eingaben!$B$23),ISNUMBER(Eingaben!$B$24),IF(Eingaben!$B$23&lt;Eingaben!$B$24,AND(B2129&gt;=Eingaben!$B$23,B2129&lt;Eingaben!$B$24),OR(B2129&gt;=Eingaben!$B$23,B2129&lt;Eingaben!$B$24))),"HEAT","STANDARD"))</f>
        <v>GO</v>
      </c>
      <c r="E2129" s="9"/>
      <c r="F2129" t="str">
        <f>IF(E2129="",D2129,E2129)</f>
        <v>GO</v>
      </c>
      <c r="G2129" t="str">
        <f>INDEX(Netzzeiten!$B$6:$B$29,HOUR(B2129)+1)</f>
        <v>NT</v>
      </c>
      <c r="H2129" s="6">
        <f>IF(F2129="GO",Eingaben!$B$11,IF(F2129="STANDARD",Eingaben!$B$12,IF(AND(F2129="HEAT",ISNUMBER(Eingaben!$B$13)),Eingaben!$B$13,"")))</f>
        <v>15.0654</v>
      </c>
      <c r="I2129" s="6">
        <f>INDEX(Netzzeiten!$C$6:$C$29,HOUR(B2129)+1)</f>
        <v>1.64</v>
      </c>
      <c r="J2129" t="str">
        <f>IF(C2129="","FEHLT",IF(NOT(ISNUMBER(C2129)),"MESSWERT UNGUELTIG",IF(C2129&lt;0,"MESSWERT UNGUELTIG",IF(H2129="","TARIFPREIS FEHLT","OK"))))</f>
        <v>FEHLT</v>
      </c>
      <c r="K2129" s="7">
        <f>IF(J2129&lt;&gt;"OK","",C2129*I2129/100)</f>
        <v/>
      </c>
    </row>
    <row r="2130" spans="1:11">
      <c r="A2130" s="14">
        <v>46165</v>
      </c>
      <c r="B2130" s="15">
        <v>0.125</v>
      </c>
      <c r="C2130" s="5">
        <f>IF('96 Werte'!N28="","",'96 Werte'!N28)</f>
        <v/>
      </c>
      <c r="D2130" t="str">
        <f>IF(IF(Eingaben!$B$21&lt;Eingaben!$B$22,AND(B2130&gt;=Eingaben!$B$21,B2130&lt;Eingaben!$B$22),OR(B2130&gt;=Eingaben!$B$21,B2130&lt;Eingaben!$B$22)),"GO",IF(AND(ISNUMBER(Eingaben!$B$23),ISNUMBER(Eingaben!$B$24),IF(Eingaben!$B$23&lt;Eingaben!$B$24,AND(B2130&gt;=Eingaben!$B$23,B2130&lt;Eingaben!$B$24),OR(B2130&gt;=Eingaben!$B$23,B2130&lt;Eingaben!$B$24))),"HEAT","STANDARD"))</f>
        <v>GO</v>
      </c>
      <c r="E2130" s="9"/>
      <c r="F2130" t="str">
        <f>IF(E2130="",D2130,E2130)</f>
        <v>GO</v>
      </c>
      <c r="G2130" t="str">
        <f>INDEX(Netzzeiten!$B$6:$B$29,HOUR(B2130)+1)</f>
        <v>NT</v>
      </c>
      <c r="H2130" s="6">
        <f>IF(F2130="GO",Eingaben!$B$11,IF(F2130="STANDARD",Eingaben!$B$12,IF(AND(F2130="HEAT",ISNUMBER(Eingaben!$B$13)),Eingaben!$B$13,"")))</f>
        <v>15.0654</v>
      </c>
      <c r="I2130" s="6">
        <f>INDEX(Netzzeiten!$C$6:$C$29,HOUR(B2130)+1)</f>
        <v>1.64</v>
      </c>
      <c r="J2130" t="str">
        <f>IF(C2130="","FEHLT",IF(NOT(ISNUMBER(C2130)),"MESSWERT UNGUELTIG",IF(C2130&lt;0,"MESSWERT UNGUELTIG",IF(H2130="","TARIFPREIS FEHLT","OK"))))</f>
        <v>FEHLT</v>
      </c>
      <c r="K2130" s="7">
        <f>IF(J2130&lt;&gt;"OK","",C2130*I2130/100)</f>
        <v/>
      </c>
    </row>
    <row r="2131" spans="1:11">
      <c r="A2131" s="14">
        <v>46165</v>
      </c>
      <c r="B2131" s="15">
        <v>0.1354166666666667</v>
      </c>
      <c r="C2131" s="5">
        <f>IF('96 Werte'!O28="","",'96 Werte'!O28)</f>
        <v/>
      </c>
      <c r="D2131" t="str">
        <f>IF(IF(Eingaben!$B$21&lt;Eingaben!$B$22,AND(B2131&gt;=Eingaben!$B$21,B2131&lt;Eingaben!$B$22),OR(B2131&gt;=Eingaben!$B$21,B2131&lt;Eingaben!$B$22)),"GO",IF(AND(ISNUMBER(Eingaben!$B$23),ISNUMBER(Eingaben!$B$24),IF(Eingaben!$B$23&lt;Eingaben!$B$24,AND(B2131&gt;=Eingaben!$B$23,B2131&lt;Eingaben!$B$24),OR(B2131&gt;=Eingaben!$B$23,B2131&lt;Eingaben!$B$24))),"HEAT","STANDARD"))</f>
        <v>GO</v>
      </c>
      <c r="E2131" s="9"/>
      <c r="F2131" t="str">
        <f>IF(E2131="",D2131,E2131)</f>
        <v>GO</v>
      </c>
      <c r="G2131" t="str">
        <f>INDEX(Netzzeiten!$B$6:$B$29,HOUR(B2131)+1)</f>
        <v>NT</v>
      </c>
      <c r="H2131" s="6">
        <f>IF(F2131="GO",Eingaben!$B$11,IF(F2131="STANDARD",Eingaben!$B$12,IF(AND(F2131="HEAT",ISNUMBER(Eingaben!$B$13)),Eingaben!$B$13,"")))</f>
        <v>15.0654</v>
      </c>
      <c r="I2131" s="6">
        <f>INDEX(Netzzeiten!$C$6:$C$29,HOUR(B2131)+1)</f>
        <v>1.64</v>
      </c>
      <c r="J2131" t="str">
        <f>IF(C2131="","FEHLT",IF(NOT(ISNUMBER(C2131)),"MESSWERT UNGUELTIG",IF(C2131&lt;0,"MESSWERT UNGUELTIG",IF(H2131="","TARIFPREIS FEHLT","OK"))))</f>
        <v>FEHLT</v>
      </c>
      <c r="K2131" s="7">
        <f>IF(J2131&lt;&gt;"OK","",C2131*I2131/100)</f>
        <v/>
      </c>
    </row>
    <row r="2132" spans="1:11">
      <c r="A2132" s="14">
        <v>46165</v>
      </c>
      <c r="B2132" s="15">
        <v>0.1458333333333333</v>
      </c>
      <c r="C2132" s="5">
        <f>IF('96 Werte'!P28="","",'96 Werte'!P28)</f>
        <v/>
      </c>
      <c r="D2132" t="str">
        <f>IF(IF(Eingaben!$B$21&lt;Eingaben!$B$22,AND(B2132&gt;=Eingaben!$B$21,B2132&lt;Eingaben!$B$22),OR(B2132&gt;=Eingaben!$B$21,B2132&lt;Eingaben!$B$22)),"GO",IF(AND(ISNUMBER(Eingaben!$B$23),ISNUMBER(Eingaben!$B$24),IF(Eingaben!$B$23&lt;Eingaben!$B$24,AND(B2132&gt;=Eingaben!$B$23,B2132&lt;Eingaben!$B$24),OR(B2132&gt;=Eingaben!$B$23,B2132&lt;Eingaben!$B$24))),"HEAT","STANDARD"))</f>
        <v>GO</v>
      </c>
      <c r="E2132" s="9"/>
      <c r="F2132" t="str">
        <f>IF(E2132="",D2132,E2132)</f>
        <v>GO</v>
      </c>
      <c r="G2132" t="str">
        <f>INDEX(Netzzeiten!$B$6:$B$29,HOUR(B2132)+1)</f>
        <v>NT</v>
      </c>
      <c r="H2132" s="6">
        <f>IF(F2132="GO",Eingaben!$B$11,IF(F2132="STANDARD",Eingaben!$B$12,IF(AND(F2132="HEAT",ISNUMBER(Eingaben!$B$13)),Eingaben!$B$13,"")))</f>
        <v>15.0654</v>
      </c>
      <c r="I2132" s="6">
        <f>INDEX(Netzzeiten!$C$6:$C$29,HOUR(B2132)+1)</f>
        <v>1.64</v>
      </c>
      <c r="J2132" t="str">
        <f>IF(C2132="","FEHLT",IF(NOT(ISNUMBER(C2132)),"MESSWERT UNGUELTIG",IF(C2132&lt;0,"MESSWERT UNGUELTIG",IF(H2132="","TARIFPREIS FEHLT","OK"))))</f>
        <v>FEHLT</v>
      </c>
      <c r="K2132" s="7">
        <f>IF(J2132&lt;&gt;"OK","",C2132*I2132/100)</f>
        <v/>
      </c>
    </row>
    <row r="2133" spans="1:11">
      <c r="A2133" s="14">
        <v>46165</v>
      </c>
      <c r="B2133" s="15">
        <v>0.15625</v>
      </c>
      <c r="C2133" s="5">
        <f>IF('96 Werte'!Q28="","",'96 Werte'!Q28)</f>
        <v/>
      </c>
      <c r="D2133" t="str">
        <f>IF(IF(Eingaben!$B$21&lt;Eingaben!$B$22,AND(B2133&gt;=Eingaben!$B$21,B2133&lt;Eingaben!$B$22),OR(B2133&gt;=Eingaben!$B$21,B2133&lt;Eingaben!$B$22)),"GO",IF(AND(ISNUMBER(Eingaben!$B$23),ISNUMBER(Eingaben!$B$24),IF(Eingaben!$B$23&lt;Eingaben!$B$24,AND(B2133&gt;=Eingaben!$B$23,B2133&lt;Eingaben!$B$24),OR(B2133&gt;=Eingaben!$B$23,B2133&lt;Eingaben!$B$24))),"HEAT","STANDARD"))</f>
        <v>GO</v>
      </c>
      <c r="E2133" s="9"/>
      <c r="F2133" t="str">
        <f>IF(E2133="",D2133,E2133)</f>
        <v>GO</v>
      </c>
      <c r="G2133" t="str">
        <f>INDEX(Netzzeiten!$B$6:$B$29,HOUR(B2133)+1)</f>
        <v>NT</v>
      </c>
      <c r="H2133" s="6">
        <f>IF(F2133="GO",Eingaben!$B$11,IF(F2133="STANDARD",Eingaben!$B$12,IF(AND(F2133="HEAT",ISNUMBER(Eingaben!$B$13)),Eingaben!$B$13,"")))</f>
        <v>15.0654</v>
      </c>
      <c r="I2133" s="6">
        <f>INDEX(Netzzeiten!$C$6:$C$29,HOUR(B2133)+1)</f>
        <v>1.64</v>
      </c>
      <c r="J2133" t="str">
        <f>IF(C2133="","FEHLT",IF(NOT(ISNUMBER(C2133)),"MESSWERT UNGUELTIG",IF(C2133&lt;0,"MESSWERT UNGUELTIG",IF(H2133="","TARIFPREIS FEHLT","OK"))))</f>
        <v>FEHLT</v>
      </c>
      <c r="K2133" s="7">
        <f>IF(J2133&lt;&gt;"OK","",C2133*I2133/100)</f>
        <v/>
      </c>
    </row>
    <row r="2134" spans="1:11">
      <c r="A2134" s="14">
        <v>46165</v>
      </c>
      <c r="B2134" s="15">
        <v>0.1666666666666667</v>
      </c>
      <c r="C2134" s="5">
        <f>IF('96 Werte'!R28="","",'96 Werte'!R28)</f>
        <v/>
      </c>
      <c r="D2134" t="str">
        <f>IF(IF(Eingaben!$B$21&lt;Eingaben!$B$22,AND(B2134&gt;=Eingaben!$B$21,B2134&lt;Eingaben!$B$22),OR(B2134&gt;=Eingaben!$B$21,B2134&lt;Eingaben!$B$22)),"GO",IF(AND(ISNUMBER(Eingaben!$B$23),ISNUMBER(Eingaben!$B$24),IF(Eingaben!$B$23&lt;Eingaben!$B$24,AND(B2134&gt;=Eingaben!$B$23,B2134&lt;Eingaben!$B$24),OR(B2134&gt;=Eingaben!$B$23,B2134&lt;Eingaben!$B$24))),"HEAT","STANDARD"))</f>
        <v>GO</v>
      </c>
      <c r="E2134" s="9"/>
      <c r="F2134" t="str">
        <f>IF(E2134="",D2134,E2134)</f>
        <v>GO</v>
      </c>
      <c r="G2134" t="str">
        <f>INDEX(Netzzeiten!$B$6:$B$29,HOUR(B2134)+1)</f>
        <v>NT</v>
      </c>
      <c r="H2134" s="6">
        <f>IF(F2134="GO",Eingaben!$B$11,IF(F2134="STANDARD",Eingaben!$B$12,IF(AND(F2134="HEAT",ISNUMBER(Eingaben!$B$13)),Eingaben!$B$13,"")))</f>
        <v>15.0654</v>
      </c>
      <c r="I2134" s="6">
        <f>INDEX(Netzzeiten!$C$6:$C$29,HOUR(B2134)+1)</f>
        <v>1.64</v>
      </c>
      <c r="J2134" t="str">
        <f>IF(C2134="","FEHLT",IF(NOT(ISNUMBER(C2134)),"MESSWERT UNGUELTIG",IF(C2134&lt;0,"MESSWERT UNGUELTIG",IF(H2134="","TARIFPREIS FEHLT","OK"))))</f>
        <v>FEHLT</v>
      </c>
      <c r="K2134" s="7">
        <f>IF(J2134&lt;&gt;"OK","",C2134*I2134/100)</f>
        <v/>
      </c>
    </row>
    <row r="2135" spans="1:11">
      <c r="A2135" s="14">
        <v>46165</v>
      </c>
      <c r="B2135" s="15">
        <v>0.1770833333333333</v>
      </c>
      <c r="C2135" s="5">
        <f>IF('96 Werte'!S28="","",'96 Werte'!S28)</f>
        <v/>
      </c>
      <c r="D2135" t="str">
        <f>IF(IF(Eingaben!$B$21&lt;Eingaben!$B$22,AND(B2135&gt;=Eingaben!$B$21,B2135&lt;Eingaben!$B$22),OR(B2135&gt;=Eingaben!$B$21,B2135&lt;Eingaben!$B$22)),"GO",IF(AND(ISNUMBER(Eingaben!$B$23),ISNUMBER(Eingaben!$B$24),IF(Eingaben!$B$23&lt;Eingaben!$B$24,AND(B2135&gt;=Eingaben!$B$23,B2135&lt;Eingaben!$B$24),OR(B2135&gt;=Eingaben!$B$23,B2135&lt;Eingaben!$B$24))),"HEAT","STANDARD"))</f>
        <v>GO</v>
      </c>
      <c r="E2135" s="9"/>
      <c r="F2135" t="str">
        <f>IF(E2135="",D2135,E2135)</f>
        <v>GO</v>
      </c>
      <c r="G2135" t="str">
        <f>INDEX(Netzzeiten!$B$6:$B$29,HOUR(B2135)+1)</f>
        <v>NT</v>
      </c>
      <c r="H2135" s="6">
        <f>IF(F2135="GO",Eingaben!$B$11,IF(F2135="STANDARD",Eingaben!$B$12,IF(AND(F2135="HEAT",ISNUMBER(Eingaben!$B$13)),Eingaben!$B$13,"")))</f>
        <v>15.0654</v>
      </c>
      <c r="I2135" s="6">
        <f>INDEX(Netzzeiten!$C$6:$C$29,HOUR(B2135)+1)</f>
        <v>1.64</v>
      </c>
      <c r="J2135" t="str">
        <f>IF(C2135="","FEHLT",IF(NOT(ISNUMBER(C2135)),"MESSWERT UNGUELTIG",IF(C2135&lt;0,"MESSWERT UNGUELTIG",IF(H2135="","TARIFPREIS FEHLT","OK"))))</f>
        <v>FEHLT</v>
      </c>
      <c r="K2135" s="7">
        <f>IF(J2135&lt;&gt;"OK","",C2135*I2135/100)</f>
        <v/>
      </c>
    </row>
    <row r="2136" spans="1:11">
      <c r="A2136" s="14">
        <v>46165</v>
      </c>
      <c r="B2136" s="15">
        <v>0.1875</v>
      </c>
      <c r="C2136" s="5">
        <f>IF('96 Werte'!T28="","",'96 Werte'!T28)</f>
        <v/>
      </c>
      <c r="D2136" t="str">
        <f>IF(IF(Eingaben!$B$21&lt;Eingaben!$B$22,AND(B2136&gt;=Eingaben!$B$21,B2136&lt;Eingaben!$B$22),OR(B2136&gt;=Eingaben!$B$21,B2136&lt;Eingaben!$B$22)),"GO",IF(AND(ISNUMBER(Eingaben!$B$23),ISNUMBER(Eingaben!$B$24),IF(Eingaben!$B$23&lt;Eingaben!$B$24,AND(B2136&gt;=Eingaben!$B$23,B2136&lt;Eingaben!$B$24),OR(B2136&gt;=Eingaben!$B$23,B2136&lt;Eingaben!$B$24))),"HEAT","STANDARD"))</f>
        <v>GO</v>
      </c>
      <c r="E2136" s="9"/>
      <c r="F2136" t="str">
        <f>IF(E2136="",D2136,E2136)</f>
        <v>GO</v>
      </c>
      <c r="G2136" t="str">
        <f>INDEX(Netzzeiten!$B$6:$B$29,HOUR(B2136)+1)</f>
        <v>NT</v>
      </c>
      <c r="H2136" s="6">
        <f>IF(F2136="GO",Eingaben!$B$11,IF(F2136="STANDARD",Eingaben!$B$12,IF(AND(F2136="HEAT",ISNUMBER(Eingaben!$B$13)),Eingaben!$B$13,"")))</f>
        <v>15.0654</v>
      </c>
      <c r="I2136" s="6">
        <f>INDEX(Netzzeiten!$C$6:$C$29,HOUR(B2136)+1)</f>
        <v>1.64</v>
      </c>
      <c r="J2136" t="str">
        <f>IF(C2136="","FEHLT",IF(NOT(ISNUMBER(C2136)),"MESSWERT UNGUELTIG",IF(C2136&lt;0,"MESSWERT UNGUELTIG",IF(H2136="","TARIFPREIS FEHLT","OK"))))</f>
        <v>FEHLT</v>
      </c>
      <c r="K2136" s="7">
        <f>IF(J2136&lt;&gt;"OK","",C2136*I2136/100)</f>
        <v/>
      </c>
    </row>
    <row r="2137" spans="1:11">
      <c r="A2137" s="14">
        <v>46165</v>
      </c>
      <c r="B2137" s="15">
        <v>0.1979166666666667</v>
      </c>
      <c r="C2137" s="5">
        <f>IF('96 Werte'!U28="","",'96 Werte'!U28)</f>
        <v/>
      </c>
      <c r="D2137" t="str">
        <f>IF(IF(Eingaben!$B$21&lt;Eingaben!$B$22,AND(B2137&gt;=Eingaben!$B$21,B2137&lt;Eingaben!$B$22),OR(B2137&gt;=Eingaben!$B$21,B2137&lt;Eingaben!$B$22)),"GO",IF(AND(ISNUMBER(Eingaben!$B$23),ISNUMBER(Eingaben!$B$24),IF(Eingaben!$B$23&lt;Eingaben!$B$24,AND(B2137&gt;=Eingaben!$B$23,B2137&lt;Eingaben!$B$24),OR(B2137&gt;=Eingaben!$B$23,B2137&lt;Eingaben!$B$24))),"HEAT","STANDARD"))</f>
        <v>GO</v>
      </c>
      <c r="E2137" s="9"/>
      <c r="F2137" t="str">
        <f>IF(E2137="",D2137,E2137)</f>
        <v>GO</v>
      </c>
      <c r="G2137" t="str">
        <f>INDEX(Netzzeiten!$B$6:$B$29,HOUR(B2137)+1)</f>
        <v>NT</v>
      </c>
      <c r="H2137" s="6">
        <f>IF(F2137="GO",Eingaben!$B$11,IF(F2137="STANDARD",Eingaben!$B$12,IF(AND(F2137="HEAT",ISNUMBER(Eingaben!$B$13)),Eingaben!$B$13,"")))</f>
        <v>15.0654</v>
      </c>
      <c r="I2137" s="6">
        <f>INDEX(Netzzeiten!$C$6:$C$29,HOUR(B2137)+1)</f>
        <v>1.64</v>
      </c>
      <c r="J2137" t="str">
        <f>IF(C2137="","FEHLT",IF(NOT(ISNUMBER(C2137)),"MESSWERT UNGUELTIG",IF(C2137&lt;0,"MESSWERT UNGUELTIG",IF(H2137="","TARIFPREIS FEHLT","OK"))))</f>
        <v>FEHLT</v>
      </c>
      <c r="K2137" s="7">
        <f>IF(J2137&lt;&gt;"OK","",C2137*I2137/100)</f>
        <v/>
      </c>
    </row>
    <row r="2138" spans="1:11">
      <c r="A2138" s="14">
        <v>46165</v>
      </c>
      <c r="B2138" s="15">
        <v>0.2083333333333333</v>
      </c>
      <c r="C2138" s="5">
        <f>IF('96 Werte'!V28="","",'96 Werte'!V28)</f>
        <v/>
      </c>
      <c r="D2138" t="str">
        <f>IF(IF(Eingaben!$B$21&lt;Eingaben!$B$22,AND(B2138&gt;=Eingaben!$B$21,B2138&lt;Eingaben!$B$22),OR(B2138&gt;=Eingaben!$B$21,B2138&lt;Eingaben!$B$22)),"GO",IF(AND(ISNUMBER(Eingaben!$B$23),ISNUMBER(Eingaben!$B$24),IF(Eingaben!$B$23&lt;Eingaben!$B$24,AND(B2138&gt;=Eingaben!$B$23,B2138&lt;Eingaben!$B$24),OR(B2138&gt;=Eingaben!$B$23,B2138&lt;Eingaben!$B$24))),"HEAT","STANDARD"))</f>
        <v>STANDARD</v>
      </c>
      <c r="E2138" s="9"/>
      <c r="F2138" t="str">
        <f>IF(E2138="",D2138,E2138)</f>
        <v>STANDARD</v>
      </c>
      <c r="G2138" t="str">
        <f>INDEX(Netzzeiten!$B$6:$B$29,HOUR(B2138)+1)</f>
        <v>NT</v>
      </c>
      <c r="H2138" s="6">
        <f>IF(F2138="GO",Eingaben!$B$11,IF(F2138="STANDARD",Eingaben!$B$12,IF(AND(F2138="HEAT",ISNUMBER(Eingaben!$B$13)),Eingaben!$B$13,"")))</f>
        <v>28.2744</v>
      </c>
      <c r="I2138" s="6">
        <f>INDEX(Netzzeiten!$C$6:$C$29,HOUR(B2138)+1)</f>
        <v>1.64</v>
      </c>
      <c r="J2138" t="str">
        <f>IF(C2138="","FEHLT",IF(NOT(ISNUMBER(C2138)),"MESSWERT UNGUELTIG",IF(C2138&lt;0,"MESSWERT UNGUELTIG",IF(H2138="","TARIFPREIS FEHLT","OK"))))</f>
        <v>FEHLT</v>
      </c>
      <c r="K2138" s="7">
        <f>IF(J2138&lt;&gt;"OK","",C2138*I2138/100)</f>
        <v/>
      </c>
    </row>
    <row r="2139" spans="1:11">
      <c r="A2139" s="14">
        <v>46165</v>
      </c>
      <c r="B2139" s="15">
        <v>0.21875</v>
      </c>
      <c r="C2139" s="5">
        <f>IF('96 Werte'!W28="","",'96 Werte'!W28)</f>
        <v/>
      </c>
      <c r="D2139" t="str">
        <f>IF(IF(Eingaben!$B$21&lt;Eingaben!$B$22,AND(B2139&gt;=Eingaben!$B$21,B2139&lt;Eingaben!$B$22),OR(B2139&gt;=Eingaben!$B$21,B2139&lt;Eingaben!$B$22)),"GO",IF(AND(ISNUMBER(Eingaben!$B$23),ISNUMBER(Eingaben!$B$24),IF(Eingaben!$B$23&lt;Eingaben!$B$24,AND(B2139&gt;=Eingaben!$B$23,B2139&lt;Eingaben!$B$24),OR(B2139&gt;=Eingaben!$B$23,B2139&lt;Eingaben!$B$24))),"HEAT","STANDARD"))</f>
        <v>STANDARD</v>
      </c>
      <c r="E2139" s="9"/>
      <c r="F2139" t="str">
        <f>IF(E2139="",D2139,E2139)</f>
        <v>STANDARD</v>
      </c>
      <c r="G2139" t="str">
        <f>INDEX(Netzzeiten!$B$6:$B$29,HOUR(B2139)+1)</f>
        <v>NT</v>
      </c>
      <c r="H2139" s="6">
        <f>IF(F2139="GO",Eingaben!$B$11,IF(F2139="STANDARD",Eingaben!$B$12,IF(AND(F2139="HEAT",ISNUMBER(Eingaben!$B$13)),Eingaben!$B$13,"")))</f>
        <v>28.2744</v>
      </c>
      <c r="I2139" s="6">
        <f>INDEX(Netzzeiten!$C$6:$C$29,HOUR(B2139)+1)</f>
        <v>1.64</v>
      </c>
      <c r="J2139" t="str">
        <f>IF(C2139="","FEHLT",IF(NOT(ISNUMBER(C2139)),"MESSWERT UNGUELTIG",IF(C2139&lt;0,"MESSWERT UNGUELTIG",IF(H2139="","TARIFPREIS FEHLT","OK"))))</f>
        <v>FEHLT</v>
      </c>
      <c r="K2139" s="7">
        <f>IF(J2139&lt;&gt;"OK","",C2139*I2139/100)</f>
        <v/>
      </c>
    </row>
    <row r="2140" spans="1:11">
      <c r="A2140" s="14">
        <v>46165</v>
      </c>
      <c r="B2140" s="15">
        <v>0.2291666666666667</v>
      </c>
      <c r="C2140" s="5">
        <f>IF('96 Werte'!X28="","",'96 Werte'!X28)</f>
        <v/>
      </c>
      <c r="D2140" t="str">
        <f>IF(IF(Eingaben!$B$21&lt;Eingaben!$B$22,AND(B2140&gt;=Eingaben!$B$21,B2140&lt;Eingaben!$B$22),OR(B2140&gt;=Eingaben!$B$21,B2140&lt;Eingaben!$B$22)),"GO",IF(AND(ISNUMBER(Eingaben!$B$23),ISNUMBER(Eingaben!$B$24),IF(Eingaben!$B$23&lt;Eingaben!$B$24,AND(B2140&gt;=Eingaben!$B$23,B2140&lt;Eingaben!$B$24),OR(B2140&gt;=Eingaben!$B$23,B2140&lt;Eingaben!$B$24))),"HEAT","STANDARD"))</f>
        <v>STANDARD</v>
      </c>
      <c r="E2140" s="9"/>
      <c r="F2140" t="str">
        <f>IF(E2140="",D2140,E2140)</f>
        <v>STANDARD</v>
      </c>
      <c r="G2140" t="str">
        <f>INDEX(Netzzeiten!$B$6:$B$29,HOUR(B2140)+1)</f>
        <v>NT</v>
      </c>
      <c r="H2140" s="6">
        <f>IF(F2140="GO",Eingaben!$B$11,IF(F2140="STANDARD",Eingaben!$B$12,IF(AND(F2140="HEAT",ISNUMBER(Eingaben!$B$13)),Eingaben!$B$13,"")))</f>
        <v>28.2744</v>
      </c>
      <c r="I2140" s="6">
        <f>INDEX(Netzzeiten!$C$6:$C$29,HOUR(B2140)+1)</f>
        <v>1.64</v>
      </c>
      <c r="J2140" t="str">
        <f>IF(C2140="","FEHLT",IF(NOT(ISNUMBER(C2140)),"MESSWERT UNGUELTIG",IF(C2140&lt;0,"MESSWERT UNGUELTIG",IF(H2140="","TARIFPREIS FEHLT","OK"))))</f>
        <v>FEHLT</v>
      </c>
      <c r="K2140" s="7">
        <f>IF(J2140&lt;&gt;"OK","",C2140*I2140/100)</f>
        <v/>
      </c>
    </row>
    <row r="2141" spans="1:11">
      <c r="A2141" s="14">
        <v>46165</v>
      </c>
      <c r="B2141" s="15">
        <v>0.2395833333333333</v>
      </c>
      <c r="C2141" s="5">
        <f>IF('96 Werte'!Y28="","",'96 Werte'!Y28)</f>
        <v/>
      </c>
      <c r="D2141" t="str">
        <f>IF(IF(Eingaben!$B$21&lt;Eingaben!$B$22,AND(B2141&gt;=Eingaben!$B$21,B2141&lt;Eingaben!$B$22),OR(B2141&gt;=Eingaben!$B$21,B2141&lt;Eingaben!$B$22)),"GO",IF(AND(ISNUMBER(Eingaben!$B$23),ISNUMBER(Eingaben!$B$24),IF(Eingaben!$B$23&lt;Eingaben!$B$24,AND(B2141&gt;=Eingaben!$B$23,B2141&lt;Eingaben!$B$24),OR(B2141&gt;=Eingaben!$B$23,B2141&lt;Eingaben!$B$24))),"HEAT","STANDARD"))</f>
        <v>STANDARD</v>
      </c>
      <c r="E2141" s="9"/>
      <c r="F2141" t="str">
        <f>IF(E2141="",D2141,E2141)</f>
        <v>STANDARD</v>
      </c>
      <c r="G2141" t="str">
        <f>INDEX(Netzzeiten!$B$6:$B$29,HOUR(B2141)+1)</f>
        <v>NT</v>
      </c>
      <c r="H2141" s="6">
        <f>IF(F2141="GO",Eingaben!$B$11,IF(F2141="STANDARD",Eingaben!$B$12,IF(AND(F2141="HEAT",ISNUMBER(Eingaben!$B$13)),Eingaben!$B$13,"")))</f>
        <v>28.2744</v>
      </c>
      <c r="I2141" s="6">
        <f>INDEX(Netzzeiten!$C$6:$C$29,HOUR(B2141)+1)</f>
        <v>1.64</v>
      </c>
      <c r="J2141" t="str">
        <f>IF(C2141="","FEHLT",IF(NOT(ISNUMBER(C2141)),"MESSWERT UNGUELTIG",IF(C2141&lt;0,"MESSWERT UNGUELTIG",IF(H2141="","TARIFPREIS FEHLT","OK"))))</f>
        <v>FEHLT</v>
      </c>
      <c r="K2141" s="7">
        <f>IF(J2141&lt;&gt;"OK","",C2141*I2141/100)</f>
        <v/>
      </c>
    </row>
    <row r="2142" spans="1:11">
      <c r="A2142" s="14">
        <v>46165</v>
      </c>
      <c r="B2142" s="15">
        <v>0.25</v>
      </c>
      <c r="C2142" s="5">
        <f>IF('96 Werte'!Z28="","",'96 Werte'!Z28)</f>
        <v/>
      </c>
      <c r="D2142" t="str">
        <f>IF(IF(Eingaben!$B$21&lt;Eingaben!$B$22,AND(B2142&gt;=Eingaben!$B$21,B2142&lt;Eingaben!$B$22),OR(B2142&gt;=Eingaben!$B$21,B2142&lt;Eingaben!$B$22)),"GO",IF(AND(ISNUMBER(Eingaben!$B$23),ISNUMBER(Eingaben!$B$24),IF(Eingaben!$B$23&lt;Eingaben!$B$24,AND(B2142&gt;=Eingaben!$B$23,B2142&lt;Eingaben!$B$24),OR(B2142&gt;=Eingaben!$B$23,B2142&lt;Eingaben!$B$24))),"HEAT","STANDARD"))</f>
        <v>STANDARD</v>
      </c>
      <c r="E2142" s="9"/>
      <c r="F2142" t="str">
        <f>IF(E2142="",D2142,E2142)</f>
        <v>STANDARD</v>
      </c>
      <c r="G2142" t="str">
        <f>INDEX(Netzzeiten!$B$6:$B$29,HOUR(B2142)+1)</f>
        <v>ST</v>
      </c>
      <c r="H2142" s="6">
        <f>IF(F2142="GO",Eingaben!$B$11,IF(F2142="STANDARD",Eingaben!$B$12,IF(AND(F2142="HEAT",ISNUMBER(Eingaben!$B$13)),Eingaben!$B$13,"")))</f>
        <v>28.2744</v>
      </c>
      <c r="I2142" s="6">
        <f>INDEX(Netzzeiten!$C$6:$C$29,HOUR(B2142)+1)</f>
        <v>5.48</v>
      </c>
      <c r="J2142" t="str">
        <f>IF(C2142="","FEHLT",IF(NOT(ISNUMBER(C2142)),"MESSWERT UNGUELTIG",IF(C2142&lt;0,"MESSWERT UNGUELTIG",IF(H2142="","TARIFPREIS FEHLT","OK"))))</f>
        <v>FEHLT</v>
      </c>
      <c r="K2142" s="7">
        <f>IF(J2142&lt;&gt;"OK","",C2142*I2142/100)</f>
        <v/>
      </c>
    </row>
    <row r="2143" spans="1:11">
      <c r="A2143" s="14">
        <v>46165</v>
      </c>
      <c r="B2143" s="15">
        <v>0.2604166666666667</v>
      </c>
      <c r="C2143" s="5">
        <f>IF('96 Werte'!AA28="","",'96 Werte'!AA28)</f>
        <v/>
      </c>
      <c r="D2143" t="str">
        <f>IF(IF(Eingaben!$B$21&lt;Eingaben!$B$22,AND(B2143&gt;=Eingaben!$B$21,B2143&lt;Eingaben!$B$22),OR(B2143&gt;=Eingaben!$B$21,B2143&lt;Eingaben!$B$22)),"GO",IF(AND(ISNUMBER(Eingaben!$B$23),ISNUMBER(Eingaben!$B$24),IF(Eingaben!$B$23&lt;Eingaben!$B$24,AND(B2143&gt;=Eingaben!$B$23,B2143&lt;Eingaben!$B$24),OR(B2143&gt;=Eingaben!$B$23,B2143&lt;Eingaben!$B$24))),"HEAT","STANDARD"))</f>
        <v>STANDARD</v>
      </c>
      <c r="E2143" s="9"/>
      <c r="F2143" t="str">
        <f>IF(E2143="",D2143,E2143)</f>
        <v>STANDARD</v>
      </c>
      <c r="G2143" t="str">
        <f>INDEX(Netzzeiten!$B$6:$B$29,HOUR(B2143)+1)</f>
        <v>ST</v>
      </c>
      <c r="H2143" s="6">
        <f>IF(F2143="GO",Eingaben!$B$11,IF(F2143="STANDARD",Eingaben!$B$12,IF(AND(F2143="HEAT",ISNUMBER(Eingaben!$B$13)),Eingaben!$B$13,"")))</f>
        <v>28.2744</v>
      </c>
      <c r="I2143" s="6">
        <f>INDEX(Netzzeiten!$C$6:$C$29,HOUR(B2143)+1)</f>
        <v>5.48</v>
      </c>
      <c r="J2143" t="str">
        <f>IF(C2143="","FEHLT",IF(NOT(ISNUMBER(C2143)),"MESSWERT UNGUELTIG",IF(C2143&lt;0,"MESSWERT UNGUELTIG",IF(H2143="","TARIFPREIS FEHLT","OK"))))</f>
        <v>FEHLT</v>
      </c>
      <c r="K2143" s="7">
        <f>IF(J2143&lt;&gt;"OK","",C2143*I2143/100)</f>
        <v/>
      </c>
    </row>
    <row r="2144" spans="1:11">
      <c r="A2144" s="14">
        <v>46165</v>
      </c>
      <c r="B2144" s="15">
        <v>0.2708333333333333</v>
      </c>
      <c r="C2144" s="5">
        <f>IF('96 Werte'!AB28="","",'96 Werte'!AB28)</f>
        <v/>
      </c>
      <c r="D2144" t="str">
        <f>IF(IF(Eingaben!$B$21&lt;Eingaben!$B$22,AND(B2144&gt;=Eingaben!$B$21,B2144&lt;Eingaben!$B$22),OR(B2144&gt;=Eingaben!$B$21,B2144&lt;Eingaben!$B$22)),"GO",IF(AND(ISNUMBER(Eingaben!$B$23),ISNUMBER(Eingaben!$B$24),IF(Eingaben!$B$23&lt;Eingaben!$B$24,AND(B2144&gt;=Eingaben!$B$23,B2144&lt;Eingaben!$B$24),OR(B2144&gt;=Eingaben!$B$23,B2144&lt;Eingaben!$B$24))),"HEAT","STANDARD"))</f>
        <v>STANDARD</v>
      </c>
      <c r="E2144" s="9"/>
      <c r="F2144" t="str">
        <f>IF(E2144="",D2144,E2144)</f>
        <v>STANDARD</v>
      </c>
      <c r="G2144" t="str">
        <f>INDEX(Netzzeiten!$B$6:$B$29,HOUR(B2144)+1)</f>
        <v>ST</v>
      </c>
      <c r="H2144" s="6">
        <f>IF(F2144="GO",Eingaben!$B$11,IF(F2144="STANDARD",Eingaben!$B$12,IF(AND(F2144="HEAT",ISNUMBER(Eingaben!$B$13)),Eingaben!$B$13,"")))</f>
        <v>28.2744</v>
      </c>
      <c r="I2144" s="6">
        <f>INDEX(Netzzeiten!$C$6:$C$29,HOUR(B2144)+1)</f>
        <v>5.48</v>
      </c>
      <c r="J2144" t="str">
        <f>IF(C2144="","FEHLT",IF(NOT(ISNUMBER(C2144)),"MESSWERT UNGUELTIG",IF(C2144&lt;0,"MESSWERT UNGUELTIG",IF(H2144="","TARIFPREIS FEHLT","OK"))))</f>
        <v>FEHLT</v>
      </c>
      <c r="K2144" s="7">
        <f>IF(J2144&lt;&gt;"OK","",C2144*I2144/100)</f>
        <v/>
      </c>
    </row>
    <row r="2145" spans="1:11">
      <c r="A2145" s="14">
        <v>46165</v>
      </c>
      <c r="B2145" s="15">
        <v>0.28125</v>
      </c>
      <c r="C2145" s="5">
        <f>IF('96 Werte'!AC28="","",'96 Werte'!AC28)</f>
        <v/>
      </c>
      <c r="D2145" t="str">
        <f>IF(IF(Eingaben!$B$21&lt;Eingaben!$B$22,AND(B2145&gt;=Eingaben!$B$21,B2145&lt;Eingaben!$B$22),OR(B2145&gt;=Eingaben!$B$21,B2145&lt;Eingaben!$B$22)),"GO",IF(AND(ISNUMBER(Eingaben!$B$23),ISNUMBER(Eingaben!$B$24),IF(Eingaben!$B$23&lt;Eingaben!$B$24,AND(B2145&gt;=Eingaben!$B$23,B2145&lt;Eingaben!$B$24),OR(B2145&gt;=Eingaben!$B$23,B2145&lt;Eingaben!$B$24))),"HEAT","STANDARD"))</f>
        <v>STANDARD</v>
      </c>
      <c r="E2145" s="9"/>
      <c r="F2145" t="str">
        <f>IF(E2145="",D2145,E2145)</f>
        <v>STANDARD</v>
      </c>
      <c r="G2145" t="str">
        <f>INDEX(Netzzeiten!$B$6:$B$29,HOUR(B2145)+1)</f>
        <v>ST</v>
      </c>
      <c r="H2145" s="6">
        <f>IF(F2145="GO",Eingaben!$B$11,IF(F2145="STANDARD",Eingaben!$B$12,IF(AND(F2145="HEAT",ISNUMBER(Eingaben!$B$13)),Eingaben!$B$13,"")))</f>
        <v>28.2744</v>
      </c>
      <c r="I2145" s="6">
        <f>INDEX(Netzzeiten!$C$6:$C$29,HOUR(B2145)+1)</f>
        <v>5.48</v>
      </c>
      <c r="J2145" t="str">
        <f>IF(C2145="","FEHLT",IF(NOT(ISNUMBER(C2145)),"MESSWERT UNGUELTIG",IF(C2145&lt;0,"MESSWERT UNGUELTIG",IF(H2145="","TARIFPREIS FEHLT","OK"))))</f>
        <v>FEHLT</v>
      </c>
      <c r="K2145" s="7">
        <f>IF(J2145&lt;&gt;"OK","",C2145*I2145/100)</f>
        <v/>
      </c>
    </row>
    <row r="2146" spans="1:11">
      <c r="A2146" s="14">
        <v>46165</v>
      </c>
      <c r="B2146" s="15">
        <v>0.2916666666666667</v>
      </c>
      <c r="C2146" s="5">
        <f>IF('96 Werte'!AD28="","",'96 Werte'!AD28)</f>
        <v/>
      </c>
      <c r="D2146" t="str">
        <f>IF(IF(Eingaben!$B$21&lt;Eingaben!$B$22,AND(B2146&gt;=Eingaben!$B$21,B2146&lt;Eingaben!$B$22),OR(B2146&gt;=Eingaben!$B$21,B2146&lt;Eingaben!$B$22)),"GO",IF(AND(ISNUMBER(Eingaben!$B$23),ISNUMBER(Eingaben!$B$24),IF(Eingaben!$B$23&lt;Eingaben!$B$24,AND(B2146&gt;=Eingaben!$B$23,B2146&lt;Eingaben!$B$24),OR(B2146&gt;=Eingaben!$B$23,B2146&lt;Eingaben!$B$24))),"HEAT","STANDARD"))</f>
        <v>STANDARD</v>
      </c>
      <c r="E2146" s="9"/>
      <c r="F2146" t="str">
        <f>IF(E2146="",D2146,E2146)</f>
        <v>STANDARD</v>
      </c>
      <c r="G2146" t="str">
        <f>INDEX(Netzzeiten!$B$6:$B$29,HOUR(B2146)+1)</f>
        <v>ST</v>
      </c>
      <c r="H2146" s="6">
        <f>IF(F2146="GO",Eingaben!$B$11,IF(F2146="STANDARD",Eingaben!$B$12,IF(AND(F2146="HEAT",ISNUMBER(Eingaben!$B$13)),Eingaben!$B$13,"")))</f>
        <v>28.2744</v>
      </c>
      <c r="I2146" s="6">
        <f>INDEX(Netzzeiten!$C$6:$C$29,HOUR(B2146)+1)</f>
        <v>5.48</v>
      </c>
      <c r="J2146" t="str">
        <f>IF(C2146="","FEHLT",IF(NOT(ISNUMBER(C2146)),"MESSWERT UNGUELTIG",IF(C2146&lt;0,"MESSWERT UNGUELTIG",IF(H2146="","TARIFPREIS FEHLT","OK"))))</f>
        <v>FEHLT</v>
      </c>
      <c r="K2146" s="7">
        <f>IF(J2146&lt;&gt;"OK","",C2146*I2146/100)</f>
        <v/>
      </c>
    </row>
    <row r="2147" spans="1:11">
      <c r="A2147" s="14">
        <v>46165</v>
      </c>
      <c r="B2147" s="15">
        <v>0.3020833333333333</v>
      </c>
      <c r="C2147" s="5">
        <f>IF('96 Werte'!AE28="","",'96 Werte'!AE28)</f>
        <v/>
      </c>
      <c r="D2147" t="str">
        <f>IF(IF(Eingaben!$B$21&lt;Eingaben!$B$22,AND(B2147&gt;=Eingaben!$B$21,B2147&lt;Eingaben!$B$22),OR(B2147&gt;=Eingaben!$B$21,B2147&lt;Eingaben!$B$22)),"GO",IF(AND(ISNUMBER(Eingaben!$B$23),ISNUMBER(Eingaben!$B$24),IF(Eingaben!$B$23&lt;Eingaben!$B$24,AND(B2147&gt;=Eingaben!$B$23,B2147&lt;Eingaben!$B$24),OR(B2147&gt;=Eingaben!$B$23,B2147&lt;Eingaben!$B$24))),"HEAT","STANDARD"))</f>
        <v>STANDARD</v>
      </c>
      <c r="E2147" s="9"/>
      <c r="F2147" t="str">
        <f>IF(E2147="",D2147,E2147)</f>
        <v>STANDARD</v>
      </c>
      <c r="G2147" t="str">
        <f>INDEX(Netzzeiten!$B$6:$B$29,HOUR(B2147)+1)</f>
        <v>ST</v>
      </c>
      <c r="H2147" s="6">
        <f>IF(F2147="GO",Eingaben!$B$11,IF(F2147="STANDARD",Eingaben!$B$12,IF(AND(F2147="HEAT",ISNUMBER(Eingaben!$B$13)),Eingaben!$B$13,"")))</f>
        <v>28.2744</v>
      </c>
      <c r="I2147" s="6">
        <f>INDEX(Netzzeiten!$C$6:$C$29,HOUR(B2147)+1)</f>
        <v>5.48</v>
      </c>
      <c r="J2147" t="str">
        <f>IF(C2147="","FEHLT",IF(NOT(ISNUMBER(C2147)),"MESSWERT UNGUELTIG",IF(C2147&lt;0,"MESSWERT UNGUELTIG",IF(H2147="","TARIFPREIS FEHLT","OK"))))</f>
        <v>FEHLT</v>
      </c>
      <c r="K2147" s="7">
        <f>IF(J2147&lt;&gt;"OK","",C2147*I2147/100)</f>
        <v/>
      </c>
    </row>
    <row r="2148" spans="1:11">
      <c r="A2148" s="14">
        <v>46165</v>
      </c>
      <c r="B2148" s="15">
        <v>0.3125</v>
      </c>
      <c r="C2148" s="5">
        <f>IF('96 Werte'!AF28="","",'96 Werte'!AF28)</f>
        <v/>
      </c>
      <c r="D2148" t="str">
        <f>IF(IF(Eingaben!$B$21&lt;Eingaben!$B$22,AND(B2148&gt;=Eingaben!$B$21,B2148&lt;Eingaben!$B$22),OR(B2148&gt;=Eingaben!$B$21,B2148&lt;Eingaben!$B$22)),"GO",IF(AND(ISNUMBER(Eingaben!$B$23),ISNUMBER(Eingaben!$B$24),IF(Eingaben!$B$23&lt;Eingaben!$B$24,AND(B2148&gt;=Eingaben!$B$23,B2148&lt;Eingaben!$B$24),OR(B2148&gt;=Eingaben!$B$23,B2148&lt;Eingaben!$B$24))),"HEAT","STANDARD"))</f>
        <v>STANDARD</v>
      </c>
      <c r="E2148" s="9"/>
      <c r="F2148" t="str">
        <f>IF(E2148="",D2148,E2148)</f>
        <v>STANDARD</v>
      </c>
      <c r="G2148" t="str">
        <f>INDEX(Netzzeiten!$B$6:$B$29,HOUR(B2148)+1)</f>
        <v>ST</v>
      </c>
      <c r="H2148" s="6">
        <f>IF(F2148="GO",Eingaben!$B$11,IF(F2148="STANDARD",Eingaben!$B$12,IF(AND(F2148="HEAT",ISNUMBER(Eingaben!$B$13)),Eingaben!$B$13,"")))</f>
        <v>28.2744</v>
      </c>
      <c r="I2148" s="6">
        <f>INDEX(Netzzeiten!$C$6:$C$29,HOUR(B2148)+1)</f>
        <v>5.48</v>
      </c>
      <c r="J2148" t="str">
        <f>IF(C2148="","FEHLT",IF(NOT(ISNUMBER(C2148)),"MESSWERT UNGUELTIG",IF(C2148&lt;0,"MESSWERT UNGUELTIG",IF(H2148="","TARIFPREIS FEHLT","OK"))))</f>
        <v>FEHLT</v>
      </c>
      <c r="K2148" s="7">
        <f>IF(J2148&lt;&gt;"OK","",C2148*I2148/100)</f>
        <v/>
      </c>
    </row>
    <row r="2149" spans="1:11">
      <c r="A2149" s="14">
        <v>46165</v>
      </c>
      <c r="B2149" s="15">
        <v>0.3229166666666667</v>
      </c>
      <c r="C2149" s="5">
        <f>IF('96 Werte'!AG28="","",'96 Werte'!AG28)</f>
        <v/>
      </c>
      <c r="D2149" t="str">
        <f>IF(IF(Eingaben!$B$21&lt;Eingaben!$B$22,AND(B2149&gt;=Eingaben!$B$21,B2149&lt;Eingaben!$B$22),OR(B2149&gt;=Eingaben!$B$21,B2149&lt;Eingaben!$B$22)),"GO",IF(AND(ISNUMBER(Eingaben!$B$23),ISNUMBER(Eingaben!$B$24),IF(Eingaben!$B$23&lt;Eingaben!$B$24,AND(B2149&gt;=Eingaben!$B$23,B2149&lt;Eingaben!$B$24),OR(B2149&gt;=Eingaben!$B$23,B2149&lt;Eingaben!$B$24))),"HEAT","STANDARD"))</f>
        <v>STANDARD</v>
      </c>
      <c r="E2149" s="9"/>
      <c r="F2149" t="str">
        <f>IF(E2149="",D2149,E2149)</f>
        <v>STANDARD</v>
      </c>
      <c r="G2149" t="str">
        <f>INDEX(Netzzeiten!$B$6:$B$29,HOUR(B2149)+1)</f>
        <v>ST</v>
      </c>
      <c r="H2149" s="6">
        <f>IF(F2149="GO",Eingaben!$B$11,IF(F2149="STANDARD",Eingaben!$B$12,IF(AND(F2149="HEAT",ISNUMBER(Eingaben!$B$13)),Eingaben!$B$13,"")))</f>
        <v>28.2744</v>
      </c>
      <c r="I2149" s="6">
        <f>INDEX(Netzzeiten!$C$6:$C$29,HOUR(B2149)+1)</f>
        <v>5.48</v>
      </c>
      <c r="J2149" t="str">
        <f>IF(C2149="","FEHLT",IF(NOT(ISNUMBER(C2149)),"MESSWERT UNGUELTIG",IF(C2149&lt;0,"MESSWERT UNGUELTIG",IF(H2149="","TARIFPREIS FEHLT","OK"))))</f>
        <v>FEHLT</v>
      </c>
      <c r="K2149" s="7">
        <f>IF(J2149&lt;&gt;"OK","",C2149*I2149/100)</f>
        <v/>
      </c>
    </row>
    <row r="2150" spans="1:11">
      <c r="A2150" s="14">
        <v>46165</v>
      </c>
      <c r="B2150" s="15">
        <v>0.3333333333333333</v>
      </c>
      <c r="C2150" s="5">
        <f>IF('96 Werte'!AH28="","",'96 Werte'!AH28)</f>
        <v/>
      </c>
      <c r="D2150" t="str">
        <f>IF(IF(Eingaben!$B$21&lt;Eingaben!$B$22,AND(B2150&gt;=Eingaben!$B$21,B2150&lt;Eingaben!$B$22),OR(B2150&gt;=Eingaben!$B$21,B2150&lt;Eingaben!$B$22)),"GO",IF(AND(ISNUMBER(Eingaben!$B$23),ISNUMBER(Eingaben!$B$24),IF(Eingaben!$B$23&lt;Eingaben!$B$24,AND(B2150&gt;=Eingaben!$B$23,B2150&lt;Eingaben!$B$24),OR(B2150&gt;=Eingaben!$B$23,B2150&lt;Eingaben!$B$24))),"HEAT","STANDARD"))</f>
        <v>STANDARD</v>
      </c>
      <c r="E2150" s="9"/>
      <c r="F2150" t="str">
        <f>IF(E2150="",D2150,E2150)</f>
        <v>STANDARD</v>
      </c>
      <c r="G2150" t="str">
        <f>INDEX(Netzzeiten!$B$6:$B$29,HOUR(B2150)+1)</f>
        <v>ST</v>
      </c>
      <c r="H2150" s="6">
        <f>IF(F2150="GO",Eingaben!$B$11,IF(F2150="STANDARD",Eingaben!$B$12,IF(AND(F2150="HEAT",ISNUMBER(Eingaben!$B$13)),Eingaben!$B$13,"")))</f>
        <v>28.2744</v>
      </c>
      <c r="I2150" s="6">
        <f>INDEX(Netzzeiten!$C$6:$C$29,HOUR(B2150)+1)</f>
        <v>5.48</v>
      </c>
      <c r="J2150" t="str">
        <f>IF(C2150="","FEHLT",IF(NOT(ISNUMBER(C2150)),"MESSWERT UNGUELTIG",IF(C2150&lt;0,"MESSWERT UNGUELTIG",IF(H2150="","TARIFPREIS FEHLT","OK"))))</f>
        <v>FEHLT</v>
      </c>
      <c r="K2150" s="7">
        <f>IF(J2150&lt;&gt;"OK","",C2150*I2150/100)</f>
        <v/>
      </c>
    </row>
    <row r="2151" spans="1:11">
      <c r="A2151" s="14">
        <v>46165</v>
      </c>
      <c r="B2151" s="15">
        <v>0.34375</v>
      </c>
      <c r="C2151" s="5">
        <f>IF('96 Werte'!AI28="","",'96 Werte'!AI28)</f>
        <v/>
      </c>
      <c r="D2151" t="str">
        <f>IF(IF(Eingaben!$B$21&lt;Eingaben!$B$22,AND(B2151&gt;=Eingaben!$B$21,B2151&lt;Eingaben!$B$22),OR(B2151&gt;=Eingaben!$B$21,B2151&lt;Eingaben!$B$22)),"GO",IF(AND(ISNUMBER(Eingaben!$B$23),ISNUMBER(Eingaben!$B$24),IF(Eingaben!$B$23&lt;Eingaben!$B$24,AND(B2151&gt;=Eingaben!$B$23,B2151&lt;Eingaben!$B$24),OR(B2151&gt;=Eingaben!$B$23,B2151&lt;Eingaben!$B$24))),"HEAT","STANDARD"))</f>
        <v>STANDARD</v>
      </c>
      <c r="E2151" s="9"/>
      <c r="F2151" t="str">
        <f>IF(E2151="",D2151,E2151)</f>
        <v>STANDARD</v>
      </c>
      <c r="G2151" t="str">
        <f>INDEX(Netzzeiten!$B$6:$B$29,HOUR(B2151)+1)</f>
        <v>ST</v>
      </c>
      <c r="H2151" s="6">
        <f>IF(F2151="GO",Eingaben!$B$11,IF(F2151="STANDARD",Eingaben!$B$12,IF(AND(F2151="HEAT",ISNUMBER(Eingaben!$B$13)),Eingaben!$B$13,"")))</f>
        <v>28.2744</v>
      </c>
      <c r="I2151" s="6">
        <f>INDEX(Netzzeiten!$C$6:$C$29,HOUR(B2151)+1)</f>
        <v>5.48</v>
      </c>
      <c r="J2151" t="str">
        <f>IF(C2151="","FEHLT",IF(NOT(ISNUMBER(C2151)),"MESSWERT UNGUELTIG",IF(C2151&lt;0,"MESSWERT UNGUELTIG",IF(H2151="","TARIFPREIS FEHLT","OK"))))</f>
        <v>FEHLT</v>
      </c>
      <c r="K2151" s="7">
        <f>IF(J2151&lt;&gt;"OK","",C2151*I2151/100)</f>
        <v/>
      </c>
    </row>
    <row r="2152" spans="1:11">
      <c r="A2152" s="14">
        <v>46165</v>
      </c>
      <c r="B2152" s="15">
        <v>0.3541666666666667</v>
      </c>
      <c r="C2152" s="5">
        <f>IF('96 Werte'!AJ28="","",'96 Werte'!AJ28)</f>
        <v/>
      </c>
      <c r="D2152" t="str">
        <f>IF(IF(Eingaben!$B$21&lt;Eingaben!$B$22,AND(B2152&gt;=Eingaben!$B$21,B2152&lt;Eingaben!$B$22),OR(B2152&gt;=Eingaben!$B$21,B2152&lt;Eingaben!$B$22)),"GO",IF(AND(ISNUMBER(Eingaben!$B$23),ISNUMBER(Eingaben!$B$24),IF(Eingaben!$B$23&lt;Eingaben!$B$24,AND(B2152&gt;=Eingaben!$B$23,B2152&lt;Eingaben!$B$24),OR(B2152&gt;=Eingaben!$B$23,B2152&lt;Eingaben!$B$24))),"HEAT","STANDARD"))</f>
        <v>STANDARD</v>
      </c>
      <c r="E2152" s="9"/>
      <c r="F2152" t="str">
        <f>IF(E2152="",D2152,E2152)</f>
        <v>STANDARD</v>
      </c>
      <c r="G2152" t="str">
        <f>INDEX(Netzzeiten!$B$6:$B$29,HOUR(B2152)+1)</f>
        <v>ST</v>
      </c>
      <c r="H2152" s="6">
        <f>IF(F2152="GO",Eingaben!$B$11,IF(F2152="STANDARD",Eingaben!$B$12,IF(AND(F2152="HEAT",ISNUMBER(Eingaben!$B$13)),Eingaben!$B$13,"")))</f>
        <v>28.2744</v>
      </c>
      <c r="I2152" s="6">
        <f>INDEX(Netzzeiten!$C$6:$C$29,HOUR(B2152)+1)</f>
        <v>5.48</v>
      </c>
      <c r="J2152" t="str">
        <f>IF(C2152="","FEHLT",IF(NOT(ISNUMBER(C2152)),"MESSWERT UNGUELTIG",IF(C2152&lt;0,"MESSWERT UNGUELTIG",IF(H2152="","TARIFPREIS FEHLT","OK"))))</f>
        <v>FEHLT</v>
      </c>
      <c r="K2152" s="7">
        <f>IF(J2152&lt;&gt;"OK","",C2152*I2152/100)</f>
        <v/>
      </c>
    </row>
    <row r="2153" spans="1:11">
      <c r="A2153" s="14">
        <v>46165</v>
      </c>
      <c r="B2153" s="15">
        <v>0.3645833333333333</v>
      </c>
      <c r="C2153" s="5">
        <f>IF('96 Werte'!AK28="","",'96 Werte'!AK28)</f>
        <v/>
      </c>
      <c r="D2153" t="str">
        <f>IF(IF(Eingaben!$B$21&lt;Eingaben!$B$22,AND(B2153&gt;=Eingaben!$B$21,B2153&lt;Eingaben!$B$22),OR(B2153&gt;=Eingaben!$B$21,B2153&lt;Eingaben!$B$22)),"GO",IF(AND(ISNUMBER(Eingaben!$B$23),ISNUMBER(Eingaben!$B$24),IF(Eingaben!$B$23&lt;Eingaben!$B$24,AND(B2153&gt;=Eingaben!$B$23,B2153&lt;Eingaben!$B$24),OR(B2153&gt;=Eingaben!$B$23,B2153&lt;Eingaben!$B$24))),"HEAT","STANDARD"))</f>
        <v>STANDARD</v>
      </c>
      <c r="E2153" s="9"/>
      <c r="F2153" t="str">
        <f>IF(E2153="",D2153,E2153)</f>
        <v>STANDARD</v>
      </c>
      <c r="G2153" t="str">
        <f>INDEX(Netzzeiten!$B$6:$B$29,HOUR(B2153)+1)</f>
        <v>ST</v>
      </c>
      <c r="H2153" s="6">
        <f>IF(F2153="GO",Eingaben!$B$11,IF(F2153="STANDARD",Eingaben!$B$12,IF(AND(F2153="HEAT",ISNUMBER(Eingaben!$B$13)),Eingaben!$B$13,"")))</f>
        <v>28.2744</v>
      </c>
      <c r="I2153" s="6">
        <f>INDEX(Netzzeiten!$C$6:$C$29,HOUR(B2153)+1)</f>
        <v>5.48</v>
      </c>
      <c r="J2153" t="str">
        <f>IF(C2153="","FEHLT",IF(NOT(ISNUMBER(C2153)),"MESSWERT UNGUELTIG",IF(C2153&lt;0,"MESSWERT UNGUELTIG",IF(H2153="","TARIFPREIS FEHLT","OK"))))</f>
        <v>FEHLT</v>
      </c>
      <c r="K2153" s="7">
        <f>IF(J2153&lt;&gt;"OK","",C2153*I2153/100)</f>
        <v/>
      </c>
    </row>
    <row r="2154" spans="1:11">
      <c r="A2154" s="14">
        <v>46165</v>
      </c>
      <c r="B2154" s="15">
        <v>0.375</v>
      </c>
      <c r="C2154" s="5">
        <f>IF('96 Werte'!AL28="","",'96 Werte'!AL28)</f>
        <v/>
      </c>
      <c r="D2154" t="str">
        <f>IF(IF(Eingaben!$B$21&lt;Eingaben!$B$22,AND(B2154&gt;=Eingaben!$B$21,B2154&lt;Eingaben!$B$22),OR(B2154&gt;=Eingaben!$B$21,B2154&lt;Eingaben!$B$22)),"GO",IF(AND(ISNUMBER(Eingaben!$B$23),ISNUMBER(Eingaben!$B$24),IF(Eingaben!$B$23&lt;Eingaben!$B$24,AND(B2154&gt;=Eingaben!$B$23,B2154&lt;Eingaben!$B$24),OR(B2154&gt;=Eingaben!$B$23,B2154&lt;Eingaben!$B$24))),"HEAT","STANDARD"))</f>
        <v>STANDARD</v>
      </c>
      <c r="E2154" s="9"/>
      <c r="F2154" t="str">
        <f>IF(E2154="",D2154,E2154)</f>
        <v>STANDARD</v>
      </c>
      <c r="G2154" t="str">
        <f>INDEX(Netzzeiten!$B$6:$B$29,HOUR(B2154)+1)</f>
        <v>ST</v>
      </c>
      <c r="H2154" s="6">
        <f>IF(F2154="GO",Eingaben!$B$11,IF(F2154="STANDARD",Eingaben!$B$12,IF(AND(F2154="HEAT",ISNUMBER(Eingaben!$B$13)),Eingaben!$B$13,"")))</f>
        <v>28.2744</v>
      </c>
      <c r="I2154" s="6">
        <f>INDEX(Netzzeiten!$C$6:$C$29,HOUR(B2154)+1)</f>
        <v>5.48</v>
      </c>
      <c r="J2154" t="str">
        <f>IF(C2154="","FEHLT",IF(NOT(ISNUMBER(C2154)),"MESSWERT UNGUELTIG",IF(C2154&lt;0,"MESSWERT UNGUELTIG",IF(H2154="","TARIFPREIS FEHLT","OK"))))</f>
        <v>FEHLT</v>
      </c>
      <c r="K2154" s="7">
        <f>IF(J2154&lt;&gt;"OK","",C2154*I2154/100)</f>
        <v/>
      </c>
    </row>
    <row r="2155" spans="1:11">
      <c r="A2155" s="14">
        <v>46165</v>
      </c>
      <c r="B2155" s="15">
        <v>0.3854166666666667</v>
      </c>
      <c r="C2155" s="5">
        <f>IF('96 Werte'!AM28="","",'96 Werte'!AM28)</f>
        <v/>
      </c>
      <c r="D2155" t="str">
        <f>IF(IF(Eingaben!$B$21&lt;Eingaben!$B$22,AND(B2155&gt;=Eingaben!$B$21,B2155&lt;Eingaben!$B$22),OR(B2155&gt;=Eingaben!$B$21,B2155&lt;Eingaben!$B$22)),"GO",IF(AND(ISNUMBER(Eingaben!$B$23),ISNUMBER(Eingaben!$B$24),IF(Eingaben!$B$23&lt;Eingaben!$B$24,AND(B2155&gt;=Eingaben!$B$23,B2155&lt;Eingaben!$B$24),OR(B2155&gt;=Eingaben!$B$23,B2155&lt;Eingaben!$B$24))),"HEAT","STANDARD"))</f>
        <v>STANDARD</v>
      </c>
      <c r="E2155" s="9"/>
      <c r="F2155" t="str">
        <f>IF(E2155="",D2155,E2155)</f>
        <v>STANDARD</v>
      </c>
      <c r="G2155" t="str">
        <f>INDEX(Netzzeiten!$B$6:$B$29,HOUR(B2155)+1)</f>
        <v>ST</v>
      </c>
      <c r="H2155" s="6">
        <f>IF(F2155="GO",Eingaben!$B$11,IF(F2155="STANDARD",Eingaben!$B$12,IF(AND(F2155="HEAT",ISNUMBER(Eingaben!$B$13)),Eingaben!$B$13,"")))</f>
        <v>28.2744</v>
      </c>
      <c r="I2155" s="6">
        <f>INDEX(Netzzeiten!$C$6:$C$29,HOUR(B2155)+1)</f>
        <v>5.48</v>
      </c>
      <c r="J2155" t="str">
        <f>IF(C2155="","FEHLT",IF(NOT(ISNUMBER(C2155)),"MESSWERT UNGUELTIG",IF(C2155&lt;0,"MESSWERT UNGUELTIG",IF(H2155="","TARIFPREIS FEHLT","OK"))))</f>
        <v>FEHLT</v>
      </c>
      <c r="K2155" s="7">
        <f>IF(J2155&lt;&gt;"OK","",C2155*I2155/100)</f>
        <v/>
      </c>
    </row>
    <row r="2156" spans="1:11">
      <c r="A2156" s="14">
        <v>46165</v>
      </c>
      <c r="B2156" s="15">
        <v>0.3958333333333333</v>
      </c>
      <c r="C2156" s="5">
        <f>IF('96 Werte'!AN28="","",'96 Werte'!AN28)</f>
        <v/>
      </c>
      <c r="D2156" t="str">
        <f>IF(IF(Eingaben!$B$21&lt;Eingaben!$B$22,AND(B2156&gt;=Eingaben!$B$21,B2156&lt;Eingaben!$B$22),OR(B2156&gt;=Eingaben!$B$21,B2156&lt;Eingaben!$B$22)),"GO",IF(AND(ISNUMBER(Eingaben!$B$23),ISNUMBER(Eingaben!$B$24),IF(Eingaben!$B$23&lt;Eingaben!$B$24,AND(B2156&gt;=Eingaben!$B$23,B2156&lt;Eingaben!$B$24),OR(B2156&gt;=Eingaben!$B$23,B2156&lt;Eingaben!$B$24))),"HEAT","STANDARD"))</f>
        <v>STANDARD</v>
      </c>
      <c r="E2156" s="9"/>
      <c r="F2156" t="str">
        <f>IF(E2156="",D2156,E2156)</f>
        <v>STANDARD</v>
      </c>
      <c r="G2156" t="str">
        <f>INDEX(Netzzeiten!$B$6:$B$29,HOUR(B2156)+1)</f>
        <v>ST</v>
      </c>
      <c r="H2156" s="6">
        <f>IF(F2156="GO",Eingaben!$B$11,IF(F2156="STANDARD",Eingaben!$B$12,IF(AND(F2156="HEAT",ISNUMBER(Eingaben!$B$13)),Eingaben!$B$13,"")))</f>
        <v>28.2744</v>
      </c>
      <c r="I2156" s="6">
        <f>INDEX(Netzzeiten!$C$6:$C$29,HOUR(B2156)+1)</f>
        <v>5.48</v>
      </c>
      <c r="J2156" t="str">
        <f>IF(C2156="","FEHLT",IF(NOT(ISNUMBER(C2156)),"MESSWERT UNGUELTIG",IF(C2156&lt;0,"MESSWERT UNGUELTIG",IF(H2156="","TARIFPREIS FEHLT","OK"))))</f>
        <v>FEHLT</v>
      </c>
      <c r="K2156" s="7">
        <f>IF(J2156&lt;&gt;"OK","",C2156*I2156/100)</f>
        <v/>
      </c>
    </row>
    <row r="2157" spans="1:11">
      <c r="A2157" s="14">
        <v>46165</v>
      </c>
      <c r="B2157" s="15">
        <v>0.40625</v>
      </c>
      <c r="C2157" s="5">
        <f>IF('96 Werte'!AO28="","",'96 Werte'!AO28)</f>
        <v/>
      </c>
      <c r="D2157" t="str">
        <f>IF(IF(Eingaben!$B$21&lt;Eingaben!$B$22,AND(B2157&gt;=Eingaben!$B$21,B2157&lt;Eingaben!$B$22),OR(B2157&gt;=Eingaben!$B$21,B2157&lt;Eingaben!$B$22)),"GO",IF(AND(ISNUMBER(Eingaben!$B$23),ISNUMBER(Eingaben!$B$24),IF(Eingaben!$B$23&lt;Eingaben!$B$24,AND(B2157&gt;=Eingaben!$B$23,B2157&lt;Eingaben!$B$24),OR(B2157&gt;=Eingaben!$B$23,B2157&lt;Eingaben!$B$24))),"HEAT","STANDARD"))</f>
        <v>STANDARD</v>
      </c>
      <c r="E2157" s="9"/>
      <c r="F2157" t="str">
        <f>IF(E2157="",D2157,E2157)</f>
        <v>STANDARD</v>
      </c>
      <c r="G2157" t="str">
        <f>INDEX(Netzzeiten!$B$6:$B$29,HOUR(B2157)+1)</f>
        <v>ST</v>
      </c>
      <c r="H2157" s="6">
        <f>IF(F2157="GO",Eingaben!$B$11,IF(F2157="STANDARD",Eingaben!$B$12,IF(AND(F2157="HEAT",ISNUMBER(Eingaben!$B$13)),Eingaben!$B$13,"")))</f>
        <v>28.2744</v>
      </c>
      <c r="I2157" s="6">
        <f>INDEX(Netzzeiten!$C$6:$C$29,HOUR(B2157)+1)</f>
        <v>5.48</v>
      </c>
      <c r="J2157" t="str">
        <f>IF(C2157="","FEHLT",IF(NOT(ISNUMBER(C2157)),"MESSWERT UNGUELTIG",IF(C2157&lt;0,"MESSWERT UNGUELTIG",IF(H2157="","TARIFPREIS FEHLT","OK"))))</f>
        <v>FEHLT</v>
      </c>
      <c r="K2157" s="7">
        <f>IF(J2157&lt;&gt;"OK","",C2157*I2157/100)</f>
        <v/>
      </c>
    </row>
    <row r="2158" spans="1:11">
      <c r="A2158" s="14">
        <v>46165</v>
      </c>
      <c r="B2158" s="15">
        <v>0.4166666666666667</v>
      </c>
      <c r="C2158" s="5">
        <f>IF('96 Werte'!AP28="","",'96 Werte'!AP28)</f>
        <v/>
      </c>
      <c r="D2158" t="str">
        <f>IF(IF(Eingaben!$B$21&lt;Eingaben!$B$22,AND(B2158&gt;=Eingaben!$B$21,B2158&lt;Eingaben!$B$22),OR(B2158&gt;=Eingaben!$B$21,B2158&lt;Eingaben!$B$22)),"GO",IF(AND(ISNUMBER(Eingaben!$B$23),ISNUMBER(Eingaben!$B$24),IF(Eingaben!$B$23&lt;Eingaben!$B$24,AND(B2158&gt;=Eingaben!$B$23,B2158&lt;Eingaben!$B$24),OR(B2158&gt;=Eingaben!$B$23,B2158&lt;Eingaben!$B$24))),"HEAT","STANDARD"))</f>
        <v>STANDARD</v>
      </c>
      <c r="E2158" s="9"/>
      <c r="F2158" t="str">
        <f>IF(E2158="",D2158,E2158)</f>
        <v>STANDARD</v>
      </c>
      <c r="G2158" t="str">
        <f>INDEX(Netzzeiten!$B$6:$B$29,HOUR(B2158)+1)</f>
        <v>ST</v>
      </c>
      <c r="H2158" s="6">
        <f>IF(F2158="GO",Eingaben!$B$11,IF(F2158="STANDARD",Eingaben!$B$12,IF(AND(F2158="HEAT",ISNUMBER(Eingaben!$B$13)),Eingaben!$B$13,"")))</f>
        <v>28.2744</v>
      </c>
      <c r="I2158" s="6">
        <f>INDEX(Netzzeiten!$C$6:$C$29,HOUR(B2158)+1)</f>
        <v>5.48</v>
      </c>
      <c r="J2158" t="str">
        <f>IF(C2158="","FEHLT",IF(NOT(ISNUMBER(C2158)),"MESSWERT UNGUELTIG",IF(C2158&lt;0,"MESSWERT UNGUELTIG",IF(H2158="","TARIFPREIS FEHLT","OK"))))</f>
        <v>FEHLT</v>
      </c>
      <c r="K2158" s="7">
        <f>IF(J2158&lt;&gt;"OK","",C2158*I2158/100)</f>
        <v/>
      </c>
    </row>
    <row r="2159" spans="1:11">
      <c r="A2159" s="14">
        <v>46165</v>
      </c>
      <c r="B2159" s="15">
        <v>0.4270833333333333</v>
      </c>
      <c r="C2159" s="5">
        <f>IF('96 Werte'!AQ28="","",'96 Werte'!AQ28)</f>
        <v/>
      </c>
      <c r="D2159" t="str">
        <f>IF(IF(Eingaben!$B$21&lt;Eingaben!$B$22,AND(B2159&gt;=Eingaben!$B$21,B2159&lt;Eingaben!$B$22),OR(B2159&gt;=Eingaben!$B$21,B2159&lt;Eingaben!$B$22)),"GO",IF(AND(ISNUMBER(Eingaben!$B$23),ISNUMBER(Eingaben!$B$24),IF(Eingaben!$B$23&lt;Eingaben!$B$24,AND(B2159&gt;=Eingaben!$B$23,B2159&lt;Eingaben!$B$24),OR(B2159&gt;=Eingaben!$B$23,B2159&lt;Eingaben!$B$24))),"HEAT","STANDARD"))</f>
        <v>STANDARD</v>
      </c>
      <c r="E2159" s="9"/>
      <c r="F2159" t="str">
        <f>IF(E2159="",D2159,E2159)</f>
        <v>STANDARD</v>
      </c>
      <c r="G2159" t="str">
        <f>INDEX(Netzzeiten!$B$6:$B$29,HOUR(B2159)+1)</f>
        <v>ST</v>
      </c>
      <c r="H2159" s="6">
        <f>IF(F2159="GO",Eingaben!$B$11,IF(F2159="STANDARD",Eingaben!$B$12,IF(AND(F2159="HEAT",ISNUMBER(Eingaben!$B$13)),Eingaben!$B$13,"")))</f>
        <v>28.2744</v>
      </c>
      <c r="I2159" s="6">
        <f>INDEX(Netzzeiten!$C$6:$C$29,HOUR(B2159)+1)</f>
        <v>5.48</v>
      </c>
      <c r="J2159" t="str">
        <f>IF(C2159="","FEHLT",IF(NOT(ISNUMBER(C2159)),"MESSWERT UNGUELTIG",IF(C2159&lt;0,"MESSWERT UNGUELTIG",IF(H2159="","TARIFPREIS FEHLT","OK"))))</f>
        <v>FEHLT</v>
      </c>
      <c r="K2159" s="7">
        <f>IF(J2159&lt;&gt;"OK","",C2159*I2159/100)</f>
        <v/>
      </c>
    </row>
    <row r="2160" spans="1:11">
      <c r="A2160" s="14">
        <v>46165</v>
      </c>
      <c r="B2160" s="15">
        <v>0.4375</v>
      </c>
      <c r="C2160" s="5">
        <f>IF('96 Werte'!AR28="","",'96 Werte'!AR28)</f>
        <v/>
      </c>
      <c r="D2160" t="str">
        <f>IF(IF(Eingaben!$B$21&lt;Eingaben!$B$22,AND(B2160&gt;=Eingaben!$B$21,B2160&lt;Eingaben!$B$22),OR(B2160&gt;=Eingaben!$B$21,B2160&lt;Eingaben!$B$22)),"GO",IF(AND(ISNUMBER(Eingaben!$B$23),ISNUMBER(Eingaben!$B$24),IF(Eingaben!$B$23&lt;Eingaben!$B$24,AND(B2160&gt;=Eingaben!$B$23,B2160&lt;Eingaben!$B$24),OR(B2160&gt;=Eingaben!$B$23,B2160&lt;Eingaben!$B$24))),"HEAT","STANDARD"))</f>
        <v>STANDARD</v>
      </c>
      <c r="E2160" s="9"/>
      <c r="F2160" t="str">
        <f>IF(E2160="",D2160,E2160)</f>
        <v>STANDARD</v>
      </c>
      <c r="G2160" t="str">
        <f>INDEX(Netzzeiten!$B$6:$B$29,HOUR(B2160)+1)</f>
        <v>ST</v>
      </c>
      <c r="H2160" s="6">
        <f>IF(F2160="GO",Eingaben!$B$11,IF(F2160="STANDARD",Eingaben!$B$12,IF(AND(F2160="HEAT",ISNUMBER(Eingaben!$B$13)),Eingaben!$B$13,"")))</f>
        <v>28.2744</v>
      </c>
      <c r="I2160" s="6">
        <f>INDEX(Netzzeiten!$C$6:$C$29,HOUR(B2160)+1)</f>
        <v>5.48</v>
      </c>
      <c r="J2160" t="str">
        <f>IF(C2160="","FEHLT",IF(NOT(ISNUMBER(C2160)),"MESSWERT UNGUELTIG",IF(C2160&lt;0,"MESSWERT UNGUELTIG",IF(H2160="","TARIFPREIS FEHLT","OK"))))</f>
        <v>FEHLT</v>
      </c>
      <c r="K2160" s="7">
        <f>IF(J2160&lt;&gt;"OK","",C2160*I2160/100)</f>
        <v/>
      </c>
    </row>
    <row r="2161" spans="1:11">
      <c r="A2161" s="14">
        <v>46165</v>
      </c>
      <c r="B2161" s="15">
        <v>0.4479166666666667</v>
      </c>
      <c r="C2161" s="5">
        <f>IF('96 Werte'!AS28="","",'96 Werte'!AS28)</f>
        <v/>
      </c>
      <c r="D2161" t="str">
        <f>IF(IF(Eingaben!$B$21&lt;Eingaben!$B$22,AND(B2161&gt;=Eingaben!$B$21,B2161&lt;Eingaben!$B$22),OR(B2161&gt;=Eingaben!$B$21,B2161&lt;Eingaben!$B$22)),"GO",IF(AND(ISNUMBER(Eingaben!$B$23),ISNUMBER(Eingaben!$B$24),IF(Eingaben!$B$23&lt;Eingaben!$B$24,AND(B2161&gt;=Eingaben!$B$23,B2161&lt;Eingaben!$B$24),OR(B2161&gt;=Eingaben!$B$23,B2161&lt;Eingaben!$B$24))),"HEAT","STANDARD"))</f>
        <v>STANDARD</v>
      </c>
      <c r="E2161" s="9"/>
      <c r="F2161" t="str">
        <f>IF(E2161="",D2161,E2161)</f>
        <v>STANDARD</v>
      </c>
      <c r="G2161" t="str">
        <f>INDEX(Netzzeiten!$B$6:$B$29,HOUR(B2161)+1)</f>
        <v>ST</v>
      </c>
      <c r="H2161" s="6">
        <f>IF(F2161="GO",Eingaben!$B$11,IF(F2161="STANDARD",Eingaben!$B$12,IF(AND(F2161="HEAT",ISNUMBER(Eingaben!$B$13)),Eingaben!$B$13,"")))</f>
        <v>28.2744</v>
      </c>
      <c r="I2161" s="6">
        <f>INDEX(Netzzeiten!$C$6:$C$29,HOUR(B2161)+1)</f>
        <v>5.48</v>
      </c>
      <c r="J2161" t="str">
        <f>IF(C2161="","FEHLT",IF(NOT(ISNUMBER(C2161)),"MESSWERT UNGUELTIG",IF(C2161&lt;0,"MESSWERT UNGUELTIG",IF(H2161="","TARIFPREIS FEHLT","OK"))))</f>
        <v>FEHLT</v>
      </c>
      <c r="K2161" s="7">
        <f>IF(J2161&lt;&gt;"OK","",C2161*I2161/100)</f>
        <v/>
      </c>
    </row>
    <row r="2162" spans="1:11">
      <c r="A2162" s="14">
        <v>46165</v>
      </c>
      <c r="B2162" s="15">
        <v>0.4583333333333333</v>
      </c>
      <c r="C2162" s="5">
        <f>IF('96 Werte'!AT28="","",'96 Werte'!AT28)</f>
        <v/>
      </c>
      <c r="D2162" t="str">
        <f>IF(IF(Eingaben!$B$21&lt;Eingaben!$B$22,AND(B2162&gt;=Eingaben!$B$21,B2162&lt;Eingaben!$B$22),OR(B2162&gt;=Eingaben!$B$21,B2162&lt;Eingaben!$B$22)),"GO",IF(AND(ISNUMBER(Eingaben!$B$23),ISNUMBER(Eingaben!$B$24),IF(Eingaben!$B$23&lt;Eingaben!$B$24,AND(B2162&gt;=Eingaben!$B$23,B2162&lt;Eingaben!$B$24),OR(B2162&gt;=Eingaben!$B$23,B2162&lt;Eingaben!$B$24))),"HEAT","STANDARD"))</f>
        <v>STANDARD</v>
      </c>
      <c r="E2162" s="9"/>
      <c r="F2162" t="str">
        <f>IF(E2162="",D2162,E2162)</f>
        <v>STANDARD</v>
      </c>
      <c r="G2162" t="str">
        <f>INDEX(Netzzeiten!$B$6:$B$29,HOUR(B2162)+1)</f>
        <v>NT</v>
      </c>
      <c r="H2162" s="6">
        <f>IF(F2162="GO",Eingaben!$B$11,IF(F2162="STANDARD",Eingaben!$B$12,IF(AND(F2162="HEAT",ISNUMBER(Eingaben!$B$13)),Eingaben!$B$13,"")))</f>
        <v>28.2744</v>
      </c>
      <c r="I2162" s="6">
        <f>INDEX(Netzzeiten!$C$6:$C$29,HOUR(B2162)+1)</f>
        <v>1.64</v>
      </c>
      <c r="J2162" t="str">
        <f>IF(C2162="","FEHLT",IF(NOT(ISNUMBER(C2162)),"MESSWERT UNGUELTIG",IF(C2162&lt;0,"MESSWERT UNGUELTIG",IF(H2162="","TARIFPREIS FEHLT","OK"))))</f>
        <v>FEHLT</v>
      </c>
      <c r="K2162" s="7">
        <f>IF(J2162&lt;&gt;"OK","",C2162*I2162/100)</f>
        <v/>
      </c>
    </row>
    <row r="2163" spans="1:11">
      <c r="A2163" s="14">
        <v>46165</v>
      </c>
      <c r="B2163" s="15">
        <v>0.46875</v>
      </c>
      <c r="C2163" s="5">
        <f>IF('96 Werte'!AU28="","",'96 Werte'!AU28)</f>
        <v/>
      </c>
      <c r="D2163" t="str">
        <f>IF(IF(Eingaben!$B$21&lt;Eingaben!$B$22,AND(B2163&gt;=Eingaben!$B$21,B2163&lt;Eingaben!$B$22),OR(B2163&gt;=Eingaben!$B$21,B2163&lt;Eingaben!$B$22)),"GO",IF(AND(ISNUMBER(Eingaben!$B$23),ISNUMBER(Eingaben!$B$24),IF(Eingaben!$B$23&lt;Eingaben!$B$24,AND(B2163&gt;=Eingaben!$B$23,B2163&lt;Eingaben!$B$24),OR(B2163&gt;=Eingaben!$B$23,B2163&lt;Eingaben!$B$24))),"HEAT","STANDARD"))</f>
        <v>STANDARD</v>
      </c>
      <c r="E2163" s="9"/>
      <c r="F2163" t="str">
        <f>IF(E2163="",D2163,E2163)</f>
        <v>STANDARD</v>
      </c>
      <c r="G2163" t="str">
        <f>INDEX(Netzzeiten!$B$6:$B$29,HOUR(B2163)+1)</f>
        <v>NT</v>
      </c>
      <c r="H2163" s="6">
        <f>IF(F2163="GO",Eingaben!$B$11,IF(F2163="STANDARD",Eingaben!$B$12,IF(AND(F2163="HEAT",ISNUMBER(Eingaben!$B$13)),Eingaben!$B$13,"")))</f>
        <v>28.2744</v>
      </c>
      <c r="I2163" s="6">
        <f>INDEX(Netzzeiten!$C$6:$C$29,HOUR(B2163)+1)</f>
        <v>1.64</v>
      </c>
      <c r="J2163" t="str">
        <f>IF(C2163="","FEHLT",IF(NOT(ISNUMBER(C2163)),"MESSWERT UNGUELTIG",IF(C2163&lt;0,"MESSWERT UNGUELTIG",IF(H2163="","TARIFPREIS FEHLT","OK"))))</f>
        <v>FEHLT</v>
      </c>
      <c r="K2163" s="7">
        <f>IF(J2163&lt;&gt;"OK","",C2163*I2163/100)</f>
        <v/>
      </c>
    </row>
    <row r="2164" spans="1:11">
      <c r="A2164" s="14">
        <v>46165</v>
      </c>
      <c r="B2164" s="15">
        <v>0.4791666666666667</v>
      </c>
      <c r="C2164" s="5">
        <f>IF('96 Werte'!AV28="","",'96 Werte'!AV28)</f>
        <v/>
      </c>
      <c r="D2164" t="str">
        <f>IF(IF(Eingaben!$B$21&lt;Eingaben!$B$22,AND(B2164&gt;=Eingaben!$B$21,B2164&lt;Eingaben!$B$22),OR(B2164&gt;=Eingaben!$B$21,B2164&lt;Eingaben!$B$22)),"GO",IF(AND(ISNUMBER(Eingaben!$B$23),ISNUMBER(Eingaben!$B$24),IF(Eingaben!$B$23&lt;Eingaben!$B$24,AND(B2164&gt;=Eingaben!$B$23,B2164&lt;Eingaben!$B$24),OR(B2164&gt;=Eingaben!$B$23,B2164&lt;Eingaben!$B$24))),"HEAT","STANDARD"))</f>
        <v>STANDARD</v>
      </c>
      <c r="E2164" s="9"/>
      <c r="F2164" t="str">
        <f>IF(E2164="",D2164,E2164)</f>
        <v>STANDARD</v>
      </c>
      <c r="G2164" t="str">
        <f>INDEX(Netzzeiten!$B$6:$B$29,HOUR(B2164)+1)</f>
        <v>NT</v>
      </c>
      <c r="H2164" s="6">
        <f>IF(F2164="GO",Eingaben!$B$11,IF(F2164="STANDARD",Eingaben!$B$12,IF(AND(F2164="HEAT",ISNUMBER(Eingaben!$B$13)),Eingaben!$B$13,"")))</f>
        <v>28.2744</v>
      </c>
      <c r="I2164" s="6">
        <f>INDEX(Netzzeiten!$C$6:$C$29,HOUR(B2164)+1)</f>
        <v>1.64</v>
      </c>
      <c r="J2164" t="str">
        <f>IF(C2164="","FEHLT",IF(NOT(ISNUMBER(C2164)),"MESSWERT UNGUELTIG",IF(C2164&lt;0,"MESSWERT UNGUELTIG",IF(H2164="","TARIFPREIS FEHLT","OK"))))</f>
        <v>FEHLT</v>
      </c>
      <c r="K2164" s="7">
        <f>IF(J2164&lt;&gt;"OK","",C2164*I2164/100)</f>
        <v/>
      </c>
    </row>
    <row r="2165" spans="1:11">
      <c r="A2165" s="14">
        <v>46165</v>
      </c>
      <c r="B2165" s="15">
        <v>0.4895833333333333</v>
      </c>
      <c r="C2165" s="5">
        <f>IF('96 Werte'!AW28="","",'96 Werte'!AW28)</f>
        <v/>
      </c>
      <c r="D2165" t="str">
        <f>IF(IF(Eingaben!$B$21&lt;Eingaben!$B$22,AND(B2165&gt;=Eingaben!$B$21,B2165&lt;Eingaben!$B$22),OR(B2165&gt;=Eingaben!$B$21,B2165&lt;Eingaben!$B$22)),"GO",IF(AND(ISNUMBER(Eingaben!$B$23),ISNUMBER(Eingaben!$B$24),IF(Eingaben!$B$23&lt;Eingaben!$B$24,AND(B2165&gt;=Eingaben!$B$23,B2165&lt;Eingaben!$B$24),OR(B2165&gt;=Eingaben!$B$23,B2165&lt;Eingaben!$B$24))),"HEAT","STANDARD"))</f>
        <v>STANDARD</v>
      </c>
      <c r="E2165" s="9"/>
      <c r="F2165" t="str">
        <f>IF(E2165="",D2165,E2165)</f>
        <v>STANDARD</v>
      </c>
      <c r="G2165" t="str">
        <f>INDEX(Netzzeiten!$B$6:$B$29,HOUR(B2165)+1)</f>
        <v>NT</v>
      </c>
      <c r="H2165" s="6">
        <f>IF(F2165="GO",Eingaben!$B$11,IF(F2165="STANDARD",Eingaben!$B$12,IF(AND(F2165="HEAT",ISNUMBER(Eingaben!$B$13)),Eingaben!$B$13,"")))</f>
        <v>28.2744</v>
      </c>
      <c r="I2165" s="6">
        <f>INDEX(Netzzeiten!$C$6:$C$29,HOUR(B2165)+1)</f>
        <v>1.64</v>
      </c>
      <c r="J2165" t="str">
        <f>IF(C2165="","FEHLT",IF(NOT(ISNUMBER(C2165)),"MESSWERT UNGUELTIG",IF(C2165&lt;0,"MESSWERT UNGUELTIG",IF(H2165="","TARIFPREIS FEHLT","OK"))))</f>
        <v>FEHLT</v>
      </c>
      <c r="K2165" s="7">
        <f>IF(J2165&lt;&gt;"OK","",C2165*I2165/100)</f>
        <v/>
      </c>
    </row>
    <row r="2166" spans="1:11">
      <c r="A2166" s="14">
        <v>46165</v>
      </c>
      <c r="B2166" s="15">
        <v>0.5</v>
      </c>
      <c r="C2166" s="5">
        <f>IF('96 Werte'!AX28="","",'96 Werte'!AX28)</f>
        <v/>
      </c>
      <c r="D2166" t="str">
        <f>IF(IF(Eingaben!$B$21&lt;Eingaben!$B$22,AND(B2166&gt;=Eingaben!$B$21,B2166&lt;Eingaben!$B$22),OR(B2166&gt;=Eingaben!$B$21,B2166&lt;Eingaben!$B$22)),"GO",IF(AND(ISNUMBER(Eingaben!$B$23),ISNUMBER(Eingaben!$B$24),IF(Eingaben!$B$23&lt;Eingaben!$B$24,AND(B2166&gt;=Eingaben!$B$23,B2166&lt;Eingaben!$B$24),OR(B2166&gt;=Eingaben!$B$23,B2166&lt;Eingaben!$B$24))),"HEAT","STANDARD"))</f>
        <v>STANDARD</v>
      </c>
      <c r="E2166" s="9"/>
      <c r="F2166" t="str">
        <f>IF(E2166="",D2166,E2166)</f>
        <v>STANDARD</v>
      </c>
      <c r="G2166" t="str">
        <f>INDEX(Netzzeiten!$B$6:$B$29,HOUR(B2166)+1)</f>
        <v>NT</v>
      </c>
      <c r="H2166" s="6">
        <f>IF(F2166="GO",Eingaben!$B$11,IF(F2166="STANDARD",Eingaben!$B$12,IF(AND(F2166="HEAT",ISNUMBER(Eingaben!$B$13)),Eingaben!$B$13,"")))</f>
        <v>28.2744</v>
      </c>
      <c r="I2166" s="6">
        <f>INDEX(Netzzeiten!$C$6:$C$29,HOUR(B2166)+1)</f>
        <v>1.64</v>
      </c>
      <c r="J2166" t="str">
        <f>IF(C2166="","FEHLT",IF(NOT(ISNUMBER(C2166)),"MESSWERT UNGUELTIG",IF(C2166&lt;0,"MESSWERT UNGUELTIG",IF(H2166="","TARIFPREIS FEHLT","OK"))))</f>
        <v>FEHLT</v>
      </c>
      <c r="K2166" s="7">
        <f>IF(J2166&lt;&gt;"OK","",C2166*I2166/100)</f>
        <v/>
      </c>
    </row>
    <row r="2167" spans="1:11">
      <c r="A2167" s="14">
        <v>46165</v>
      </c>
      <c r="B2167" s="15">
        <v>0.5104166666666666</v>
      </c>
      <c r="C2167" s="5">
        <f>IF('96 Werte'!AY28="","",'96 Werte'!AY28)</f>
        <v/>
      </c>
      <c r="D2167" t="str">
        <f>IF(IF(Eingaben!$B$21&lt;Eingaben!$B$22,AND(B2167&gt;=Eingaben!$B$21,B2167&lt;Eingaben!$B$22),OR(B2167&gt;=Eingaben!$B$21,B2167&lt;Eingaben!$B$22)),"GO",IF(AND(ISNUMBER(Eingaben!$B$23),ISNUMBER(Eingaben!$B$24),IF(Eingaben!$B$23&lt;Eingaben!$B$24,AND(B2167&gt;=Eingaben!$B$23,B2167&lt;Eingaben!$B$24),OR(B2167&gt;=Eingaben!$B$23,B2167&lt;Eingaben!$B$24))),"HEAT","STANDARD"))</f>
        <v>STANDARD</v>
      </c>
      <c r="E2167" s="9"/>
      <c r="F2167" t="str">
        <f>IF(E2167="",D2167,E2167)</f>
        <v>STANDARD</v>
      </c>
      <c r="G2167" t="str">
        <f>INDEX(Netzzeiten!$B$6:$B$29,HOUR(B2167)+1)</f>
        <v>NT</v>
      </c>
      <c r="H2167" s="6">
        <f>IF(F2167="GO",Eingaben!$B$11,IF(F2167="STANDARD",Eingaben!$B$12,IF(AND(F2167="HEAT",ISNUMBER(Eingaben!$B$13)),Eingaben!$B$13,"")))</f>
        <v>28.2744</v>
      </c>
      <c r="I2167" s="6">
        <f>INDEX(Netzzeiten!$C$6:$C$29,HOUR(B2167)+1)</f>
        <v>1.64</v>
      </c>
      <c r="J2167" t="str">
        <f>IF(C2167="","FEHLT",IF(NOT(ISNUMBER(C2167)),"MESSWERT UNGUELTIG",IF(C2167&lt;0,"MESSWERT UNGUELTIG",IF(H2167="","TARIFPREIS FEHLT","OK"))))</f>
        <v>FEHLT</v>
      </c>
      <c r="K2167" s="7">
        <f>IF(J2167&lt;&gt;"OK","",C2167*I2167/100)</f>
        <v/>
      </c>
    </row>
    <row r="2168" spans="1:11">
      <c r="A2168" s="14">
        <v>46165</v>
      </c>
      <c r="B2168" s="15">
        <v>0.5208333333333334</v>
      </c>
      <c r="C2168" s="5">
        <f>IF('96 Werte'!AZ28="","",'96 Werte'!AZ28)</f>
        <v/>
      </c>
      <c r="D2168" t="str">
        <f>IF(IF(Eingaben!$B$21&lt;Eingaben!$B$22,AND(B2168&gt;=Eingaben!$B$21,B2168&lt;Eingaben!$B$22),OR(B2168&gt;=Eingaben!$B$21,B2168&lt;Eingaben!$B$22)),"GO",IF(AND(ISNUMBER(Eingaben!$B$23),ISNUMBER(Eingaben!$B$24),IF(Eingaben!$B$23&lt;Eingaben!$B$24,AND(B2168&gt;=Eingaben!$B$23,B2168&lt;Eingaben!$B$24),OR(B2168&gt;=Eingaben!$B$23,B2168&lt;Eingaben!$B$24))),"HEAT","STANDARD"))</f>
        <v>STANDARD</v>
      </c>
      <c r="E2168" s="9"/>
      <c r="F2168" t="str">
        <f>IF(E2168="",D2168,E2168)</f>
        <v>STANDARD</v>
      </c>
      <c r="G2168" t="str">
        <f>INDEX(Netzzeiten!$B$6:$B$29,HOUR(B2168)+1)</f>
        <v>NT</v>
      </c>
      <c r="H2168" s="6">
        <f>IF(F2168="GO",Eingaben!$B$11,IF(F2168="STANDARD",Eingaben!$B$12,IF(AND(F2168="HEAT",ISNUMBER(Eingaben!$B$13)),Eingaben!$B$13,"")))</f>
        <v>28.2744</v>
      </c>
      <c r="I2168" s="6">
        <f>INDEX(Netzzeiten!$C$6:$C$29,HOUR(B2168)+1)</f>
        <v>1.64</v>
      </c>
      <c r="J2168" t="str">
        <f>IF(C2168="","FEHLT",IF(NOT(ISNUMBER(C2168)),"MESSWERT UNGUELTIG",IF(C2168&lt;0,"MESSWERT UNGUELTIG",IF(H2168="","TARIFPREIS FEHLT","OK"))))</f>
        <v>FEHLT</v>
      </c>
      <c r="K2168" s="7">
        <f>IF(J2168&lt;&gt;"OK","",C2168*I2168/100)</f>
        <v/>
      </c>
    </row>
    <row r="2169" spans="1:11">
      <c r="A2169" s="14">
        <v>46165</v>
      </c>
      <c r="B2169" s="15">
        <v>0.53125</v>
      </c>
      <c r="C2169" s="5">
        <f>IF('96 Werte'!BA28="","",'96 Werte'!BA28)</f>
        <v/>
      </c>
      <c r="D2169" t="str">
        <f>IF(IF(Eingaben!$B$21&lt;Eingaben!$B$22,AND(B2169&gt;=Eingaben!$B$21,B2169&lt;Eingaben!$B$22),OR(B2169&gt;=Eingaben!$B$21,B2169&lt;Eingaben!$B$22)),"GO",IF(AND(ISNUMBER(Eingaben!$B$23),ISNUMBER(Eingaben!$B$24),IF(Eingaben!$B$23&lt;Eingaben!$B$24,AND(B2169&gt;=Eingaben!$B$23,B2169&lt;Eingaben!$B$24),OR(B2169&gt;=Eingaben!$B$23,B2169&lt;Eingaben!$B$24))),"HEAT","STANDARD"))</f>
        <v>STANDARD</v>
      </c>
      <c r="E2169" s="9"/>
      <c r="F2169" t="str">
        <f>IF(E2169="",D2169,E2169)</f>
        <v>STANDARD</v>
      </c>
      <c r="G2169" t="str">
        <f>INDEX(Netzzeiten!$B$6:$B$29,HOUR(B2169)+1)</f>
        <v>NT</v>
      </c>
      <c r="H2169" s="6">
        <f>IF(F2169="GO",Eingaben!$B$11,IF(F2169="STANDARD",Eingaben!$B$12,IF(AND(F2169="HEAT",ISNUMBER(Eingaben!$B$13)),Eingaben!$B$13,"")))</f>
        <v>28.2744</v>
      </c>
      <c r="I2169" s="6">
        <f>INDEX(Netzzeiten!$C$6:$C$29,HOUR(B2169)+1)</f>
        <v>1.64</v>
      </c>
      <c r="J2169" t="str">
        <f>IF(C2169="","FEHLT",IF(NOT(ISNUMBER(C2169)),"MESSWERT UNGUELTIG",IF(C2169&lt;0,"MESSWERT UNGUELTIG",IF(H2169="","TARIFPREIS FEHLT","OK"))))</f>
        <v>FEHLT</v>
      </c>
      <c r="K2169" s="7">
        <f>IF(J2169&lt;&gt;"OK","",C2169*I2169/100)</f>
        <v/>
      </c>
    </row>
    <row r="2170" spans="1:11">
      <c r="A2170" s="14">
        <v>46165</v>
      </c>
      <c r="B2170" s="15">
        <v>0.5416666666666666</v>
      </c>
      <c r="C2170" s="5">
        <f>IF('96 Werte'!BB28="","",'96 Werte'!BB28)</f>
        <v/>
      </c>
      <c r="D2170" t="str">
        <f>IF(IF(Eingaben!$B$21&lt;Eingaben!$B$22,AND(B2170&gt;=Eingaben!$B$21,B2170&lt;Eingaben!$B$22),OR(B2170&gt;=Eingaben!$B$21,B2170&lt;Eingaben!$B$22)),"GO",IF(AND(ISNUMBER(Eingaben!$B$23),ISNUMBER(Eingaben!$B$24),IF(Eingaben!$B$23&lt;Eingaben!$B$24,AND(B2170&gt;=Eingaben!$B$23,B2170&lt;Eingaben!$B$24),OR(B2170&gt;=Eingaben!$B$23,B2170&lt;Eingaben!$B$24))),"HEAT","STANDARD"))</f>
        <v>STANDARD</v>
      </c>
      <c r="E2170" s="9"/>
      <c r="F2170" t="str">
        <f>IF(E2170="",D2170,E2170)</f>
        <v>STANDARD</v>
      </c>
      <c r="G2170" t="str">
        <f>INDEX(Netzzeiten!$B$6:$B$29,HOUR(B2170)+1)</f>
        <v>NT</v>
      </c>
      <c r="H2170" s="6">
        <f>IF(F2170="GO",Eingaben!$B$11,IF(F2170="STANDARD",Eingaben!$B$12,IF(AND(F2170="HEAT",ISNUMBER(Eingaben!$B$13)),Eingaben!$B$13,"")))</f>
        <v>28.2744</v>
      </c>
      <c r="I2170" s="6">
        <f>INDEX(Netzzeiten!$C$6:$C$29,HOUR(B2170)+1)</f>
        <v>1.64</v>
      </c>
      <c r="J2170" t="str">
        <f>IF(C2170="","FEHLT",IF(NOT(ISNUMBER(C2170)),"MESSWERT UNGUELTIG",IF(C2170&lt;0,"MESSWERT UNGUELTIG",IF(H2170="","TARIFPREIS FEHLT","OK"))))</f>
        <v>FEHLT</v>
      </c>
      <c r="K2170" s="7">
        <f>IF(J2170&lt;&gt;"OK","",C2170*I2170/100)</f>
        <v/>
      </c>
    </row>
    <row r="2171" spans="1:11">
      <c r="A2171" s="14">
        <v>46165</v>
      </c>
      <c r="B2171" s="15">
        <v>0.5520833333333334</v>
      </c>
      <c r="C2171" s="5">
        <f>IF('96 Werte'!BC28="","",'96 Werte'!BC28)</f>
        <v/>
      </c>
      <c r="D2171" t="str">
        <f>IF(IF(Eingaben!$B$21&lt;Eingaben!$B$22,AND(B2171&gt;=Eingaben!$B$21,B2171&lt;Eingaben!$B$22),OR(B2171&gt;=Eingaben!$B$21,B2171&lt;Eingaben!$B$22)),"GO",IF(AND(ISNUMBER(Eingaben!$B$23),ISNUMBER(Eingaben!$B$24),IF(Eingaben!$B$23&lt;Eingaben!$B$24,AND(B2171&gt;=Eingaben!$B$23,B2171&lt;Eingaben!$B$24),OR(B2171&gt;=Eingaben!$B$23,B2171&lt;Eingaben!$B$24))),"HEAT","STANDARD"))</f>
        <v>STANDARD</v>
      </c>
      <c r="E2171" s="9"/>
      <c r="F2171" t="str">
        <f>IF(E2171="",D2171,E2171)</f>
        <v>STANDARD</v>
      </c>
      <c r="G2171" t="str">
        <f>INDEX(Netzzeiten!$B$6:$B$29,HOUR(B2171)+1)</f>
        <v>NT</v>
      </c>
      <c r="H2171" s="6">
        <f>IF(F2171="GO",Eingaben!$B$11,IF(F2171="STANDARD",Eingaben!$B$12,IF(AND(F2171="HEAT",ISNUMBER(Eingaben!$B$13)),Eingaben!$B$13,"")))</f>
        <v>28.2744</v>
      </c>
      <c r="I2171" s="6">
        <f>INDEX(Netzzeiten!$C$6:$C$29,HOUR(B2171)+1)</f>
        <v>1.64</v>
      </c>
      <c r="J2171" t="str">
        <f>IF(C2171="","FEHLT",IF(NOT(ISNUMBER(C2171)),"MESSWERT UNGUELTIG",IF(C2171&lt;0,"MESSWERT UNGUELTIG",IF(H2171="","TARIFPREIS FEHLT","OK"))))</f>
        <v>FEHLT</v>
      </c>
      <c r="K2171" s="7">
        <f>IF(J2171&lt;&gt;"OK","",C2171*I2171/100)</f>
        <v/>
      </c>
    </row>
    <row r="2172" spans="1:11">
      <c r="A2172" s="14">
        <v>46165</v>
      </c>
      <c r="B2172" s="15">
        <v>0.5625</v>
      </c>
      <c r="C2172" s="5">
        <f>IF('96 Werte'!BD28="","",'96 Werte'!BD28)</f>
        <v/>
      </c>
      <c r="D2172" t="str">
        <f>IF(IF(Eingaben!$B$21&lt;Eingaben!$B$22,AND(B2172&gt;=Eingaben!$B$21,B2172&lt;Eingaben!$B$22),OR(B2172&gt;=Eingaben!$B$21,B2172&lt;Eingaben!$B$22)),"GO",IF(AND(ISNUMBER(Eingaben!$B$23),ISNUMBER(Eingaben!$B$24),IF(Eingaben!$B$23&lt;Eingaben!$B$24,AND(B2172&gt;=Eingaben!$B$23,B2172&lt;Eingaben!$B$24),OR(B2172&gt;=Eingaben!$B$23,B2172&lt;Eingaben!$B$24))),"HEAT","STANDARD"))</f>
        <v>STANDARD</v>
      </c>
      <c r="E2172" s="9"/>
      <c r="F2172" t="str">
        <f>IF(E2172="",D2172,E2172)</f>
        <v>STANDARD</v>
      </c>
      <c r="G2172" t="str">
        <f>INDEX(Netzzeiten!$B$6:$B$29,HOUR(B2172)+1)</f>
        <v>NT</v>
      </c>
      <c r="H2172" s="6">
        <f>IF(F2172="GO",Eingaben!$B$11,IF(F2172="STANDARD",Eingaben!$B$12,IF(AND(F2172="HEAT",ISNUMBER(Eingaben!$B$13)),Eingaben!$B$13,"")))</f>
        <v>28.2744</v>
      </c>
      <c r="I2172" s="6">
        <f>INDEX(Netzzeiten!$C$6:$C$29,HOUR(B2172)+1)</f>
        <v>1.64</v>
      </c>
      <c r="J2172" t="str">
        <f>IF(C2172="","FEHLT",IF(NOT(ISNUMBER(C2172)),"MESSWERT UNGUELTIG",IF(C2172&lt;0,"MESSWERT UNGUELTIG",IF(H2172="","TARIFPREIS FEHLT","OK"))))</f>
        <v>FEHLT</v>
      </c>
      <c r="K2172" s="7">
        <f>IF(J2172&lt;&gt;"OK","",C2172*I2172/100)</f>
        <v/>
      </c>
    </row>
    <row r="2173" spans="1:11">
      <c r="A2173" s="14">
        <v>46165</v>
      </c>
      <c r="B2173" s="15">
        <v>0.5729166666666666</v>
      </c>
      <c r="C2173" s="5">
        <f>IF('96 Werte'!BE28="","",'96 Werte'!BE28)</f>
        <v/>
      </c>
      <c r="D2173" t="str">
        <f>IF(IF(Eingaben!$B$21&lt;Eingaben!$B$22,AND(B2173&gt;=Eingaben!$B$21,B2173&lt;Eingaben!$B$22),OR(B2173&gt;=Eingaben!$B$21,B2173&lt;Eingaben!$B$22)),"GO",IF(AND(ISNUMBER(Eingaben!$B$23),ISNUMBER(Eingaben!$B$24),IF(Eingaben!$B$23&lt;Eingaben!$B$24,AND(B2173&gt;=Eingaben!$B$23,B2173&lt;Eingaben!$B$24),OR(B2173&gt;=Eingaben!$B$23,B2173&lt;Eingaben!$B$24))),"HEAT","STANDARD"))</f>
        <v>STANDARD</v>
      </c>
      <c r="E2173" s="9"/>
      <c r="F2173" t="str">
        <f>IF(E2173="",D2173,E2173)</f>
        <v>STANDARD</v>
      </c>
      <c r="G2173" t="str">
        <f>INDEX(Netzzeiten!$B$6:$B$29,HOUR(B2173)+1)</f>
        <v>NT</v>
      </c>
      <c r="H2173" s="6">
        <f>IF(F2173="GO",Eingaben!$B$11,IF(F2173="STANDARD",Eingaben!$B$12,IF(AND(F2173="HEAT",ISNUMBER(Eingaben!$B$13)),Eingaben!$B$13,"")))</f>
        <v>28.2744</v>
      </c>
      <c r="I2173" s="6">
        <f>INDEX(Netzzeiten!$C$6:$C$29,HOUR(B2173)+1)</f>
        <v>1.64</v>
      </c>
      <c r="J2173" t="str">
        <f>IF(C2173="","FEHLT",IF(NOT(ISNUMBER(C2173)),"MESSWERT UNGUELTIG",IF(C2173&lt;0,"MESSWERT UNGUELTIG",IF(H2173="","TARIFPREIS FEHLT","OK"))))</f>
        <v>FEHLT</v>
      </c>
      <c r="K2173" s="7">
        <f>IF(J2173&lt;&gt;"OK","",C2173*I2173/100)</f>
        <v/>
      </c>
    </row>
    <row r="2174" spans="1:11">
      <c r="A2174" s="14">
        <v>46165</v>
      </c>
      <c r="B2174" s="15">
        <v>0.5833333333333334</v>
      </c>
      <c r="C2174" s="5">
        <f>IF('96 Werte'!BF28="","",'96 Werte'!BF28)</f>
        <v/>
      </c>
      <c r="D2174" t="str">
        <f>IF(IF(Eingaben!$B$21&lt;Eingaben!$B$22,AND(B2174&gt;=Eingaben!$B$21,B2174&lt;Eingaben!$B$22),OR(B2174&gt;=Eingaben!$B$21,B2174&lt;Eingaben!$B$22)),"GO",IF(AND(ISNUMBER(Eingaben!$B$23),ISNUMBER(Eingaben!$B$24),IF(Eingaben!$B$23&lt;Eingaben!$B$24,AND(B2174&gt;=Eingaben!$B$23,B2174&lt;Eingaben!$B$24),OR(B2174&gt;=Eingaben!$B$23,B2174&lt;Eingaben!$B$24))),"HEAT","STANDARD"))</f>
        <v>STANDARD</v>
      </c>
      <c r="E2174" s="9"/>
      <c r="F2174" t="str">
        <f>IF(E2174="",D2174,E2174)</f>
        <v>STANDARD</v>
      </c>
      <c r="G2174" t="str">
        <f>INDEX(Netzzeiten!$B$6:$B$29,HOUR(B2174)+1)</f>
        <v>NT</v>
      </c>
      <c r="H2174" s="6">
        <f>IF(F2174="GO",Eingaben!$B$11,IF(F2174="STANDARD",Eingaben!$B$12,IF(AND(F2174="HEAT",ISNUMBER(Eingaben!$B$13)),Eingaben!$B$13,"")))</f>
        <v>28.2744</v>
      </c>
      <c r="I2174" s="6">
        <f>INDEX(Netzzeiten!$C$6:$C$29,HOUR(B2174)+1)</f>
        <v>1.64</v>
      </c>
      <c r="J2174" t="str">
        <f>IF(C2174="","FEHLT",IF(NOT(ISNUMBER(C2174)),"MESSWERT UNGUELTIG",IF(C2174&lt;0,"MESSWERT UNGUELTIG",IF(H2174="","TARIFPREIS FEHLT","OK"))))</f>
        <v>FEHLT</v>
      </c>
      <c r="K2174" s="7">
        <f>IF(J2174&lt;&gt;"OK","",C2174*I2174/100)</f>
        <v/>
      </c>
    </row>
    <row r="2175" spans="1:11">
      <c r="A2175" s="14">
        <v>46165</v>
      </c>
      <c r="B2175" s="15">
        <v>0.59375</v>
      </c>
      <c r="C2175" s="5">
        <f>IF('96 Werte'!BG28="","",'96 Werte'!BG28)</f>
        <v/>
      </c>
      <c r="D2175" t="str">
        <f>IF(IF(Eingaben!$B$21&lt;Eingaben!$B$22,AND(B2175&gt;=Eingaben!$B$21,B2175&lt;Eingaben!$B$22),OR(B2175&gt;=Eingaben!$B$21,B2175&lt;Eingaben!$B$22)),"GO",IF(AND(ISNUMBER(Eingaben!$B$23),ISNUMBER(Eingaben!$B$24),IF(Eingaben!$B$23&lt;Eingaben!$B$24,AND(B2175&gt;=Eingaben!$B$23,B2175&lt;Eingaben!$B$24),OR(B2175&gt;=Eingaben!$B$23,B2175&lt;Eingaben!$B$24))),"HEAT","STANDARD"))</f>
        <v>STANDARD</v>
      </c>
      <c r="E2175" s="9"/>
      <c r="F2175" t="str">
        <f>IF(E2175="",D2175,E2175)</f>
        <v>STANDARD</v>
      </c>
      <c r="G2175" t="str">
        <f>INDEX(Netzzeiten!$B$6:$B$29,HOUR(B2175)+1)</f>
        <v>NT</v>
      </c>
      <c r="H2175" s="6">
        <f>IF(F2175="GO",Eingaben!$B$11,IF(F2175="STANDARD",Eingaben!$B$12,IF(AND(F2175="HEAT",ISNUMBER(Eingaben!$B$13)),Eingaben!$B$13,"")))</f>
        <v>28.2744</v>
      </c>
      <c r="I2175" s="6">
        <f>INDEX(Netzzeiten!$C$6:$C$29,HOUR(B2175)+1)</f>
        <v>1.64</v>
      </c>
      <c r="J2175" t="str">
        <f>IF(C2175="","FEHLT",IF(NOT(ISNUMBER(C2175)),"MESSWERT UNGUELTIG",IF(C2175&lt;0,"MESSWERT UNGUELTIG",IF(H2175="","TARIFPREIS FEHLT","OK"))))</f>
        <v>FEHLT</v>
      </c>
      <c r="K2175" s="7">
        <f>IF(J2175&lt;&gt;"OK","",C2175*I2175/100)</f>
        <v/>
      </c>
    </row>
    <row r="2176" spans="1:11">
      <c r="A2176" s="14">
        <v>46165</v>
      </c>
      <c r="B2176" s="15">
        <v>0.6041666666666666</v>
      </c>
      <c r="C2176" s="5">
        <f>IF('96 Werte'!BH28="","",'96 Werte'!BH28)</f>
        <v/>
      </c>
      <c r="D2176" t="str">
        <f>IF(IF(Eingaben!$B$21&lt;Eingaben!$B$22,AND(B2176&gt;=Eingaben!$B$21,B2176&lt;Eingaben!$B$22),OR(B2176&gt;=Eingaben!$B$21,B2176&lt;Eingaben!$B$22)),"GO",IF(AND(ISNUMBER(Eingaben!$B$23),ISNUMBER(Eingaben!$B$24),IF(Eingaben!$B$23&lt;Eingaben!$B$24,AND(B2176&gt;=Eingaben!$B$23,B2176&lt;Eingaben!$B$24),OR(B2176&gt;=Eingaben!$B$23,B2176&lt;Eingaben!$B$24))),"HEAT","STANDARD"))</f>
        <v>STANDARD</v>
      </c>
      <c r="E2176" s="9"/>
      <c r="F2176" t="str">
        <f>IF(E2176="",D2176,E2176)</f>
        <v>STANDARD</v>
      </c>
      <c r="G2176" t="str">
        <f>INDEX(Netzzeiten!$B$6:$B$29,HOUR(B2176)+1)</f>
        <v>NT</v>
      </c>
      <c r="H2176" s="6">
        <f>IF(F2176="GO",Eingaben!$B$11,IF(F2176="STANDARD",Eingaben!$B$12,IF(AND(F2176="HEAT",ISNUMBER(Eingaben!$B$13)),Eingaben!$B$13,"")))</f>
        <v>28.2744</v>
      </c>
      <c r="I2176" s="6">
        <f>INDEX(Netzzeiten!$C$6:$C$29,HOUR(B2176)+1)</f>
        <v>1.64</v>
      </c>
      <c r="J2176" t="str">
        <f>IF(C2176="","FEHLT",IF(NOT(ISNUMBER(C2176)),"MESSWERT UNGUELTIG",IF(C2176&lt;0,"MESSWERT UNGUELTIG",IF(H2176="","TARIFPREIS FEHLT","OK"))))</f>
        <v>FEHLT</v>
      </c>
      <c r="K2176" s="7">
        <f>IF(J2176&lt;&gt;"OK","",C2176*I2176/100)</f>
        <v/>
      </c>
    </row>
    <row r="2177" spans="1:11">
      <c r="A2177" s="14">
        <v>46165</v>
      </c>
      <c r="B2177" s="15">
        <v>0.6145833333333334</v>
      </c>
      <c r="C2177" s="5">
        <f>IF('96 Werte'!BI28="","",'96 Werte'!BI28)</f>
        <v/>
      </c>
      <c r="D2177" t="str">
        <f>IF(IF(Eingaben!$B$21&lt;Eingaben!$B$22,AND(B2177&gt;=Eingaben!$B$21,B2177&lt;Eingaben!$B$22),OR(B2177&gt;=Eingaben!$B$21,B2177&lt;Eingaben!$B$22)),"GO",IF(AND(ISNUMBER(Eingaben!$B$23),ISNUMBER(Eingaben!$B$24),IF(Eingaben!$B$23&lt;Eingaben!$B$24,AND(B2177&gt;=Eingaben!$B$23,B2177&lt;Eingaben!$B$24),OR(B2177&gt;=Eingaben!$B$23,B2177&lt;Eingaben!$B$24))),"HEAT","STANDARD"))</f>
        <v>STANDARD</v>
      </c>
      <c r="E2177" s="9"/>
      <c r="F2177" t="str">
        <f>IF(E2177="",D2177,E2177)</f>
        <v>STANDARD</v>
      </c>
      <c r="G2177" t="str">
        <f>INDEX(Netzzeiten!$B$6:$B$29,HOUR(B2177)+1)</f>
        <v>NT</v>
      </c>
      <c r="H2177" s="6">
        <f>IF(F2177="GO",Eingaben!$B$11,IF(F2177="STANDARD",Eingaben!$B$12,IF(AND(F2177="HEAT",ISNUMBER(Eingaben!$B$13)),Eingaben!$B$13,"")))</f>
        <v>28.2744</v>
      </c>
      <c r="I2177" s="6">
        <f>INDEX(Netzzeiten!$C$6:$C$29,HOUR(B2177)+1)</f>
        <v>1.64</v>
      </c>
      <c r="J2177" t="str">
        <f>IF(C2177="","FEHLT",IF(NOT(ISNUMBER(C2177)),"MESSWERT UNGUELTIG",IF(C2177&lt;0,"MESSWERT UNGUELTIG",IF(H2177="","TARIFPREIS FEHLT","OK"))))</f>
        <v>FEHLT</v>
      </c>
      <c r="K2177" s="7">
        <f>IF(J2177&lt;&gt;"OK","",C2177*I2177/100)</f>
        <v/>
      </c>
    </row>
    <row r="2178" spans="1:11">
      <c r="A2178" s="14">
        <v>46165</v>
      </c>
      <c r="B2178" s="15">
        <v>0.625</v>
      </c>
      <c r="C2178" s="5">
        <f>IF('96 Werte'!BJ28="","",'96 Werte'!BJ28)</f>
        <v/>
      </c>
      <c r="D2178" t="str">
        <f>IF(IF(Eingaben!$B$21&lt;Eingaben!$B$22,AND(B2178&gt;=Eingaben!$B$21,B2178&lt;Eingaben!$B$22),OR(B2178&gt;=Eingaben!$B$21,B2178&lt;Eingaben!$B$22)),"GO",IF(AND(ISNUMBER(Eingaben!$B$23),ISNUMBER(Eingaben!$B$24),IF(Eingaben!$B$23&lt;Eingaben!$B$24,AND(B2178&gt;=Eingaben!$B$23,B2178&lt;Eingaben!$B$24),OR(B2178&gt;=Eingaben!$B$23,B2178&lt;Eingaben!$B$24))),"HEAT","STANDARD"))</f>
        <v>STANDARD</v>
      </c>
      <c r="E2178" s="9"/>
      <c r="F2178" t="str">
        <f>IF(E2178="",D2178,E2178)</f>
        <v>STANDARD</v>
      </c>
      <c r="G2178" t="str">
        <f>INDEX(Netzzeiten!$B$6:$B$29,HOUR(B2178)+1)</f>
        <v>ST</v>
      </c>
      <c r="H2178" s="6">
        <f>IF(F2178="GO",Eingaben!$B$11,IF(F2178="STANDARD",Eingaben!$B$12,IF(AND(F2178="HEAT",ISNUMBER(Eingaben!$B$13)),Eingaben!$B$13,"")))</f>
        <v>28.2744</v>
      </c>
      <c r="I2178" s="6">
        <f>INDEX(Netzzeiten!$C$6:$C$29,HOUR(B2178)+1)</f>
        <v>5.48</v>
      </c>
      <c r="J2178" t="str">
        <f>IF(C2178="","FEHLT",IF(NOT(ISNUMBER(C2178)),"MESSWERT UNGUELTIG",IF(C2178&lt;0,"MESSWERT UNGUELTIG",IF(H2178="","TARIFPREIS FEHLT","OK"))))</f>
        <v>FEHLT</v>
      </c>
      <c r="K2178" s="7">
        <f>IF(J2178&lt;&gt;"OK","",C2178*I2178/100)</f>
        <v/>
      </c>
    </row>
    <row r="2179" spans="1:11">
      <c r="A2179" s="14">
        <v>46165</v>
      </c>
      <c r="B2179" s="15">
        <v>0.6354166666666666</v>
      </c>
      <c r="C2179" s="5">
        <f>IF('96 Werte'!BK28="","",'96 Werte'!BK28)</f>
        <v/>
      </c>
      <c r="D2179" t="str">
        <f>IF(IF(Eingaben!$B$21&lt;Eingaben!$B$22,AND(B2179&gt;=Eingaben!$B$21,B2179&lt;Eingaben!$B$22),OR(B2179&gt;=Eingaben!$B$21,B2179&lt;Eingaben!$B$22)),"GO",IF(AND(ISNUMBER(Eingaben!$B$23),ISNUMBER(Eingaben!$B$24),IF(Eingaben!$B$23&lt;Eingaben!$B$24,AND(B2179&gt;=Eingaben!$B$23,B2179&lt;Eingaben!$B$24),OR(B2179&gt;=Eingaben!$B$23,B2179&lt;Eingaben!$B$24))),"HEAT","STANDARD"))</f>
        <v>STANDARD</v>
      </c>
      <c r="E2179" s="9"/>
      <c r="F2179" t="str">
        <f>IF(E2179="",D2179,E2179)</f>
        <v>STANDARD</v>
      </c>
      <c r="G2179" t="str">
        <f>INDEX(Netzzeiten!$B$6:$B$29,HOUR(B2179)+1)</f>
        <v>ST</v>
      </c>
      <c r="H2179" s="6">
        <f>IF(F2179="GO",Eingaben!$B$11,IF(F2179="STANDARD",Eingaben!$B$12,IF(AND(F2179="HEAT",ISNUMBER(Eingaben!$B$13)),Eingaben!$B$13,"")))</f>
        <v>28.2744</v>
      </c>
      <c r="I2179" s="6">
        <f>INDEX(Netzzeiten!$C$6:$C$29,HOUR(B2179)+1)</f>
        <v>5.48</v>
      </c>
      <c r="J2179" t="str">
        <f>IF(C2179="","FEHLT",IF(NOT(ISNUMBER(C2179)),"MESSWERT UNGUELTIG",IF(C2179&lt;0,"MESSWERT UNGUELTIG",IF(H2179="","TARIFPREIS FEHLT","OK"))))</f>
        <v>FEHLT</v>
      </c>
      <c r="K2179" s="7">
        <f>IF(J2179&lt;&gt;"OK","",C2179*I2179/100)</f>
        <v/>
      </c>
    </row>
    <row r="2180" spans="1:11">
      <c r="A2180" s="14">
        <v>46165</v>
      </c>
      <c r="B2180" s="15">
        <v>0.6458333333333334</v>
      </c>
      <c r="C2180" s="5">
        <f>IF('96 Werte'!BL28="","",'96 Werte'!BL28)</f>
        <v/>
      </c>
      <c r="D2180" t="str">
        <f>IF(IF(Eingaben!$B$21&lt;Eingaben!$B$22,AND(B2180&gt;=Eingaben!$B$21,B2180&lt;Eingaben!$B$22),OR(B2180&gt;=Eingaben!$B$21,B2180&lt;Eingaben!$B$22)),"GO",IF(AND(ISNUMBER(Eingaben!$B$23),ISNUMBER(Eingaben!$B$24),IF(Eingaben!$B$23&lt;Eingaben!$B$24,AND(B2180&gt;=Eingaben!$B$23,B2180&lt;Eingaben!$B$24),OR(B2180&gt;=Eingaben!$B$23,B2180&lt;Eingaben!$B$24))),"HEAT","STANDARD"))</f>
        <v>STANDARD</v>
      </c>
      <c r="E2180" s="9"/>
      <c r="F2180" t="str">
        <f>IF(E2180="",D2180,E2180)</f>
        <v>STANDARD</v>
      </c>
      <c r="G2180" t="str">
        <f>INDEX(Netzzeiten!$B$6:$B$29,HOUR(B2180)+1)</f>
        <v>ST</v>
      </c>
      <c r="H2180" s="6">
        <f>IF(F2180="GO",Eingaben!$B$11,IF(F2180="STANDARD",Eingaben!$B$12,IF(AND(F2180="HEAT",ISNUMBER(Eingaben!$B$13)),Eingaben!$B$13,"")))</f>
        <v>28.2744</v>
      </c>
      <c r="I2180" s="6">
        <f>INDEX(Netzzeiten!$C$6:$C$29,HOUR(B2180)+1)</f>
        <v>5.48</v>
      </c>
      <c r="J2180" t="str">
        <f>IF(C2180="","FEHLT",IF(NOT(ISNUMBER(C2180)),"MESSWERT UNGUELTIG",IF(C2180&lt;0,"MESSWERT UNGUELTIG",IF(H2180="","TARIFPREIS FEHLT","OK"))))</f>
        <v>FEHLT</v>
      </c>
      <c r="K2180" s="7">
        <f>IF(J2180&lt;&gt;"OK","",C2180*I2180/100)</f>
        <v/>
      </c>
    </row>
    <row r="2181" spans="1:11">
      <c r="A2181" s="14">
        <v>46165</v>
      </c>
      <c r="B2181" s="15">
        <v>0.65625</v>
      </c>
      <c r="C2181" s="5">
        <f>IF('96 Werte'!BM28="","",'96 Werte'!BM28)</f>
        <v/>
      </c>
      <c r="D2181" t="str">
        <f>IF(IF(Eingaben!$B$21&lt;Eingaben!$B$22,AND(B2181&gt;=Eingaben!$B$21,B2181&lt;Eingaben!$B$22),OR(B2181&gt;=Eingaben!$B$21,B2181&lt;Eingaben!$B$22)),"GO",IF(AND(ISNUMBER(Eingaben!$B$23),ISNUMBER(Eingaben!$B$24),IF(Eingaben!$B$23&lt;Eingaben!$B$24,AND(B2181&gt;=Eingaben!$B$23,B2181&lt;Eingaben!$B$24),OR(B2181&gt;=Eingaben!$B$23,B2181&lt;Eingaben!$B$24))),"HEAT","STANDARD"))</f>
        <v>STANDARD</v>
      </c>
      <c r="E2181" s="9"/>
      <c r="F2181" t="str">
        <f>IF(E2181="",D2181,E2181)</f>
        <v>STANDARD</v>
      </c>
      <c r="G2181" t="str">
        <f>INDEX(Netzzeiten!$B$6:$B$29,HOUR(B2181)+1)</f>
        <v>ST</v>
      </c>
      <c r="H2181" s="6">
        <f>IF(F2181="GO",Eingaben!$B$11,IF(F2181="STANDARD",Eingaben!$B$12,IF(AND(F2181="HEAT",ISNUMBER(Eingaben!$B$13)),Eingaben!$B$13,"")))</f>
        <v>28.2744</v>
      </c>
      <c r="I2181" s="6">
        <f>INDEX(Netzzeiten!$C$6:$C$29,HOUR(B2181)+1)</f>
        <v>5.48</v>
      </c>
      <c r="J2181" t="str">
        <f>IF(C2181="","FEHLT",IF(NOT(ISNUMBER(C2181)),"MESSWERT UNGUELTIG",IF(C2181&lt;0,"MESSWERT UNGUELTIG",IF(H2181="","TARIFPREIS FEHLT","OK"))))</f>
        <v>FEHLT</v>
      </c>
      <c r="K2181" s="7">
        <f>IF(J2181&lt;&gt;"OK","",C2181*I2181/100)</f>
        <v/>
      </c>
    </row>
    <row r="2182" spans="1:11">
      <c r="A2182" s="14">
        <v>46165</v>
      </c>
      <c r="B2182" s="15">
        <v>0.6666666666666666</v>
      </c>
      <c r="C2182" s="5">
        <f>IF('96 Werte'!BN28="","",'96 Werte'!BN28)</f>
        <v/>
      </c>
      <c r="D2182" t="str">
        <f>IF(IF(Eingaben!$B$21&lt;Eingaben!$B$22,AND(B2182&gt;=Eingaben!$B$21,B2182&lt;Eingaben!$B$22),OR(B2182&gt;=Eingaben!$B$21,B2182&lt;Eingaben!$B$22)),"GO",IF(AND(ISNUMBER(Eingaben!$B$23),ISNUMBER(Eingaben!$B$24),IF(Eingaben!$B$23&lt;Eingaben!$B$24,AND(B2182&gt;=Eingaben!$B$23,B2182&lt;Eingaben!$B$24),OR(B2182&gt;=Eingaben!$B$23,B2182&lt;Eingaben!$B$24))),"HEAT","STANDARD"))</f>
        <v>STANDARD</v>
      </c>
      <c r="E2182" s="9"/>
      <c r="F2182" t="str">
        <f>IF(E2182="",D2182,E2182)</f>
        <v>STANDARD</v>
      </c>
      <c r="G2182" t="str">
        <f>INDEX(Netzzeiten!$B$6:$B$29,HOUR(B2182)+1)</f>
        <v>ST</v>
      </c>
      <c r="H2182" s="6">
        <f>IF(F2182="GO",Eingaben!$B$11,IF(F2182="STANDARD",Eingaben!$B$12,IF(AND(F2182="HEAT",ISNUMBER(Eingaben!$B$13)),Eingaben!$B$13,"")))</f>
        <v>28.2744</v>
      </c>
      <c r="I2182" s="6">
        <f>INDEX(Netzzeiten!$C$6:$C$29,HOUR(B2182)+1)</f>
        <v>5.48</v>
      </c>
      <c r="J2182" t="str">
        <f>IF(C2182="","FEHLT",IF(NOT(ISNUMBER(C2182)),"MESSWERT UNGUELTIG",IF(C2182&lt;0,"MESSWERT UNGUELTIG",IF(H2182="","TARIFPREIS FEHLT","OK"))))</f>
        <v>FEHLT</v>
      </c>
      <c r="K2182" s="7">
        <f>IF(J2182&lt;&gt;"OK","",C2182*I2182/100)</f>
        <v/>
      </c>
    </row>
    <row r="2183" spans="1:11">
      <c r="A2183" s="14">
        <v>46165</v>
      </c>
      <c r="B2183" s="15">
        <v>0.6770833333333334</v>
      </c>
      <c r="C2183" s="5">
        <f>IF('96 Werte'!BO28="","",'96 Werte'!BO28)</f>
        <v/>
      </c>
      <c r="D2183" t="str">
        <f>IF(IF(Eingaben!$B$21&lt;Eingaben!$B$22,AND(B2183&gt;=Eingaben!$B$21,B2183&lt;Eingaben!$B$22),OR(B2183&gt;=Eingaben!$B$21,B2183&lt;Eingaben!$B$22)),"GO",IF(AND(ISNUMBER(Eingaben!$B$23),ISNUMBER(Eingaben!$B$24),IF(Eingaben!$B$23&lt;Eingaben!$B$24,AND(B2183&gt;=Eingaben!$B$23,B2183&lt;Eingaben!$B$24),OR(B2183&gt;=Eingaben!$B$23,B2183&lt;Eingaben!$B$24))),"HEAT","STANDARD"))</f>
        <v>STANDARD</v>
      </c>
      <c r="E2183" s="9"/>
      <c r="F2183" t="str">
        <f>IF(E2183="",D2183,E2183)</f>
        <v>STANDARD</v>
      </c>
      <c r="G2183" t="str">
        <f>INDEX(Netzzeiten!$B$6:$B$29,HOUR(B2183)+1)</f>
        <v>ST</v>
      </c>
      <c r="H2183" s="6">
        <f>IF(F2183="GO",Eingaben!$B$11,IF(F2183="STANDARD",Eingaben!$B$12,IF(AND(F2183="HEAT",ISNUMBER(Eingaben!$B$13)),Eingaben!$B$13,"")))</f>
        <v>28.2744</v>
      </c>
      <c r="I2183" s="6">
        <f>INDEX(Netzzeiten!$C$6:$C$29,HOUR(B2183)+1)</f>
        <v>5.48</v>
      </c>
      <c r="J2183" t="str">
        <f>IF(C2183="","FEHLT",IF(NOT(ISNUMBER(C2183)),"MESSWERT UNGUELTIG",IF(C2183&lt;0,"MESSWERT UNGUELTIG",IF(H2183="","TARIFPREIS FEHLT","OK"))))</f>
        <v>FEHLT</v>
      </c>
      <c r="K2183" s="7">
        <f>IF(J2183&lt;&gt;"OK","",C2183*I2183/100)</f>
        <v/>
      </c>
    </row>
    <row r="2184" spans="1:11">
      <c r="A2184" s="14">
        <v>46165</v>
      </c>
      <c r="B2184" s="15">
        <v>0.6875</v>
      </c>
      <c r="C2184" s="5">
        <f>IF('96 Werte'!BP28="","",'96 Werte'!BP28)</f>
        <v/>
      </c>
      <c r="D2184" t="str">
        <f>IF(IF(Eingaben!$B$21&lt;Eingaben!$B$22,AND(B2184&gt;=Eingaben!$B$21,B2184&lt;Eingaben!$B$22),OR(B2184&gt;=Eingaben!$B$21,B2184&lt;Eingaben!$B$22)),"GO",IF(AND(ISNUMBER(Eingaben!$B$23),ISNUMBER(Eingaben!$B$24),IF(Eingaben!$B$23&lt;Eingaben!$B$24,AND(B2184&gt;=Eingaben!$B$23,B2184&lt;Eingaben!$B$24),OR(B2184&gt;=Eingaben!$B$23,B2184&lt;Eingaben!$B$24))),"HEAT","STANDARD"))</f>
        <v>STANDARD</v>
      </c>
      <c r="E2184" s="9"/>
      <c r="F2184" t="str">
        <f>IF(E2184="",D2184,E2184)</f>
        <v>STANDARD</v>
      </c>
      <c r="G2184" t="str">
        <f>INDEX(Netzzeiten!$B$6:$B$29,HOUR(B2184)+1)</f>
        <v>ST</v>
      </c>
      <c r="H2184" s="6">
        <f>IF(F2184="GO",Eingaben!$B$11,IF(F2184="STANDARD",Eingaben!$B$12,IF(AND(F2184="HEAT",ISNUMBER(Eingaben!$B$13)),Eingaben!$B$13,"")))</f>
        <v>28.2744</v>
      </c>
      <c r="I2184" s="6">
        <f>INDEX(Netzzeiten!$C$6:$C$29,HOUR(B2184)+1)</f>
        <v>5.48</v>
      </c>
      <c r="J2184" t="str">
        <f>IF(C2184="","FEHLT",IF(NOT(ISNUMBER(C2184)),"MESSWERT UNGUELTIG",IF(C2184&lt;0,"MESSWERT UNGUELTIG",IF(H2184="","TARIFPREIS FEHLT","OK"))))</f>
        <v>FEHLT</v>
      </c>
      <c r="K2184" s="7">
        <f>IF(J2184&lt;&gt;"OK","",C2184*I2184/100)</f>
        <v/>
      </c>
    </row>
    <row r="2185" spans="1:11">
      <c r="A2185" s="14">
        <v>46165</v>
      </c>
      <c r="B2185" s="15">
        <v>0.6979166666666666</v>
      </c>
      <c r="C2185" s="5">
        <f>IF('96 Werte'!BQ28="","",'96 Werte'!BQ28)</f>
        <v/>
      </c>
      <c r="D2185" t="str">
        <f>IF(IF(Eingaben!$B$21&lt;Eingaben!$B$22,AND(B2185&gt;=Eingaben!$B$21,B2185&lt;Eingaben!$B$22),OR(B2185&gt;=Eingaben!$B$21,B2185&lt;Eingaben!$B$22)),"GO",IF(AND(ISNUMBER(Eingaben!$B$23),ISNUMBER(Eingaben!$B$24),IF(Eingaben!$B$23&lt;Eingaben!$B$24,AND(B2185&gt;=Eingaben!$B$23,B2185&lt;Eingaben!$B$24),OR(B2185&gt;=Eingaben!$B$23,B2185&lt;Eingaben!$B$24))),"HEAT","STANDARD"))</f>
        <v>STANDARD</v>
      </c>
      <c r="E2185" s="9"/>
      <c r="F2185" t="str">
        <f>IF(E2185="",D2185,E2185)</f>
        <v>STANDARD</v>
      </c>
      <c r="G2185" t="str">
        <f>INDEX(Netzzeiten!$B$6:$B$29,HOUR(B2185)+1)</f>
        <v>ST</v>
      </c>
      <c r="H2185" s="6">
        <f>IF(F2185="GO",Eingaben!$B$11,IF(F2185="STANDARD",Eingaben!$B$12,IF(AND(F2185="HEAT",ISNUMBER(Eingaben!$B$13)),Eingaben!$B$13,"")))</f>
        <v>28.2744</v>
      </c>
      <c r="I2185" s="6">
        <f>INDEX(Netzzeiten!$C$6:$C$29,HOUR(B2185)+1)</f>
        <v>5.48</v>
      </c>
      <c r="J2185" t="str">
        <f>IF(C2185="","FEHLT",IF(NOT(ISNUMBER(C2185)),"MESSWERT UNGUELTIG",IF(C2185&lt;0,"MESSWERT UNGUELTIG",IF(H2185="","TARIFPREIS FEHLT","OK"))))</f>
        <v>FEHLT</v>
      </c>
      <c r="K2185" s="7">
        <f>IF(J2185&lt;&gt;"OK","",C2185*I2185/100)</f>
        <v/>
      </c>
    </row>
    <row r="2186" spans="1:11">
      <c r="A2186" s="14">
        <v>46165</v>
      </c>
      <c r="B2186" s="15">
        <v>0.7083333333333334</v>
      </c>
      <c r="C2186" s="5">
        <f>IF('96 Werte'!BR28="","",'96 Werte'!BR28)</f>
        <v/>
      </c>
      <c r="D2186" t="str">
        <f>IF(IF(Eingaben!$B$21&lt;Eingaben!$B$22,AND(B2186&gt;=Eingaben!$B$21,B2186&lt;Eingaben!$B$22),OR(B2186&gt;=Eingaben!$B$21,B2186&lt;Eingaben!$B$22)),"GO",IF(AND(ISNUMBER(Eingaben!$B$23),ISNUMBER(Eingaben!$B$24),IF(Eingaben!$B$23&lt;Eingaben!$B$24,AND(B2186&gt;=Eingaben!$B$23,B2186&lt;Eingaben!$B$24),OR(B2186&gt;=Eingaben!$B$23,B2186&lt;Eingaben!$B$24))),"HEAT","STANDARD"))</f>
        <v>STANDARD</v>
      </c>
      <c r="E2186" s="9"/>
      <c r="F2186" t="str">
        <f>IF(E2186="",D2186,E2186)</f>
        <v>STANDARD</v>
      </c>
      <c r="G2186" t="str">
        <f>INDEX(Netzzeiten!$B$6:$B$29,HOUR(B2186)+1)</f>
        <v>HT</v>
      </c>
      <c r="H2186" s="6">
        <f>IF(F2186="GO",Eingaben!$B$11,IF(F2186="STANDARD",Eingaben!$B$12,IF(AND(F2186="HEAT",ISNUMBER(Eingaben!$B$13)),Eingaben!$B$13,"")))</f>
        <v>28.2744</v>
      </c>
      <c r="I2186" s="6">
        <f>INDEX(Netzzeiten!$C$6:$C$29,HOUR(B2186)+1)</f>
        <v>10.52</v>
      </c>
      <c r="J2186" t="str">
        <f>IF(C2186="","FEHLT",IF(NOT(ISNUMBER(C2186)),"MESSWERT UNGUELTIG",IF(C2186&lt;0,"MESSWERT UNGUELTIG",IF(H2186="","TARIFPREIS FEHLT","OK"))))</f>
        <v>FEHLT</v>
      </c>
      <c r="K2186" s="7">
        <f>IF(J2186&lt;&gt;"OK","",C2186*I2186/100)</f>
        <v/>
      </c>
    </row>
    <row r="2187" spans="1:11">
      <c r="A2187" s="14">
        <v>46165</v>
      </c>
      <c r="B2187" s="15">
        <v>0.71875</v>
      </c>
      <c r="C2187" s="5">
        <f>IF('96 Werte'!BS28="","",'96 Werte'!BS28)</f>
        <v/>
      </c>
      <c r="D2187" t="str">
        <f>IF(IF(Eingaben!$B$21&lt;Eingaben!$B$22,AND(B2187&gt;=Eingaben!$B$21,B2187&lt;Eingaben!$B$22),OR(B2187&gt;=Eingaben!$B$21,B2187&lt;Eingaben!$B$22)),"GO",IF(AND(ISNUMBER(Eingaben!$B$23),ISNUMBER(Eingaben!$B$24),IF(Eingaben!$B$23&lt;Eingaben!$B$24,AND(B2187&gt;=Eingaben!$B$23,B2187&lt;Eingaben!$B$24),OR(B2187&gt;=Eingaben!$B$23,B2187&lt;Eingaben!$B$24))),"HEAT","STANDARD"))</f>
        <v>STANDARD</v>
      </c>
      <c r="E2187" s="9"/>
      <c r="F2187" t="str">
        <f>IF(E2187="",D2187,E2187)</f>
        <v>STANDARD</v>
      </c>
      <c r="G2187" t="str">
        <f>INDEX(Netzzeiten!$B$6:$B$29,HOUR(B2187)+1)</f>
        <v>HT</v>
      </c>
      <c r="H2187" s="6">
        <f>IF(F2187="GO",Eingaben!$B$11,IF(F2187="STANDARD",Eingaben!$B$12,IF(AND(F2187="HEAT",ISNUMBER(Eingaben!$B$13)),Eingaben!$B$13,"")))</f>
        <v>28.2744</v>
      </c>
      <c r="I2187" s="6">
        <f>INDEX(Netzzeiten!$C$6:$C$29,HOUR(B2187)+1)</f>
        <v>10.52</v>
      </c>
      <c r="J2187" t="str">
        <f>IF(C2187="","FEHLT",IF(NOT(ISNUMBER(C2187)),"MESSWERT UNGUELTIG",IF(C2187&lt;0,"MESSWERT UNGUELTIG",IF(H2187="","TARIFPREIS FEHLT","OK"))))</f>
        <v>FEHLT</v>
      </c>
      <c r="K2187" s="7">
        <f>IF(J2187&lt;&gt;"OK","",C2187*I2187/100)</f>
        <v/>
      </c>
    </row>
    <row r="2188" spans="1:11">
      <c r="A2188" s="14">
        <v>46165</v>
      </c>
      <c r="B2188" s="15">
        <v>0.7291666666666666</v>
      </c>
      <c r="C2188" s="5">
        <f>IF('96 Werte'!BT28="","",'96 Werte'!BT28)</f>
        <v/>
      </c>
      <c r="D2188" t="str">
        <f>IF(IF(Eingaben!$B$21&lt;Eingaben!$B$22,AND(B2188&gt;=Eingaben!$B$21,B2188&lt;Eingaben!$B$22),OR(B2188&gt;=Eingaben!$B$21,B2188&lt;Eingaben!$B$22)),"GO",IF(AND(ISNUMBER(Eingaben!$B$23),ISNUMBER(Eingaben!$B$24),IF(Eingaben!$B$23&lt;Eingaben!$B$24,AND(B2188&gt;=Eingaben!$B$23,B2188&lt;Eingaben!$B$24),OR(B2188&gt;=Eingaben!$B$23,B2188&lt;Eingaben!$B$24))),"HEAT","STANDARD"))</f>
        <v>STANDARD</v>
      </c>
      <c r="E2188" s="9"/>
      <c r="F2188" t="str">
        <f>IF(E2188="",D2188,E2188)</f>
        <v>STANDARD</v>
      </c>
      <c r="G2188" t="str">
        <f>INDEX(Netzzeiten!$B$6:$B$29,HOUR(B2188)+1)</f>
        <v>HT</v>
      </c>
      <c r="H2188" s="6">
        <f>IF(F2188="GO",Eingaben!$B$11,IF(F2188="STANDARD",Eingaben!$B$12,IF(AND(F2188="HEAT",ISNUMBER(Eingaben!$B$13)),Eingaben!$B$13,"")))</f>
        <v>28.2744</v>
      </c>
      <c r="I2188" s="6">
        <f>INDEX(Netzzeiten!$C$6:$C$29,HOUR(B2188)+1)</f>
        <v>10.52</v>
      </c>
      <c r="J2188" t="str">
        <f>IF(C2188="","FEHLT",IF(NOT(ISNUMBER(C2188)),"MESSWERT UNGUELTIG",IF(C2188&lt;0,"MESSWERT UNGUELTIG",IF(H2188="","TARIFPREIS FEHLT","OK"))))</f>
        <v>FEHLT</v>
      </c>
      <c r="K2188" s="7">
        <f>IF(J2188&lt;&gt;"OK","",C2188*I2188/100)</f>
        <v/>
      </c>
    </row>
    <row r="2189" spans="1:11">
      <c r="A2189" s="14">
        <v>46165</v>
      </c>
      <c r="B2189" s="15">
        <v>0.7395833333333334</v>
      </c>
      <c r="C2189" s="5">
        <f>IF('96 Werte'!BU28="","",'96 Werte'!BU28)</f>
        <v/>
      </c>
      <c r="D2189" t="str">
        <f>IF(IF(Eingaben!$B$21&lt;Eingaben!$B$22,AND(B2189&gt;=Eingaben!$B$21,B2189&lt;Eingaben!$B$22),OR(B2189&gt;=Eingaben!$B$21,B2189&lt;Eingaben!$B$22)),"GO",IF(AND(ISNUMBER(Eingaben!$B$23),ISNUMBER(Eingaben!$B$24),IF(Eingaben!$B$23&lt;Eingaben!$B$24,AND(B2189&gt;=Eingaben!$B$23,B2189&lt;Eingaben!$B$24),OR(B2189&gt;=Eingaben!$B$23,B2189&lt;Eingaben!$B$24))),"HEAT","STANDARD"))</f>
        <v>STANDARD</v>
      </c>
      <c r="E2189" s="9"/>
      <c r="F2189" t="str">
        <f>IF(E2189="",D2189,E2189)</f>
        <v>STANDARD</v>
      </c>
      <c r="G2189" t="str">
        <f>INDEX(Netzzeiten!$B$6:$B$29,HOUR(B2189)+1)</f>
        <v>HT</v>
      </c>
      <c r="H2189" s="6">
        <f>IF(F2189="GO",Eingaben!$B$11,IF(F2189="STANDARD",Eingaben!$B$12,IF(AND(F2189="HEAT",ISNUMBER(Eingaben!$B$13)),Eingaben!$B$13,"")))</f>
        <v>28.2744</v>
      </c>
      <c r="I2189" s="6">
        <f>INDEX(Netzzeiten!$C$6:$C$29,HOUR(B2189)+1)</f>
        <v>10.52</v>
      </c>
      <c r="J2189" t="str">
        <f>IF(C2189="","FEHLT",IF(NOT(ISNUMBER(C2189)),"MESSWERT UNGUELTIG",IF(C2189&lt;0,"MESSWERT UNGUELTIG",IF(H2189="","TARIFPREIS FEHLT","OK"))))</f>
        <v>FEHLT</v>
      </c>
      <c r="K2189" s="7">
        <f>IF(J2189&lt;&gt;"OK","",C2189*I2189/100)</f>
        <v/>
      </c>
    </row>
    <row r="2190" spans="1:11">
      <c r="A2190" s="14">
        <v>46165</v>
      </c>
      <c r="B2190" s="15">
        <v>0.75</v>
      </c>
      <c r="C2190" s="5">
        <f>IF('96 Werte'!BV28="","",'96 Werte'!BV28)</f>
        <v/>
      </c>
      <c r="D2190" t="str">
        <f>IF(IF(Eingaben!$B$21&lt;Eingaben!$B$22,AND(B2190&gt;=Eingaben!$B$21,B2190&lt;Eingaben!$B$22),OR(B2190&gt;=Eingaben!$B$21,B2190&lt;Eingaben!$B$22)),"GO",IF(AND(ISNUMBER(Eingaben!$B$23),ISNUMBER(Eingaben!$B$24),IF(Eingaben!$B$23&lt;Eingaben!$B$24,AND(B2190&gt;=Eingaben!$B$23,B2190&lt;Eingaben!$B$24),OR(B2190&gt;=Eingaben!$B$23,B2190&lt;Eingaben!$B$24))),"HEAT","STANDARD"))</f>
        <v>STANDARD</v>
      </c>
      <c r="E2190" s="9"/>
      <c r="F2190" t="str">
        <f>IF(E2190="",D2190,E2190)</f>
        <v>STANDARD</v>
      </c>
      <c r="G2190" t="str">
        <f>INDEX(Netzzeiten!$B$6:$B$29,HOUR(B2190)+1)</f>
        <v>HT</v>
      </c>
      <c r="H2190" s="6">
        <f>IF(F2190="GO",Eingaben!$B$11,IF(F2190="STANDARD",Eingaben!$B$12,IF(AND(F2190="HEAT",ISNUMBER(Eingaben!$B$13)),Eingaben!$B$13,"")))</f>
        <v>28.2744</v>
      </c>
      <c r="I2190" s="6">
        <f>INDEX(Netzzeiten!$C$6:$C$29,HOUR(B2190)+1)</f>
        <v>10.52</v>
      </c>
      <c r="J2190" t="str">
        <f>IF(C2190="","FEHLT",IF(NOT(ISNUMBER(C2190)),"MESSWERT UNGUELTIG",IF(C2190&lt;0,"MESSWERT UNGUELTIG",IF(H2190="","TARIFPREIS FEHLT","OK"))))</f>
        <v>FEHLT</v>
      </c>
      <c r="K2190" s="7">
        <f>IF(J2190&lt;&gt;"OK","",C2190*I2190/100)</f>
        <v/>
      </c>
    </row>
    <row r="2191" spans="1:11">
      <c r="A2191" s="14">
        <v>46165</v>
      </c>
      <c r="B2191" s="15">
        <v>0.7604166666666666</v>
      </c>
      <c r="C2191" s="5">
        <f>IF('96 Werte'!BW28="","",'96 Werte'!BW28)</f>
        <v/>
      </c>
      <c r="D2191" t="str">
        <f>IF(IF(Eingaben!$B$21&lt;Eingaben!$B$22,AND(B2191&gt;=Eingaben!$B$21,B2191&lt;Eingaben!$B$22),OR(B2191&gt;=Eingaben!$B$21,B2191&lt;Eingaben!$B$22)),"GO",IF(AND(ISNUMBER(Eingaben!$B$23),ISNUMBER(Eingaben!$B$24),IF(Eingaben!$B$23&lt;Eingaben!$B$24,AND(B2191&gt;=Eingaben!$B$23,B2191&lt;Eingaben!$B$24),OR(B2191&gt;=Eingaben!$B$23,B2191&lt;Eingaben!$B$24))),"HEAT","STANDARD"))</f>
        <v>STANDARD</v>
      </c>
      <c r="E2191" s="9"/>
      <c r="F2191" t="str">
        <f>IF(E2191="",D2191,E2191)</f>
        <v>STANDARD</v>
      </c>
      <c r="G2191" t="str">
        <f>INDEX(Netzzeiten!$B$6:$B$29,HOUR(B2191)+1)</f>
        <v>HT</v>
      </c>
      <c r="H2191" s="6">
        <f>IF(F2191="GO",Eingaben!$B$11,IF(F2191="STANDARD",Eingaben!$B$12,IF(AND(F2191="HEAT",ISNUMBER(Eingaben!$B$13)),Eingaben!$B$13,"")))</f>
        <v>28.2744</v>
      </c>
      <c r="I2191" s="6">
        <f>INDEX(Netzzeiten!$C$6:$C$29,HOUR(B2191)+1)</f>
        <v>10.52</v>
      </c>
      <c r="J2191" t="str">
        <f>IF(C2191="","FEHLT",IF(NOT(ISNUMBER(C2191)),"MESSWERT UNGUELTIG",IF(C2191&lt;0,"MESSWERT UNGUELTIG",IF(H2191="","TARIFPREIS FEHLT","OK"))))</f>
        <v>FEHLT</v>
      </c>
      <c r="K2191" s="7">
        <f>IF(J2191&lt;&gt;"OK","",C2191*I2191/100)</f>
        <v/>
      </c>
    </row>
    <row r="2192" spans="1:11">
      <c r="A2192" s="14">
        <v>46165</v>
      </c>
      <c r="B2192" s="15">
        <v>0.7708333333333334</v>
      </c>
      <c r="C2192" s="5">
        <f>IF('96 Werte'!BX28="","",'96 Werte'!BX28)</f>
        <v/>
      </c>
      <c r="D2192" t="str">
        <f>IF(IF(Eingaben!$B$21&lt;Eingaben!$B$22,AND(B2192&gt;=Eingaben!$B$21,B2192&lt;Eingaben!$B$22),OR(B2192&gt;=Eingaben!$B$21,B2192&lt;Eingaben!$B$22)),"GO",IF(AND(ISNUMBER(Eingaben!$B$23),ISNUMBER(Eingaben!$B$24),IF(Eingaben!$B$23&lt;Eingaben!$B$24,AND(B2192&gt;=Eingaben!$B$23,B2192&lt;Eingaben!$B$24),OR(B2192&gt;=Eingaben!$B$23,B2192&lt;Eingaben!$B$24))),"HEAT","STANDARD"))</f>
        <v>STANDARD</v>
      </c>
      <c r="E2192" s="9"/>
      <c r="F2192" t="str">
        <f>IF(E2192="",D2192,E2192)</f>
        <v>STANDARD</v>
      </c>
      <c r="G2192" t="str">
        <f>INDEX(Netzzeiten!$B$6:$B$29,HOUR(B2192)+1)</f>
        <v>HT</v>
      </c>
      <c r="H2192" s="6">
        <f>IF(F2192="GO",Eingaben!$B$11,IF(F2192="STANDARD",Eingaben!$B$12,IF(AND(F2192="HEAT",ISNUMBER(Eingaben!$B$13)),Eingaben!$B$13,"")))</f>
        <v>28.2744</v>
      </c>
      <c r="I2192" s="6">
        <f>INDEX(Netzzeiten!$C$6:$C$29,HOUR(B2192)+1)</f>
        <v>10.52</v>
      </c>
      <c r="J2192" t="str">
        <f>IF(C2192="","FEHLT",IF(NOT(ISNUMBER(C2192)),"MESSWERT UNGUELTIG",IF(C2192&lt;0,"MESSWERT UNGUELTIG",IF(H2192="","TARIFPREIS FEHLT","OK"))))</f>
        <v>FEHLT</v>
      </c>
      <c r="K2192" s="7">
        <f>IF(J2192&lt;&gt;"OK","",C2192*I2192/100)</f>
        <v/>
      </c>
    </row>
    <row r="2193" spans="1:11">
      <c r="A2193" s="14">
        <v>46165</v>
      </c>
      <c r="B2193" s="15">
        <v>0.78125</v>
      </c>
      <c r="C2193" s="5">
        <f>IF('96 Werte'!BY28="","",'96 Werte'!BY28)</f>
        <v/>
      </c>
      <c r="D2193" t="str">
        <f>IF(IF(Eingaben!$B$21&lt;Eingaben!$B$22,AND(B2193&gt;=Eingaben!$B$21,B2193&lt;Eingaben!$B$22),OR(B2193&gt;=Eingaben!$B$21,B2193&lt;Eingaben!$B$22)),"GO",IF(AND(ISNUMBER(Eingaben!$B$23),ISNUMBER(Eingaben!$B$24),IF(Eingaben!$B$23&lt;Eingaben!$B$24,AND(B2193&gt;=Eingaben!$B$23,B2193&lt;Eingaben!$B$24),OR(B2193&gt;=Eingaben!$B$23,B2193&lt;Eingaben!$B$24))),"HEAT","STANDARD"))</f>
        <v>STANDARD</v>
      </c>
      <c r="E2193" s="9"/>
      <c r="F2193" t="str">
        <f>IF(E2193="",D2193,E2193)</f>
        <v>STANDARD</v>
      </c>
      <c r="G2193" t="str">
        <f>INDEX(Netzzeiten!$B$6:$B$29,HOUR(B2193)+1)</f>
        <v>HT</v>
      </c>
      <c r="H2193" s="6">
        <f>IF(F2193="GO",Eingaben!$B$11,IF(F2193="STANDARD",Eingaben!$B$12,IF(AND(F2193="HEAT",ISNUMBER(Eingaben!$B$13)),Eingaben!$B$13,"")))</f>
        <v>28.2744</v>
      </c>
      <c r="I2193" s="6">
        <f>INDEX(Netzzeiten!$C$6:$C$29,HOUR(B2193)+1)</f>
        <v>10.52</v>
      </c>
      <c r="J2193" t="str">
        <f>IF(C2193="","FEHLT",IF(NOT(ISNUMBER(C2193)),"MESSWERT UNGUELTIG",IF(C2193&lt;0,"MESSWERT UNGUELTIG",IF(H2193="","TARIFPREIS FEHLT","OK"))))</f>
        <v>FEHLT</v>
      </c>
      <c r="K2193" s="7">
        <f>IF(J2193&lt;&gt;"OK","",C2193*I2193/100)</f>
        <v/>
      </c>
    </row>
    <row r="2194" spans="1:11">
      <c r="A2194" s="14">
        <v>46165</v>
      </c>
      <c r="B2194" s="15">
        <v>0.7916666666666666</v>
      </c>
      <c r="C2194" s="5">
        <f>IF('96 Werte'!BZ28="","",'96 Werte'!BZ28)</f>
        <v/>
      </c>
      <c r="D2194" t="str">
        <f>IF(IF(Eingaben!$B$21&lt;Eingaben!$B$22,AND(B2194&gt;=Eingaben!$B$21,B2194&lt;Eingaben!$B$22),OR(B2194&gt;=Eingaben!$B$21,B2194&lt;Eingaben!$B$22)),"GO",IF(AND(ISNUMBER(Eingaben!$B$23),ISNUMBER(Eingaben!$B$24),IF(Eingaben!$B$23&lt;Eingaben!$B$24,AND(B2194&gt;=Eingaben!$B$23,B2194&lt;Eingaben!$B$24),OR(B2194&gt;=Eingaben!$B$23,B2194&lt;Eingaben!$B$24))),"HEAT","STANDARD"))</f>
        <v>STANDARD</v>
      </c>
      <c r="E2194" s="9"/>
      <c r="F2194" t="str">
        <f>IF(E2194="",D2194,E2194)</f>
        <v>STANDARD</v>
      </c>
      <c r="G2194" t="str">
        <f>INDEX(Netzzeiten!$B$6:$B$29,HOUR(B2194)+1)</f>
        <v>HT</v>
      </c>
      <c r="H2194" s="6">
        <f>IF(F2194="GO",Eingaben!$B$11,IF(F2194="STANDARD",Eingaben!$B$12,IF(AND(F2194="HEAT",ISNUMBER(Eingaben!$B$13)),Eingaben!$B$13,"")))</f>
        <v>28.2744</v>
      </c>
      <c r="I2194" s="6">
        <f>INDEX(Netzzeiten!$C$6:$C$29,HOUR(B2194)+1)</f>
        <v>10.52</v>
      </c>
      <c r="J2194" t="str">
        <f>IF(C2194="","FEHLT",IF(NOT(ISNUMBER(C2194)),"MESSWERT UNGUELTIG",IF(C2194&lt;0,"MESSWERT UNGUELTIG",IF(H2194="","TARIFPREIS FEHLT","OK"))))</f>
        <v>FEHLT</v>
      </c>
      <c r="K2194" s="7">
        <f>IF(J2194&lt;&gt;"OK","",C2194*I2194/100)</f>
        <v/>
      </c>
    </row>
    <row r="2195" spans="1:11">
      <c r="A2195" s="14">
        <v>46165</v>
      </c>
      <c r="B2195" s="15">
        <v>0.8020833333333334</v>
      </c>
      <c r="C2195" s="5">
        <f>IF('96 Werte'!CA28="","",'96 Werte'!CA28)</f>
        <v/>
      </c>
      <c r="D2195" t="str">
        <f>IF(IF(Eingaben!$B$21&lt;Eingaben!$B$22,AND(B2195&gt;=Eingaben!$B$21,B2195&lt;Eingaben!$B$22),OR(B2195&gt;=Eingaben!$B$21,B2195&lt;Eingaben!$B$22)),"GO",IF(AND(ISNUMBER(Eingaben!$B$23),ISNUMBER(Eingaben!$B$24),IF(Eingaben!$B$23&lt;Eingaben!$B$24,AND(B2195&gt;=Eingaben!$B$23,B2195&lt;Eingaben!$B$24),OR(B2195&gt;=Eingaben!$B$23,B2195&lt;Eingaben!$B$24))),"HEAT","STANDARD"))</f>
        <v>STANDARD</v>
      </c>
      <c r="E2195" s="9"/>
      <c r="F2195" t="str">
        <f>IF(E2195="",D2195,E2195)</f>
        <v>STANDARD</v>
      </c>
      <c r="G2195" t="str">
        <f>INDEX(Netzzeiten!$B$6:$B$29,HOUR(B2195)+1)</f>
        <v>HT</v>
      </c>
      <c r="H2195" s="6">
        <f>IF(F2195="GO",Eingaben!$B$11,IF(F2195="STANDARD",Eingaben!$B$12,IF(AND(F2195="HEAT",ISNUMBER(Eingaben!$B$13)),Eingaben!$B$13,"")))</f>
        <v>28.2744</v>
      </c>
      <c r="I2195" s="6">
        <f>INDEX(Netzzeiten!$C$6:$C$29,HOUR(B2195)+1)</f>
        <v>10.52</v>
      </c>
      <c r="J2195" t="str">
        <f>IF(C2195="","FEHLT",IF(NOT(ISNUMBER(C2195)),"MESSWERT UNGUELTIG",IF(C2195&lt;0,"MESSWERT UNGUELTIG",IF(H2195="","TARIFPREIS FEHLT","OK"))))</f>
        <v>FEHLT</v>
      </c>
      <c r="K2195" s="7">
        <f>IF(J2195&lt;&gt;"OK","",C2195*I2195/100)</f>
        <v/>
      </c>
    </row>
    <row r="2196" spans="1:11">
      <c r="A2196" s="14">
        <v>46165</v>
      </c>
      <c r="B2196" s="15">
        <v>0.8125</v>
      </c>
      <c r="C2196" s="5">
        <f>IF('96 Werte'!CB28="","",'96 Werte'!CB28)</f>
        <v/>
      </c>
      <c r="D2196" t="str">
        <f>IF(IF(Eingaben!$B$21&lt;Eingaben!$B$22,AND(B2196&gt;=Eingaben!$B$21,B2196&lt;Eingaben!$B$22),OR(B2196&gt;=Eingaben!$B$21,B2196&lt;Eingaben!$B$22)),"GO",IF(AND(ISNUMBER(Eingaben!$B$23),ISNUMBER(Eingaben!$B$24),IF(Eingaben!$B$23&lt;Eingaben!$B$24,AND(B2196&gt;=Eingaben!$B$23,B2196&lt;Eingaben!$B$24),OR(B2196&gt;=Eingaben!$B$23,B2196&lt;Eingaben!$B$24))),"HEAT","STANDARD"))</f>
        <v>STANDARD</v>
      </c>
      <c r="E2196" s="9"/>
      <c r="F2196" t="str">
        <f>IF(E2196="",D2196,E2196)</f>
        <v>STANDARD</v>
      </c>
      <c r="G2196" t="str">
        <f>INDEX(Netzzeiten!$B$6:$B$29,HOUR(B2196)+1)</f>
        <v>HT</v>
      </c>
      <c r="H2196" s="6">
        <f>IF(F2196="GO",Eingaben!$B$11,IF(F2196="STANDARD",Eingaben!$B$12,IF(AND(F2196="HEAT",ISNUMBER(Eingaben!$B$13)),Eingaben!$B$13,"")))</f>
        <v>28.2744</v>
      </c>
      <c r="I2196" s="6">
        <f>INDEX(Netzzeiten!$C$6:$C$29,HOUR(B2196)+1)</f>
        <v>10.52</v>
      </c>
      <c r="J2196" t="str">
        <f>IF(C2196="","FEHLT",IF(NOT(ISNUMBER(C2196)),"MESSWERT UNGUELTIG",IF(C2196&lt;0,"MESSWERT UNGUELTIG",IF(H2196="","TARIFPREIS FEHLT","OK"))))</f>
        <v>FEHLT</v>
      </c>
      <c r="K2196" s="7">
        <f>IF(J2196&lt;&gt;"OK","",C2196*I2196/100)</f>
        <v/>
      </c>
    </row>
    <row r="2197" spans="1:11">
      <c r="A2197" s="14">
        <v>46165</v>
      </c>
      <c r="B2197" s="15">
        <v>0.8229166666666666</v>
      </c>
      <c r="C2197" s="5">
        <f>IF('96 Werte'!CC28="","",'96 Werte'!CC28)</f>
        <v/>
      </c>
      <c r="D2197" t="str">
        <f>IF(IF(Eingaben!$B$21&lt;Eingaben!$B$22,AND(B2197&gt;=Eingaben!$B$21,B2197&lt;Eingaben!$B$22),OR(B2197&gt;=Eingaben!$B$21,B2197&lt;Eingaben!$B$22)),"GO",IF(AND(ISNUMBER(Eingaben!$B$23),ISNUMBER(Eingaben!$B$24),IF(Eingaben!$B$23&lt;Eingaben!$B$24,AND(B2197&gt;=Eingaben!$B$23,B2197&lt;Eingaben!$B$24),OR(B2197&gt;=Eingaben!$B$23,B2197&lt;Eingaben!$B$24))),"HEAT","STANDARD"))</f>
        <v>STANDARD</v>
      </c>
      <c r="E2197" s="9"/>
      <c r="F2197" t="str">
        <f>IF(E2197="",D2197,E2197)</f>
        <v>STANDARD</v>
      </c>
      <c r="G2197" t="str">
        <f>INDEX(Netzzeiten!$B$6:$B$29,HOUR(B2197)+1)</f>
        <v>HT</v>
      </c>
      <c r="H2197" s="6">
        <f>IF(F2197="GO",Eingaben!$B$11,IF(F2197="STANDARD",Eingaben!$B$12,IF(AND(F2197="HEAT",ISNUMBER(Eingaben!$B$13)),Eingaben!$B$13,"")))</f>
        <v>28.2744</v>
      </c>
      <c r="I2197" s="6">
        <f>INDEX(Netzzeiten!$C$6:$C$29,HOUR(B2197)+1)</f>
        <v>10.52</v>
      </c>
      <c r="J2197" t="str">
        <f>IF(C2197="","FEHLT",IF(NOT(ISNUMBER(C2197)),"MESSWERT UNGUELTIG",IF(C2197&lt;0,"MESSWERT UNGUELTIG",IF(H2197="","TARIFPREIS FEHLT","OK"))))</f>
        <v>FEHLT</v>
      </c>
      <c r="K2197" s="7">
        <f>IF(J2197&lt;&gt;"OK","",C2197*I2197/100)</f>
        <v/>
      </c>
    </row>
    <row r="2198" spans="1:11">
      <c r="A2198" s="14">
        <v>46165</v>
      </c>
      <c r="B2198" s="15">
        <v>0.8333333333333334</v>
      </c>
      <c r="C2198" s="5">
        <f>IF('96 Werte'!CD28="","",'96 Werte'!CD28)</f>
        <v/>
      </c>
      <c r="D2198" t="str">
        <f>IF(IF(Eingaben!$B$21&lt;Eingaben!$B$22,AND(B2198&gt;=Eingaben!$B$21,B2198&lt;Eingaben!$B$22),OR(B2198&gt;=Eingaben!$B$21,B2198&lt;Eingaben!$B$22)),"GO",IF(AND(ISNUMBER(Eingaben!$B$23),ISNUMBER(Eingaben!$B$24),IF(Eingaben!$B$23&lt;Eingaben!$B$24,AND(B2198&gt;=Eingaben!$B$23,B2198&lt;Eingaben!$B$24),OR(B2198&gt;=Eingaben!$B$23,B2198&lt;Eingaben!$B$24))),"HEAT","STANDARD"))</f>
        <v>STANDARD</v>
      </c>
      <c r="E2198" s="9"/>
      <c r="F2198" t="str">
        <f>IF(E2198="",D2198,E2198)</f>
        <v>STANDARD</v>
      </c>
      <c r="G2198" t="str">
        <f>INDEX(Netzzeiten!$B$6:$B$29,HOUR(B2198)+1)</f>
        <v>HT</v>
      </c>
      <c r="H2198" s="6">
        <f>IF(F2198="GO",Eingaben!$B$11,IF(F2198="STANDARD",Eingaben!$B$12,IF(AND(F2198="HEAT",ISNUMBER(Eingaben!$B$13)),Eingaben!$B$13,"")))</f>
        <v>28.2744</v>
      </c>
      <c r="I2198" s="6">
        <f>INDEX(Netzzeiten!$C$6:$C$29,HOUR(B2198)+1)</f>
        <v>10.52</v>
      </c>
      <c r="J2198" t="str">
        <f>IF(C2198="","FEHLT",IF(NOT(ISNUMBER(C2198)),"MESSWERT UNGUELTIG",IF(C2198&lt;0,"MESSWERT UNGUELTIG",IF(H2198="","TARIFPREIS FEHLT","OK"))))</f>
        <v>FEHLT</v>
      </c>
      <c r="K2198" s="7">
        <f>IF(J2198&lt;&gt;"OK","",C2198*I2198/100)</f>
        <v/>
      </c>
    </row>
    <row r="2199" spans="1:11">
      <c r="A2199" s="14">
        <v>46165</v>
      </c>
      <c r="B2199" s="15">
        <v>0.84375</v>
      </c>
      <c r="C2199" s="5">
        <f>IF('96 Werte'!CE28="","",'96 Werte'!CE28)</f>
        <v/>
      </c>
      <c r="D2199" t="str">
        <f>IF(IF(Eingaben!$B$21&lt;Eingaben!$B$22,AND(B2199&gt;=Eingaben!$B$21,B2199&lt;Eingaben!$B$22),OR(B2199&gt;=Eingaben!$B$21,B2199&lt;Eingaben!$B$22)),"GO",IF(AND(ISNUMBER(Eingaben!$B$23),ISNUMBER(Eingaben!$B$24),IF(Eingaben!$B$23&lt;Eingaben!$B$24,AND(B2199&gt;=Eingaben!$B$23,B2199&lt;Eingaben!$B$24),OR(B2199&gt;=Eingaben!$B$23,B2199&lt;Eingaben!$B$24))),"HEAT","STANDARD"))</f>
        <v>STANDARD</v>
      </c>
      <c r="E2199" s="9"/>
      <c r="F2199" t="str">
        <f>IF(E2199="",D2199,E2199)</f>
        <v>STANDARD</v>
      </c>
      <c r="G2199" t="str">
        <f>INDEX(Netzzeiten!$B$6:$B$29,HOUR(B2199)+1)</f>
        <v>HT</v>
      </c>
      <c r="H2199" s="6">
        <f>IF(F2199="GO",Eingaben!$B$11,IF(F2199="STANDARD",Eingaben!$B$12,IF(AND(F2199="HEAT",ISNUMBER(Eingaben!$B$13)),Eingaben!$B$13,"")))</f>
        <v>28.2744</v>
      </c>
      <c r="I2199" s="6">
        <f>INDEX(Netzzeiten!$C$6:$C$29,HOUR(B2199)+1)</f>
        <v>10.52</v>
      </c>
      <c r="J2199" t="str">
        <f>IF(C2199="","FEHLT",IF(NOT(ISNUMBER(C2199)),"MESSWERT UNGUELTIG",IF(C2199&lt;0,"MESSWERT UNGUELTIG",IF(H2199="","TARIFPREIS FEHLT","OK"))))</f>
        <v>FEHLT</v>
      </c>
      <c r="K2199" s="7">
        <f>IF(J2199&lt;&gt;"OK","",C2199*I2199/100)</f>
        <v/>
      </c>
    </row>
    <row r="2200" spans="1:11">
      <c r="A2200" s="14">
        <v>46165</v>
      </c>
      <c r="B2200" s="15">
        <v>0.8541666666666666</v>
      </c>
      <c r="C2200" s="5">
        <f>IF('96 Werte'!CF28="","",'96 Werte'!CF28)</f>
        <v/>
      </c>
      <c r="D2200" t="str">
        <f>IF(IF(Eingaben!$B$21&lt;Eingaben!$B$22,AND(B2200&gt;=Eingaben!$B$21,B2200&lt;Eingaben!$B$22),OR(B2200&gt;=Eingaben!$B$21,B2200&lt;Eingaben!$B$22)),"GO",IF(AND(ISNUMBER(Eingaben!$B$23),ISNUMBER(Eingaben!$B$24),IF(Eingaben!$B$23&lt;Eingaben!$B$24,AND(B2200&gt;=Eingaben!$B$23,B2200&lt;Eingaben!$B$24),OR(B2200&gt;=Eingaben!$B$23,B2200&lt;Eingaben!$B$24))),"HEAT","STANDARD"))</f>
        <v>STANDARD</v>
      </c>
      <c r="E2200" s="9"/>
      <c r="F2200" t="str">
        <f>IF(E2200="",D2200,E2200)</f>
        <v>STANDARD</v>
      </c>
      <c r="G2200" t="str">
        <f>INDEX(Netzzeiten!$B$6:$B$29,HOUR(B2200)+1)</f>
        <v>HT</v>
      </c>
      <c r="H2200" s="6">
        <f>IF(F2200="GO",Eingaben!$B$11,IF(F2200="STANDARD",Eingaben!$B$12,IF(AND(F2200="HEAT",ISNUMBER(Eingaben!$B$13)),Eingaben!$B$13,"")))</f>
        <v>28.2744</v>
      </c>
      <c r="I2200" s="6">
        <f>INDEX(Netzzeiten!$C$6:$C$29,HOUR(B2200)+1)</f>
        <v>10.52</v>
      </c>
      <c r="J2200" t="str">
        <f>IF(C2200="","FEHLT",IF(NOT(ISNUMBER(C2200)),"MESSWERT UNGUELTIG",IF(C2200&lt;0,"MESSWERT UNGUELTIG",IF(H2200="","TARIFPREIS FEHLT","OK"))))</f>
        <v>FEHLT</v>
      </c>
      <c r="K2200" s="7">
        <f>IF(J2200&lt;&gt;"OK","",C2200*I2200/100)</f>
        <v/>
      </c>
    </row>
    <row r="2201" spans="1:11">
      <c r="A2201" s="14">
        <v>46165</v>
      </c>
      <c r="B2201" s="15">
        <v>0.8645833333333334</v>
      </c>
      <c r="C2201" s="5">
        <f>IF('96 Werte'!CG28="","",'96 Werte'!CG28)</f>
        <v/>
      </c>
      <c r="D2201" t="str">
        <f>IF(IF(Eingaben!$B$21&lt;Eingaben!$B$22,AND(B2201&gt;=Eingaben!$B$21,B2201&lt;Eingaben!$B$22),OR(B2201&gt;=Eingaben!$B$21,B2201&lt;Eingaben!$B$22)),"GO",IF(AND(ISNUMBER(Eingaben!$B$23),ISNUMBER(Eingaben!$B$24),IF(Eingaben!$B$23&lt;Eingaben!$B$24,AND(B2201&gt;=Eingaben!$B$23,B2201&lt;Eingaben!$B$24),OR(B2201&gt;=Eingaben!$B$23,B2201&lt;Eingaben!$B$24))),"HEAT","STANDARD"))</f>
        <v>STANDARD</v>
      </c>
      <c r="E2201" s="9"/>
      <c r="F2201" t="str">
        <f>IF(E2201="",D2201,E2201)</f>
        <v>STANDARD</v>
      </c>
      <c r="G2201" t="str">
        <f>INDEX(Netzzeiten!$B$6:$B$29,HOUR(B2201)+1)</f>
        <v>HT</v>
      </c>
      <c r="H2201" s="6">
        <f>IF(F2201="GO",Eingaben!$B$11,IF(F2201="STANDARD",Eingaben!$B$12,IF(AND(F2201="HEAT",ISNUMBER(Eingaben!$B$13)),Eingaben!$B$13,"")))</f>
        <v>28.2744</v>
      </c>
      <c r="I2201" s="6">
        <f>INDEX(Netzzeiten!$C$6:$C$29,HOUR(B2201)+1)</f>
        <v>10.52</v>
      </c>
      <c r="J2201" t="str">
        <f>IF(C2201="","FEHLT",IF(NOT(ISNUMBER(C2201)),"MESSWERT UNGUELTIG",IF(C2201&lt;0,"MESSWERT UNGUELTIG",IF(H2201="","TARIFPREIS FEHLT","OK"))))</f>
        <v>FEHLT</v>
      </c>
      <c r="K2201" s="7">
        <f>IF(J2201&lt;&gt;"OK","",C2201*I2201/100)</f>
        <v/>
      </c>
    </row>
    <row r="2202" spans="1:11">
      <c r="A2202" s="14">
        <v>46165</v>
      </c>
      <c r="B2202" s="15">
        <v>0.875</v>
      </c>
      <c r="C2202" s="5">
        <f>IF('96 Werte'!CH28="","",'96 Werte'!CH28)</f>
        <v/>
      </c>
      <c r="D2202" t="str">
        <f>IF(IF(Eingaben!$B$21&lt;Eingaben!$B$22,AND(B2202&gt;=Eingaben!$B$21,B2202&lt;Eingaben!$B$22),OR(B2202&gt;=Eingaben!$B$21,B2202&lt;Eingaben!$B$22)),"GO",IF(AND(ISNUMBER(Eingaben!$B$23),ISNUMBER(Eingaben!$B$24),IF(Eingaben!$B$23&lt;Eingaben!$B$24,AND(B2202&gt;=Eingaben!$B$23,B2202&lt;Eingaben!$B$24),OR(B2202&gt;=Eingaben!$B$23,B2202&lt;Eingaben!$B$24))),"HEAT","STANDARD"))</f>
        <v>STANDARD</v>
      </c>
      <c r="E2202" s="9"/>
      <c r="F2202" t="str">
        <f>IF(E2202="",D2202,E2202)</f>
        <v>STANDARD</v>
      </c>
      <c r="G2202" t="str">
        <f>INDEX(Netzzeiten!$B$6:$B$29,HOUR(B2202)+1)</f>
        <v>HT</v>
      </c>
      <c r="H2202" s="6">
        <f>IF(F2202="GO",Eingaben!$B$11,IF(F2202="STANDARD",Eingaben!$B$12,IF(AND(F2202="HEAT",ISNUMBER(Eingaben!$B$13)),Eingaben!$B$13,"")))</f>
        <v>28.2744</v>
      </c>
      <c r="I2202" s="6">
        <f>INDEX(Netzzeiten!$C$6:$C$29,HOUR(B2202)+1)</f>
        <v>10.52</v>
      </c>
      <c r="J2202" t="str">
        <f>IF(C2202="","FEHLT",IF(NOT(ISNUMBER(C2202)),"MESSWERT UNGUELTIG",IF(C2202&lt;0,"MESSWERT UNGUELTIG",IF(H2202="","TARIFPREIS FEHLT","OK"))))</f>
        <v>FEHLT</v>
      </c>
      <c r="K2202" s="7">
        <f>IF(J2202&lt;&gt;"OK","",C2202*I2202/100)</f>
        <v/>
      </c>
    </row>
    <row r="2203" spans="1:11">
      <c r="A2203" s="14">
        <v>46165</v>
      </c>
      <c r="B2203" s="15">
        <v>0.8854166666666666</v>
      </c>
      <c r="C2203" s="5">
        <f>IF('96 Werte'!CI28="","",'96 Werte'!CI28)</f>
        <v/>
      </c>
      <c r="D2203" t="str">
        <f>IF(IF(Eingaben!$B$21&lt;Eingaben!$B$22,AND(B2203&gt;=Eingaben!$B$21,B2203&lt;Eingaben!$B$22),OR(B2203&gt;=Eingaben!$B$21,B2203&lt;Eingaben!$B$22)),"GO",IF(AND(ISNUMBER(Eingaben!$B$23),ISNUMBER(Eingaben!$B$24),IF(Eingaben!$B$23&lt;Eingaben!$B$24,AND(B2203&gt;=Eingaben!$B$23,B2203&lt;Eingaben!$B$24),OR(B2203&gt;=Eingaben!$B$23,B2203&lt;Eingaben!$B$24))),"HEAT","STANDARD"))</f>
        <v>STANDARD</v>
      </c>
      <c r="E2203" s="9"/>
      <c r="F2203" t="str">
        <f>IF(E2203="",D2203,E2203)</f>
        <v>STANDARD</v>
      </c>
      <c r="G2203" t="str">
        <f>INDEX(Netzzeiten!$B$6:$B$29,HOUR(B2203)+1)</f>
        <v>HT</v>
      </c>
      <c r="H2203" s="6">
        <f>IF(F2203="GO",Eingaben!$B$11,IF(F2203="STANDARD",Eingaben!$B$12,IF(AND(F2203="HEAT",ISNUMBER(Eingaben!$B$13)),Eingaben!$B$13,"")))</f>
        <v>28.2744</v>
      </c>
      <c r="I2203" s="6">
        <f>INDEX(Netzzeiten!$C$6:$C$29,HOUR(B2203)+1)</f>
        <v>10.52</v>
      </c>
      <c r="J2203" t="str">
        <f>IF(C2203="","FEHLT",IF(NOT(ISNUMBER(C2203)),"MESSWERT UNGUELTIG",IF(C2203&lt;0,"MESSWERT UNGUELTIG",IF(H2203="","TARIFPREIS FEHLT","OK"))))</f>
        <v>FEHLT</v>
      </c>
      <c r="K2203" s="7">
        <f>IF(J2203&lt;&gt;"OK","",C2203*I2203/100)</f>
        <v/>
      </c>
    </row>
    <row r="2204" spans="1:11">
      <c r="A2204" s="14">
        <v>46165</v>
      </c>
      <c r="B2204" s="15">
        <v>0.8958333333333334</v>
      </c>
      <c r="C2204" s="5">
        <f>IF('96 Werte'!CJ28="","",'96 Werte'!CJ28)</f>
        <v/>
      </c>
      <c r="D2204" t="str">
        <f>IF(IF(Eingaben!$B$21&lt;Eingaben!$B$22,AND(B2204&gt;=Eingaben!$B$21,B2204&lt;Eingaben!$B$22),OR(B2204&gt;=Eingaben!$B$21,B2204&lt;Eingaben!$B$22)),"GO",IF(AND(ISNUMBER(Eingaben!$B$23),ISNUMBER(Eingaben!$B$24),IF(Eingaben!$B$23&lt;Eingaben!$B$24,AND(B2204&gt;=Eingaben!$B$23,B2204&lt;Eingaben!$B$24),OR(B2204&gt;=Eingaben!$B$23,B2204&lt;Eingaben!$B$24))),"HEAT","STANDARD"))</f>
        <v>STANDARD</v>
      </c>
      <c r="E2204" s="9"/>
      <c r="F2204" t="str">
        <f>IF(E2204="",D2204,E2204)</f>
        <v>STANDARD</v>
      </c>
      <c r="G2204" t="str">
        <f>INDEX(Netzzeiten!$B$6:$B$29,HOUR(B2204)+1)</f>
        <v>HT</v>
      </c>
      <c r="H2204" s="6">
        <f>IF(F2204="GO",Eingaben!$B$11,IF(F2204="STANDARD",Eingaben!$B$12,IF(AND(F2204="HEAT",ISNUMBER(Eingaben!$B$13)),Eingaben!$B$13,"")))</f>
        <v>28.2744</v>
      </c>
      <c r="I2204" s="6">
        <f>INDEX(Netzzeiten!$C$6:$C$29,HOUR(B2204)+1)</f>
        <v>10.52</v>
      </c>
      <c r="J2204" t="str">
        <f>IF(C2204="","FEHLT",IF(NOT(ISNUMBER(C2204)),"MESSWERT UNGUELTIG",IF(C2204&lt;0,"MESSWERT UNGUELTIG",IF(H2204="","TARIFPREIS FEHLT","OK"))))</f>
        <v>FEHLT</v>
      </c>
      <c r="K2204" s="7">
        <f>IF(J2204&lt;&gt;"OK","",C2204*I2204/100)</f>
        <v/>
      </c>
    </row>
    <row r="2205" spans="1:11">
      <c r="A2205" s="14">
        <v>46165</v>
      </c>
      <c r="B2205" s="15">
        <v>0.90625</v>
      </c>
      <c r="C2205" s="5">
        <f>IF('96 Werte'!CK28="","",'96 Werte'!CK28)</f>
        <v/>
      </c>
      <c r="D2205" t="str">
        <f>IF(IF(Eingaben!$B$21&lt;Eingaben!$B$22,AND(B2205&gt;=Eingaben!$B$21,B2205&lt;Eingaben!$B$22),OR(B2205&gt;=Eingaben!$B$21,B2205&lt;Eingaben!$B$22)),"GO",IF(AND(ISNUMBER(Eingaben!$B$23),ISNUMBER(Eingaben!$B$24),IF(Eingaben!$B$23&lt;Eingaben!$B$24,AND(B2205&gt;=Eingaben!$B$23,B2205&lt;Eingaben!$B$24),OR(B2205&gt;=Eingaben!$B$23,B2205&lt;Eingaben!$B$24))),"HEAT","STANDARD"))</f>
        <v>STANDARD</v>
      </c>
      <c r="E2205" s="9"/>
      <c r="F2205" t="str">
        <f>IF(E2205="",D2205,E2205)</f>
        <v>STANDARD</v>
      </c>
      <c r="G2205" t="str">
        <f>INDEX(Netzzeiten!$B$6:$B$29,HOUR(B2205)+1)</f>
        <v>HT</v>
      </c>
      <c r="H2205" s="6">
        <f>IF(F2205="GO",Eingaben!$B$11,IF(F2205="STANDARD",Eingaben!$B$12,IF(AND(F2205="HEAT",ISNUMBER(Eingaben!$B$13)),Eingaben!$B$13,"")))</f>
        <v>28.2744</v>
      </c>
      <c r="I2205" s="6">
        <f>INDEX(Netzzeiten!$C$6:$C$29,HOUR(B2205)+1)</f>
        <v>10.52</v>
      </c>
      <c r="J2205" t="str">
        <f>IF(C2205="","FEHLT",IF(NOT(ISNUMBER(C2205)),"MESSWERT UNGUELTIG",IF(C2205&lt;0,"MESSWERT UNGUELTIG",IF(H2205="","TARIFPREIS FEHLT","OK"))))</f>
        <v>FEHLT</v>
      </c>
      <c r="K2205" s="7">
        <f>IF(J2205&lt;&gt;"OK","",C2205*I2205/100)</f>
        <v/>
      </c>
    </row>
    <row r="2206" spans="1:11">
      <c r="A2206" s="14">
        <v>46165</v>
      </c>
      <c r="B2206" s="15">
        <v>0.9166666666666666</v>
      </c>
      <c r="C2206" s="5">
        <f>IF('96 Werte'!CL28="","",'96 Werte'!CL28)</f>
        <v/>
      </c>
      <c r="D2206" t="str">
        <f>IF(IF(Eingaben!$B$21&lt;Eingaben!$B$22,AND(B2206&gt;=Eingaben!$B$21,B2206&lt;Eingaben!$B$22),OR(B2206&gt;=Eingaben!$B$21,B2206&lt;Eingaben!$B$22)),"GO",IF(AND(ISNUMBER(Eingaben!$B$23),ISNUMBER(Eingaben!$B$24),IF(Eingaben!$B$23&lt;Eingaben!$B$24,AND(B2206&gt;=Eingaben!$B$23,B2206&lt;Eingaben!$B$24),OR(B2206&gt;=Eingaben!$B$23,B2206&lt;Eingaben!$B$24))),"HEAT","STANDARD"))</f>
        <v>STANDARD</v>
      </c>
      <c r="E2206" s="9"/>
      <c r="F2206" t="str">
        <f>IF(E2206="",D2206,E2206)</f>
        <v>STANDARD</v>
      </c>
      <c r="G2206" t="str">
        <f>INDEX(Netzzeiten!$B$6:$B$29,HOUR(B2206)+1)</f>
        <v>ST</v>
      </c>
      <c r="H2206" s="6">
        <f>IF(F2206="GO",Eingaben!$B$11,IF(F2206="STANDARD",Eingaben!$B$12,IF(AND(F2206="HEAT",ISNUMBER(Eingaben!$B$13)),Eingaben!$B$13,"")))</f>
        <v>28.2744</v>
      </c>
      <c r="I2206" s="6">
        <f>INDEX(Netzzeiten!$C$6:$C$29,HOUR(B2206)+1)</f>
        <v>5.48</v>
      </c>
      <c r="J2206" t="str">
        <f>IF(C2206="","FEHLT",IF(NOT(ISNUMBER(C2206)),"MESSWERT UNGUELTIG",IF(C2206&lt;0,"MESSWERT UNGUELTIG",IF(H2206="","TARIFPREIS FEHLT","OK"))))</f>
        <v>FEHLT</v>
      </c>
      <c r="K2206" s="7">
        <f>IF(J2206&lt;&gt;"OK","",C2206*I2206/100)</f>
        <v/>
      </c>
    </row>
    <row r="2207" spans="1:11">
      <c r="A2207" s="14">
        <v>46165</v>
      </c>
      <c r="B2207" s="15">
        <v>0.9270833333333334</v>
      </c>
      <c r="C2207" s="5">
        <f>IF('96 Werte'!CM28="","",'96 Werte'!CM28)</f>
        <v/>
      </c>
      <c r="D2207" t="str">
        <f>IF(IF(Eingaben!$B$21&lt;Eingaben!$B$22,AND(B2207&gt;=Eingaben!$B$21,B2207&lt;Eingaben!$B$22),OR(B2207&gt;=Eingaben!$B$21,B2207&lt;Eingaben!$B$22)),"GO",IF(AND(ISNUMBER(Eingaben!$B$23),ISNUMBER(Eingaben!$B$24),IF(Eingaben!$B$23&lt;Eingaben!$B$24,AND(B2207&gt;=Eingaben!$B$23,B2207&lt;Eingaben!$B$24),OR(B2207&gt;=Eingaben!$B$23,B2207&lt;Eingaben!$B$24))),"HEAT","STANDARD"))</f>
        <v>STANDARD</v>
      </c>
      <c r="E2207" s="9"/>
      <c r="F2207" t="str">
        <f>IF(E2207="",D2207,E2207)</f>
        <v>STANDARD</v>
      </c>
      <c r="G2207" t="str">
        <f>INDEX(Netzzeiten!$B$6:$B$29,HOUR(B2207)+1)</f>
        <v>ST</v>
      </c>
      <c r="H2207" s="6">
        <f>IF(F2207="GO",Eingaben!$B$11,IF(F2207="STANDARD",Eingaben!$B$12,IF(AND(F2207="HEAT",ISNUMBER(Eingaben!$B$13)),Eingaben!$B$13,"")))</f>
        <v>28.2744</v>
      </c>
      <c r="I2207" s="6">
        <f>INDEX(Netzzeiten!$C$6:$C$29,HOUR(B2207)+1)</f>
        <v>5.48</v>
      </c>
      <c r="J2207" t="str">
        <f>IF(C2207="","FEHLT",IF(NOT(ISNUMBER(C2207)),"MESSWERT UNGUELTIG",IF(C2207&lt;0,"MESSWERT UNGUELTIG",IF(H2207="","TARIFPREIS FEHLT","OK"))))</f>
        <v>FEHLT</v>
      </c>
      <c r="K2207" s="7">
        <f>IF(J2207&lt;&gt;"OK","",C2207*I2207/100)</f>
        <v/>
      </c>
    </row>
    <row r="2208" spans="1:11">
      <c r="A2208" s="14">
        <v>46165</v>
      </c>
      <c r="B2208" s="15">
        <v>0.9375</v>
      </c>
      <c r="C2208" s="5">
        <f>IF('96 Werte'!CN28="","",'96 Werte'!CN28)</f>
        <v/>
      </c>
      <c r="D2208" t="str">
        <f>IF(IF(Eingaben!$B$21&lt;Eingaben!$B$22,AND(B2208&gt;=Eingaben!$B$21,B2208&lt;Eingaben!$B$22),OR(B2208&gt;=Eingaben!$B$21,B2208&lt;Eingaben!$B$22)),"GO",IF(AND(ISNUMBER(Eingaben!$B$23),ISNUMBER(Eingaben!$B$24),IF(Eingaben!$B$23&lt;Eingaben!$B$24,AND(B2208&gt;=Eingaben!$B$23,B2208&lt;Eingaben!$B$24),OR(B2208&gt;=Eingaben!$B$23,B2208&lt;Eingaben!$B$24))),"HEAT","STANDARD"))</f>
        <v>STANDARD</v>
      </c>
      <c r="E2208" s="9"/>
      <c r="F2208" t="str">
        <f>IF(E2208="",D2208,E2208)</f>
        <v>STANDARD</v>
      </c>
      <c r="G2208" t="str">
        <f>INDEX(Netzzeiten!$B$6:$B$29,HOUR(B2208)+1)</f>
        <v>ST</v>
      </c>
      <c r="H2208" s="6">
        <f>IF(F2208="GO",Eingaben!$B$11,IF(F2208="STANDARD",Eingaben!$B$12,IF(AND(F2208="HEAT",ISNUMBER(Eingaben!$B$13)),Eingaben!$B$13,"")))</f>
        <v>28.2744</v>
      </c>
      <c r="I2208" s="6">
        <f>INDEX(Netzzeiten!$C$6:$C$29,HOUR(B2208)+1)</f>
        <v>5.48</v>
      </c>
      <c r="J2208" t="str">
        <f>IF(C2208="","FEHLT",IF(NOT(ISNUMBER(C2208)),"MESSWERT UNGUELTIG",IF(C2208&lt;0,"MESSWERT UNGUELTIG",IF(H2208="","TARIFPREIS FEHLT","OK"))))</f>
        <v>FEHLT</v>
      </c>
      <c r="K2208" s="7">
        <f>IF(J2208&lt;&gt;"OK","",C2208*I2208/100)</f>
        <v/>
      </c>
    </row>
    <row r="2209" spans="1:11">
      <c r="A2209" s="14">
        <v>46165</v>
      </c>
      <c r="B2209" s="15">
        <v>0.9479166666666666</v>
      </c>
      <c r="C2209" s="5">
        <f>IF('96 Werte'!CO28="","",'96 Werte'!CO28)</f>
        <v/>
      </c>
      <c r="D2209" t="str">
        <f>IF(IF(Eingaben!$B$21&lt;Eingaben!$B$22,AND(B2209&gt;=Eingaben!$B$21,B2209&lt;Eingaben!$B$22),OR(B2209&gt;=Eingaben!$B$21,B2209&lt;Eingaben!$B$22)),"GO",IF(AND(ISNUMBER(Eingaben!$B$23),ISNUMBER(Eingaben!$B$24),IF(Eingaben!$B$23&lt;Eingaben!$B$24,AND(B2209&gt;=Eingaben!$B$23,B2209&lt;Eingaben!$B$24),OR(B2209&gt;=Eingaben!$B$23,B2209&lt;Eingaben!$B$24))),"HEAT","STANDARD"))</f>
        <v>STANDARD</v>
      </c>
      <c r="E2209" s="9"/>
      <c r="F2209" t="str">
        <f>IF(E2209="",D2209,E2209)</f>
        <v>STANDARD</v>
      </c>
      <c r="G2209" t="str">
        <f>INDEX(Netzzeiten!$B$6:$B$29,HOUR(B2209)+1)</f>
        <v>ST</v>
      </c>
      <c r="H2209" s="6">
        <f>IF(F2209="GO",Eingaben!$B$11,IF(F2209="STANDARD",Eingaben!$B$12,IF(AND(F2209="HEAT",ISNUMBER(Eingaben!$B$13)),Eingaben!$B$13,"")))</f>
        <v>28.2744</v>
      </c>
      <c r="I2209" s="6">
        <f>INDEX(Netzzeiten!$C$6:$C$29,HOUR(B2209)+1)</f>
        <v>5.48</v>
      </c>
      <c r="J2209" t="str">
        <f>IF(C2209="","FEHLT",IF(NOT(ISNUMBER(C2209)),"MESSWERT UNGUELTIG",IF(C2209&lt;0,"MESSWERT UNGUELTIG",IF(H2209="","TARIFPREIS FEHLT","OK"))))</f>
        <v>FEHLT</v>
      </c>
      <c r="K2209" s="7">
        <f>IF(J2209&lt;&gt;"OK","",C2209*I2209/100)</f>
        <v/>
      </c>
    </row>
    <row r="2210" spans="1:11">
      <c r="A2210" s="14">
        <v>46165</v>
      </c>
      <c r="B2210" s="15">
        <v>0.9583333333333334</v>
      </c>
      <c r="C2210" s="5">
        <f>IF('96 Werte'!CP28="","",'96 Werte'!CP28)</f>
        <v/>
      </c>
      <c r="D2210" t="str">
        <f>IF(IF(Eingaben!$B$21&lt;Eingaben!$B$22,AND(B2210&gt;=Eingaben!$B$21,B2210&lt;Eingaben!$B$22),OR(B2210&gt;=Eingaben!$B$21,B2210&lt;Eingaben!$B$22)),"GO",IF(AND(ISNUMBER(Eingaben!$B$23),ISNUMBER(Eingaben!$B$24),IF(Eingaben!$B$23&lt;Eingaben!$B$24,AND(B2210&gt;=Eingaben!$B$23,B2210&lt;Eingaben!$B$24),OR(B2210&gt;=Eingaben!$B$23,B2210&lt;Eingaben!$B$24))),"HEAT","STANDARD"))</f>
        <v>STANDARD</v>
      </c>
      <c r="E2210" s="9"/>
      <c r="F2210" t="str">
        <f>IF(E2210="",D2210,E2210)</f>
        <v>STANDARD</v>
      </c>
      <c r="G2210" t="str">
        <f>INDEX(Netzzeiten!$B$6:$B$29,HOUR(B2210)+1)</f>
        <v>NT</v>
      </c>
      <c r="H2210" s="6">
        <f>IF(F2210="GO",Eingaben!$B$11,IF(F2210="STANDARD",Eingaben!$B$12,IF(AND(F2210="HEAT",ISNUMBER(Eingaben!$B$13)),Eingaben!$B$13,"")))</f>
        <v>28.2744</v>
      </c>
      <c r="I2210" s="6">
        <f>INDEX(Netzzeiten!$C$6:$C$29,HOUR(B2210)+1)</f>
        <v>1.64</v>
      </c>
      <c r="J2210" t="str">
        <f>IF(C2210="","FEHLT",IF(NOT(ISNUMBER(C2210)),"MESSWERT UNGUELTIG",IF(C2210&lt;0,"MESSWERT UNGUELTIG",IF(H2210="","TARIFPREIS FEHLT","OK"))))</f>
        <v>FEHLT</v>
      </c>
      <c r="K2210" s="7">
        <f>IF(J2210&lt;&gt;"OK","",C2210*I2210/100)</f>
        <v/>
      </c>
    </row>
    <row r="2211" spans="1:11">
      <c r="A2211" s="14">
        <v>46165</v>
      </c>
      <c r="B2211" s="15">
        <v>0.96875</v>
      </c>
      <c r="C2211" s="5">
        <f>IF('96 Werte'!CQ28="","",'96 Werte'!CQ28)</f>
        <v/>
      </c>
      <c r="D2211" t="str">
        <f>IF(IF(Eingaben!$B$21&lt;Eingaben!$B$22,AND(B2211&gt;=Eingaben!$B$21,B2211&lt;Eingaben!$B$22),OR(B2211&gt;=Eingaben!$B$21,B2211&lt;Eingaben!$B$22)),"GO",IF(AND(ISNUMBER(Eingaben!$B$23),ISNUMBER(Eingaben!$B$24),IF(Eingaben!$B$23&lt;Eingaben!$B$24,AND(B2211&gt;=Eingaben!$B$23,B2211&lt;Eingaben!$B$24),OR(B2211&gt;=Eingaben!$B$23,B2211&lt;Eingaben!$B$24))),"HEAT","STANDARD"))</f>
        <v>STANDARD</v>
      </c>
      <c r="E2211" s="9"/>
      <c r="F2211" t="str">
        <f>IF(E2211="",D2211,E2211)</f>
        <v>STANDARD</v>
      </c>
      <c r="G2211" t="str">
        <f>INDEX(Netzzeiten!$B$6:$B$29,HOUR(B2211)+1)</f>
        <v>NT</v>
      </c>
      <c r="H2211" s="6">
        <f>IF(F2211="GO",Eingaben!$B$11,IF(F2211="STANDARD",Eingaben!$B$12,IF(AND(F2211="HEAT",ISNUMBER(Eingaben!$B$13)),Eingaben!$B$13,"")))</f>
        <v>28.2744</v>
      </c>
      <c r="I2211" s="6">
        <f>INDEX(Netzzeiten!$C$6:$C$29,HOUR(B2211)+1)</f>
        <v>1.64</v>
      </c>
      <c r="J2211" t="str">
        <f>IF(C2211="","FEHLT",IF(NOT(ISNUMBER(C2211)),"MESSWERT UNGUELTIG",IF(C2211&lt;0,"MESSWERT UNGUELTIG",IF(H2211="","TARIFPREIS FEHLT","OK"))))</f>
        <v>FEHLT</v>
      </c>
      <c r="K2211" s="7">
        <f>IF(J2211&lt;&gt;"OK","",C2211*I2211/100)</f>
        <v/>
      </c>
    </row>
    <row r="2212" spans="1:11">
      <c r="A2212" s="14">
        <v>46165</v>
      </c>
      <c r="B2212" s="15">
        <v>0.9791666666666666</v>
      </c>
      <c r="C2212" s="5">
        <f>IF('96 Werte'!CR28="","",'96 Werte'!CR28)</f>
        <v/>
      </c>
      <c r="D2212" t="str">
        <f>IF(IF(Eingaben!$B$21&lt;Eingaben!$B$22,AND(B2212&gt;=Eingaben!$B$21,B2212&lt;Eingaben!$B$22),OR(B2212&gt;=Eingaben!$B$21,B2212&lt;Eingaben!$B$22)),"GO",IF(AND(ISNUMBER(Eingaben!$B$23),ISNUMBER(Eingaben!$B$24),IF(Eingaben!$B$23&lt;Eingaben!$B$24,AND(B2212&gt;=Eingaben!$B$23,B2212&lt;Eingaben!$B$24),OR(B2212&gt;=Eingaben!$B$23,B2212&lt;Eingaben!$B$24))),"HEAT","STANDARD"))</f>
        <v>STANDARD</v>
      </c>
      <c r="E2212" s="9"/>
      <c r="F2212" t="str">
        <f>IF(E2212="",D2212,E2212)</f>
        <v>STANDARD</v>
      </c>
      <c r="G2212" t="str">
        <f>INDEX(Netzzeiten!$B$6:$B$29,HOUR(B2212)+1)</f>
        <v>NT</v>
      </c>
      <c r="H2212" s="6">
        <f>IF(F2212="GO",Eingaben!$B$11,IF(F2212="STANDARD",Eingaben!$B$12,IF(AND(F2212="HEAT",ISNUMBER(Eingaben!$B$13)),Eingaben!$B$13,"")))</f>
        <v>28.2744</v>
      </c>
      <c r="I2212" s="6">
        <f>INDEX(Netzzeiten!$C$6:$C$29,HOUR(B2212)+1)</f>
        <v>1.64</v>
      </c>
      <c r="J2212" t="str">
        <f>IF(C2212="","FEHLT",IF(NOT(ISNUMBER(C2212)),"MESSWERT UNGUELTIG",IF(C2212&lt;0,"MESSWERT UNGUELTIG",IF(H2212="","TARIFPREIS FEHLT","OK"))))</f>
        <v>FEHLT</v>
      </c>
      <c r="K2212" s="7">
        <f>IF(J2212&lt;&gt;"OK","",C2212*I2212/100)</f>
        <v/>
      </c>
    </row>
    <row r="2213" spans="1:11">
      <c r="A2213" s="14">
        <v>46165</v>
      </c>
      <c r="B2213" s="15">
        <v>0.9895833333333334</v>
      </c>
      <c r="C2213" s="5">
        <f>IF('96 Werte'!CS28="","",'96 Werte'!CS28)</f>
        <v/>
      </c>
      <c r="D2213" t="str">
        <f>IF(IF(Eingaben!$B$21&lt;Eingaben!$B$22,AND(B2213&gt;=Eingaben!$B$21,B2213&lt;Eingaben!$B$22),OR(B2213&gt;=Eingaben!$B$21,B2213&lt;Eingaben!$B$22)),"GO",IF(AND(ISNUMBER(Eingaben!$B$23),ISNUMBER(Eingaben!$B$24),IF(Eingaben!$B$23&lt;Eingaben!$B$24,AND(B2213&gt;=Eingaben!$B$23,B2213&lt;Eingaben!$B$24),OR(B2213&gt;=Eingaben!$B$23,B2213&lt;Eingaben!$B$24))),"HEAT","STANDARD"))</f>
        <v>STANDARD</v>
      </c>
      <c r="E2213" s="9"/>
      <c r="F2213" t="str">
        <f>IF(E2213="",D2213,E2213)</f>
        <v>STANDARD</v>
      </c>
      <c r="G2213" t="str">
        <f>INDEX(Netzzeiten!$B$6:$B$29,HOUR(B2213)+1)</f>
        <v>NT</v>
      </c>
      <c r="H2213" s="6">
        <f>IF(F2213="GO",Eingaben!$B$11,IF(F2213="STANDARD",Eingaben!$B$12,IF(AND(F2213="HEAT",ISNUMBER(Eingaben!$B$13)),Eingaben!$B$13,"")))</f>
        <v>28.2744</v>
      </c>
      <c r="I2213" s="6">
        <f>INDEX(Netzzeiten!$C$6:$C$29,HOUR(B2213)+1)</f>
        <v>1.64</v>
      </c>
      <c r="J2213" t="str">
        <f>IF(C2213="","FEHLT",IF(NOT(ISNUMBER(C2213)),"MESSWERT UNGUELTIG",IF(C2213&lt;0,"MESSWERT UNGUELTIG",IF(H2213="","TARIFPREIS FEHLT","OK"))))</f>
        <v>FEHLT</v>
      </c>
      <c r="K2213" s="7">
        <f>IF(J2213&lt;&gt;"OK","",C2213*I2213/100)</f>
        <v/>
      </c>
    </row>
    <row r="2214" spans="1:11">
      <c r="A2214" s="14">
        <v>46166</v>
      </c>
      <c r="B2214" s="15">
        <v>0</v>
      </c>
      <c r="C2214" s="5">
        <f>IF('96 Werte'!B29="","",'96 Werte'!B29)</f>
        <v/>
      </c>
      <c r="D2214" t="str">
        <f>IF(IF(Eingaben!$B$21&lt;Eingaben!$B$22,AND(B2214&gt;=Eingaben!$B$21,B2214&lt;Eingaben!$B$22),OR(B2214&gt;=Eingaben!$B$21,B2214&lt;Eingaben!$B$22)),"GO",IF(AND(ISNUMBER(Eingaben!$B$23),ISNUMBER(Eingaben!$B$24),IF(Eingaben!$B$23&lt;Eingaben!$B$24,AND(B2214&gt;=Eingaben!$B$23,B2214&lt;Eingaben!$B$24),OR(B2214&gt;=Eingaben!$B$23,B2214&lt;Eingaben!$B$24))),"HEAT","STANDARD"))</f>
        <v>GO</v>
      </c>
      <c r="E2214" s="9"/>
      <c r="F2214" t="str">
        <f>IF(E2214="",D2214,E2214)</f>
        <v>GO</v>
      </c>
      <c r="G2214" t="str">
        <f>INDEX(Netzzeiten!$B$6:$B$29,HOUR(B2214)+1)</f>
        <v>NT</v>
      </c>
      <c r="H2214" s="6">
        <f>IF(F2214="GO",Eingaben!$B$11,IF(F2214="STANDARD",Eingaben!$B$12,IF(AND(F2214="HEAT",ISNUMBER(Eingaben!$B$13)),Eingaben!$B$13,"")))</f>
        <v>15.0654</v>
      </c>
      <c r="I2214" s="6">
        <f>INDEX(Netzzeiten!$C$6:$C$29,HOUR(B2214)+1)</f>
        <v>1.64</v>
      </c>
      <c r="J2214" t="str">
        <f>IF(C2214="","FEHLT",IF(NOT(ISNUMBER(C2214)),"MESSWERT UNGUELTIG",IF(C2214&lt;0,"MESSWERT UNGUELTIG",IF(H2214="","TARIFPREIS FEHLT","OK"))))</f>
        <v>FEHLT</v>
      </c>
      <c r="K2214" s="7">
        <f>IF(J2214&lt;&gt;"OK","",C2214*I2214/100)</f>
        <v/>
      </c>
    </row>
    <row r="2215" spans="1:11">
      <c r="A2215" s="14">
        <v>46166</v>
      </c>
      <c r="B2215" s="15">
        <v>0.01041666666666667</v>
      </c>
      <c r="C2215" s="5">
        <f>IF('96 Werte'!C29="","",'96 Werte'!C29)</f>
        <v/>
      </c>
      <c r="D2215" t="str">
        <f>IF(IF(Eingaben!$B$21&lt;Eingaben!$B$22,AND(B2215&gt;=Eingaben!$B$21,B2215&lt;Eingaben!$B$22),OR(B2215&gt;=Eingaben!$B$21,B2215&lt;Eingaben!$B$22)),"GO",IF(AND(ISNUMBER(Eingaben!$B$23),ISNUMBER(Eingaben!$B$24),IF(Eingaben!$B$23&lt;Eingaben!$B$24,AND(B2215&gt;=Eingaben!$B$23,B2215&lt;Eingaben!$B$24),OR(B2215&gt;=Eingaben!$B$23,B2215&lt;Eingaben!$B$24))),"HEAT","STANDARD"))</f>
        <v>GO</v>
      </c>
      <c r="E2215" s="9"/>
      <c r="F2215" t="str">
        <f>IF(E2215="",D2215,E2215)</f>
        <v>GO</v>
      </c>
      <c r="G2215" t="str">
        <f>INDEX(Netzzeiten!$B$6:$B$29,HOUR(B2215)+1)</f>
        <v>NT</v>
      </c>
      <c r="H2215" s="6">
        <f>IF(F2215="GO",Eingaben!$B$11,IF(F2215="STANDARD",Eingaben!$B$12,IF(AND(F2215="HEAT",ISNUMBER(Eingaben!$B$13)),Eingaben!$B$13,"")))</f>
        <v>15.0654</v>
      </c>
      <c r="I2215" s="6">
        <f>INDEX(Netzzeiten!$C$6:$C$29,HOUR(B2215)+1)</f>
        <v>1.64</v>
      </c>
      <c r="J2215" t="str">
        <f>IF(C2215="","FEHLT",IF(NOT(ISNUMBER(C2215)),"MESSWERT UNGUELTIG",IF(C2215&lt;0,"MESSWERT UNGUELTIG",IF(H2215="","TARIFPREIS FEHLT","OK"))))</f>
        <v>FEHLT</v>
      </c>
      <c r="K2215" s="7">
        <f>IF(J2215&lt;&gt;"OK","",C2215*I2215/100)</f>
        <v/>
      </c>
    </row>
    <row r="2216" spans="1:11">
      <c r="A2216" s="14">
        <v>46166</v>
      </c>
      <c r="B2216" s="15">
        <v>0.02083333333333333</v>
      </c>
      <c r="C2216" s="5">
        <f>IF('96 Werte'!D29="","",'96 Werte'!D29)</f>
        <v/>
      </c>
      <c r="D2216" t="str">
        <f>IF(IF(Eingaben!$B$21&lt;Eingaben!$B$22,AND(B2216&gt;=Eingaben!$B$21,B2216&lt;Eingaben!$B$22),OR(B2216&gt;=Eingaben!$B$21,B2216&lt;Eingaben!$B$22)),"GO",IF(AND(ISNUMBER(Eingaben!$B$23),ISNUMBER(Eingaben!$B$24),IF(Eingaben!$B$23&lt;Eingaben!$B$24,AND(B2216&gt;=Eingaben!$B$23,B2216&lt;Eingaben!$B$24),OR(B2216&gt;=Eingaben!$B$23,B2216&lt;Eingaben!$B$24))),"HEAT","STANDARD"))</f>
        <v>GO</v>
      </c>
      <c r="E2216" s="9"/>
      <c r="F2216" t="str">
        <f>IF(E2216="",D2216,E2216)</f>
        <v>GO</v>
      </c>
      <c r="G2216" t="str">
        <f>INDEX(Netzzeiten!$B$6:$B$29,HOUR(B2216)+1)</f>
        <v>NT</v>
      </c>
      <c r="H2216" s="6">
        <f>IF(F2216="GO",Eingaben!$B$11,IF(F2216="STANDARD",Eingaben!$B$12,IF(AND(F2216="HEAT",ISNUMBER(Eingaben!$B$13)),Eingaben!$B$13,"")))</f>
        <v>15.0654</v>
      </c>
      <c r="I2216" s="6">
        <f>INDEX(Netzzeiten!$C$6:$C$29,HOUR(B2216)+1)</f>
        <v>1.64</v>
      </c>
      <c r="J2216" t="str">
        <f>IF(C2216="","FEHLT",IF(NOT(ISNUMBER(C2216)),"MESSWERT UNGUELTIG",IF(C2216&lt;0,"MESSWERT UNGUELTIG",IF(H2216="","TARIFPREIS FEHLT","OK"))))</f>
        <v>FEHLT</v>
      </c>
      <c r="K2216" s="7">
        <f>IF(J2216&lt;&gt;"OK","",C2216*I2216/100)</f>
        <v/>
      </c>
    </row>
    <row r="2217" spans="1:11">
      <c r="A2217" s="14">
        <v>46166</v>
      </c>
      <c r="B2217" s="15">
        <v>0.03125</v>
      </c>
      <c r="C2217" s="5">
        <f>IF('96 Werte'!E29="","",'96 Werte'!E29)</f>
        <v/>
      </c>
      <c r="D2217" t="str">
        <f>IF(IF(Eingaben!$B$21&lt;Eingaben!$B$22,AND(B2217&gt;=Eingaben!$B$21,B2217&lt;Eingaben!$B$22),OR(B2217&gt;=Eingaben!$B$21,B2217&lt;Eingaben!$B$22)),"GO",IF(AND(ISNUMBER(Eingaben!$B$23),ISNUMBER(Eingaben!$B$24),IF(Eingaben!$B$23&lt;Eingaben!$B$24,AND(B2217&gt;=Eingaben!$B$23,B2217&lt;Eingaben!$B$24),OR(B2217&gt;=Eingaben!$B$23,B2217&lt;Eingaben!$B$24))),"HEAT","STANDARD"))</f>
        <v>GO</v>
      </c>
      <c r="E2217" s="9"/>
      <c r="F2217" t="str">
        <f>IF(E2217="",D2217,E2217)</f>
        <v>GO</v>
      </c>
      <c r="G2217" t="str">
        <f>INDEX(Netzzeiten!$B$6:$B$29,HOUR(B2217)+1)</f>
        <v>NT</v>
      </c>
      <c r="H2217" s="6">
        <f>IF(F2217="GO",Eingaben!$B$11,IF(F2217="STANDARD",Eingaben!$B$12,IF(AND(F2217="HEAT",ISNUMBER(Eingaben!$B$13)),Eingaben!$B$13,"")))</f>
        <v>15.0654</v>
      </c>
      <c r="I2217" s="6">
        <f>INDEX(Netzzeiten!$C$6:$C$29,HOUR(B2217)+1)</f>
        <v>1.64</v>
      </c>
      <c r="J2217" t="str">
        <f>IF(C2217="","FEHLT",IF(NOT(ISNUMBER(C2217)),"MESSWERT UNGUELTIG",IF(C2217&lt;0,"MESSWERT UNGUELTIG",IF(H2217="","TARIFPREIS FEHLT","OK"))))</f>
        <v>FEHLT</v>
      </c>
      <c r="K2217" s="7">
        <f>IF(J2217&lt;&gt;"OK","",C2217*I2217/100)</f>
        <v/>
      </c>
    </row>
    <row r="2218" spans="1:11">
      <c r="A2218" s="14">
        <v>46166</v>
      </c>
      <c r="B2218" s="15">
        <v>0.04166666666666666</v>
      </c>
      <c r="C2218" s="5">
        <f>IF('96 Werte'!F29="","",'96 Werte'!F29)</f>
        <v/>
      </c>
      <c r="D2218" t="str">
        <f>IF(IF(Eingaben!$B$21&lt;Eingaben!$B$22,AND(B2218&gt;=Eingaben!$B$21,B2218&lt;Eingaben!$B$22),OR(B2218&gt;=Eingaben!$B$21,B2218&lt;Eingaben!$B$22)),"GO",IF(AND(ISNUMBER(Eingaben!$B$23),ISNUMBER(Eingaben!$B$24),IF(Eingaben!$B$23&lt;Eingaben!$B$24,AND(B2218&gt;=Eingaben!$B$23,B2218&lt;Eingaben!$B$24),OR(B2218&gt;=Eingaben!$B$23,B2218&lt;Eingaben!$B$24))),"HEAT","STANDARD"))</f>
        <v>GO</v>
      </c>
      <c r="E2218" s="9"/>
      <c r="F2218" t="str">
        <f>IF(E2218="",D2218,E2218)</f>
        <v>GO</v>
      </c>
      <c r="G2218" t="str">
        <f>INDEX(Netzzeiten!$B$6:$B$29,HOUR(B2218)+1)</f>
        <v>NT</v>
      </c>
      <c r="H2218" s="6">
        <f>IF(F2218="GO",Eingaben!$B$11,IF(F2218="STANDARD",Eingaben!$B$12,IF(AND(F2218="HEAT",ISNUMBER(Eingaben!$B$13)),Eingaben!$B$13,"")))</f>
        <v>15.0654</v>
      </c>
      <c r="I2218" s="6">
        <f>INDEX(Netzzeiten!$C$6:$C$29,HOUR(B2218)+1)</f>
        <v>1.64</v>
      </c>
      <c r="J2218" t="str">
        <f>IF(C2218="","FEHLT",IF(NOT(ISNUMBER(C2218)),"MESSWERT UNGUELTIG",IF(C2218&lt;0,"MESSWERT UNGUELTIG",IF(H2218="","TARIFPREIS FEHLT","OK"))))</f>
        <v>FEHLT</v>
      </c>
      <c r="K2218" s="7">
        <f>IF(J2218&lt;&gt;"OK","",C2218*I2218/100)</f>
        <v/>
      </c>
    </row>
    <row r="2219" spans="1:11">
      <c r="A2219" s="14">
        <v>46166</v>
      </c>
      <c r="B2219" s="15">
        <v>0.05208333333333334</v>
      </c>
      <c r="C2219" s="5">
        <f>IF('96 Werte'!G29="","",'96 Werte'!G29)</f>
        <v/>
      </c>
      <c r="D2219" t="str">
        <f>IF(IF(Eingaben!$B$21&lt;Eingaben!$B$22,AND(B2219&gt;=Eingaben!$B$21,B2219&lt;Eingaben!$B$22),OR(B2219&gt;=Eingaben!$B$21,B2219&lt;Eingaben!$B$22)),"GO",IF(AND(ISNUMBER(Eingaben!$B$23),ISNUMBER(Eingaben!$B$24),IF(Eingaben!$B$23&lt;Eingaben!$B$24,AND(B2219&gt;=Eingaben!$B$23,B2219&lt;Eingaben!$B$24),OR(B2219&gt;=Eingaben!$B$23,B2219&lt;Eingaben!$B$24))),"HEAT","STANDARD"))</f>
        <v>GO</v>
      </c>
      <c r="E2219" s="9"/>
      <c r="F2219" t="str">
        <f>IF(E2219="",D2219,E2219)</f>
        <v>GO</v>
      </c>
      <c r="G2219" t="str">
        <f>INDEX(Netzzeiten!$B$6:$B$29,HOUR(B2219)+1)</f>
        <v>NT</v>
      </c>
      <c r="H2219" s="6">
        <f>IF(F2219="GO",Eingaben!$B$11,IF(F2219="STANDARD",Eingaben!$B$12,IF(AND(F2219="HEAT",ISNUMBER(Eingaben!$B$13)),Eingaben!$B$13,"")))</f>
        <v>15.0654</v>
      </c>
      <c r="I2219" s="6">
        <f>INDEX(Netzzeiten!$C$6:$C$29,HOUR(B2219)+1)</f>
        <v>1.64</v>
      </c>
      <c r="J2219" t="str">
        <f>IF(C2219="","FEHLT",IF(NOT(ISNUMBER(C2219)),"MESSWERT UNGUELTIG",IF(C2219&lt;0,"MESSWERT UNGUELTIG",IF(H2219="","TARIFPREIS FEHLT","OK"))))</f>
        <v>FEHLT</v>
      </c>
      <c r="K2219" s="7">
        <f>IF(J2219&lt;&gt;"OK","",C2219*I2219/100)</f>
        <v/>
      </c>
    </row>
    <row r="2220" spans="1:11">
      <c r="A2220" s="14">
        <v>46166</v>
      </c>
      <c r="B2220" s="15">
        <v>0.0625</v>
      </c>
      <c r="C2220" s="5">
        <f>IF('96 Werte'!H29="","",'96 Werte'!H29)</f>
        <v/>
      </c>
      <c r="D2220" t="str">
        <f>IF(IF(Eingaben!$B$21&lt;Eingaben!$B$22,AND(B2220&gt;=Eingaben!$B$21,B2220&lt;Eingaben!$B$22),OR(B2220&gt;=Eingaben!$B$21,B2220&lt;Eingaben!$B$22)),"GO",IF(AND(ISNUMBER(Eingaben!$B$23),ISNUMBER(Eingaben!$B$24),IF(Eingaben!$B$23&lt;Eingaben!$B$24,AND(B2220&gt;=Eingaben!$B$23,B2220&lt;Eingaben!$B$24),OR(B2220&gt;=Eingaben!$B$23,B2220&lt;Eingaben!$B$24))),"HEAT","STANDARD"))</f>
        <v>GO</v>
      </c>
      <c r="E2220" s="9"/>
      <c r="F2220" t="str">
        <f>IF(E2220="",D2220,E2220)</f>
        <v>GO</v>
      </c>
      <c r="G2220" t="str">
        <f>INDEX(Netzzeiten!$B$6:$B$29,HOUR(B2220)+1)</f>
        <v>NT</v>
      </c>
      <c r="H2220" s="6">
        <f>IF(F2220="GO",Eingaben!$B$11,IF(F2220="STANDARD",Eingaben!$B$12,IF(AND(F2220="HEAT",ISNUMBER(Eingaben!$B$13)),Eingaben!$B$13,"")))</f>
        <v>15.0654</v>
      </c>
      <c r="I2220" s="6">
        <f>INDEX(Netzzeiten!$C$6:$C$29,HOUR(B2220)+1)</f>
        <v>1.64</v>
      </c>
      <c r="J2220" t="str">
        <f>IF(C2220="","FEHLT",IF(NOT(ISNUMBER(C2220)),"MESSWERT UNGUELTIG",IF(C2220&lt;0,"MESSWERT UNGUELTIG",IF(H2220="","TARIFPREIS FEHLT","OK"))))</f>
        <v>FEHLT</v>
      </c>
      <c r="K2220" s="7">
        <f>IF(J2220&lt;&gt;"OK","",C2220*I2220/100)</f>
        <v/>
      </c>
    </row>
    <row r="2221" spans="1:11">
      <c r="A2221" s="14">
        <v>46166</v>
      </c>
      <c r="B2221" s="15">
        <v>0.07291666666666667</v>
      </c>
      <c r="C2221" s="5">
        <f>IF('96 Werte'!I29="","",'96 Werte'!I29)</f>
        <v/>
      </c>
      <c r="D2221" t="str">
        <f>IF(IF(Eingaben!$B$21&lt;Eingaben!$B$22,AND(B2221&gt;=Eingaben!$B$21,B2221&lt;Eingaben!$B$22),OR(B2221&gt;=Eingaben!$B$21,B2221&lt;Eingaben!$B$22)),"GO",IF(AND(ISNUMBER(Eingaben!$B$23),ISNUMBER(Eingaben!$B$24),IF(Eingaben!$B$23&lt;Eingaben!$B$24,AND(B2221&gt;=Eingaben!$B$23,B2221&lt;Eingaben!$B$24),OR(B2221&gt;=Eingaben!$B$23,B2221&lt;Eingaben!$B$24))),"HEAT","STANDARD"))</f>
        <v>GO</v>
      </c>
      <c r="E2221" s="9"/>
      <c r="F2221" t="str">
        <f>IF(E2221="",D2221,E2221)</f>
        <v>GO</v>
      </c>
      <c r="G2221" t="str">
        <f>INDEX(Netzzeiten!$B$6:$B$29,HOUR(B2221)+1)</f>
        <v>NT</v>
      </c>
      <c r="H2221" s="6">
        <f>IF(F2221="GO",Eingaben!$B$11,IF(F2221="STANDARD",Eingaben!$B$12,IF(AND(F2221="HEAT",ISNUMBER(Eingaben!$B$13)),Eingaben!$B$13,"")))</f>
        <v>15.0654</v>
      </c>
      <c r="I2221" s="6">
        <f>INDEX(Netzzeiten!$C$6:$C$29,HOUR(B2221)+1)</f>
        <v>1.64</v>
      </c>
      <c r="J2221" t="str">
        <f>IF(C2221="","FEHLT",IF(NOT(ISNUMBER(C2221)),"MESSWERT UNGUELTIG",IF(C2221&lt;0,"MESSWERT UNGUELTIG",IF(H2221="","TARIFPREIS FEHLT","OK"))))</f>
        <v>FEHLT</v>
      </c>
      <c r="K2221" s="7">
        <f>IF(J2221&lt;&gt;"OK","",C2221*I2221/100)</f>
        <v/>
      </c>
    </row>
    <row r="2222" spans="1:11">
      <c r="A2222" s="14">
        <v>46166</v>
      </c>
      <c r="B2222" s="15">
        <v>0.08333333333333333</v>
      </c>
      <c r="C2222" s="5">
        <f>IF('96 Werte'!J29="","",'96 Werte'!J29)</f>
        <v/>
      </c>
      <c r="D2222" t="str">
        <f>IF(IF(Eingaben!$B$21&lt;Eingaben!$B$22,AND(B2222&gt;=Eingaben!$B$21,B2222&lt;Eingaben!$B$22),OR(B2222&gt;=Eingaben!$B$21,B2222&lt;Eingaben!$B$22)),"GO",IF(AND(ISNUMBER(Eingaben!$B$23),ISNUMBER(Eingaben!$B$24),IF(Eingaben!$B$23&lt;Eingaben!$B$24,AND(B2222&gt;=Eingaben!$B$23,B2222&lt;Eingaben!$B$24),OR(B2222&gt;=Eingaben!$B$23,B2222&lt;Eingaben!$B$24))),"HEAT","STANDARD"))</f>
        <v>GO</v>
      </c>
      <c r="E2222" s="9"/>
      <c r="F2222" t="str">
        <f>IF(E2222="",D2222,E2222)</f>
        <v>GO</v>
      </c>
      <c r="G2222" t="str">
        <f>INDEX(Netzzeiten!$B$6:$B$29,HOUR(B2222)+1)</f>
        <v>NT</v>
      </c>
      <c r="H2222" s="6">
        <f>IF(F2222="GO",Eingaben!$B$11,IF(F2222="STANDARD",Eingaben!$B$12,IF(AND(F2222="HEAT",ISNUMBER(Eingaben!$B$13)),Eingaben!$B$13,"")))</f>
        <v>15.0654</v>
      </c>
      <c r="I2222" s="6">
        <f>INDEX(Netzzeiten!$C$6:$C$29,HOUR(B2222)+1)</f>
        <v>1.64</v>
      </c>
      <c r="J2222" t="str">
        <f>IF(C2222="","FEHLT",IF(NOT(ISNUMBER(C2222)),"MESSWERT UNGUELTIG",IF(C2222&lt;0,"MESSWERT UNGUELTIG",IF(H2222="","TARIFPREIS FEHLT","OK"))))</f>
        <v>FEHLT</v>
      </c>
      <c r="K2222" s="7">
        <f>IF(J2222&lt;&gt;"OK","",C2222*I2222/100)</f>
        <v/>
      </c>
    </row>
    <row r="2223" spans="1:11">
      <c r="A2223" s="14">
        <v>46166</v>
      </c>
      <c r="B2223" s="15">
        <v>0.09375</v>
      </c>
      <c r="C2223" s="5">
        <f>IF('96 Werte'!K29="","",'96 Werte'!K29)</f>
        <v/>
      </c>
      <c r="D2223" t="str">
        <f>IF(IF(Eingaben!$B$21&lt;Eingaben!$B$22,AND(B2223&gt;=Eingaben!$B$21,B2223&lt;Eingaben!$B$22),OR(B2223&gt;=Eingaben!$B$21,B2223&lt;Eingaben!$B$22)),"GO",IF(AND(ISNUMBER(Eingaben!$B$23),ISNUMBER(Eingaben!$B$24),IF(Eingaben!$B$23&lt;Eingaben!$B$24,AND(B2223&gt;=Eingaben!$B$23,B2223&lt;Eingaben!$B$24),OR(B2223&gt;=Eingaben!$B$23,B2223&lt;Eingaben!$B$24))),"HEAT","STANDARD"))</f>
        <v>GO</v>
      </c>
      <c r="E2223" s="9"/>
      <c r="F2223" t="str">
        <f>IF(E2223="",D2223,E2223)</f>
        <v>GO</v>
      </c>
      <c r="G2223" t="str">
        <f>INDEX(Netzzeiten!$B$6:$B$29,HOUR(B2223)+1)</f>
        <v>NT</v>
      </c>
      <c r="H2223" s="6">
        <f>IF(F2223="GO",Eingaben!$B$11,IF(F2223="STANDARD",Eingaben!$B$12,IF(AND(F2223="HEAT",ISNUMBER(Eingaben!$B$13)),Eingaben!$B$13,"")))</f>
        <v>15.0654</v>
      </c>
      <c r="I2223" s="6">
        <f>INDEX(Netzzeiten!$C$6:$C$29,HOUR(B2223)+1)</f>
        <v>1.64</v>
      </c>
      <c r="J2223" t="str">
        <f>IF(C2223="","FEHLT",IF(NOT(ISNUMBER(C2223)),"MESSWERT UNGUELTIG",IF(C2223&lt;0,"MESSWERT UNGUELTIG",IF(H2223="","TARIFPREIS FEHLT","OK"))))</f>
        <v>FEHLT</v>
      </c>
      <c r="K2223" s="7">
        <f>IF(J2223&lt;&gt;"OK","",C2223*I2223/100)</f>
        <v/>
      </c>
    </row>
    <row r="2224" spans="1:11">
      <c r="A2224" s="14">
        <v>46166</v>
      </c>
      <c r="B2224" s="15">
        <v>0.1041666666666667</v>
      </c>
      <c r="C2224" s="5">
        <f>IF('96 Werte'!L29="","",'96 Werte'!L29)</f>
        <v/>
      </c>
      <c r="D2224" t="str">
        <f>IF(IF(Eingaben!$B$21&lt;Eingaben!$B$22,AND(B2224&gt;=Eingaben!$B$21,B2224&lt;Eingaben!$B$22),OR(B2224&gt;=Eingaben!$B$21,B2224&lt;Eingaben!$B$22)),"GO",IF(AND(ISNUMBER(Eingaben!$B$23),ISNUMBER(Eingaben!$B$24),IF(Eingaben!$B$23&lt;Eingaben!$B$24,AND(B2224&gt;=Eingaben!$B$23,B2224&lt;Eingaben!$B$24),OR(B2224&gt;=Eingaben!$B$23,B2224&lt;Eingaben!$B$24))),"HEAT","STANDARD"))</f>
        <v>GO</v>
      </c>
      <c r="E2224" s="9"/>
      <c r="F2224" t="str">
        <f>IF(E2224="",D2224,E2224)</f>
        <v>GO</v>
      </c>
      <c r="G2224" t="str">
        <f>INDEX(Netzzeiten!$B$6:$B$29,HOUR(B2224)+1)</f>
        <v>NT</v>
      </c>
      <c r="H2224" s="6">
        <f>IF(F2224="GO",Eingaben!$B$11,IF(F2224="STANDARD",Eingaben!$B$12,IF(AND(F2224="HEAT",ISNUMBER(Eingaben!$B$13)),Eingaben!$B$13,"")))</f>
        <v>15.0654</v>
      </c>
      <c r="I2224" s="6">
        <f>INDEX(Netzzeiten!$C$6:$C$29,HOUR(B2224)+1)</f>
        <v>1.64</v>
      </c>
      <c r="J2224" t="str">
        <f>IF(C2224="","FEHLT",IF(NOT(ISNUMBER(C2224)),"MESSWERT UNGUELTIG",IF(C2224&lt;0,"MESSWERT UNGUELTIG",IF(H2224="","TARIFPREIS FEHLT","OK"))))</f>
        <v>FEHLT</v>
      </c>
      <c r="K2224" s="7">
        <f>IF(J2224&lt;&gt;"OK","",C2224*I2224/100)</f>
        <v/>
      </c>
    </row>
    <row r="2225" spans="1:11">
      <c r="A2225" s="14">
        <v>46166</v>
      </c>
      <c r="B2225" s="15">
        <v>0.1145833333333333</v>
      </c>
      <c r="C2225" s="5">
        <f>IF('96 Werte'!M29="","",'96 Werte'!M29)</f>
        <v/>
      </c>
      <c r="D2225" t="str">
        <f>IF(IF(Eingaben!$B$21&lt;Eingaben!$B$22,AND(B2225&gt;=Eingaben!$B$21,B2225&lt;Eingaben!$B$22),OR(B2225&gt;=Eingaben!$B$21,B2225&lt;Eingaben!$B$22)),"GO",IF(AND(ISNUMBER(Eingaben!$B$23),ISNUMBER(Eingaben!$B$24),IF(Eingaben!$B$23&lt;Eingaben!$B$24,AND(B2225&gt;=Eingaben!$B$23,B2225&lt;Eingaben!$B$24),OR(B2225&gt;=Eingaben!$B$23,B2225&lt;Eingaben!$B$24))),"HEAT","STANDARD"))</f>
        <v>GO</v>
      </c>
      <c r="E2225" s="9"/>
      <c r="F2225" t="str">
        <f>IF(E2225="",D2225,E2225)</f>
        <v>GO</v>
      </c>
      <c r="G2225" t="str">
        <f>INDEX(Netzzeiten!$B$6:$B$29,HOUR(B2225)+1)</f>
        <v>NT</v>
      </c>
      <c r="H2225" s="6">
        <f>IF(F2225="GO",Eingaben!$B$11,IF(F2225="STANDARD",Eingaben!$B$12,IF(AND(F2225="HEAT",ISNUMBER(Eingaben!$B$13)),Eingaben!$B$13,"")))</f>
        <v>15.0654</v>
      </c>
      <c r="I2225" s="6">
        <f>INDEX(Netzzeiten!$C$6:$C$29,HOUR(B2225)+1)</f>
        <v>1.64</v>
      </c>
      <c r="J2225" t="str">
        <f>IF(C2225="","FEHLT",IF(NOT(ISNUMBER(C2225)),"MESSWERT UNGUELTIG",IF(C2225&lt;0,"MESSWERT UNGUELTIG",IF(H2225="","TARIFPREIS FEHLT","OK"))))</f>
        <v>FEHLT</v>
      </c>
      <c r="K2225" s="7">
        <f>IF(J2225&lt;&gt;"OK","",C2225*I2225/100)</f>
        <v/>
      </c>
    </row>
    <row r="2226" spans="1:11">
      <c r="A2226" s="14">
        <v>46166</v>
      </c>
      <c r="B2226" s="15">
        <v>0.125</v>
      </c>
      <c r="C2226" s="5">
        <f>IF('96 Werte'!N29="","",'96 Werte'!N29)</f>
        <v/>
      </c>
      <c r="D2226" t="str">
        <f>IF(IF(Eingaben!$B$21&lt;Eingaben!$B$22,AND(B2226&gt;=Eingaben!$B$21,B2226&lt;Eingaben!$B$22),OR(B2226&gt;=Eingaben!$B$21,B2226&lt;Eingaben!$B$22)),"GO",IF(AND(ISNUMBER(Eingaben!$B$23),ISNUMBER(Eingaben!$B$24),IF(Eingaben!$B$23&lt;Eingaben!$B$24,AND(B2226&gt;=Eingaben!$B$23,B2226&lt;Eingaben!$B$24),OR(B2226&gt;=Eingaben!$B$23,B2226&lt;Eingaben!$B$24))),"HEAT","STANDARD"))</f>
        <v>GO</v>
      </c>
      <c r="E2226" s="9"/>
      <c r="F2226" t="str">
        <f>IF(E2226="",D2226,E2226)</f>
        <v>GO</v>
      </c>
      <c r="G2226" t="str">
        <f>INDEX(Netzzeiten!$B$6:$B$29,HOUR(B2226)+1)</f>
        <v>NT</v>
      </c>
      <c r="H2226" s="6">
        <f>IF(F2226="GO",Eingaben!$B$11,IF(F2226="STANDARD",Eingaben!$B$12,IF(AND(F2226="HEAT",ISNUMBER(Eingaben!$B$13)),Eingaben!$B$13,"")))</f>
        <v>15.0654</v>
      </c>
      <c r="I2226" s="6">
        <f>INDEX(Netzzeiten!$C$6:$C$29,HOUR(B2226)+1)</f>
        <v>1.64</v>
      </c>
      <c r="J2226" t="str">
        <f>IF(C2226="","FEHLT",IF(NOT(ISNUMBER(C2226)),"MESSWERT UNGUELTIG",IF(C2226&lt;0,"MESSWERT UNGUELTIG",IF(H2226="","TARIFPREIS FEHLT","OK"))))</f>
        <v>FEHLT</v>
      </c>
      <c r="K2226" s="7">
        <f>IF(J2226&lt;&gt;"OK","",C2226*I2226/100)</f>
        <v/>
      </c>
    </row>
    <row r="2227" spans="1:11">
      <c r="A2227" s="14">
        <v>46166</v>
      </c>
      <c r="B2227" s="15">
        <v>0.1354166666666667</v>
      </c>
      <c r="C2227" s="5">
        <f>IF('96 Werte'!O29="","",'96 Werte'!O29)</f>
        <v/>
      </c>
      <c r="D2227" t="str">
        <f>IF(IF(Eingaben!$B$21&lt;Eingaben!$B$22,AND(B2227&gt;=Eingaben!$B$21,B2227&lt;Eingaben!$B$22),OR(B2227&gt;=Eingaben!$B$21,B2227&lt;Eingaben!$B$22)),"GO",IF(AND(ISNUMBER(Eingaben!$B$23),ISNUMBER(Eingaben!$B$24),IF(Eingaben!$B$23&lt;Eingaben!$B$24,AND(B2227&gt;=Eingaben!$B$23,B2227&lt;Eingaben!$B$24),OR(B2227&gt;=Eingaben!$B$23,B2227&lt;Eingaben!$B$24))),"HEAT","STANDARD"))</f>
        <v>GO</v>
      </c>
      <c r="E2227" s="9"/>
      <c r="F2227" t="str">
        <f>IF(E2227="",D2227,E2227)</f>
        <v>GO</v>
      </c>
      <c r="G2227" t="str">
        <f>INDEX(Netzzeiten!$B$6:$B$29,HOUR(B2227)+1)</f>
        <v>NT</v>
      </c>
      <c r="H2227" s="6">
        <f>IF(F2227="GO",Eingaben!$B$11,IF(F2227="STANDARD",Eingaben!$B$12,IF(AND(F2227="HEAT",ISNUMBER(Eingaben!$B$13)),Eingaben!$B$13,"")))</f>
        <v>15.0654</v>
      </c>
      <c r="I2227" s="6">
        <f>INDEX(Netzzeiten!$C$6:$C$29,HOUR(B2227)+1)</f>
        <v>1.64</v>
      </c>
      <c r="J2227" t="str">
        <f>IF(C2227="","FEHLT",IF(NOT(ISNUMBER(C2227)),"MESSWERT UNGUELTIG",IF(C2227&lt;0,"MESSWERT UNGUELTIG",IF(H2227="","TARIFPREIS FEHLT","OK"))))</f>
        <v>FEHLT</v>
      </c>
      <c r="K2227" s="7">
        <f>IF(J2227&lt;&gt;"OK","",C2227*I2227/100)</f>
        <v/>
      </c>
    </row>
    <row r="2228" spans="1:11">
      <c r="A2228" s="14">
        <v>46166</v>
      </c>
      <c r="B2228" s="15">
        <v>0.1458333333333333</v>
      </c>
      <c r="C2228" s="5">
        <f>IF('96 Werte'!P29="","",'96 Werte'!P29)</f>
        <v/>
      </c>
      <c r="D2228" t="str">
        <f>IF(IF(Eingaben!$B$21&lt;Eingaben!$B$22,AND(B2228&gt;=Eingaben!$B$21,B2228&lt;Eingaben!$B$22),OR(B2228&gt;=Eingaben!$B$21,B2228&lt;Eingaben!$B$22)),"GO",IF(AND(ISNUMBER(Eingaben!$B$23),ISNUMBER(Eingaben!$B$24),IF(Eingaben!$B$23&lt;Eingaben!$B$24,AND(B2228&gt;=Eingaben!$B$23,B2228&lt;Eingaben!$B$24),OR(B2228&gt;=Eingaben!$B$23,B2228&lt;Eingaben!$B$24))),"HEAT","STANDARD"))</f>
        <v>GO</v>
      </c>
      <c r="E2228" s="9"/>
      <c r="F2228" t="str">
        <f>IF(E2228="",D2228,E2228)</f>
        <v>GO</v>
      </c>
      <c r="G2228" t="str">
        <f>INDEX(Netzzeiten!$B$6:$B$29,HOUR(B2228)+1)</f>
        <v>NT</v>
      </c>
      <c r="H2228" s="6">
        <f>IF(F2228="GO",Eingaben!$B$11,IF(F2228="STANDARD",Eingaben!$B$12,IF(AND(F2228="HEAT",ISNUMBER(Eingaben!$B$13)),Eingaben!$B$13,"")))</f>
        <v>15.0654</v>
      </c>
      <c r="I2228" s="6">
        <f>INDEX(Netzzeiten!$C$6:$C$29,HOUR(B2228)+1)</f>
        <v>1.64</v>
      </c>
      <c r="J2228" t="str">
        <f>IF(C2228="","FEHLT",IF(NOT(ISNUMBER(C2228)),"MESSWERT UNGUELTIG",IF(C2228&lt;0,"MESSWERT UNGUELTIG",IF(H2228="","TARIFPREIS FEHLT","OK"))))</f>
        <v>FEHLT</v>
      </c>
      <c r="K2228" s="7">
        <f>IF(J2228&lt;&gt;"OK","",C2228*I2228/100)</f>
        <v/>
      </c>
    </row>
    <row r="2229" spans="1:11">
      <c r="A2229" s="14">
        <v>46166</v>
      </c>
      <c r="B2229" s="15">
        <v>0.15625</v>
      </c>
      <c r="C2229" s="5">
        <f>IF('96 Werte'!Q29="","",'96 Werte'!Q29)</f>
        <v/>
      </c>
      <c r="D2229" t="str">
        <f>IF(IF(Eingaben!$B$21&lt;Eingaben!$B$22,AND(B2229&gt;=Eingaben!$B$21,B2229&lt;Eingaben!$B$22),OR(B2229&gt;=Eingaben!$B$21,B2229&lt;Eingaben!$B$22)),"GO",IF(AND(ISNUMBER(Eingaben!$B$23),ISNUMBER(Eingaben!$B$24),IF(Eingaben!$B$23&lt;Eingaben!$B$24,AND(B2229&gt;=Eingaben!$B$23,B2229&lt;Eingaben!$B$24),OR(B2229&gt;=Eingaben!$B$23,B2229&lt;Eingaben!$B$24))),"HEAT","STANDARD"))</f>
        <v>GO</v>
      </c>
      <c r="E2229" s="9"/>
      <c r="F2229" t="str">
        <f>IF(E2229="",D2229,E2229)</f>
        <v>GO</v>
      </c>
      <c r="G2229" t="str">
        <f>INDEX(Netzzeiten!$B$6:$B$29,HOUR(B2229)+1)</f>
        <v>NT</v>
      </c>
      <c r="H2229" s="6">
        <f>IF(F2229="GO",Eingaben!$B$11,IF(F2229="STANDARD",Eingaben!$B$12,IF(AND(F2229="HEAT",ISNUMBER(Eingaben!$B$13)),Eingaben!$B$13,"")))</f>
        <v>15.0654</v>
      </c>
      <c r="I2229" s="6">
        <f>INDEX(Netzzeiten!$C$6:$C$29,HOUR(B2229)+1)</f>
        <v>1.64</v>
      </c>
      <c r="J2229" t="str">
        <f>IF(C2229="","FEHLT",IF(NOT(ISNUMBER(C2229)),"MESSWERT UNGUELTIG",IF(C2229&lt;0,"MESSWERT UNGUELTIG",IF(H2229="","TARIFPREIS FEHLT","OK"))))</f>
        <v>FEHLT</v>
      </c>
      <c r="K2229" s="7">
        <f>IF(J2229&lt;&gt;"OK","",C2229*I2229/100)</f>
        <v/>
      </c>
    </row>
    <row r="2230" spans="1:11">
      <c r="A2230" s="14">
        <v>46166</v>
      </c>
      <c r="B2230" s="15">
        <v>0.1666666666666667</v>
      </c>
      <c r="C2230" s="5">
        <f>IF('96 Werte'!R29="","",'96 Werte'!R29)</f>
        <v/>
      </c>
      <c r="D2230" t="str">
        <f>IF(IF(Eingaben!$B$21&lt;Eingaben!$B$22,AND(B2230&gt;=Eingaben!$B$21,B2230&lt;Eingaben!$B$22),OR(B2230&gt;=Eingaben!$B$21,B2230&lt;Eingaben!$B$22)),"GO",IF(AND(ISNUMBER(Eingaben!$B$23),ISNUMBER(Eingaben!$B$24),IF(Eingaben!$B$23&lt;Eingaben!$B$24,AND(B2230&gt;=Eingaben!$B$23,B2230&lt;Eingaben!$B$24),OR(B2230&gt;=Eingaben!$B$23,B2230&lt;Eingaben!$B$24))),"HEAT","STANDARD"))</f>
        <v>GO</v>
      </c>
      <c r="E2230" s="9"/>
      <c r="F2230" t="str">
        <f>IF(E2230="",D2230,E2230)</f>
        <v>GO</v>
      </c>
      <c r="G2230" t="str">
        <f>INDEX(Netzzeiten!$B$6:$B$29,HOUR(B2230)+1)</f>
        <v>NT</v>
      </c>
      <c r="H2230" s="6">
        <f>IF(F2230="GO",Eingaben!$B$11,IF(F2230="STANDARD",Eingaben!$B$12,IF(AND(F2230="HEAT",ISNUMBER(Eingaben!$B$13)),Eingaben!$B$13,"")))</f>
        <v>15.0654</v>
      </c>
      <c r="I2230" s="6">
        <f>INDEX(Netzzeiten!$C$6:$C$29,HOUR(B2230)+1)</f>
        <v>1.64</v>
      </c>
      <c r="J2230" t="str">
        <f>IF(C2230="","FEHLT",IF(NOT(ISNUMBER(C2230)),"MESSWERT UNGUELTIG",IF(C2230&lt;0,"MESSWERT UNGUELTIG",IF(H2230="","TARIFPREIS FEHLT","OK"))))</f>
        <v>FEHLT</v>
      </c>
      <c r="K2230" s="7">
        <f>IF(J2230&lt;&gt;"OK","",C2230*I2230/100)</f>
        <v/>
      </c>
    </row>
    <row r="2231" spans="1:11">
      <c r="A2231" s="14">
        <v>46166</v>
      </c>
      <c r="B2231" s="15">
        <v>0.1770833333333333</v>
      </c>
      <c r="C2231" s="5">
        <f>IF('96 Werte'!S29="","",'96 Werte'!S29)</f>
        <v/>
      </c>
      <c r="D2231" t="str">
        <f>IF(IF(Eingaben!$B$21&lt;Eingaben!$B$22,AND(B2231&gt;=Eingaben!$B$21,B2231&lt;Eingaben!$B$22),OR(B2231&gt;=Eingaben!$B$21,B2231&lt;Eingaben!$B$22)),"GO",IF(AND(ISNUMBER(Eingaben!$B$23),ISNUMBER(Eingaben!$B$24),IF(Eingaben!$B$23&lt;Eingaben!$B$24,AND(B2231&gt;=Eingaben!$B$23,B2231&lt;Eingaben!$B$24),OR(B2231&gt;=Eingaben!$B$23,B2231&lt;Eingaben!$B$24))),"HEAT","STANDARD"))</f>
        <v>GO</v>
      </c>
      <c r="E2231" s="9"/>
      <c r="F2231" t="str">
        <f>IF(E2231="",D2231,E2231)</f>
        <v>GO</v>
      </c>
      <c r="G2231" t="str">
        <f>INDEX(Netzzeiten!$B$6:$B$29,HOUR(B2231)+1)</f>
        <v>NT</v>
      </c>
      <c r="H2231" s="6">
        <f>IF(F2231="GO",Eingaben!$B$11,IF(F2231="STANDARD",Eingaben!$B$12,IF(AND(F2231="HEAT",ISNUMBER(Eingaben!$B$13)),Eingaben!$B$13,"")))</f>
        <v>15.0654</v>
      </c>
      <c r="I2231" s="6">
        <f>INDEX(Netzzeiten!$C$6:$C$29,HOUR(B2231)+1)</f>
        <v>1.64</v>
      </c>
      <c r="J2231" t="str">
        <f>IF(C2231="","FEHLT",IF(NOT(ISNUMBER(C2231)),"MESSWERT UNGUELTIG",IF(C2231&lt;0,"MESSWERT UNGUELTIG",IF(H2231="","TARIFPREIS FEHLT","OK"))))</f>
        <v>FEHLT</v>
      </c>
      <c r="K2231" s="7">
        <f>IF(J2231&lt;&gt;"OK","",C2231*I2231/100)</f>
        <v/>
      </c>
    </row>
    <row r="2232" spans="1:11">
      <c r="A2232" s="14">
        <v>46166</v>
      </c>
      <c r="B2232" s="15">
        <v>0.1875</v>
      </c>
      <c r="C2232" s="5">
        <f>IF('96 Werte'!T29="","",'96 Werte'!T29)</f>
        <v/>
      </c>
      <c r="D2232" t="str">
        <f>IF(IF(Eingaben!$B$21&lt;Eingaben!$B$22,AND(B2232&gt;=Eingaben!$B$21,B2232&lt;Eingaben!$B$22),OR(B2232&gt;=Eingaben!$B$21,B2232&lt;Eingaben!$B$22)),"GO",IF(AND(ISNUMBER(Eingaben!$B$23),ISNUMBER(Eingaben!$B$24),IF(Eingaben!$B$23&lt;Eingaben!$B$24,AND(B2232&gt;=Eingaben!$B$23,B2232&lt;Eingaben!$B$24),OR(B2232&gt;=Eingaben!$B$23,B2232&lt;Eingaben!$B$24))),"HEAT","STANDARD"))</f>
        <v>GO</v>
      </c>
      <c r="E2232" s="9"/>
      <c r="F2232" t="str">
        <f>IF(E2232="",D2232,E2232)</f>
        <v>GO</v>
      </c>
      <c r="G2232" t="str">
        <f>INDEX(Netzzeiten!$B$6:$B$29,HOUR(B2232)+1)</f>
        <v>NT</v>
      </c>
      <c r="H2232" s="6">
        <f>IF(F2232="GO",Eingaben!$B$11,IF(F2232="STANDARD",Eingaben!$B$12,IF(AND(F2232="HEAT",ISNUMBER(Eingaben!$B$13)),Eingaben!$B$13,"")))</f>
        <v>15.0654</v>
      </c>
      <c r="I2232" s="6">
        <f>INDEX(Netzzeiten!$C$6:$C$29,HOUR(B2232)+1)</f>
        <v>1.64</v>
      </c>
      <c r="J2232" t="str">
        <f>IF(C2232="","FEHLT",IF(NOT(ISNUMBER(C2232)),"MESSWERT UNGUELTIG",IF(C2232&lt;0,"MESSWERT UNGUELTIG",IF(H2232="","TARIFPREIS FEHLT","OK"))))</f>
        <v>FEHLT</v>
      </c>
      <c r="K2232" s="7">
        <f>IF(J2232&lt;&gt;"OK","",C2232*I2232/100)</f>
        <v/>
      </c>
    </row>
    <row r="2233" spans="1:11">
      <c r="A2233" s="14">
        <v>46166</v>
      </c>
      <c r="B2233" s="15">
        <v>0.1979166666666667</v>
      </c>
      <c r="C2233" s="5">
        <f>IF('96 Werte'!U29="","",'96 Werte'!U29)</f>
        <v/>
      </c>
      <c r="D2233" t="str">
        <f>IF(IF(Eingaben!$B$21&lt;Eingaben!$B$22,AND(B2233&gt;=Eingaben!$B$21,B2233&lt;Eingaben!$B$22),OR(B2233&gt;=Eingaben!$B$21,B2233&lt;Eingaben!$B$22)),"GO",IF(AND(ISNUMBER(Eingaben!$B$23),ISNUMBER(Eingaben!$B$24),IF(Eingaben!$B$23&lt;Eingaben!$B$24,AND(B2233&gt;=Eingaben!$B$23,B2233&lt;Eingaben!$B$24),OR(B2233&gt;=Eingaben!$B$23,B2233&lt;Eingaben!$B$24))),"HEAT","STANDARD"))</f>
        <v>GO</v>
      </c>
      <c r="E2233" s="9"/>
      <c r="F2233" t="str">
        <f>IF(E2233="",D2233,E2233)</f>
        <v>GO</v>
      </c>
      <c r="G2233" t="str">
        <f>INDEX(Netzzeiten!$B$6:$B$29,HOUR(B2233)+1)</f>
        <v>NT</v>
      </c>
      <c r="H2233" s="6">
        <f>IF(F2233="GO",Eingaben!$B$11,IF(F2233="STANDARD",Eingaben!$B$12,IF(AND(F2233="HEAT",ISNUMBER(Eingaben!$B$13)),Eingaben!$B$13,"")))</f>
        <v>15.0654</v>
      </c>
      <c r="I2233" s="6">
        <f>INDEX(Netzzeiten!$C$6:$C$29,HOUR(B2233)+1)</f>
        <v>1.64</v>
      </c>
      <c r="J2233" t="str">
        <f>IF(C2233="","FEHLT",IF(NOT(ISNUMBER(C2233)),"MESSWERT UNGUELTIG",IF(C2233&lt;0,"MESSWERT UNGUELTIG",IF(H2233="","TARIFPREIS FEHLT","OK"))))</f>
        <v>FEHLT</v>
      </c>
      <c r="K2233" s="7">
        <f>IF(J2233&lt;&gt;"OK","",C2233*I2233/100)</f>
        <v/>
      </c>
    </row>
    <row r="2234" spans="1:11">
      <c r="A2234" s="14">
        <v>46166</v>
      </c>
      <c r="B2234" s="15">
        <v>0.2083333333333333</v>
      </c>
      <c r="C2234" s="5">
        <f>IF('96 Werte'!V29="","",'96 Werte'!V29)</f>
        <v/>
      </c>
      <c r="D2234" t="str">
        <f>IF(IF(Eingaben!$B$21&lt;Eingaben!$B$22,AND(B2234&gt;=Eingaben!$B$21,B2234&lt;Eingaben!$B$22),OR(B2234&gt;=Eingaben!$B$21,B2234&lt;Eingaben!$B$22)),"GO",IF(AND(ISNUMBER(Eingaben!$B$23),ISNUMBER(Eingaben!$B$24),IF(Eingaben!$B$23&lt;Eingaben!$B$24,AND(B2234&gt;=Eingaben!$B$23,B2234&lt;Eingaben!$B$24),OR(B2234&gt;=Eingaben!$B$23,B2234&lt;Eingaben!$B$24))),"HEAT","STANDARD"))</f>
        <v>STANDARD</v>
      </c>
      <c r="E2234" s="9"/>
      <c r="F2234" t="str">
        <f>IF(E2234="",D2234,E2234)</f>
        <v>STANDARD</v>
      </c>
      <c r="G2234" t="str">
        <f>INDEX(Netzzeiten!$B$6:$B$29,HOUR(B2234)+1)</f>
        <v>NT</v>
      </c>
      <c r="H2234" s="6">
        <f>IF(F2234="GO",Eingaben!$B$11,IF(F2234="STANDARD",Eingaben!$B$12,IF(AND(F2234="HEAT",ISNUMBER(Eingaben!$B$13)),Eingaben!$B$13,"")))</f>
        <v>28.2744</v>
      </c>
      <c r="I2234" s="6">
        <f>INDEX(Netzzeiten!$C$6:$C$29,HOUR(B2234)+1)</f>
        <v>1.64</v>
      </c>
      <c r="J2234" t="str">
        <f>IF(C2234="","FEHLT",IF(NOT(ISNUMBER(C2234)),"MESSWERT UNGUELTIG",IF(C2234&lt;0,"MESSWERT UNGUELTIG",IF(H2234="","TARIFPREIS FEHLT","OK"))))</f>
        <v>FEHLT</v>
      </c>
      <c r="K2234" s="7">
        <f>IF(J2234&lt;&gt;"OK","",C2234*I2234/100)</f>
        <v/>
      </c>
    </row>
    <row r="2235" spans="1:11">
      <c r="A2235" s="14">
        <v>46166</v>
      </c>
      <c r="B2235" s="15">
        <v>0.21875</v>
      </c>
      <c r="C2235" s="5">
        <f>IF('96 Werte'!W29="","",'96 Werte'!W29)</f>
        <v/>
      </c>
      <c r="D2235" t="str">
        <f>IF(IF(Eingaben!$B$21&lt;Eingaben!$B$22,AND(B2235&gt;=Eingaben!$B$21,B2235&lt;Eingaben!$B$22),OR(B2235&gt;=Eingaben!$B$21,B2235&lt;Eingaben!$B$22)),"GO",IF(AND(ISNUMBER(Eingaben!$B$23),ISNUMBER(Eingaben!$B$24),IF(Eingaben!$B$23&lt;Eingaben!$B$24,AND(B2235&gt;=Eingaben!$B$23,B2235&lt;Eingaben!$B$24),OR(B2235&gt;=Eingaben!$B$23,B2235&lt;Eingaben!$B$24))),"HEAT","STANDARD"))</f>
        <v>STANDARD</v>
      </c>
      <c r="E2235" s="9"/>
      <c r="F2235" t="str">
        <f>IF(E2235="",D2235,E2235)</f>
        <v>STANDARD</v>
      </c>
      <c r="G2235" t="str">
        <f>INDEX(Netzzeiten!$B$6:$B$29,HOUR(B2235)+1)</f>
        <v>NT</v>
      </c>
      <c r="H2235" s="6">
        <f>IF(F2235="GO",Eingaben!$B$11,IF(F2235="STANDARD",Eingaben!$B$12,IF(AND(F2235="HEAT",ISNUMBER(Eingaben!$B$13)),Eingaben!$B$13,"")))</f>
        <v>28.2744</v>
      </c>
      <c r="I2235" s="6">
        <f>INDEX(Netzzeiten!$C$6:$C$29,HOUR(B2235)+1)</f>
        <v>1.64</v>
      </c>
      <c r="J2235" t="str">
        <f>IF(C2235="","FEHLT",IF(NOT(ISNUMBER(C2235)),"MESSWERT UNGUELTIG",IF(C2235&lt;0,"MESSWERT UNGUELTIG",IF(H2235="","TARIFPREIS FEHLT","OK"))))</f>
        <v>FEHLT</v>
      </c>
      <c r="K2235" s="7">
        <f>IF(J2235&lt;&gt;"OK","",C2235*I2235/100)</f>
        <v/>
      </c>
    </row>
    <row r="2236" spans="1:11">
      <c r="A2236" s="14">
        <v>46166</v>
      </c>
      <c r="B2236" s="15">
        <v>0.2291666666666667</v>
      </c>
      <c r="C2236" s="5">
        <f>IF('96 Werte'!X29="","",'96 Werte'!X29)</f>
        <v/>
      </c>
      <c r="D2236" t="str">
        <f>IF(IF(Eingaben!$B$21&lt;Eingaben!$B$22,AND(B2236&gt;=Eingaben!$B$21,B2236&lt;Eingaben!$B$22),OR(B2236&gt;=Eingaben!$B$21,B2236&lt;Eingaben!$B$22)),"GO",IF(AND(ISNUMBER(Eingaben!$B$23),ISNUMBER(Eingaben!$B$24),IF(Eingaben!$B$23&lt;Eingaben!$B$24,AND(B2236&gt;=Eingaben!$B$23,B2236&lt;Eingaben!$B$24),OR(B2236&gt;=Eingaben!$B$23,B2236&lt;Eingaben!$B$24))),"HEAT","STANDARD"))</f>
        <v>STANDARD</v>
      </c>
      <c r="E2236" s="9"/>
      <c r="F2236" t="str">
        <f>IF(E2236="",D2236,E2236)</f>
        <v>STANDARD</v>
      </c>
      <c r="G2236" t="str">
        <f>INDEX(Netzzeiten!$B$6:$B$29,HOUR(B2236)+1)</f>
        <v>NT</v>
      </c>
      <c r="H2236" s="6">
        <f>IF(F2236="GO",Eingaben!$B$11,IF(F2236="STANDARD",Eingaben!$B$12,IF(AND(F2236="HEAT",ISNUMBER(Eingaben!$B$13)),Eingaben!$B$13,"")))</f>
        <v>28.2744</v>
      </c>
      <c r="I2236" s="6">
        <f>INDEX(Netzzeiten!$C$6:$C$29,HOUR(B2236)+1)</f>
        <v>1.64</v>
      </c>
      <c r="J2236" t="str">
        <f>IF(C2236="","FEHLT",IF(NOT(ISNUMBER(C2236)),"MESSWERT UNGUELTIG",IF(C2236&lt;0,"MESSWERT UNGUELTIG",IF(H2236="","TARIFPREIS FEHLT","OK"))))</f>
        <v>FEHLT</v>
      </c>
      <c r="K2236" s="7">
        <f>IF(J2236&lt;&gt;"OK","",C2236*I2236/100)</f>
        <v/>
      </c>
    </row>
    <row r="2237" spans="1:11">
      <c r="A2237" s="14">
        <v>46166</v>
      </c>
      <c r="B2237" s="15">
        <v>0.2395833333333333</v>
      </c>
      <c r="C2237" s="5">
        <f>IF('96 Werte'!Y29="","",'96 Werte'!Y29)</f>
        <v/>
      </c>
      <c r="D2237" t="str">
        <f>IF(IF(Eingaben!$B$21&lt;Eingaben!$B$22,AND(B2237&gt;=Eingaben!$B$21,B2237&lt;Eingaben!$B$22),OR(B2237&gt;=Eingaben!$B$21,B2237&lt;Eingaben!$B$22)),"GO",IF(AND(ISNUMBER(Eingaben!$B$23),ISNUMBER(Eingaben!$B$24),IF(Eingaben!$B$23&lt;Eingaben!$B$24,AND(B2237&gt;=Eingaben!$B$23,B2237&lt;Eingaben!$B$24),OR(B2237&gt;=Eingaben!$B$23,B2237&lt;Eingaben!$B$24))),"HEAT","STANDARD"))</f>
        <v>STANDARD</v>
      </c>
      <c r="E2237" s="9"/>
      <c r="F2237" t="str">
        <f>IF(E2237="",D2237,E2237)</f>
        <v>STANDARD</v>
      </c>
      <c r="G2237" t="str">
        <f>INDEX(Netzzeiten!$B$6:$B$29,HOUR(B2237)+1)</f>
        <v>NT</v>
      </c>
      <c r="H2237" s="6">
        <f>IF(F2237="GO",Eingaben!$B$11,IF(F2237="STANDARD",Eingaben!$B$12,IF(AND(F2237="HEAT",ISNUMBER(Eingaben!$B$13)),Eingaben!$B$13,"")))</f>
        <v>28.2744</v>
      </c>
      <c r="I2237" s="6">
        <f>INDEX(Netzzeiten!$C$6:$C$29,HOUR(B2237)+1)</f>
        <v>1.64</v>
      </c>
      <c r="J2237" t="str">
        <f>IF(C2237="","FEHLT",IF(NOT(ISNUMBER(C2237)),"MESSWERT UNGUELTIG",IF(C2237&lt;0,"MESSWERT UNGUELTIG",IF(H2237="","TARIFPREIS FEHLT","OK"))))</f>
        <v>FEHLT</v>
      </c>
      <c r="K2237" s="7">
        <f>IF(J2237&lt;&gt;"OK","",C2237*I2237/100)</f>
        <v/>
      </c>
    </row>
    <row r="2238" spans="1:11">
      <c r="A2238" s="14">
        <v>46166</v>
      </c>
      <c r="B2238" s="15">
        <v>0.25</v>
      </c>
      <c r="C2238" s="5">
        <f>IF('96 Werte'!Z29="","",'96 Werte'!Z29)</f>
        <v/>
      </c>
      <c r="D2238" t="str">
        <f>IF(IF(Eingaben!$B$21&lt;Eingaben!$B$22,AND(B2238&gt;=Eingaben!$B$21,B2238&lt;Eingaben!$B$22),OR(B2238&gt;=Eingaben!$B$21,B2238&lt;Eingaben!$B$22)),"GO",IF(AND(ISNUMBER(Eingaben!$B$23),ISNUMBER(Eingaben!$B$24),IF(Eingaben!$B$23&lt;Eingaben!$B$24,AND(B2238&gt;=Eingaben!$B$23,B2238&lt;Eingaben!$B$24),OR(B2238&gt;=Eingaben!$B$23,B2238&lt;Eingaben!$B$24))),"HEAT","STANDARD"))</f>
        <v>STANDARD</v>
      </c>
      <c r="E2238" s="9"/>
      <c r="F2238" t="str">
        <f>IF(E2238="",D2238,E2238)</f>
        <v>STANDARD</v>
      </c>
      <c r="G2238" t="str">
        <f>INDEX(Netzzeiten!$B$6:$B$29,HOUR(B2238)+1)</f>
        <v>ST</v>
      </c>
      <c r="H2238" s="6">
        <f>IF(F2238="GO",Eingaben!$B$11,IF(F2238="STANDARD",Eingaben!$B$12,IF(AND(F2238="HEAT",ISNUMBER(Eingaben!$B$13)),Eingaben!$B$13,"")))</f>
        <v>28.2744</v>
      </c>
      <c r="I2238" s="6">
        <f>INDEX(Netzzeiten!$C$6:$C$29,HOUR(B2238)+1)</f>
        <v>5.48</v>
      </c>
      <c r="J2238" t="str">
        <f>IF(C2238="","FEHLT",IF(NOT(ISNUMBER(C2238)),"MESSWERT UNGUELTIG",IF(C2238&lt;0,"MESSWERT UNGUELTIG",IF(H2238="","TARIFPREIS FEHLT","OK"))))</f>
        <v>FEHLT</v>
      </c>
      <c r="K2238" s="7">
        <f>IF(J2238&lt;&gt;"OK","",C2238*I2238/100)</f>
        <v/>
      </c>
    </row>
    <row r="2239" spans="1:11">
      <c r="A2239" s="14">
        <v>46166</v>
      </c>
      <c r="B2239" s="15">
        <v>0.2604166666666667</v>
      </c>
      <c r="C2239" s="5">
        <f>IF('96 Werte'!AA29="","",'96 Werte'!AA29)</f>
        <v/>
      </c>
      <c r="D2239" t="str">
        <f>IF(IF(Eingaben!$B$21&lt;Eingaben!$B$22,AND(B2239&gt;=Eingaben!$B$21,B2239&lt;Eingaben!$B$22),OR(B2239&gt;=Eingaben!$B$21,B2239&lt;Eingaben!$B$22)),"GO",IF(AND(ISNUMBER(Eingaben!$B$23),ISNUMBER(Eingaben!$B$24),IF(Eingaben!$B$23&lt;Eingaben!$B$24,AND(B2239&gt;=Eingaben!$B$23,B2239&lt;Eingaben!$B$24),OR(B2239&gt;=Eingaben!$B$23,B2239&lt;Eingaben!$B$24))),"HEAT","STANDARD"))</f>
        <v>STANDARD</v>
      </c>
      <c r="E2239" s="9"/>
      <c r="F2239" t="str">
        <f>IF(E2239="",D2239,E2239)</f>
        <v>STANDARD</v>
      </c>
      <c r="G2239" t="str">
        <f>INDEX(Netzzeiten!$B$6:$B$29,HOUR(B2239)+1)</f>
        <v>ST</v>
      </c>
      <c r="H2239" s="6">
        <f>IF(F2239="GO",Eingaben!$B$11,IF(F2239="STANDARD",Eingaben!$B$12,IF(AND(F2239="HEAT",ISNUMBER(Eingaben!$B$13)),Eingaben!$B$13,"")))</f>
        <v>28.2744</v>
      </c>
      <c r="I2239" s="6">
        <f>INDEX(Netzzeiten!$C$6:$C$29,HOUR(B2239)+1)</f>
        <v>5.48</v>
      </c>
      <c r="J2239" t="str">
        <f>IF(C2239="","FEHLT",IF(NOT(ISNUMBER(C2239)),"MESSWERT UNGUELTIG",IF(C2239&lt;0,"MESSWERT UNGUELTIG",IF(H2239="","TARIFPREIS FEHLT","OK"))))</f>
        <v>FEHLT</v>
      </c>
      <c r="K2239" s="7">
        <f>IF(J2239&lt;&gt;"OK","",C2239*I2239/100)</f>
        <v/>
      </c>
    </row>
    <row r="2240" spans="1:11">
      <c r="A2240" s="14">
        <v>46166</v>
      </c>
      <c r="B2240" s="15">
        <v>0.2708333333333333</v>
      </c>
      <c r="C2240" s="5">
        <f>IF('96 Werte'!AB29="","",'96 Werte'!AB29)</f>
        <v/>
      </c>
      <c r="D2240" t="str">
        <f>IF(IF(Eingaben!$B$21&lt;Eingaben!$B$22,AND(B2240&gt;=Eingaben!$B$21,B2240&lt;Eingaben!$B$22),OR(B2240&gt;=Eingaben!$B$21,B2240&lt;Eingaben!$B$22)),"GO",IF(AND(ISNUMBER(Eingaben!$B$23),ISNUMBER(Eingaben!$B$24),IF(Eingaben!$B$23&lt;Eingaben!$B$24,AND(B2240&gt;=Eingaben!$B$23,B2240&lt;Eingaben!$B$24),OR(B2240&gt;=Eingaben!$B$23,B2240&lt;Eingaben!$B$24))),"HEAT","STANDARD"))</f>
        <v>STANDARD</v>
      </c>
      <c r="E2240" s="9"/>
      <c r="F2240" t="str">
        <f>IF(E2240="",D2240,E2240)</f>
        <v>STANDARD</v>
      </c>
      <c r="G2240" t="str">
        <f>INDEX(Netzzeiten!$B$6:$B$29,HOUR(B2240)+1)</f>
        <v>ST</v>
      </c>
      <c r="H2240" s="6">
        <f>IF(F2240="GO",Eingaben!$B$11,IF(F2240="STANDARD",Eingaben!$B$12,IF(AND(F2240="HEAT",ISNUMBER(Eingaben!$B$13)),Eingaben!$B$13,"")))</f>
        <v>28.2744</v>
      </c>
      <c r="I2240" s="6">
        <f>INDEX(Netzzeiten!$C$6:$C$29,HOUR(B2240)+1)</f>
        <v>5.48</v>
      </c>
      <c r="J2240" t="str">
        <f>IF(C2240="","FEHLT",IF(NOT(ISNUMBER(C2240)),"MESSWERT UNGUELTIG",IF(C2240&lt;0,"MESSWERT UNGUELTIG",IF(H2240="","TARIFPREIS FEHLT","OK"))))</f>
        <v>FEHLT</v>
      </c>
      <c r="K2240" s="7">
        <f>IF(J2240&lt;&gt;"OK","",C2240*I2240/100)</f>
        <v/>
      </c>
    </row>
    <row r="2241" spans="1:11">
      <c r="A2241" s="14">
        <v>46166</v>
      </c>
      <c r="B2241" s="15">
        <v>0.28125</v>
      </c>
      <c r="C2241" s="5">
        <f>IF('96 Werte'!AC29="","",'96 Werte'!AC29)</f>
        <v/>
      </c>
      <c r="D2241" t="str">
        <f>IF(IF(Eingaben!$B$21&lt;Eingaben!$B$22,AND(B2241&gt;=Eingaben!$B$21,B2241&lt;Eingaben!$B$22),OR(B2241&gt;=Eingaben!$B$21,B2241&lt;Eingaben!$B$22)),"GO",IF(AND(ISNUMBER(Eingaben!$B$23),ISNUMBER(Eingaben!$B$24),IF(Eingaben!$B$23&lt;Eingaben!$B$24,AND(B2241&gt;=Eingaben!$B$23,B2241&lt;Eingaben!$B$24),OR(B2241&gt;=Eingaben!$B$23,B2241&lt;Eingaben!$B$24))),"HEAT","STANDARD"))</f>
        <v>STANDARD</v>
      </c>
      <c r="E2241" s="9"/>
      <c r="F2241" t="str">
        <f>IF(E2241="",D2241,E2241)</f>
        <v>STANDARD</v>
      </c>
      <c r="G2241" t="str">
        <f>INDEX(Netzzeiten!$B$6:$B$29,HOUR(B2241)+1)</f>
        <v>ST</v>
      </c>
      <c r="H2241" s="6">
        <f>IF(F2241="GO",Eingaben!$B$11,IF(F2241="STANDARD",Eingaben!$B$12,IF(AND(F2241="HEAT",ISNUMBER(Eingaben!$B$13)),Eingaben!$B$13,"")))</f>
        <v>28.2744</v>
      </c>
      <c r="I2241" s="6">
        <f>INDEX(Netzzeiten!$C$6:$C$29,HOUR(B2241)+1)</f>
        <v>5.48</v>
      </c>
      <c r="J2241" t="str">
        <f>IF(C2241="","FEHLT",IF(NOT(ISNUMBER(C2241)),"MESSWERT UNGUELTIG",IF(C2241&lt;0,"MESSWERT UNGUELTIG",IF(H2241="","TARIFPREIS FEHLT","OK"))))</f>
        <v>FEHLT</v>
      </c>
      <c r="K2241" s="7">
        <f>IF(J2241&lt;&gt;"OK","",C2241*I2241/100)</f>
        <v/>
      </c>
    </row>
    <row r="2242" spans="1:11">
      <c r="A2242" s="14">
        <v>46166</v>
      </c>
      <c r="B2242" s="15">
        <v>0.2916666666666667</v>
      </c>
      <c r="C2242" s="5">
        <f>IF('96 Werte'!AD29="","",'96 Werte'!AD29)</f>
        <v/>
      </c>
      <c r="D2242" t="str">
        <f>IF(IF(Eingaben!$B$21&lt;Eingaben!$B$22,AND(B2242&gt;=Eingaben!$B$21,B2242&lt;Eingaben!$B$22),OR(B2242&gt;=Eingaben!$B$21,B2242&lt;Eingaben!$B$22)),"GO",IF(AND(ISNUMBER(Eingaben!$B$23),ISNUMBER(Eingaben!$B$24),IF(Eingaben!$B$23&lt;Eingaben!$B$24,AND(B2242&gt;=Eingaben!$B$23,B2242&lt;Eingaben!$B$24),OR(B2242&gt;=Eingaben!$B$23,B2242&lt;Eingaben!$B$24))),"HEAT","STANDARD"))</f>
        <v>STANDARD</v>
      </c>
      <c r="E2242" s="9"/>
      <c r="F2242" t="str">
        <f>IF(E2242="",D2242,E2242)</f>
        <v>STANDARD</v>
      </c>
      <c r="G2242" t="str">
        <f>INDEX(Netzzeiten!$B$6:$B$29,HOUR(B2242)+1)</f>
        <v>ST</v>
      </c>
      <c r="H2242" s="6">
        <f>IF(F2242="GO",Eingaben!$B$11,IF(F2242="STANDARD",Eingaben!$B$12,IF(AND(F2242="HEAT",ISNUMBER(Eingaben!$B$13)),Eingaben!$B$13,"")))</f>
        <v>28.2744</v>
      </c>
      <c r="I2242" s="6">
        <f>INDEX(Netzzeiten!$C$6:$C$29,HOUR(B2242)+1)</f>
        <v>5.48</v>
      </c>
      <c r="J2242" t="str">
        <f>IF(C2242="","FEHLT",IF(NOT(ISNUMBER(C2242)),"MESSWERT UNGUELTIG",IF(C2242&lt;0,"MESSWERT UNGUELTIG",IF(H2242="","TARIFPREIS FEHLT","OK"))))</f>
        <v>FEHLT</v>
      </c>
      <c r="K2242" s="7">
        <f>IF(J2242&lt;&gt;"OK","",C2242*I2242/100)</f>
        <v/>
      </c>
    </row>
    <row r="2243" spans="1:11">
      <c r="A2243" s="14">
        <v>46166</v>
      </c>
      <c r="B2243" s="15">
        <v>0.3020833333333333</v>
      </c>
      <c r="C2243" s="5">
        <f>IF('96 Werte'!AE29="","",'96 Werte'!AE29)</f>
        <v/>
      </c>
      <c r="D2243" t="str">
        <f>IF(IF(Eingaben!$B$21&lt;Eingaben!$B$22,AND(B2243&gt;=Eingaben!$B$21,B2243&lt;Eingaben!$B$22),OR(B2243&gt;=Eingaben!$B$21,B2243&lt;Eingaben!$B$22)),"GO",IF(AND(ISNUMBER(Eingaben!$B$23),ISNUMBER(Eingaben!$B$24),IF(Eingaben!$B$23&lt;Eingaben!$B$24,AND(B2243&gt;=Eingaben!$B$23,B2243&lt;Eingaben!$B$24),OR(B2243&gt;=Eingaben!$B$23,B2243&lt;Eingaben!$B$24))),"HEAT","STANDARD"))</f>
        <v>STANDARD</v>
      </c>
      <c r="E2243" s="9"/>
      <c r="F2243" t="str">
        <f>IF(E2243="",D2243,E2243)</f>
        <v>STANDARD</v>
      </c>
      <c r="G2243" t="str">
        <f>INDEX(Netzzeiten!$B$6:$B$29,HOUR(B2243)+1)</f>
        <v>ST</v>
      </c>
      <c r="H2243" s="6">
        <f>IF(F2243="GO",Eingaben!$B$11,IF(F2243="STANDARD",Eingaben!$B$12,IF(AND(F2243="HEAT",ISNUMBER(Eingaben!$B$13)),Eingaben!$B$13,"")))</f>
        <v>28.2744</v>
      </c>
      <c r="I2243" s="6">
        <f>INDEX(Netzzeiten!$C$6:$C$29,HOUR(B2243)+1)</f>
        <v>5.48</v>
      </c>
      <c r="J2243" t="str">
        <f>IF(C2243="","FEHLT",IF(NOT(ISNUMBER(C2243)),"MESSWERT UNGUELTIG",IF(C2243&lt;0,"MESSWERT UNGUELTIG",IF(H2243="","TARIFPREIS FEHLT","OK"))))</f>
        <v>FEHLT</v>
      </c>
      <c r="K2243" s="7">
        <f>IF(J2243&lt;&gt;"OK","",C2243*I2243/100)</f>
        <v/>
      </c>
    </row>
    <row r="2244" spans="1:11">
      <c r="A2244" s="14">
        <v>46166</v>
      </c>
      <c r="B2244" s="15">
        <v>0.3125</v>
      </c>
      <c r="C2244" s="5">
        <f>IF('96 Werte'!AF29="","",'96 Werte'!AF29)</f>
        <v/>
      </c>
      <c r="D2244" t="str">
        <f>IF(IF(Eingaben!$B$21&lt;Eingaben!$B$22,AND(B2244&gt;=Eingaben!$B$21,B2244&lt;Eingaben!$B$22),OR(B2244&gt;=Eingaben!$B$21,B2244&lt;Eingaben!$B$22)),"GO",IF(AND(ISNUMBER(Eingaben!$B$23),ISNUMBER(Eingaben!$B$24),IF(Eingaben!$B$23&lt;Eingaben!$B$24,AND(B2244&gt;=Eingaben!$B$23,B2244&lt;Eingaben!$B$24),OR(B2244&gt;=Eingaben!$B$23,B2244&lt;Eingaben!$B$24))),"HEAT","STANDARD"))</f>
        <v>STANDARD</v>
      </c>
      <c r="E2244" s="9"/>
      <c r="F2244" t="str">
        <f>IF(E2244="",D2244,E2244)</f>
        <v>STANDARD</v>
      </c>
      <c r="G2244" t="str">
        <f>INDEX(Netzzeiten!$B$6:$B$29,HOUR(B2244)+1)</f>
        <v>ST</v>
      </c>
      <c r="H2244" s="6">
        <f>IF(F2244="GO",Eingaben!$B$11,IF(F2244="STANDARD",Eingaben!$B$12,IF(AND(F2244="HEAT",ISNUMBER(Eingaben!$B$13)),Eingaben!$B$13,"")))</f>
        <v>28.2744</v>
      </c>
      <c r="I2244" s="6">
        <f>INDEX(Netzzeiten!$C$6:$C$29,HOUR(B2244)+1)</f>
        <v>5.48</v>
      </c>
      <c r="J2244" t="str">
        <f>IF(C2244="","FEHLT",IF(NOT(ISNUMBER(C2244)),"MESSWERT UNGUELTIG",IF(C2244&lt;0,"MESSWERT UNGUELTIG",IF(H2244="","TARIFPREIS FEHLT","OK"))))</f>
        <v>FEHLT</v>
      </c>
      <c r="K2244" s="7">
        <f>IF(J2244&lt;&gt;"OK","",C2244*I2244/100)</f>
        <v/>
      </c>
    </row>
    <row r="2245" spans="1:11">
      <c r="A2245" s="14">
        <v>46166</v>
      </c>
      <c r="B2245" s="15">
        <v>0.3229166666666667</v>
      </c>
      <c r="C2245" s="5">
        <f>IF('96 Werte'!AG29="","",'96 Werte'!AG29)</f>
        <v/>
      </c>
      <c r="D2245" t="str">
        <f>IF(IF(Eingaben!$B$21&lt;Eingaben!$B$22,AND(B2245&gt;=Eingaben!$B$21,B2245&lt;Eingaben!$B$22),OR(B2245&gt;=Eingaben!$B$21,B2245&lt;Eingaben!$B$22)),"GO",IF(AND(ISNUMBER(Eingaben!$B$23),ISNUMBER(Eingaben!$B$24),IF(Eingaben!$B$23&lt;Eingaben!$B$24,AND(B2245&gt;=Eingaben!$B$23,B2245&lt;Eingaben!$B$24),OR(B2245&gt;=Eingaben!$B$23,B2245&lt;Eingaben!$B$24))),"HEAT","STANDARD"))</f>
        <v>STANDARD</v>
      </c>
      <c r="E2245" s="9"/>
      <c r="F2245" t="str">
        <f>IF(E2245="",D2245,E2245)</f>
        <v>STANDARD</v>
      </c>
      <c r="G2245" t="str">
        <f>INDEX(Netzzeiten!$B$6:$B$29,HOUR(B2245)+1)</f>
        <v>ST</v>
      </c>
      <c r="H2245" s="6">
        <f>IF(F2245="GO",Eingaben!$B$11,IF(F2245="STANDARD",Eingaben!$B$12,IF(AND(F2245="HEAT",ISNUMBER(Eingaben!$B$13)),Eingaben!$B$13,"")))</f>
        <v>28.2744</v>
      </c>
      <c r="I2245" s="6">
        <f>INDEX(Netzzeiten!$C$6:$C$29,HOUR(B2245)+1)</f>
        <v>5.48</v>
      </c>
      <c r="J2245" t="str">
        <f>IF(C2245="","FEHLT",IF(NOT(ISNUMBER(C2245)),"MESSWERT UNGUELTIG",IF(C2245&lt;0,"MESSWERT UNGUELTIG",IF(H2245="","TARIFPREIS FEHLT","OK"))))</f>
        <v>FEHLT</v>
      </c>
      <c r="K2245" s="7">
        <f>IF(J2245&lt;&gt;"OK","",C2245*I2245/100)</f>
        <v/>
      </c>
    </row>
    <row r="2246" spans="1:11">
      <c r="A2246" s="14">
        <v>46166</v>
      </c>
      <c r="B2246" s="15">
        <v>0.3333333333333333</v>
      </c>
      <c r="C2246" s="5">
        <f>IF('96 Werte'!AH29="","",'96 Werte'!AH29)</f>
        <v/>
      </c>
      <c r="D2246" t="str">
        <f>IF(IF(Eingaben!$B$21&lt;Eingaben!$B$22,AND(B2246&gt;=Eingaben!$B$21,B2246&lt;Eingaben!$B$22),OR(B2246&gt;=Eingaben!$B$21,B2246&lt;Eingaben!$B$22)),"GO",IF(AND(ISNUMBER(Eingaben!$B$23),ISNUMBER(Eingaben!$B$24),IF(Eingaben!$B$23&lt;Eingaben!$B$24,AND(B2246&gt;=Eingaben!$B$23,B2246&lt;Eingaben!$B$24),OR(B2246&gt;=Eingaben!$B$23,B2246&lt;Eingaben!$B$24))),"HEAT","STANDARD"))</f>
        <v>STANDARD</v>
      </c>
      <c r="E2246" s="9"/>
      <c r="F2246" t="str">
        <f>IF(E2246="",D2246,E2246)</f>
        <v>STANDARD</v>
      </c>
      <c r="G2246" t="str">
        <f>INDEX(Netzzeiten!$B$6:$B$29,HOUR(B2246)+1)</f>
        <v>ST</v>
      </c>
      <c r="H2246" s="6">
        <f>IF(F2246="GO",Eingaben!$B$11,IF(F2246="STANDARD",Eingaben!$B$12,IF(AND(F2246="HEAT",ISNUMBER(Eingaben!$B$13)),Eingaben!$B$13,"")))</f>
        <v>28.2744</v>
      </c>
      <c r="I2246" s="6">
        <f>INDEX(Netzzeiten!$C$6:$C$29,HOUR(B2246)+1)</f>
        <v>5.48</v>
      </c>
      <c r="J2246" t="str">
        <f>IF(C2246="","FEHLT",IF(NOT(ISNUMBER(C2246)),"MESSWERT UNGUELTIG",IF(C2246&lt;0,"MESSWERT UNGUELTIG",IF(H2246="","TARIFPREIS FEHLT","OK"))))</f>
        <v>FEHLT</v>
      </c>
      <c r="K2246" s="7">
        <f>IF(J2246&lt;&gt;"OK","",C2246*I2246/100)</f>
        <v/>
      </c>
    </row>
    <row r="2247" spans="1:11">
      <c r="A2247" s="14">
        <v>46166</v>
      </c>
      <c r="B2247" s="15">
        <v>0.34375</v>
      </c>
      <c r="C2247" s="5">
        <f>IF('96 Werte'!AI29="","",'96 Werte'!AI29)</f>
        <v/>
      </c>
      <c r="D2247" t="str">
        <f>IF(IF(Eingaben!$B$21&lt;Eingaben!$B$22,AND(B2247&gt;=Eingaben!$B$21,B2247&lt;Eingaben!$B$22),OR(B2247&gt;=Eingaben!$B$21,B2247&lt;Eingaben!$B$22)),"GO",IF(AND(ISNUMBER(Eingaben!$B$23),ISNUMBER(Eingaben!$B$24),IF(Eingaben!$B$23&lt;Eingaben!$B$24,AND(B2247&gt;=Eingaben!$B$23,B2247&lt;Eingaben!$B$24),OR(B2247&gt;=Eingaben!$B$23,B2247&lt;Eingaben!$B$24))),"HEAT","STANDARD"))</f>
        <v>STANDARD</v>
      </c>
      <c r="E2247" s="9"/>
      <c r="F2247" t="str">
        <f>IF(E2247="",D2247,E2247)</f>
        <v>STANDARD</v>
      </c>
      <c r="G2247" t="str">
        <f>INDEX(Netzzeiten!$B$6:$B$29,HOUR(B2247)+1)</f>
        <v>ST</v>
      </c>
      <c r="H2247" s="6">
        <f>IF(F2247="GO",Eingaben!$B$11,IF(F2247="STANDARD",Eingaben!$B$12,IF(AND(F2247="HEAT",ISNUMBER(Eingaben!$B$13)),Eingaben!$B$13,"")))</f>
        <v>28.2744</v>
      </c>
      <c r="I2247" s="6">
        <f>INDEX(Netzzeiten!$C$6:$C$29,HOUR(B2247)+1)</f>
        <v>5.48</v>
      </c>
      <c r="J2247" t="str">
        <f>IF(C2247="","FEHLT",IF(NOT(ISNUMBER(C2247)),"MESSWERT UNGUELTIG",IF(C2247&lt;0,"MESSWERT UNGUELTIG",IF(H2247="","TARIFPREIS FEHLT","OK"))))</f>
        <v>FEHLT</v>
      </c>
      <c r="K2247" s="7">
        <f>IF(J2247&lt;&gt;"OK","",C2247*I2247/100)</f>
        <v/>
      </c>
    </row>
    <row r="2248" spans="1:11">
      <c r="A2248" s="14">
        <v>46166</v>
      </c>
      <c r="B2248" s="15">
        <v>0.3541666666666667</v>
      </c>
      <c r="C2248" s="5">
        <f>IF('96 Werte'!AJ29="","",'96 Werte'!AJ29)</f>
        <v/>
      </c>
      <c r="D2248" t="str">
        <f>IF(IF(Eingaben!$B$21&lt;Eingaben!$B$22,AND(B2248&gt;=Eingaben!$B$21,B2248&lt;Eingaben!$B$22),OR(B2248&gt;=Eingaben!$B$21,B2248&lt;Eingaben!$B$22)),"GO",IF(AND(ISNUMBER(Eingaben!$B$23),ISNUMBER(Eingaben!$B$24),IF(Eingaben!$B$23&lt;Eingaben!$B$24,AND(B2248&gt;=Eingaben!$B$23,B2248&lt;Eingaben!$B$24),OR(B2248&gt;=Eingaben!$B$23,B2248&lt;Eingaben!$B$24))),"HEAT","STANDARD"))</f>
        <v>STANDARD</v>
      </c>
      <c r="E2248" s="9"/>
      <c r="F2248" t="str">
        <f>IF(E2248="",D2248,E2248)</f>
        <v>STANDARD</v>
      </c>
      <c r="G2248" t="str">
        <f>INDEX(Netzzeiten!$B$6:$B$29,HOUR(B2248)+1)</f>
        <v>ST</v>
      </c>
      <c r="H2248" s="6">
        <f>IF(F2248="GO",Eingaben!$B$11,IF(F2248="STANDARD",Eingaben!$B$12,IF(AND(F2248="HEAT",ISNUMBER(Eingaben!$B$13)),Eingaben!$B$13,"")))</f>
        <v>28.2744</v>
      </c>
      <c r="I2248" s="6">
        <f>INDEX(Netzzeiten!$C$6:$C$29,HOUR(B2248)+1)</f>
        <v>5.48</v>
      </c>
      <c r="J2248" t="str">
        <f>IF(C2248="","FEHLT",IF(NOT(ISNUMBER(C2248)),"MESSWERT UNGUELTIG",IF(C2248&lt;0,"MESSWERT UNGUELTIG",IF(H2248="","TARIFPREIS FEHLT","OK"))))</f>
        <v>FEHLT</v>
      </c>
      <c r="K2248" s="7">
        <f>IF(J2248&lt;&gt;"OK","",C2248*I2248/100)</f>
        <v/>
      </c>
    </row>
    <row r="2249" spans="1:11">
      <c r="A2249" s="14">
        <v>46166</v>
      </c>
      <c r="B2249" s="15">
        <v>0.3645833333333333</v>
      </c>
      <c r="C2249" s="5">
        <f>IF('96 Werte'!AK29="","",'96 Werte'!AK29)</f>
        <v/>
      </c>
      <c r="D2249" t="str">
        <f>IF(IF(Eingaben!$B$21&lt;Eingaben!$B$22,AND(B2249&gt;=Eingaben!$B$21,B2249&lt;Eingaben!$B$22),OR(B2249&gt;=Eingaben!$B$21,B2249&lt;Eingaben!$B$22)),"GO",IF(AND(ISNUMBER(Eingaben!$B$23),ISNUMBER(Eingaben!$B$24),IF(Eingaben!$B$23&lt;Eingaben!$B$24,AND(B2249&gt;=Eingaben!$B$23,B2249&lt;Eingaben!$B$24),OR(B2249&gt;=Eingaben!$B$23,B2249&lt;Eingaben!$B$24))),"HEAT","STANDARD"))</f>
        <v>STANDARD</v>
      </c>
      <c r="E2249" s="9"/>
      <c r="F2249" t="str">
        <f>IF(E2249="",D2249,E2249)</f>
        <v>STANDARD</v>
      </c>
      <c r="G2249" t="str">
        <f>INDEX(Netzzeiten!$B$6:$B$29,HOUR(B2249)+1)</f>
        <v>ST</v>
      </c>
      <c r="H2249" s="6">
        <f>IF(F2249="GO",Eingaben!$B$11,IF(F2249="STANDARD",Eingaben!$B$12,IF(AND(F2249="HEAT",ISNUMBER(Eingaben!$B$13)),Eingaben!$B$13,"")))</f>
        <v>28.2744</v>
      </c>
      <c r="I2249" s="6">
        <f>INDEX(Netzzeiten!$C$6:$C$29,HOUR(B2249)+1)</f>
        <v>5.48</v>
      </c>
      <c r="J2249" t="str">
        <f>IF(C2249="","FEHLT",IF(NOT(ISNUMBER(C2249)),"MESSWERT UNGUELTIG",IF(C2249&lt;0,"MESSWERT UNGUELTIG",IF(H2249="","TARIFPREIS FEHLT","OK"))))</f>
        <v>FEHLT</v>
      </c>
      <c r="K2249" s="7">
        <f>IF(J2249&lt;&gt;"OK","",C2249*I2249/100)</f>
        <v/>
      </c>
    </row>
    <row r="2250" spans="1:11">
      <c r="A2250" s="14">
        <v>46166</v>
      </c>
      <c r="B2250" s="15">
        <v>0.375</v>
      </c>
      <c r="C2250" s="5">
        <f>IF('96 Werte'!AL29="","",'96 Werte'!AL29)</f>
        <v/>
      </c>
      <c r="D2250" t="str">
        <f>IF(IF(Eingaben!$B$21&lt;Eingaben!$B$22,AND(B2250&gt;=Eingaben!$B$21,B2250&lt;Eingaben!$B$22),OR(B2250&gt;=Eingaben!$B$21,B2250&lt;Eingaben!$B$22)),"GO",IF(AND(ISNUMBER(Eingaben!$B$23),ISNUMBER(Eingaben!$B$24),IF(Eingaben!$B$23&lt;Eingaben!$B$24,AND(B2250&gt;=Eingaben!$B$23,B2250&lt;Eingaben!$B$24),OR(B2250&gt;=Eingaben!$B$23,B2250&lt;Eingaben!$B$24))),"HEAT","STANDARD"))</f>
        <v>STANDARD</v>
      </c>
      <c r="E2250" s="9"/>
      <c r="F2250" t="str">
        <f>IF(E2250="",D2250,E2250)</f>
        <v>STANDARD</v>
      </c>
      <c r="G2250" t="str">
        <f>INDEX(Netzzeiten!$B$6:$B$29,HOUR(B2250)+1)</f>
        <v>ST</v>
      </c>
      <c r="H2250" s="6">
        <f>IF(F2250="GO",Eingaben!$B$11,IF(F2250="STANDARD",Eingaben!$B$12,IF(AND(F2250="HEAT",ISNUMBER(Eingaben!$B$13)),Eingaben!$B$13,"")))</f>
        <v>28.2744</v>
      </c>
      <c r="I2250" s="6">
        <f>INDEX(Netzzeiten!$C$6:$C$29,HOUR(B2250)+1)</f>
        <v>5.48</v>
      </c>
      <c r="J2250" t="str">
        <f>IF(C2250="","FEHLT",IF(NOT(ISNUMBER(C2250)),"MESSWERT UNGUELTIG",IF(C2250&lt;0,"MESSWERT UNGUELTIG",IF(H2250="","TARIFPREIS FEHLT","OK"))))</f>
        <v>FEHLT</v>
      </c>
      <c r="K2250" s="7">
        <f>IF(J2250&lt;&gt;"OK","",C2250*I2250/100)</f>
        <v/>
      </c>
    </row>
    <row r="2251" spans="1:11">
      <c r="A2251" s="14">
        <v>46166</v>
      </c>
      <c r="B2251" s="15">
        <v>0.3854166666666667</v>
      </c>
      <c r="C2251" s="5">
        <f>IF('96 Werte'!AM29="","",'96 Werte'!AM29)</f>
        <v/>
      </c>
      <c r="D2251" t="str">
        <f>IF(IF(Eingaben!$B$21&lt;Eingaben!$B$22,AND(B2251&gt;=Eingaben!$B$21,B2251&lt;Eingaben!$B$22),OR(B2251&gt;=Eingaben!$B$21,B2251&lt;Eingaben!$B$22)),"GO",IF(AND(ISNUMBER(Eingaben!$B$23),ISNUMBER(Eingaben!$B$24),IF(Eingaben!$B$23&lt;Eingaben!$B$24,AND(B2251&gt;=Eingaben!$B$23,B2251&lt;Eingaben!$B$24),OR(B2251&gt;=Eingaben!$B$23,B2251&lt;Eingaben!$B$24))),"HEAT","STANDARD"))</f>
        <v>STANDARD</v>
      </c>
      <c r="E2251" s="9"/>
      <c r="F2251" t="str">
        <f>IF(E2251="",D2251,E2251)</f>
        <v>STANDARD</v>
      </c>
      <c r="G2251" t="str">
        <f>INDEX(Netzzeiten!$B$6:$B$29,HOUR(B2251)+1)</f>
        <v>ST</v>
      </c>
      <c r="H2251" s="6">
        <f>IF(F2251="GO",Eingaben!$B$11,IF(F2251="STANDARD",Eingaben!$B$12,IF(AND(F2251="HEAT",ISNUMBER(Eingaben!$B$13)),Eingaben!$B$13,"")))</f>
        <v>28.2744</v>
      </c>
      <c r="I2251" s="6">
        <f>INDEX(Netzzeiten!$C$6:$C$29,HOUR(B2251)+1)</f>
        <v>5.48</v>
      </c>
      <c r="J2251" t="str">
        <f>IF(C2251="","FEHLT",IF(NOT(ISNUMBER(C2251)),"MESSWERT UNGUELTIG",IF(C2251&lt;0,"MESSWERT UNGUELTIG",IF(H2251="","TARIFPREIS FEHLT","OK"))))</f>
        <v>FEHLT</v>
      </c>
      <c r="K2251" s="7">
        <f>IF(J2251&lt;&gt;"OK","",C2251*I2251/100)</f>
        <v/>
      </c>
    </row>
    <row r="2252" spans="1:11">
      <c r="A2252" s="14">
        <v>46166</v>
      </c>
      <c r="B2252" s="15">
        <v>0.3958333333333333</v>
      </c>
      <c r="C2252" s="5">
        <f>IF('96 Werte'!AN29="","",'96 Werte'!AN29)</f>
        <v/>
      </c>
      <c r="D2252" t="str">
        <f>IF(IF(Eingaben!$B$21&lt;Eingaben!$B$22,AND(B2252&gt;=Eingaben!$B$21,B2252&lt;Eingaben!$B$22),OR(B2252&gt;=Eingaben!$B$21,B2252&lt;Eingaben!$B$22)),"GO",IF(AND(ISNUMBER(Eingaben!$B$23),ISNUMBER(Eingaben!$B$24),IF(Eingaben!$B$23&lt;Eingaben!$B$24,AND(B2252&gt;=Eingaben!$B$23,B2252&lt;Eingaben!$B$24),OR(B2252&gt;=Eingaben!$B$23,B2252&lt;Eingaben!$B$24))),"HEAT","STANDARD"))</f>
        <v>STANDARD</v>
      </c>
      <c r="E2252" s="9"/>
      <c r="F2252" t="str">
        <f>IF(E2252="",D2252,E2252)</f>
        <v>STANDARD</v>
      </c>
      <c r="G2252" t="str">
        <f>INDEX(Netzzeiten!$B$6:$B$29,HOUR(B2252)+1)</f>
        <v>ST</v>
      </c>
      <c r="H2252" s="6">
        <f>IF(F2252="GO",Eingaben!$B$11,IF(F2252="STANDARD",Eingaben!$B$12,IF(AND(F2252="HEAT",ISNUMBER(Eingaben!$B$13)),Eingaben!$B$13,"")))</f>
        <v>28.2744</v>
      </c>
      <c r="I2252" s="6">
        <f>INDEX(Netzzeiten!$C$6:$C$29,HOUR(B2252)+1)</f>
        <v>5.48</v>
      </c>
      <c r="J2252" t="str">
        <f>IF(C2252="","FEHLT",IF(NOT(ISNUMBER(C2252)),"MESSWERT UNGUELTIG",IF(C2252&lt;0,"MESSWERT UNGUELTIG",IF(H2252="","TARIFPREIS FEHLT","OK"))))</f>
        <v>FEHLT</v>
      </c>
      <c r="K2252" s="7">
        <f>IF(J2252&lt;&gt;"OK","",C2252*I2252/100)</f>
        <v/>
      </c>
    </row>
    <row r="2253" spans="1:11">
      <c r="A2253" s="14">
        <v>46166</v>
      </c>
      <c r="B2253" s="15">
        <v>0.40625</v>
      </c>
      <c r="C2253" s="5">
        <f>IF('96 Werte'!AO29="","",'96 Werte'!AO29)</f>
        <v/>
      </c>
      <c r="D2253" t="str">
        <f>IF(IF(Eingaben!$B$21&lt;Eingaben!$B$22,AND(B2253&gt;=Eingaben!$B$21,B2253&lt;Eingaben!$B$22),OR(B2253&gt;=Eingaben!$B$21,B2253&lt;Eingaben!$B$22)),"GO",IF(AND(ISNUMBER(Eingaben!$B$23),ISNUMBER(Eingaben!$B$24),IF(Eingaben!$B$23&lt;Eingaben!$B$24,AND(B2253&gt;=Eingaben!$B$23,B2253&lt;Eingaben!$B$24),OR(B2253&gt;=Eingaben!$B$23,B2253&lt;Eingaben!$B$24))),"HEAT","STANDARD"))</f>
        <v>STANDARD</v>
      </c>
      <c r="E2253" s="9"/>
      <c r="F2253" t="str">
        <f>IF(E2253="",D2253,E2253)</f>
        <v>STANDARD</v>
      </c>
      <c r="G2253" t="str">
        <f>INDEX(Netzzeiten!$B$6:$B$29,HOUR(B2253)+1)</f>
        <v>ST</v>
      </c>
      <c r="H2253" s="6">
        <f>IF(F2253="GO",Eingaben!$B$11,IF(F2253="STANDARD",Eingaben!$B$12,IF(AND(F2253="HEAT",ISNUMBER(Eingaben!$B$13)),Eingaben!$B$13,"")))</f>
        <v>28.2744</v>
      </c>
      <c r="I2253" s="6">
        <f>INDEX(Netzzeiten!$C$6:$C$29,HOUR(B2253)+1)</f>
        <v>5.48</v>
      </c>
      <c r="J2253" t="str">
        <f>IF(C2253="","FEHLT",IF(NOT(ISNUMBER(C2253)),"MESSWERT UNGUELTIG",IF(C2253&lt;0,"MESSWERT UNGUELTIG",IF(H2253="","TARIFPREIS FEHLT","OK"))))</f>
        <v>FEHLT</v>
      </c>
      <c r="K2253" s="7">
        <f>IF(J2253&lt;&gt;"OK","",C2253*I2253/100)</f>
        <v/>
      </c>
    </row>
    <row r="2254" spans="1:11">
      <c r="A2254" s="14">
        <v>46166</v>
      </c>
      <c r="B2254" s="15">
        <v>0.4166666666666667</v>
      </c>
      <c r="C2254" s="5">
        <f>IF('96 Werte'!AP29="","",'96 Werte'!AP29)</f>
        <v/>
      </c>
      <c r="D2254" t="str">
        <f>IF(IF(Eingaben!$B$21&lt;Eingaben!$B$22,AND(B2254&gt;=Eingaben!$B$21,B2254&lt;Eingaben!$B$22),OR(B2254&gt;=Eingaben!$B$21,B2254&lt;Eingaben!$B$22)),"GO",IF(AND(ISNUMBER(Eingaben!$B$23),ISNUMBER(Eingaben!$B$24),IF(Eingaben!$B$23&lt;Eingaben!$B$24,AND(B2254&gt;=Eingaben!$B$23,B2254&lt;Eingaben!$B$24),OR(B2254&gt;=Eingaben!$B$23,B2254&lt;Eingaben!$B$24))),"HEAT","STANDARD"))</f>
        <v>STANDARD</v>
      </c>
      <c r="E2254" s="9"/>
      <c r="F2254" t="str">
        <f>IF(E2254="",D2254,E2254)</f>
        <v>STANDARD</v>
      </c>
      <c r="G2254" t="str">
        <f>INDEX(Netzzeiten!$B$6:$B$29,HOUR(B2254)+1)</f>
        <v>ST</v>
      </c>
      <c r="H2254" s="6">
        <f>IF(F2254="GO",Eingaben!$B$11,IF(F2254="STANDARD",Eingaben!$B$12,IF(AND(F2254="HEAT",ISNUMBER(Eingaben!$B$13)),Eingaben!$B$13,"")))</f>
        <v>28.2744</v>
      </c>
      <c r="I2254" s="6">
        <f>INDEX(Netzzeiten!$C$6:$C$29,HOUR(B2254)+1)</f>
        <v>5.48</v>
      </c>
      <c r="J2254" t="str">
        <f>IF(C2254="","FEHLT",IF(NOT(ISNUMBER(C2254)),"MESSWERT UNGUELTIG",IF(C2254&lt;0,"MESSWERT UNGUELTIG",IF(H2254="","TARIFPREIS FEHLT","OK"))))</f>
        <v>FEHLT</v>
      </c>
      <c r="K2254" s="7">
        <f>IF(J2254&lt;&gt;"OK","",C2254*I2254/100)</f>
        <v/>
      </c>
    </row>
    <row r="2255" spans="1:11">
      <c r="A2255" s="14">
        <v>46166</v>
      </c>
      <c r="B2255" s="15">
        <v>0.4270833333333333</v>
      </c>
      <c r="C2255" s="5">
        <f>IF('96 Werte'!AQ29="","",'96 Werte'!AQ29)</f>
        <v/>
      </c>
      <c r="D2255" t="str">
        <f>IF(IF(Eingaben!$B$21&lt;Eingaben!$B$22,AND(B2255&gt;=Eingaben!$B$21,B2255&lt;Eingaben!$B$22),OR(B2255&gt;=Eingaben!$B$21,B2255&lt;Eingaben!$B$22)),"GO",IF(AND(ISNUMBER(Eingaben!$B$23),ISNUMBER(Eingaben!$B$24),IF(Eingaben!$B$23&lt;Eingaben!$B$24,AND(B2255&gt;=Eingaben!$B$23,B2255&lt;Eingaben!$B$24),OR(B2255&gt;=Eingaben!$B$23,B2255&lt;Eingaben!$B$24))),"HEAT","STANDARD"))</f>
        <v>STANDARD</v>
      </c>
      <c r="E2255" s="9"/>
      <c r="F2255" t="str">
        <f>IF(E2255="",D2255,E2255)</f>
        <v>STANDARD</v>
      </c>
      <c r="G2255" t="str">
        <f>INDEX(Netzzeiten!$B$6:$B$29,HOUR(B2255)+1)</f>
        <v>ST</v>
      </c>
      <c r="H2255" s="6">
        <f>IF(F2255="GO",Eingaben!$B$11,IF(F2255="STANDARD",Eingaben!$B$12,IF(AND(F2255="HEAT",ISNUMBER(Eingaben!$B$13)),Eingaben!$B$13,"")))</f>
        <v>28.2744</v>
      </c>
      <c r="I2255" s="6">
        <f>INDEX(Netzzeiten!$C$6:$C$29,HOUR(B2255)+1)</f>
        <v>5.48</v>
      </c>
      <c r="J2255" t="str">
        <f>IF(C2255="","FEHLT",IF(NOT(ISNUMBER(C2255)),"MESSWERT UNGUELTIG",IF(C2255&lt;0,"MESSWERT UNGUELTIG",IF(H2255="","TARIFPREIS FEHLT","OK"))))</f>
        <v>FEHLT</v>
      </c>
      <c r="K2255" s="7">
        <f>IF(J2255&lt;&gt;"OK","",C2255*I2255/100)</f>
        <v/>
      </c>
    </row>
    <row r="2256" spans="1:11">
      <c r="A2256" s="14">
        <v>46166</v>
      </c>
      <c r="B2256" s="15">
        <v>0.4375</v>
      </c>
      <c r="C2256" s="5">
        <f>IF('96 Werte'!AR29="","",'96 Werte'!AR29)</f>
        <v/>
      </c>
      <c r="D2256" t="str">
        <f>IF(IF(Eingaben!$B$21&lt;Eingaben!$B$22,AND(B2256&gt;=Eingaben!$B$21,B2256&lt;Eingaben!$B$22),OR(B2256&gt;=Eingaben!$B$21,B2256&lt;Eingaben!$B$22)),"GO",IF(AND(ISNUMBER(Eingaben!$B$23),ISNUMBER(Eingaben!$B$24),IF(Eingaben!$B$23&lt;Eingaben!$B$24,AND(B2256&gt;=Eingaben!$B$23,B2256&lt;Eingaben!$B$24),OR(B2256&gt;=Eingaben!$B$23,B2256&lt;Eingaben!$B$24))),"HEAT","STANDARD"))</f>
        <v>STANDARD</v>
      </c>
      <c r="E2256" s="9"/>
      <c r="F2256" t="str">
        <f>IF(E2256="",D2256,E2256)</f>
        <v>STANDARD</v>
      </c>
      <c r="G2256" t="str">
        <f>INDEX(Netzzeiten!$B$6:$B$29,HOUR(B2256)+1)</f>
        <v>ST</v>
      </c>
      <c r="H2256" s="6">
        <f>IF(F2256="GO",Eingaben!$B$11,IF(F2256="STANDARD",Eingaben!$B$12,IF(AND(F2256="HEAT",ISNUMBER(Eingaben!$B$13)),Eingaben!$B$13,"")))</f>
        <v>28.2744</v>
      </c>
      <c r="I2256" s="6">
        <f>INDEX(Netzzeiten!$C$6:$C$29,HOUR(B2256)+1)</f>
        <v>5.48</v>
      </c>
      <c r="J2256" t="str">
        <f>IF(C2256="","FEHLT",IF(NOT(ISNUMBER(C2256)),"MESSWERT UNGUELTIG",IF(C2256&lt;0,"MESSWERT UNGUELTIG",IF(H2256="","TARIFPREIS FEHLT","OK"))))</f>
        <v>FEHLT</v>
      </c>
      <c r="K2256" s="7">
        <f>IF(J2256&lt;&gt;"OK","",C2256*I2256/100)</f>
        <v/>
      </c>
    </row>
    <row r="2257" spans="1:11">
      <c r="A2257" s="14">
        <v>46166</v>
      </c>
      <c r="B2257" s="15">
        <v>0.4479166666666667</v>
      </c>
      <c r="C2257" s="5">
        <f>IF('96 Werte'!AS29="","",'96 Werte'!AS29)</f>
        <v/>
      </c>
      <c r="D2257" t="str">
        <f>IF(IF(Eingaben!$B$21&lt;Eingaben!$B$22,AND(B2257&gt;=Eingaben!$B$21,B2257&lt;Eingaben!$B$22),OR(B2257&gt;=Eingaben!$B$21,B2257&lt;Eingaben!$B$22)),"GO",IF(AND(ISNUMBER(Eingaben!$B$23),ISNUMBER(Eingaben!$B$24),IF(Eingaben!$B$23&lt;Eingaben!$B$24,AND(B2257&gt;=Eingaben!$B$23,B2257&lt;Eingaben!$B$24),OR(B2257&gt;=Eingaben!$B$23,B2257&lt;Eingaben!$B$24))),"HEAT","STANDARD"))</f>
        <v>STANDARD</v>
      </c>
      <c r="E2257" s="9"/>
      <c r="F2257" t="str">
        <f>IF(E2257="",D2257,E2257)</f>
        <v>STANDARD</v>
      </c>
      <c r="G2257" t="str">
        <f>INDEX(Netzzeiten!$B$6:$B$29,HOUR(B2257)+1)</f>
        <v>ST</v>
      </c>
      <c r="H2257" s="6">
        <f>IF(F2257="GO",Eingaben!$B$11,IF(F2257="STANDARD",Eingaben!$B$12,IF(AND(F2257="HEAT",ISNUMBER(Eingaben!$B$13)),Eingaben!$B$13,"")))</f>
        <v>28.2744</v>
      </c>
      <c r="I2257" s="6">
        <f>INDEX(Netzzeiten!$C$6:$C$29,HOUR(B2257)+1)</f>
        <v>5.48</v>
      </c>
      <c r="J2257" t="str">
        <f>IF(C2257="","FEHLT",IF(NOT(ISNUMBER(C2257)),"MESSWERT UNGUELTIG",IF(C2257&lt;0,"MESSWERT UNGUELTIG",IF(H2257="","TARIFPREIS FEHLT","OK"))))</f>
        <v>FEHLT</v>
      </c>
      <c r="K2257" s="7">
        <f>IF(J2257&lt;&gt;"OK","",C2257*I2257/100)</f>
        <v/>
      </c>
    </row>
    <row r="2258" spans="1:11">
      <c r="A2258" s="14">
        <v>46166</v>
      </c>
      <c r="B2258" s="15">
        <v>0.4583333333333333</v>
      </c>
      <c r="C2258" s="5">
        <f>IF('96 Werte'!AT29="","",'96 Werte'!AT29)</f>
        <v/>
      </c>
      <c r="D2258" t="str">
        <f>IF(IF(Eingaben!$B$21&lt;Eingaben!$B$22,AND(B2258&gt;=Eingaben!$B$21,B2258&lt;Eingaben!$B$22),OR(B2258&gt;=Eingaben!$B$21,B2258&lt;Eingaben!$B$22)),"GO",IF(AND(ISNUMBER(Eingaben!$B$23),ISNUMBER(Eingaben!$B$24),IF(Eingaben!$B$23&lt;Eingaben!$B$24,AND(B2258&gt;=Eingaben!$B$23,B2258&lt;Eingaben!$B$24),OR(B2258&gt;=Eingaben!$B$23,B2258&lt;Eingaben!$B$24))),"HEAT","STANDARD"))</f>
        <v>STANDARD</v>
      </c>
      <c r="E2258" s="9"/>
      <c r="F2258" t="str">
        <f>IF(E2258="",D2258,E2258)</f>
        <v>STANDARD</v>
      </c>
      <c r="G2258" t="str">
        <f>INDEX(Netzzeiten!$B$6:$B$29,HOUR(B2258)+1)</f>
        <v>NT</v>
      </c>
      <c r="H2258" s="6">
        <f>IF(F2258="GO",Eingaben!$B$11,IF(F2258="STANDARD",Eingaben!$B$12,IF(AND(F2258="HEAT",ISNUMBER(Eingaben!$B$13)),Eingaben!$B$13,"")))</f>
        <v>28.2744</v>
      </c>
      <c r="I2258" s="6">
        <f>INDEX(Netzzeiten!$C$6:$C$29,HOUR(B2258)+1)</f>
        <v>1.64</v>
      </c>
      <c r="J2258" t="str">
        <f>IF(C2258="","FEHLT",IF(NOT(ISNUMBER(C2258)),"MESSWERT UNGUELTIG",IF(C2258&lt;0,"MESSWERT UNGUELTIG",IF(H2258="","TARIFPREIS FEHLT","OK"))))</f>
        <v>FEHLT</v>
      </c>
      <c r="K2258" s="7">
        <f>IF(J2258&lt;&gt;"OK","",C2258*I2258/100)</f>
        <v/>
      </c>
    </row>
    <row r="2259" spans="1:11">
      <c r="A2259" s="14">
        <v>46166</v>
      </c>
      <c r="B2259" s="15">
        <v>0.46875</v>
      </c>
      <c r="C2259" s="5">
        <f>IF('96 Werte'!AU29="","",'96 Werte'!AU29)</f>
        <v/>
      </c>
      <c r="D2259" t="str">
        <f>IF(IF(Eingaben!$B$21&lt;Eingaben!$B$22,AND(B2259&gt;=Eingaben!$B$21,B2259&lt;Eingaben!$B$22),OR(B2259&gt;=Eingaben!$B$21,B2259&lt;Eingaben!$B$22)),"GO",IF(AND(ISNUMBER(Eingaben!$B$23),ISNUMBER(Eingaben!$B$24),IF(Eingaben!$B$23&lt;Eingaben!$B$24,AND(B2259&gt;=Eingaben!$B$23,B2259&lt;Eingaben!$B$24),OR(B2259&gt;=Eingaben!$B$23,B2259&lt;Eingaben!$B$24))),"HEAT","STANDARD"))</f>
        <v>STANDARD</v>
      </c>
      <c r="E2259" s="9"/>
      <c r="F2259" t="str">
        <f>IF(E2259="",D2259,E2259)</f>
        <v>STANDARD</v>
      </c>
      <c r="G2259" t="str">
        <f>INDEX(Netzzeiten!$B$6:$B$29,HOUR(B2259)+1)</f>
        <v>NT</v>
      </c>
      <c r="H2259" s="6">
        <f>IF(F2259="GO",Eingaben!$B$11,IF(F2259="STANDARD",Eingaben!$B$12,IF(AND(F2259="HEAT",ISNUMBER(Eingaben!$B$13)),Eingaben!$B$13,"")))</f>
        <v>28.2744</v>
      </c>
      <c r="I2259" s="6">
        <f>INDEX(Netzzeiten!$C$6:$C$29,HOUR(B2259)+1)</f>
        <v>1.64</v>
      </c>
      <c r="J2259" t="str">
        <f>IF(C2259="","FEHLT",IF(NOT(ISNUMBER(C2259)),"MESSWERT UNGUELTIG",IF(C2259&lt;0,"MESSWERT UNGUELTIG",IF(H2259="","TARIFPREIS FEHLT","OK"))))</f>
        <v>FEHLT</v>
      </c>
      <c r="K2259" s="7">
        <f>IF(J2259&lt;&gt;"OK","",C2259*I2259/100)</f>
        <v/>
      </c>
    </row>
    <row r="2260" spans="1:11">
      <c r="A2260" s="14">
        <v>46166</v>
      </c>
      <c r="B2260" s="15">
        <v>0.4791666666666667</v>
      </c>
      <c r="C2260" s="5">
        <f>IF('96 Werte'!AV29="","",'96 Werte'!AV29)</f>
        <v/>
      </c>
      <c r="D2260" t="str">
        <f>IF(IF(Eingaben!$B$21&lt;Eingaben!$B$22,AND(B2260&gt;=Eingaben!$B$21,B2260&lt;Eingaben!$B$22),OR(B2260&gt;=Eingaben!$B$21,B2260&lt;Eingaben!$B$22)),"GO",IF(AND(ISNUMBER(Eingaben!$B$23),ISNUMBER(Eingaben!$B$24),IF(Eingaben!$B$23&lt;Eingaben!$B$24,AND(B2260&gt;=Eingaben!$B$23,B2260&lt;Eingaben!$B$24),OR(B2260&gt;=Eingaben!$B$23,B2260&lt;Eingaben!$B$24))),"HEAT","STANDARD"))</f>
        <v>STANDARD</v>
      </c>
      <c r="E2260" s="9"/>
      <c r="F2260" t="str">
        <f>IF(E2260="",D2260,E2260)</f>
        <v>STANDARD</v>
      </c>
      <c r="G2260" t="str">
        <f>INDEX(Netzzeiten!$B$6:$B$29,HOUR(B2260)+1)</f>
        <v>NT</v>
      </c>
      <c r="H2260" s="6">
        <f>IF(F2260="GO",Eingaben!$B$11,IF(F2260="STANDARD",Eingaben!$B$12,IF(AND(F2260="HEAT",ISNUMBER(Eingaben!$B$13)),Eingaben!$B$13,"")))</f>
        <v>28.2744</v>
      </c>
      <c r="I2260" s="6">
        <f>INDEX(Netzzeiten!$C$6:$C$29,HOUR(B2260)+1)</f>
        <v>1.64</v>
      </c>
      <c r="J2260" t="str">
        <f>IF(C2260="","FEHLT",IF(NOT(ISNUMBER(C2260)),"MESSWERT UNGUELTIG",IF(C2260&lt;0,"MESSWERT UNGUELTIG",IF(H2260="","TARIFPREIS FEHLT","OK"))))</f>
        <v>FEHLT</v>
      </c>
      <c r="K2260" s="7">
        <f>IF(J2260&lt;&gt;"OK","",C2260*I2260/100)</f>
        <v/>
      </c>
    </row>
    <row r="2261" spans="1:11">
      <c r="A2261" s="14">
        <v>46166</v>
      </c>
      <c r="B2261" s="15">
        <v>0.4895833333333333</v>
      </c>
      <c r="C2261" s="5">
        <f>IF('96 Werte'!AW29="","",'96 Werte'!AW29)</f>
        <v/>
      </c>
      <c r="D2261" t="str">
        <f>IF(IF(Eingaben!$B$21&lt;Eingaben!$B$22,AND(B2261&gt;=Eingaben!$B$21,B2261&lt;Eingaben!$B$22),OR(B2261&gt;=Eingaben!$B$21,B2261&lt;Eingaben!$B$22)),"GO",IF(AND(ISNUMBER(Eingaben!$B$23),ISNUMBER(Eingaben!$B$24),IF(Eingaben!$B$23&lt;Eingaben!$B$24,AND(B2261&gt;=Eingaben!$B$23,B2261&lt;Eingaben!$B$24),OR(B2261&gt;=Eingaben!$B$23,B2261&lt;Eingaben!$B$24))),"HEAT","STANDARD"))</f>
        <v>STANDARD</v>
      </c>
      <c r="E2261" s="9"/>
      <c r="F2261" t="str">
        <f>IF(E2261="",D2261,E2261)</f>
        <v>STANDARD</v>
      </c>
      <c r="G2261" t="str">
        <f>INDEX(Netzzeiten!$B$6:$B$29,HOUR(B2261)+1)</f>
        <v>NT</v>
      </c>
      <c r="H2261" s="6">
        <f>IF(F2261="GO",Eingaben!$B$11,IF(F2261="STANDARD",Eingaben!$B$12,IF(AND(F2261="HEAT",ISNUMBER(Eingaben!$B$13)),Eingaben!$B$13,"")))</f>
        <v>28.2744</v>
      </c>
      <c r="I2261" s="6">
        <f>INDEX(Netzzeiten!$C$6:$C$29,HOUR(B2261)+1)</f>
        <v>1.64</v>
      </c>
      <c r="J2261" t="str">
        <f>IF(C2261="","FEHLT",IF(NOT(ISNUMBER(C2261)),"MESSWERT UNGUELTIG",IF(C2261&lt;0,"MESSWERT UNGUELTIG",IF(H2261="","TARIFPREIS FEHLT","OK"))))</f>
        <v>FEHLT</v>
      </c>
      <c r="K2261" s="7">
        <f>IF(J2261&lt;&gt;"OK","",C2261*I2261/100)</f>
        <v/>
      </c>
    </row>
    <row r="2262" spans="1:11">
      <c r="A2262" s="14">
        <v>46166</v>
      </c>
      <c r="B2262" s="15">
        <v>0.5</v>
      </c>
      <c r="C2262" s="5">
        <f>IF('96 Werte'!AX29="","",'96 Werte'!AX29)</f>
        <v/>
      </c>
      <c r="D2262" t="str">
        <f>IF(IF(Eingaben!$B$21&lt;Eingaben!$B$22,AND(B2262&gt;=Eingaben!$B$21,B2262&lt;Eingaben!$B$22),OR(B2262&gt;=Eingaben!$B$21,B2262&lt;Eingaben!$B$22)),"GO",IF(AND(ISNUMBER(Eingaben!$B$23),ISNUMBER(Eingaben!$B$24),IF(Eingaben!$B$23&lt;Eingaben!$B$24,AND(B2262&gt;=Eingaben!$B$23,B2262&lt;Eingaben!$B$24),OR(B2262&gt;=Eingaben!$B$23,B2262&lt;Eingaben!$B$24))),"HEAT","STANDARD"))</f>
        <v>STANDARD</v>
      </c>
      <c r="E2262" s="9"/>
      <c r="F2262" t="str">
        <f>IF(E2262="",D2262,E2262)</f>
        <v>STANDARD</v>
      </c>
      <c r="G2262" t="str">
        <f>INDEX(Netzzeiten!$B$6:$B$29,HOUR(B2262)+1)</f>
        <v>NT</v>
      </c>
      <c r="H2262" s="6">
        <f>IF(F2262="GO",Eingaben!$B$11,IF(F2262="STANDARD",Eingaben!$B$12,IF(AND(F2262="HEAT",ISNUMBER(Eingaben!$B$13)),Eingaben!$B$13,"")))</f>
        <v>28.2744</v>
      </c>
      <c r="I2262" s="6">
        <f>INDEX(Netzzeiten!$C$6:$C$29,HOUR(B2262)+1)</f>
        <v>1.64</v>
      </c>
      <c r="J2262" t="str">
        <f>IF(C2262="","FEHLT",IF(NOT(ISNUMBER(C2262)),"MESSWERT UNGUELTIG",IF(C2262&lt;0,"MESSWERT UNGUELTIG",IF(H2262="","TARIFPREIS FEHLT","OK"))))</f>
        <v>FEHLT</v>
      </c>
      <c r="K2262" s="7">
        <f>IF(J2262&lt;&gt;"OK","",C2262*I2262/100)</f>
        <v/>
      </c>
    </row>
    <row r="2263" spans="1:11">
      <c r="A2263" s="14">
        <v>46166</v>
      </c>
      <c r="B2263" s="15">
        <v>0.5104166666666666</v>
      </c>
      <c r="C2263" s="5">
        <f>IF('96 Werte'!AY29="","",'96 Werte'!AY29)</f>
        <v/>
      </c>
      <c r="D2263" t="str">
        <f>IF(IF(Eingaben!$B$21&lt;Eingaben!$B$22,AND(B2263&gt;=Eingaben!$B$21,B2263&lt;Eingaben!$B$22),OR(B2263&gt;=Eingaben!$B$21,B2263&lt;Eingaben!$B$22)),"GO",IF(AND(ISNUMBER(Eingaben!$B$23),ISNUMBER(Eingaben!$B$24),IF(Eingaben!$B$23&lt;Eingaben!$B$24,AND(B2263&gt;=Eingaben!$B$23,B2263&lt;Eingaben!$B$24),OR(B2263&gt;=Eingaben!$B$23,B2263&lt;Eingaben!$B$24))),"HEAT","STANDARD"))</f>
        <v>STANDARD</v>
      </c>
      <c r="E2263" s="9"/>
      <c r="F2263" t="str">
        <f>IF(E2263="",D2263,E2263)</f>
        <v>STANDARD</v>
      </c>
      <c r="G2263" t="str">
        <f>INDEX(Netzzeiten!$B$6:$B$29,HOUR(B2263)+1)</f>
        <v>NT</v>
      </c>
      <c r="H2263" s="6">
        <f>IF(F2263="GO",Eingaben!$B$11,IF(F2263="STANDARD",Eingaben!$B$12,IF(AND(F2263="HEAT",ISNUMBER(Eingaben!$B$13)),Eingaben!$B$13,"")))</f>
        <v>28.2744</v>
      </c>
      <c r="I2263" s="6">
        <f>INDEX(Netzzeiten!$C$6:$C$29,HOUR(B2263)+1)</f>
        <v>1.64</v>
      </c>
      <c r="J2263" t="str">
        <f>IF(C2263="","FEHLT",IF(NOT(ISNUMBER(C2263)),"MESSWERT UNGUELTIG",IF(C2263&lt;0,"MESSWERT UNGUELTIG",IF(H2263="","TARIFPREIS FEHLT","OK"))))</f>
        <v>FEHLT</v>
      </c>
      <c r="K2263" s="7">
        <f>IF(J2263&lt;&gt;"OK","",C2263*I2263/100)</f>
        <v/>
      </c>
    </row>
    <row r="2264" spans="1:11">
      <c r="A2264" s="14">
        <v>46166</v>
      </c>
      <c r="B2264" s="15">
        <v>0.5208333333333334</v>
      </c>
      <c r="C2264" s="5">
        <f>IF('96 Werte'!AZ29="","",'96 Werte'!AZ29)</f>
        <v/>
      </c>
      <c r="D2264" t="str">
        <f>IF(IF(Eingaben!$B$21&lt;Eingaben!$B$22,AND(B2264&gt;=Eingaben!$B$21,B2264&lt;Eingaben!$B$22),OR(B2264&gt;=Eingaben!$B$21,B2264&lt;Eingaben!$B$22)),"GO",IF(AND(ISNUMBER(Eingaben!$B$23),ISNUMBER(Eingaben!$B$24),IF(Eingaben!$B$23&lt;Eingaben!$B$24,AND(B2264&gt;=Eingaben!$B$23,B2264&lt;Eingaben!$B$24),OR(B2264&gt;=Eingaben!$B$23,B2264&lt;Eingaben!$B$24))),"HEAT","STANDARD"))</f>
        <v>STANDARD</v>
      </c>
      <c r="E2264" s="9"/>
      <c r="F2264" t="str">
        <f>IF(E2264="",D2264,E2264)</f>
        <v>STANDARD</v>
      </c>
      <c r="G2264" t="str">
        <f>INDEX(Netzzeiten!$B$6:$B$29,HOUR(B2264)+1)</f>
        <v>NT</v>
      </c>
      <c r="H2264" s="6">
        <f>IF(F2264="GO",Eingaben!$B$11,IF(F2264="STANDARD",Eingaben!$B$12,IF(AND(F2264="HEAT",ISNUMBER(Eingaben!$B$13)),Eingaben!$B$13,"")))</f>
        <v>28.2744</v>
      </c>
      <c r="I2264" s="6">
        <f>INDEX(Netzzeiten!$C$6:$C$29,HOUR(B2264)+1)</f>
        <v>1.64</v>
      </c>
      <c r="J2264" t="str">
        <f>IF(C2264="","FEHLT",IF(NOT(ISNUMBER(C2264)),"MESSWERT UNGUELTIG",IF(C2264&lt;0,"MESSWERT UNGUELTIG",IF(H2264="","TARIFPREIS FEHLT","OK"))))</f>
        <v>FEHLT</v>
      </c>
      <c r="K2264" s="7">
        <f>IF(J2264&lt;&gt;"OK","",C2264*I2264/100)</f>
        <v/>
      </c>
    </row>
    <row r="2265" spans="1:11">
      <c r="A2265" s="14">
        <v>46166</v>
      </c>
      <c r="B2265" s="15">
        <v>0.53125</v>
      </c>
      <c r="C2265" s="5">
        <f>IF('96 Werte'!BA29="","",'96 Werte'!BA29)</f>
        <v/>
      </c>
      <c r="D2265" t="str">
        <f>IF(IF(Eingaben!$B$21&lt;Eingaben!$B$22,AND(B2265&gt;=Eingaben!$B$21,B2265&lt;Eingaben!$B$22),OR(B2265&gt;=Eingaben!$B$21,B2265&lt;Eingaben!$B$22)),"GO",IF(AND(ISNUMBER(Eingaben!$B$23),ISNUMBER(Eingaben!$B$24),IF(Eingaben!$B$23&lt;Eingaben!$B$24,AND(B2265&gt;=Eingaben!$B$23,B2265&lt;Eingaben!$B$24),OR(B2265&gt;=Eingaben!$B$23,B2265&lt;Eingaben!$B$24))),"HEAT","STANDARD"))</f>
        <v>STANDARD</v>
      </c>
      <c r="E2265" s="9"/>
      <c r="F2265" t="str">
        <f>IF(E2265="",D2265,E2265)</f>
        <v>STANDARD</v>
      </c>
      <c r="G2265" t="str">
        <f>INDEX(Netzzeiten!$B$6:$B$29,HOUR(B2265)+1)</f>
        <v>NT</v>
      </c>
      <c r="H2265" s="6">
        <f>IF(F2265="GO",Eingaben!$B$11,IF(F2265="STANDARD",Eingaben!$B$12,IF(AND(F2265="HEAT",ISNUMBER(Eingaben!$B$13)),Eingaben!$B$13,"")))</f>
        <v>28.2744</v>
      </c>
      <c r="I2265" s="6">
        <f>INDEX(Netzzeiten!$C$6:$C$29,HOUR(B2265)+1)</f>
        <v>1.64</v>
      </c>
      <c r="J2265" t="str">
        <f>IF(C2265="","FEHLT",IF(NOT(ISNUMBER(C2265)),"MESSWERT UNGUELTIG",IF(C2265&lt;0,"MESSWERT UNGUELTIG",IF(H2265="","TARIFPREIS FEHLT","OK"))))</f>
        <v>FEHLT</v>
      </c>
      <c r="K2265" s="7">
        <f>IF(J2265&lt;&gt;"OK","",C2265*I2265/100)</f>
        <v/>
      </c>
    </row>
    <row r="2266" spans="1:11">
      <c r="A2266" s="14">
        <v>46166</v>
      </c>
      <c r="B2266" s="15">
        <v>0.5416666666666666</v>
      </c>
      <c r="C2266" s="5">
        <f>IF('96 Werte'!BB29="","",'96 Werte'!BB29)</f>
        <v/>
      </c>
      <c r="D2266" t="str">
        <f>IF(IF(Eingaben!$B$21&lt;Eingaben!$B$22,AND(B2266&gt;=Eingaben!$B$21,B2266&lt;Eingaben!$B$22),OR(B2266&gt;=Eingaben!$B$21,B2266&lt;Eingaben!$B$22)),"GO",IF(AND(ISNUMBER(Eingaben!$B$23),ISNUMBER(Eingaben!$B$24),IF(Eingaben!$B$23&lt;Eingaben!$B$24,AND(B2266&gt;=Eingaben!$B$23,B2266&lt;Eingaben!$B$24),OR(B2266&gt;=Eingaben!$B$23,B2266&lt;Eingaben!$B$24))),"HEAT","STANDARD"))</f>
        <v>STANDARD</v>
      </c>
      <c r="E2266" s="9"/>
      <c r="F2266" t="str">
        <f>IF(E2266="",D2266,E2266)</f>
        <v>STANDARD</v>
      </c>
      <c r="G2266" t="str">
        <f>INDEX(Netzzeiten!$B$6:$B$29,HOUR(B2266)+1)</f>
        <v>NT</v>
      </c>
      <c r="H2266" s="6">
        <f>IF(F2266="GO",Eingaben!$B$11,IF(F2266="STANDARD",Eingaben!$B$12,IF(AND(F2266="HEAT",ISNUMBER(Eingaben!$B$13)),Eingaben!$B$13,"")))</f>
        <v>28.2744</v>
      </c>
      <c r="I2266" s="6">
        <f>INDEX(Netzzeiten!$C$6:$C$29,HOUR(B2266)+1)</f>
        <v>1.64</v>
      </c>
      <c r="J2266" t="str">
        <f>IF(C2266="","FEHLT",IF(NOT(ISNUMBER(C2266)),"MESSWERT UNGUELTIG",IF(C2266&lt;0,"MESSWERT UNGUELTIG",IF(H2266="","TARIFPREIS FEHLT","OK"))))</f>
        <v>FEHLT</v>
      </c>
      <c r="K2266" s="7">
        <f>IF(J2266&lt;&gt;"OK","",C2266*I2266/100)</f>
        <v/>
      </c>
    </row>
    <row r="2267" spans="1:11">
      <c r="A2267" s="14">
        <v>46166</v>
      </c>
      <c r="B2267" s="15">
        <v>0.5520833333333334</v>
      </c>
      <c r="C2267" s="5">
        <f>IF('96 Werte'!BC29="","",'96 Werte'!BC29)</f>
        <v/>
      </c>
      <c r="D2267" t="str">
        <f>IF(IF(Eingaben!$B$21&lt;Eingaben!$B$22,AND(B2267&gt;=Eingaben!$B$21,B2267&lt;Eingaben!$B$22),OR(B2267&gt;=Eingaben!$B$21,B2267&lt;Eingaben!$B$22)),"GO",IF(AND(ISNUMBER(Eingaben!$B$23),ISNUMBER(Eingaben!$B$24),IF(Eingaben!$B$23&lt;Eingaben!$B$24,AND(B2267&gt;=Eingaben!$B$23,B2267&lt;Eingaben!$B$24),OR(B2267&gt;=Eingaben!$B$23,B2267&lt;Eingaben!$B$24))),"HEAT","STANDARD"))</f>
        <v>STANDARD</v>
      </c>
      <c r="E2267" s="9"/>
      <c r="F2267" t="str">
        <f>IF(E2267="",D2267,E2267)</f>
        <v>STANDARD</v>
      </c>
      <c r="G2267" t="str">
        <f>INDEX(Netzzeiten!$B$6:$B$29,HOUR(B2267)+1)</f>
        <v>NT</v>
      </c>
      <c r="H2267" s="6">
        <f>IF(F2267="GO",Eingaben!$B$11,IF(F2267="STANDARD",Eingaben!$B$12,IF(AND(F2267="HEAT",ISNUMBER(Eingaben!$B$13)),Eingaben!$B$13,"")))</f>
        <v>28.2744</v>
      </c>
      <c r="I2267" s="6">
        <f>INDEX(Netzzeiten!$C$6:$C$29,HOUR(B2267)+1)</f>
        <v>1.64</v>
      </c>
      <c r="J2267" t="str">
        <f>IF(C2267="","FEHLT",IF(NOT(ISNUMBER(C2267)),"MESSWERT UNGUELTIG",IF(C2267&lt;0,"MESSWERT UNGUELTIG",IF(H2267="","TARIFPREIS FEHLT","OK"))))</f>
        <v>FEHLT</v>
      </c>
      <c r="K2267" s="7">
        <f>IF(J2267&lt;&gt;"OK","",C2267*I2267/100)</f>
        <v/>
      </c>
    </row>
    <row r="2268" spans="1:11">
      <c r="A2268" s="14">
        <v>46166</v>
      </c>
      <c r="B2268" s="15">
        <v>0.5625</v>
      </c>
      <c r="C2268" s="5">
        <f>IF('96 Werte'!BD29="","",'96 Werte'!BD29)</f>
        <v/>
      </c>
      <c r="D2268" t="str">
        <f>IF(IF(Eingaben!$B$21&lt;Eingaben!$B$22,AND(B2268&gt;=Eingaben!$B$21,B2268&lt;Eingaben!$B$22),OR(B2268&gt;=Eingaben!$B$21,B2268&lt;Eingaben!$B$22)),"GO",IF(AND(ISNUMBER(Eingaben!$B$23),ISNUMBER(Eingaben!$B$24),IF(Eingaben!$B$23&lt;Eingaben!$B$24,AND(B2268&gt;=Eingaben!$B$23,B2268&lt;Eingaben!$B$24),OR(B2268&gt;=Eingaben!$B$23,B2268&lt;Eingaben!$B$24))),"HEAT","STANDARD"))</f>
        <v>STANDARD</v>
      </c>
      <c r="E2268" s="9"/>
      <c r="F2268" t="str">
        <f>IF(E2268="",D2268,E2268)</f>
        <v>STANDARD</v>
      </c>
      <c r="G2268" t="str">
        <f>INDEX(Netzzeiten!$B$6:$B$29,HOUR(B2268)+1)</f>
        <v>NT</v>
      </c>
      <c r="H2268" s="6">
        <f>IF(F2268="GO",Eingaben!$B$11,IF(F2268="STANDARD",Eingaben!$B$12,IF(AND(F2268="HEAT",ISNUMBER(Eingaben!$B$13)),Eingaben!$B$13,"")))</f>
        <v>28.2744</v>
      </c>
      <c r="I2268" s="6">
        <f>INDEX(Netzzeiten!$C$6:$C$29,HOUR(B2268)+1)</f>
        <v>1.64</v>
      </c>
      <c r="J2268" t="str">
        <f>IF(C2268="","FEHLT",IF(NOT(ISNUMBER(C2268)),"MESSWERT UNGUELTIG",IF(C2268&lt;0,"MESSWERT UNGUELTIG",IF(H2268="","TARIFPREIS FEHLT","OK"))))</f>
        <v>FEHLT</v>
      </c>
      <c r="K2268" s="7">
        <f>IF(J2268&lt;&gt;"OK","",C2268*I2268/100)</f>
        <v/>
      </c>
    </row>
    <row r="2269" spans="1:11">
      <c r="A2269" s="14">
        <v>46166</v>
      </c>
      <c r="B2269" s="15">
        <v>0.5729166666666666</v>
      </c>
      <c r="C2269" s="5">
        <f>IF('96 Werte'!BE29="","",'96 Werte'!BE29)</f>
        <v/>
      </c>
      <c r="D2269" t="str">
        <f>IF(IF(Eingaben!$B$21&lt;Eingaben!$B$22,AND(B2269&gt;=Eingaben!$B$21,B2269&lt;Eingaben!$B$22),OR(B2269&gt;=Eingaben!$B$21,B2269&lt;Eingaben!$B$22)),"GO",IF(AND(ISNUMBER(Eingaben!$B$23),ISNUMBER(Eingaben!$B$24),IF(Eingaben!$B$23&lt;Eingaben!$B$24,AND(B2269&gt;=Eingaben!$B$23,B2269&lt;Eingaben!$B$24),OR(B2269&gt;=Eingaben!$B$23,B2269&lt;Eingaben!$B$24))),"HEAT","STANDARD"))</f>
        <v>STANDARD</v>
      </c>
      <c r="E2269" s="9"/>
      <c r="F2269" t="str">
        <f>IF(E2269="",D2269,E2269)</f>
        <v>STANDARD</v>
      </c>
      <c r="G2269" t="str">
        <f>INDEX(Netzzeiten!$B$6:$B$29,HOUR(B2269)+1)</f>
        <v>NT</v>
      </c>
      <c r="H2269" s="6">
        <f>IF(F2269="GO",Eingaben!$B$11,IF(F2269="STANDARD",Eingaben!$B$12,IF(AND(F2269="HEAT",ISNUMBER(Eingaben!$B$13)),Eingaben!$B$13,"")))</f>
        <v>28.2744</v>
      </c>
      <c r="I2269" s="6">
        <f>INDEX(Netzzeiten!$C$6:$C$29,HOUR(B2269)+1)</f>
        <v>1.64</v>
      </c>
      <c r="J2269" t="str">
        <f>IF(C2269="","FEHLT",IF(NOT(ISNUMBER(C2269)),"MESSWERT UNGUELTIG",IF(C2269&lt;0,"MESSWERT UNGUELTIG",IF(H2269="","TARIFPREIS FEHLT","OK"))))</f>
        <v>FEHLT</v>
      </c>
      <c r="K2269" s="7">
        <f>IF(J2269&lt;&gt;"OK","",C2269*I2269/100)</f>
        <v/>
      </c>
    </row>
    <row r="2270" spans="1:11">
      <c r="A2270" s="14">
        <v>46166</v>
      </c>
      <c r="B2270" s="15">
        <v>0.5833333333333334</v>
      </c>
      <c r="C2270" s="5">
        <f>IF('96 Werte'!BF29="","",'96 Werte'!BF29)</f>
        <v/>
      </c>
      <c r="D2270" t="str">
        <f>IF(IF(Eingaben!$B$21&lt;Eingaben!$B$22,AND(B2270&gt;=Eingaben!$B$21,B2270&lt;Eingaben!$B$22),OR(B2270&gt;=Eingaben!$B$21,B2270&lt;Eingaben!$B$22)),"GO",IF(AND(ISNUMBER(Eingaben!$B$23),ISNUMBER(Eingaben!$B$24),IF(Eingaben!$B$23&lt;Eingaben!$B$24,AND(B2270&gt;=Eingaben!$B$23,B2270&lt;Eingaben!$B$24),OR(B2270&gt;=Eingaben!$B$23,B2270&lt;Eingaben!$B$24))),"HEAT","STANDARD"))</f>
        <v>STANDARD</v>
      </c>
      <c r="E2270" s="9"/>
      <c r="F2270" t="str">
        <f>IF(E2270="",D2270,E2270)</f>
        <v>STANDARD</v>
      </c>
      <c r="G2270" t="str">
        <f>INDEX(Netzzeiten!$B$6:$B$29,HOUR(B2270)+1)</f>
        <v>NT</v>
      </c>
      <c r="H2270" s="6">
        <f>IF(F2270="GO",Eingaben!$B$11,IF(F2270="STANDARD",Eingaben!$B$12,IF(AND(F2270="HEAT",ISNUMBER(Eingaben!$B$13)),Eingaben!$B$13,"")))</f>
        <v>28.2744</v>
      </c>
      <c r="I2270" s="6">
        <f>INDEX(Netzzeiten!$C$6:$C$29,HOUR(B2270)+1)</f>
        <v>1.64</v>
      </c>
      <c r="J2270" t="str">
        <f>IF(C2270="","FEHLT",IF(NOT(ISNUMBER(C2270)),"MESSWERT UNGUELTIG",IF(C2270&lt;0,"MESSWERT UNGUELTIG",IF(H2270="","TARIFPREIS FEHLT","OK"))))</f>
        <v>FEHLT</v>
      </c>
      <c r="K2270" s="7">
        <f>IF(J2270&lt;&gt;"OK","",C2270*I2270/100)</f>
        <v/>
      </c>
    </row>
    <row r="2271" spans="1:11">
      <c r="A2271" s="14">
        <v>46166</v>
      </c>
      <c r="B2271" s="15">
        <v>0.59375</v>
      </c>
      <c r="C2271" s="5">
        <f>IF('96 Werte'!BG29="","",'96 Werte'!BG29)</f>
        <v/>
      </c>
      <c r="D2271" t="str">
        <f>IF(IF(Eingaben!$B$21&lt;Eingaben!$B$22,AND(B2271&gt;=Eingaben!$B$21,B2271&lt;Eingaben!$B$22),OR(B2271&gt;=Eingaben!$B$21,B2271&lt;Eingaben!$B$22)),"GO",IF(AND(ISNUMBER(Eingaben!$B$23),ISNUMBER(Eingaben!$B$24),IF(Eingaben!$B$23&lt;Eingaben!$B$24,AND(B2271&gt;=Eingaben!$B$23,B2271&lt;Eingaben!$B$24),OR(B2271&gt;=Eingaben!$B$23,B2271&lt;Eingaben!$B$24))),"HEAT","STANDARD"))</f>
        <v>STANDARD</v>
      </c>
      <c r="E2271" s="9"/>
      <c r="F2271" t="str">
        <f>IF(E2271="",D2271,E2271)</f>
        <v>STANDARD</v>
      </c>
      <c r="G2271" t="str">
        <f>INDEX(Netzzeiten!$B$6:$B$29,HOUR(B2271)+1)</f>
        <v>NT</v>
      </c>
      <c r="H2271" s="6">
        <f>IF(F2271="GO",Eingaben!$B$11,IF(F2271="STANDARD",Eingaben!$B$12,IF(AND(F2271="HEAT",ISNUMBER(Eingaben!$B$13)),Eingaben!$B$13,"")))</f>
        <v>28.2744</v>
      </c>
      <c r="I2271" s="6">
        <f>INDEX(Netzzeiten!$C$6:$C$29,HOUR(B2271)+1)</f>
        <v>1.64</v>
      </c>
      <c r="J2271" t="str">
        <f>IF(C2271="","FEHLT",IF(NOT(ISNUMBER(C2271)),"MESSWERT UNGUELTIG",IF(C2271&lt;0,"MESSWERT UNGUELTIG",IF(H2271="","TARIFPREIS FEHLT","OK"))))</f>
        <v>FEHLT</v>
      </c>
      <c r="K2271" s="7">
        <f>IF(J2271&lt;&gt;"OK","",C2271*I2271/100)</f>
        <v/>
      </c>
    </row>
    <row r="2272" spans="1:11">
      <c r="A2272" s="14">
        <v>46166</v>
      </c>
      <c r="B2272" s="15">
        <v>0.6041666666666666</v>
      </c>
      <c r="C2272" s="5">
        <f>IF('96 Werte'!BH29="","",'96 Werte'!BH29)</f>
        <v/>
      </c>
      <c r="D2272" t="str">
        <f>IF(IF(Eingaben!$B$21&lt;Eingaben!$B$22,AND(B2272&gt;=Eingaben!$B$21,B2272&lt;Eingaben!$B$22),OR(B2272&gt;=Eingaben!$B$21,B2272&lt;Eingaben!$B$22)),"GO",IF(AND(ISNUMBER(Eingaben!$B$23),ISNUMBER(Eingaben!$B$24),IF(Eingaben!$B$23&lt;Eingaben!$B$24,AND(B2272&gt;=Eingaben!$B$23,B2272&lt;Eingaben!$B$24),OR(B2272&gt;=Eingaben!$B$23,B2272&lt;Eingaben!$B$24))),"HEAT","STANDARD"))</f>
        <v>STANDARD</v>
      </c>
      <c r="E2272" s="9"/>
      <c r="F2272" t="str">
        <f>IF(E2272="",D2272,E2272)</f>
        <v>STANDARD</v>
      </c>
      <c r="G2272" t="str">
        <f>INDEX(Netzzeiten!$B$6:$B$29,HOUR(B2272)+1)</f>
        <v>NT</v>
      </c>
      <c r="H2272" s="6">
        <f>IF(F2272="GO",Eingaben!$B$11,IF(F2272="STANDARD",Eingaben!$B$12,IF(AND(F2272="HEAT",ISNUMBER(Eingaben!$B$13)),Eingaben!$B$13,"")))</f>
        <v>28.2744</v>
      </c>
      <c r="I2272" s="6">
        <f>INDEX(Netzzeiten!$C$6:$C$29,HOUR(B2272)+1)</f>
        <v>1.64</v>
      </c>
      <c r="J2272" t="str">
        <f>IF(C2272="","FEHLT",IF(NOT(ISNUMBER(C2272)),"MESSWERT UNGUELTIG",IF(C2272&lt;0,"MESSWERT UNGUELTIG",IF(H2272="","TARIFPREIS FEHLT","OK"))))</f>
        <v>FEHLT</v>
      </c>
      <c r="K2272" s="7">
        <f>IF(J2272&lt;&gt;"OK","",C2272*I2272/100)</f>
        <v/>
      </c>
    </row>
    <row r="2273" spans="1:11">
      <c r="A2273" s="14">
        <v>46166</v>
      </c>
      <c r="B2273" s="15">
        <v>0.6145833333333334</v>
      </c>
      <c r="C2273" s="5">
        <f>IF('96 Werte'!BI29="","",'96 Werte'!BI29)</f>
        <v/>
      </c>
      <c r="D2273" t="str">
        <f>IF(IF(Eingaben!$B$21&lt;Eingaben!$B$22,AND(B2273&gt;=Eingaben!$B$21,B2273&lt;Eingaben!$B$22),OR(B2273&gt;=Eingaben!$B$21,B2273&lt;Eingaben!$B$22)),"GO",IF(AND(ISNUMBER(Eingaben!$B$23),ISNUMBER(Eingaben!$B$24),IF(Eingaben!$B$23&lt;Eingaben!$B$24,AND(B2273&gt;=Eingaben!$B$23,B2273&lt;Eingaben!$B$24),OR(B2273&gt;=Eingaben!$B$23,B2273&lt;Eingaben!$B$24))),"HEAT","STANDARD"))</f>
        <v>STANDARD</v>
      </c>
      <c r="E2273" s="9"/>
      <c r="F2273" t="str">
        <f>IF(E2273="",D2273,E2273)</f>
        <v>STANDARD</v>
      </c>
      <c r="G2273" t="str">
        <f>INDEX(Netzzeiten!$B$6:$B$29,HOUR(B2273)+1)</f>
        <v>NT</v>
      </c>
      <c r="H2273" s="6">
        <f>IF(F2273="GO",Eingaben!$B$11,IF(F2273="STANDARD",Eingaben!$B$12,IF(AND(F2273="HEAT",ISNUMBER(Eingaben!$B$13)),Eingaben!$B$13,"")))</f>
        <v>28.2744</v>
      </c>
      <c r="I2273" s="6">
        <f>INDEX(Netzzeiten!$C$6:$C$29,HOUR(B2273)+1)</f>
        <v>1.64</v>
      </c>
      <c r="J2273" t="str">
        <f>IF(C2273="","FEHLT",IF(NOT(ISNUMBER(C2273)),"MESSWERT UNGUELTIG",IF(C2273&lt;0,"MESSWERT UNGUELTIG",IF(H2273="","TARIFPREIS FEHLT","OK"))))</f>
        <v>FEHLT</v>
      </c>
      <c r="K2273" s="7">
        <f>IF(J2273&lt;&gt;"OK","",C2273*I2273/100)</f>
        <v/>
      </c>
    </row>
    <row r="2274" spans="1:11">
      <c r="A2274" s="14">
        <v>46166</v>
      </c>
      <c r="B2274" s="15">
        <v>0.625</v>
      </c>
      <c r="C2274" s="5">
        <f>IF('96 Werte'!BJ29="","",'96 Werte'!BJ29)</f>
        <v/>
      </c>
      <c r="D2274" t="str">
        <f>IF(IF(Eingaben!$B$21&lt;Eingaben!$B$22,AND(B2274&gt;=Eingaben!$B$21,B2274&lt;Eingaben!$B$22),OR(B2274&gt;=Eingaben!$B$21,B2274&lt;Eingaben!$B$22)),"GO",IF(AND(ISNUMBER(Eingaben!$B$23),ISNUMBER(Eingaben!$B$24),IF(Eingaben!$B$23&lt;Eingaben!$B$24,AND(B2274&gt;=Eingaben!$B$23,B2274&lt;Eingaben!$B$24),OR(B2274&gt;=Eingaben!$B$23,B2274&lt;Eingaben!$B$24))),"HEAT","STANDARD"))</f>
        <v>STANDARD</v>
      </c>
      <c r="E2274" s="9"/>
      <c r="F2274" t="str">
        <f>IF(E2274="",D2274,E2274)</f>
        <v>STANDARD</v>
      </c>
      <c r="G2274" t="str">
        <f>INDEX(Netzzeiten!$B$6:$B$29,HOUR(B2274)+1)</f>
        <v>ST</v>
      </c>
      <c r="H2274" s="6">
        <f>IF(F2274="GO",Eingaben!$B$11,IF(F2274="STANDARD",Eingaben!$B$12,IF(AND(F2274="HEAT",ISNUMBER(Eingaben!$B$13)),Eingaben!$B$13,"")))</f>
        <v>28.2744</v>
      </c>
      <c r="I2274" s="6">
        <f>INDEX(Netzzeiten!$C$6:$C$29,HOUR(B2274)+1)</f>
        <v>5.48</v>
      </c>
      <c r="J2274" t="str">
        <f>IF(C2274="","FEHLT",IF(NOT(ISNUMBER(C2274)),"MESSWERT UNGUELTIG",IF(C2274&lt;0,"MESSWERT UNGUELTIG",IF(H2274="","TARIFPREIS FEHLT","OK"))))</f>
        <v>FEHLT</v>
      </c>
      <c r="K2274" s="7">
        <f>IF(J2274&lt;&gt;"OK","",C2274*I2274/100)</f>
        <v/>
      </c>
    </row>
    <row r="2275" spans="1:11">
      <c r="A2275" s="14">
        <v>46166</v>
      </c>
      <c r="B2275" s="15">
        <v>0.6354166666666666</v>
      </c>
      <c r="C2275" s="5">
        <f>IF('96 Werte'!BK29="","",'96 Werte'!BK29)</f>
        <v/>
      </c>
      <c r="D2275" t="str">
        <f>IF(IF(Eingaben!$B$21&lt;Eingaben!$B$22,AND(B2275&gt;=Eingaben!$B$21,B2275&lt;Eingaben!$B$22),OR(B2275&gt;=Eingaben!$B$21,B2275&lt;Eingaben!$B$22)),"GO",IF(AND(ISNUMBER(Eingaben!$B$23),ISNUMBER(Eingaben!$B$24),IF(Eingaben!$B$23&lt;Eingaben!$B$24,AND(B2275&gt;=Eingaben!$B$23,B2275&lt;Eingaben!$B$24),OR(B2275&gt;=Eingaben!$B$23,B2275&lt;Eingaben!$B$24))),"HEAT","STANDARD"))</f>
        <v>STANDARD</v>
      </c>
      <c r="E2275" s="9"/>
      <c r="F2275" t="str">
        <f>IF(E2275="",D2275,E2275)</f>
        <v>STANDARD</v>
      </c>
      <c r="G2275" t="str">
        <f>INDEX(Netzzeiten!$B$6:$B$29,HOUR(B2275)+1)</f>
        <v>ST</v>
      </c>
      <c r="H2275" s="6">
        <f>IF(F2275="GO",Eingaben!$B$11,IF(F2275="STANDARD",Eingaben!$B$12,IF(AND(F2275="HEAT",ISNUMBER(Eingaben!$B$13)),Eingaben!$B$13,"")))</f>
        <v>28.2744</v>
      </c>
      <c r="I2275" s="6">
        <f>INDEX(Netzzeiten!$C$6:$C$29,HOUR(B2275)+1)</f>
        <v>5.48</v>
      </c>
      <c r="J2275" t="str">
        <f>IF(C2275="","FEHLT",IF(NOT(ISNUMBER(C2275)),"MESSWERT UNGUELTIG",IF(C2275&lt;0,"MESSWERT UNGUELTIG",IF(H2275="","TARIFPREIS FEHLT","OK"))))</f>
        <v>FEHLT</v>
      </c>
      <c r="K2275" s="7">
        <f>IF(J2275&lt;&gt;"OK","",C2275*I2275/100)</f>
        <v/>
      </c>
    </row>
    <row r="2276" spans="1:11">
      <c r="A2276" s="14">
        <v>46166</v>
      </c>
      <c r="B2276" s="15">
        <v>0.6458333333333334</v>
      </c>
      <c r="C2276" s="5">
        <f>IF('96 Werte'!BL29="","",'96 Werte'!BL29)</f>
        <v/>
      </c>
      <c r="D2276" t="str">
        <f>IF(IF(Eingaben!$B$21&lt;Eingaben!$B$22,AND(B2276&gt;=Eingaben!$B$21,B2276&lt;Eingaben!$B$22),OR(B2276&gt;=Eingaben!$B$21,B2276&lt;Eingaben!$B$22)),"GO",IF(AND(ISNUMBER(Eingaben!$B$23),ISNUMBER(Eingaben!$B$24),IF(Eingaben!$B$23&lt;Eingaben!$B$24,AND(B2276&gt;=Eingaben!$B$23,B2276&lt;Eingaben!$B$24),OR(B2276&gt;=Eingaben!$B$23,B2276&lt;Eingaben!$B$24))),"HEAT","STANDARD"))</f>
        <v>STANDARD</v>
      </c>
      <c r="E2276" s="9"/>
      <c r="F2276" t="str">
        <f>IF(E2276="",D2276,E2276)</f>
        <v>STANDARD</v>
      </c>
      <c r="G2276" t="str">
        <f>INDEX(Netzzeiten!$B$6:$B$29,HOUR(B2276)+1)</f>
        <v>ST</v>
      </c>
      <c r="H2276" s="6">
        <f>IF(F2276="GO",Eingaben!$B$11,IF(F2276="STANDARD",Eingaben!$B$12,IF(AND(F2276="HEAT",ISNUMBER(Eingaben!$B$13)),Eingaben!$B$13,"")))</f>
        <v>28.2744</v>
      </c>
      <c r="I2276" s="6">
        <f>INDEX(Netzzeiten!$C$6:$C$29,HOUR(B2276)+1)</f>
        <v>5.48</v>
      </c>
      <c r="J2276" t="str">
        <f>IF(C2276="","FEHLT",IF(NOT(ISNUMBER(C2276)),"MESSWERT UNGUELTIG",IF(C2276&lt;0,"MESSWERT UNGUELTIG",IF(H2276="","TARIFPREIS FEHLT","OK"))))</f>
        <v>FEHLT</v>
      </c>
      <c r="K2276" s="7">
        <f>IF(J2276&lt;&gt;"OK","",C2276*I2276/100)</f>
        <v/>
      </c>
    </row>
    <row r="2277" spans="1:11">
      <c r="A2277" s="14">
        <v>46166</v>
      </c>
      <c r="B2277" s="15">
        <v>0.65625</v>
      </c>
      <c r="C2277" s="5">
        <f>IF('96 Werte'!BM29="","",'96 Werte'!BM29)</f>
        <v/>
      </c>
      <c r="D2277" t="str">
        <f>IF(IF(Eingaben!$B$21&lt;Eingaben!$B$22,AND(B2277&gt;=Eingaben!$B$21,B2277&lt;Eingaben!$B$22),OR(B2277&gt;=Eingaben!$B$21,B2277&lt;Eingaben!$B$22)),"GO",IF(AND(ISNUMBER(Eingaben!$B$23),ISNUMBER(Eingaben!$B$24),IF(Eingaben!$B$23&lt;Eingaben!$B$24,AND(B2277&gt;=Eingaben!$B$23,B2277&lt;Eingaben!$B$24),OR(B2277&gt;=Eingaben!$B$23,B2277&lt;Eingaben!$B$24))),"HEAT","STANDARD"))</f>
        <v>STANDARD</v>
      </c>
      <c r="E2277" s="9"/>
      <c r="F2277" t="str">
        <f>IF(E2277="",D2277,E2277)</f>
        <v>STANDARD</v>
      </c>
      <c r="G2277" t="str">
        <f>INDEX(Netzzeiten!$B$6:$B$29,HOUR(B2277)+1)</f>
        <v>ST</v>
      </c>
      <c r="H2277" s="6">
        <f>IF(F2277="GO",Eingaben!$B$11,IF(F2277="STANDARD",Eingaben!$B$12,IF(AND(F2277="HEAT",ISNUMBER(Eingaben!$B$13)),Eingaben!$B$13,"")))</f>
        <v>28.2744</v>
      </c>
      <c r="I2277" s="6">
        <f>INDEX(Netzzeiten!$C$6:$C$29,HOUR(B2277)+1)</f>
        <v>5.48</v>
      </c>
      <c r="J2277" t="str">
        <f>IF(C2277="","FEHLT",IF(NOT(ISNUMBER(C2277)),"MESSWERT UNGUELTIG",IF(C2277&lt;0,"MESSWERT UNGUELTIG",IF(H2277="","TARIFPREIS FEHLT","OK"))))</f>
        <v>FEHLT</v>
      </c>
      <c r="K2277" s="7">
        <f>IF(J2277&lt;&gt;"OK","",C2277*I2277/100)</f>
        <v/>
      </c>
    </row>
    <row r="2278" spans="1:11">
      <c r="A2278" s="14">
        <v>46166</v>
      </c>
      <c r="B2278" s="15">
        <v>0.6666666666666666</v>
      </c>
      <c r="C2278" s="5">
        <f>IF('96 Werte'!BN29="","",'96 Werte'!BN29)</f>
        <v/>
      </c>
      <c r="D2278" t="str">
        <f>IF(IF(Eingaben!$B$21&lt;Eingaben!$B$22,AND(B2278&gt;=Eingaben!$B$21,B2278&lt;Eingaben!$B$22),OR(B2278&gt;=Eingaben!$B$21,B2278&lt;Eingaben!$B$22)),"GO",IF(AND(ISNUMBER(Eingaben!$B$23),ISNUMBER(Eingaben!$B$24),IF(Eingaben!$B$23&lt;Eingaben!$B$24,AND(B2278&gt;=Eingaben!$B$23,B2278&lt;Eingaben!$B$24),OR(B2278&gt;=Eingaben!$B$23,B2278&lt;Eingaben!$B$24))),"HEAT","STANDARD"))</f>
        <v>STANDARD</v>
      </c>
      <c r="E2278" s="9"/>
      <c r="F2278" t="str">
        <f>IF(E2278="",D2278,E2278)</f>
        <v>STANDARD</v>
      </c>
      <c r="G2278" t="str">
        <f>INDEX(Netzzeiten!$B$6:$B$29,HOUR(B2278)+1)</f>
        <v>ST</v>
      </c>
      <c r="H2278" s="6">
        <f>IF(F2278="GO",Eingaben!$B$11,IF(F2278="STANDARD",Eingaben!$B$12,IF(AND(F2278="HEAT",ISNUMBER(Eingaben!$B$13)),Eingaben!$B$13,"")))</f>
        <v>28.2744</v>
      </c>
      <c r="I2278" s="6">
        <f>INDEX(Netzzeiten!$C$6:$C$29,HOUR(B2278)+1)</f>
        <v>5.48</v>
      </c>
      <c r="J2278" t="str">
        <f>IF(C2278="","FEHLT",IF(NOT(ISNUMBER(C2278)),"MESSWERT UNGUELTIG",IF(C2278&lt;0,"MESSWERT UNGUELTIG",IF(H2278="","TARIFPREIS FEHLT","OK"))))</f>
        <v>FEHLT</v>
      </c>
      <c r="K2278" s="7">
        <f>IF(J2278&lt;&gt;"OK","",C2278*I2278/100)</f>
        <v/>
      </c>
    </row>
    <row r="2279" spans="1:11">
      <c r="A2279" s="14">
        <v>46166</v>
      </c>
      <c r="B2279" s="15">
        <v>0.6770833333333334</v>
      </c>
      <c r="C2279" s="5">
        <f>IF('96 Werte'!BO29="","",'96 Werte'!BO29)</f>
        <v/>
      </c>
      <c r="D2279" t="str">
        <f>IF(IF(Eingaben!$B$21&lt;Eingaben!$B$22,AND(B2279&gt;=Eingaben!$B$21,B2279&lt;Eingaben!$B$22),OR(B2279&gt;=Eingaben!$B$21,B2279&lt;Eingaben!$B$22)),"GO",IF(AND(ISNUMBER(Eingaben!$B$23),ISNUMBER(Eingaben!$B$24),IF(Eingaben!$B$23&lt;Eingaben!$B$24,AND(B2279&gt;=Eingaben!$B$23,B2279&lt;Eingaben!$B$24),OR(B2279&gt;=Eingaben!$B$23,B2279&lt;Eingaben!$B$24))),"HEAT","STANDARD"))</f>
        <v>STANDARD</v>
      </c>
      <c r="E2279" s="9"/>
      <c r="F2279" t="str">
        <f>IF(E2279="",D2279,E2279)</f>
        <v>STANDARD</v>
      </c>
      <c r="G2279" t="str">
        <f>INDEX(Netzzeiten!$B$6:$B$29,HOUR(B2279)+1)</f>
        <v>ST</v>
      </c>
      <c r="H2279" s="6">
        <f>IF(F2279="GO",Eingaben!$B$11,IF(F2279="STANDARD",Eingaben!$B$12,IF(AND(F2279="HEAT",ISNUMBER(Eingaben!$B$13)),Eingaben!$B$13,"")))</f>
        <v>28.2744</v>
      </c>
      <c r="I2279" s="6">
        <f>INDEX(Netzzeiten!$C$6:$C$29,HOUR(B2279)+1)</f>
        <v>5.48</v>
      </c>
      <c r="J2279" t="str">
        <f>IF(C2279="","FEHLT",IF(NOT(ISNUMBER(C2279)),"MESSWERT UNGUELTIG",IF(C2279&lt;0,"MESSWERT UNGUELTIG",IF(H2279="","TARIFPREIS FEHLT","OK"))))</f>
        <v>FEHLT</v>
      </c>
      <c r="K2279" s="7">
        <f>IF(J2279&lt;&gt;"OK","",C2279*I2279/100)</f>
        <v/>
      </c>
    </row>
    <row r="2280" spans="1:11">
      <c r="A2280" s="14">
        <v>46166</v>
      </c>
      <c r="B2280" s="15">
        <v>0.6875</v>
      </c>
      <c r="C2280" s="5">
        <f>IF('96 Werte'!BP29="","",'96 Werte'!BP29)</f>
        <v/>
      </c>
      <c r="D2280" t="str">
        <f>IF(IF(Eingaben!$B$21&lt;Eingaben!$B$22,AND(B2280&gt;=Eingaben!$B$21,B2280&lt;Eingaben!$B$22),OR(B2280&gt;=Eingaben!$B$21,B2280&lt;Eingaben!$B$22)),"GO",IF(AND(ISNUMBER(Eingaben!$B$23),ISNUMBER(Eingaben!$B$24),IF(Eingaben!$B$23&lt;Eingaben!$B$24,AND(B2280&gt;=Eingaben!$B$23,B2280&lt;Eingaben!$B$24),OR(B2280&gt;=Eingaben!$B$23,B2280&lt;Eingaben!$B$24))),"HEAT","STANDARD"))</f>
        <v>STANDARD</v>
      </c>
      <c r="E2280" s="9"/>
      <c r="F2280" t="str">
        <f>IF(E2280="",D2280,E2280)</f>
        <v>STANDARD</v>
      </c>
      <c r="G2280" t="str">
        <f>INDEX(Netzzeiten!$B$6:$B$29,HOUR(B2280)+1)</f>
        <v>ST</v>
      </c>
      <c r="H2280" s="6">
        <f>IF(F2280="GO",Eingaben!$B$11,IF(F2280="STANDARD",Eingaben!$B$12,IF(AND(F2280="HEAT",ISNUMBER(Eingaben!$B$13)),Eingaben!$B$13,"")))</f>
        <v>28.2744</v>
      </c>
      <c r="I2280" s="6">
        <f>INDEX(Netzzeiten!$C$6:$C$29,HOUR(B2280)+1)</f>
        <v>5.48</v>
      </c>
      <c r="J2280" t="str">
        <f>IF(C2280="","FEHLT",IF(NOT(ISNUMBER(C2280)),"MESSWERT UNGUELTIG",IF(C2280&lt;0,"MESSWERT UNGUELTIG",IF(H2280="","TARIFPREIS FEHLT","OK"))))</f>
        <v>FEHLT</v>
      </c>
      <c r="K2280" s="7">
        <f>IF(J2280&lt;&gt;"OK","",C2280*I2280/100)</f>
        <v/>
      </c>
    </row>
    <row r="2281" spans="1:11">
      <c r="A2281" s="14">
        <v>46166</v>
      </c>
      <c r="B2281" s="15">
        <v>0.6979166666666666</v>
      </c>
      <c r="C2281" s="5">
        <f>IF('96 Werte'!BQ29="","",'96 Werte'!BQ29)</f>
        <v/>
      </c>
      <c r="D2281" t="str">
        <f>IF(IF(Eingaben!$B$21&lt;Eingaben!$B$22,AND(B2281&gt;=Eingaben!$B$21,B2281&lt;Eingaben!$B$22),OR(B2281&gt;=Eingaben!$B$21,B2281&lt;Eingaben!$B$22)),"GO",IF(AND(ISNUMBER(Eingaben!$B$23),ISNUMBER(Eingaben!$B$24),IF(Eingaben!$B$23&lt;Eingaben!$B$24,AND(B2281&gt;=Eingaben!$B$23,B2281&lt;Eingaben!$B$24),OR(B2281&gt;=Eingaben!$B$23,B2281&lt;Eingaben!$B$24))),"HEAT","STANDARD"))</f>
        <v>STANDARD</v>
      </c>
      <c r="E2281" s="9"/>
      <c r="F2281" t="str">
        <f>IF(E2281="",D2281,E2281)</f>
        <v>STANDARD</v>
      </c>
      <c r="G2281" t="str">
        <f>INDEX(Netzzeiten!$B$6:$B$29,HOUR(B2281)+1)</f>
        <v>ST</v>
      </c>
      <c r="H2281" s="6">
        <f>IF(F2281="GO",Eingaben!$B$11,IF(F2281="STANDARD",Eingaben!$B$12,IF(AND(F2281="HEAT",ISNUMBER(Eingaben!$B$13)),Eingaben!$B$13,"")))</f>
        <v>28.2744</v>
      </c>
      <c r="I2281" s="6">
        <f>INDEX(Netzzeiten!$C$6:$C$29,HOUR(B2281)+1)</f>
        <v>5.48</v>
      </c>
      <c r="J2281" t="str">
        <f>IF(C2281="","FEHLT",IF(NOT(ISNUMBER(C2281)),"MESSWERT UNGUELTIG",IF(C2281&lt;0,"MESSWERT UNGUELTIG",IF(H2281="","TARIFPREIS FEHLT","OK"))))</f>
        <v>FEHLT</v>
      </c>
      <c r="K2281" s="7">
        <f>IF(J2281&lt;&gt;"OK","",C2281*I2281/100)</f>
        <v/>
      </c>
    </row>
    <row r="2282" spans="1:11">
      <c r="A2282" s="14">
        <v>46166</v>
      </c>
      <c r="B2282" s="15">
        <v>0.7083333333333334</v>
      </c>
      <c r="C2282" s="5">
        <f>IF('96 Werte'!BR29="","",'96 Werte'!BR29)</f>
        <v/>
      </c>
      <c r="D2282" t="str">
        <f>IF(IF(Eingaben!$B$21&lt;Eingaben!$B$22,AND(B2282&gt;=Eingaben!$B$21,B2282&lt;Eingaben!$B$22),OR(B2282&gt;=Eingaben!$B$21,B2282&lt;Eingaben!$B$22)),"GO",IF(AND(ISNUMBER(Eingaben!$B$23),ISNUMBER(Eingaben!$B$24),IF(Eingaben!$B$23&lt;Eingaben!$B$24,AND(B2282&gt;=Eingaben!$B$23,B2282&lt;Eingaben!$B$24),OR(B2282&gt;=Eingaben!$B$23,B2282&lt;Eingaben!$B$24))),"HEAT","STANDARD"))</f>
        <v>STANDARD</v>
      </c>
      <c r="E2282" s="9"/>
      <c r="F2282" t="str">
        <f>IF(E2282="",D2282,E2282)</f>
        <v>STANDARD</v>
      </c>
      <c r="G2282" t="str">
        <f>INDEX(Netzzeiten!$B$6:$B$29,HOUR(B2282)+1)</f>
        <v>HT</v>
      </c>
      <c r="H2282" s="6">
        <f>IF(F2282="GO",Eingaben!$B$11,IF(F2282="STANDARD",Eingaben!$B$12,IF(AND(F2282="HEAT",ISNUMBER(Eingaben!$B$13)),Eingaben!$B$13,"")))</f>
        <v>28.2744</v>
      </c>
      <c r="I2282" s="6">
        <f>INDEX(Netzzeiten!$C$6:$C$29,HOUR(B2282)+1)</f>
        <v>10.52</v>
      </c>
      <c r="J2282" t="str">
        <f>IF(C2282="","FEHLT",IF(NOT(ISNUMBER(C2282)),"MESSWERT UNGUELTIG",IF(C2282&lt;0,"MESSWERT UNGUELTIG",IF(H2282="","TARIFPREIS FEHLT","OK"))))</f>
        <v>FEHLT</v>
      </c>
      <c r="K2282" s="7">
        <f>IF(J2282&lt;&gt;"OK","",C2282*I2282/100)</f>
        <v/>
      </c>
    </row>
    <row r="2283" spans="1:11">
      <c r="A2283" s="14">
        <v>46166</v>
      </c>
      <c r="B2283" s="15">
        <v>0.71875</v>
      </c>
      <c r="C2283" s="5">
        <f>IF('96 Werte'!BS29="","",'96 Werte'!BS29)</f>
        <v/>
      </c>
      <c r="D2283" t="str">
        <f>IF(IF(Eingaben!$B$21&lt;Eingaben!$B$22,AND(B2283&gt;=Eingaben!$B$21,B2283&lt;Eingaben!$B$22),OR(B2283&gt;=Eingaben!$B$21,B2283&lt;Eingaben!$B$22)),"GO",IF(AND(ISNUMBER(Eingaben!$B$23),ISNUMBER(Eingaben!$B$24),IF(Eingaben!$B$23&lt;Eingaben!$B$24,AND(B2283&gt;=Eingaben!$B$23,B2283&lt;Eingaben!$B$24),OR(B2283&gt;=Eingaben!$B$23,B2283&lt;Eingaben!$B$24))),"HEAT","STANDARD"))</f>
        <v>STANDARD</v>
      </c>
      <c r="E2283" s="9"/>
      <c r="F2283" t="str">
        <f>IF(E2283="",D2283,E2283)</f>
        <v>STANDARD</v>
      </c>
      <c r="G2283" t="str">
        <f>INDEX(Netzzeiten!$B$6:$B$29,HOUR(B2283)+1)</f>
        <v>HT</v>
      </c>
      <c r="H2283" s="6">
        <f>IF(F2283="GO",Eingaben!$B$11,IF(F2283="STANDARD",Eingaben!$B$12,IF(AND(F2283="HEAT",ISNUMBER(Eingaben!$B$13)),Eingaben!$B$13,"")))</f>
        <v>28.2744</v>
      </c>
      <c r="I2283" s="6">
        <f>INDEX(Netzzeiten!$C$6:$C$29,HOUR(B2283)+1)</f>
        <v>10.52</v>
      </c>
      <c r="J2283" t="str">
        <f>IF(C2283="","FEHLT",IF(NOT(ISNUMBER(C2283)),"MESSWERT UNGUELTIG",IF(C2283&lt;0,"MESSWERT UNGUELTIG",IF(H2283="","TARIFPREIS FEHLT","OK"))))</f>
        <v>FEHLT</v>
      </c>
      <c r="K2283" s="7">
        <f>IF(J2283&lt;&gt;"OK","",C2283*I2283/100)</f>
        <v/>
      </c>
    </row>
    <row r="2284" spans="1:11">
      <c r="A2284" s="14">
        <v>46166</v>
      </c>
      <c r="B2284" s="15">
        <v>0.7291666666666666</v>
      </c>
      <c r="C2284" s="5">
        <f>IF('96 Werte'!BT29="","",'96 Werte'!BT29)</f>
        <v/>
      </c>
      <c r="D2284" t="str">
        <f>IF(IF(Eingaben!$B$21&lt;Eingaben!$B$22,AND(B2284&gt;=Eingaben!$B$21,B2284&lt;Eingaben!$B$22),OR(B2284&gt;=Eingaben!$B$21,B2284&lt;Eingaben!$B$22)),"GO",IF(AND(ISNUMBER(Eingaben!$B$23),ISNUMBER(Eingaben!$B$24),IF(Eingaben!$B$23&lt;Eingaben!$B$24,AND(B2284&gt;=Eingaben!$B$23,B2284&lt;Eingaben!$B$24),OR(B2284&gt;=Eingaben!$B$23,B2284&lt;Eingaben!$B$24))),"HEAT","STANDARD"))</f>
        <v>STANDARD</v>
      </c>
      <c r="E2284" s="9"/>
      <c r="F2284" t="str">
        <f>IF(E2284="",D2284,E2284)</f>
        <v>STANDARD</v>
      </c>
      <c r="G2284" t="str">
        <f>INDEX(Netzzeiten!$B$6:$B$29,HOUR(B2284)+1)</f>
        <v>HT</v>
      </c>
      <c r="H2284" s="6">
        <f>IF(F2284="GO",Eingaben!$B$11,IF(F2284="STANDARD",Eingaben!$B$12,IF(AND(F2284="HEAT",ISNUMBER(Eingaben!$B$13)),Eingaben!$B$13,"")))</f>
        <v>28.2744</v>
      </c>
      <c r="I2284" s="6">
        <f>INDEX(Netzzeiten!$C$6:$C$29,HOUR(B2284)+1)</f>
        <v>10.52</v>
      </c>
      <c r="J2284" t="str">
        <f>IF(C2284="","FEHLT",IF(NOT(ISNUMBER(C2284)),"MESSWERT UNGUELTIG",IF(C2284&lt;0,"MESSWERT UNGUELTIG",IF(H2284="","TARIFPREIS FEHLT","OK"))))</f>
        <v>FEHLT</v>
      </c>
      <c r="K2284" s="7">
        <f>IF(J2284&lt;&gt;"OK","",C2284*I2284/100)</f>
        <v/>
      </c>
    </row>
    <row r="2285" spans="1:11">
      <c r="A2285" s="14">
        <v>46166</v>
      </c>
      <c r="B2285" s="15">
        <v>0.7395833333333334</v>
      </c>
      <c r="C2285" s="5">
        <f>IF('96 Werte'!BU29="","",'96 Werte'!BU29)</f>
        <v/>
      </c>
      <c r="D2285" t="str">
        <f>IF(IF(Eingaben!$B$21&lt;Eingaben!$B$22,AND(B2285&gt;=Eingaben!$B$21,B2285&lt;Eingaben!$B$22),OR(B2285&gt;=Eingaben!$B$21,B2285&lt;Eingaben!$B$22)),"GO",IF(AND(ISNUMBER(Eingaben!$B$23),ISNUMBER(Eingaben!$B$24),IF(Eingaben!$B$23&lt;Eingaben!$B$24,AND(B2285&gt;=Eingaben!$B$23,B2285&lt;Eingaben!$B$24),OR(B2285&gt;=Eingaben!$B$23,B2285&lt;Eingaben!$B$24))),"HEAT","STANDARD"))</f>
        <v>STANDARD</v>
      </c>
      <c r="E2285" s="9"/>
      <c r="F2285" t="str">
        <f>IF(E2285="",D2285,E2285)</f>
        <v>STANDARD</v>
      </c>
      <c r="G2285" t="str">
        <f>INDEX(Netzzeiten!$B$6:$B$29,HOUR(B2285)+1)</f>
        <v>HT</v>
      </c>
      <c r="H2285" s="6">
        <f>IF(F2285="GO",Eingaben!$B$11,IF(F2285="STANDARD",Eingaben!$B$12,IF(AND(F2285="HEAT",ISNUMBER(Eingaben!$B$13)),Eingaben!$B$13,"")))</f>
        <v>28.2744</v>
      </c>
      <c r="I2285" s="6">
        <f>INDEX(Netzzeiten!$C$6:$C$29,HOUR(B2285)+1)</f>
        <v>10.52</v>
      </c>
      <c r="J2285" t="str">
        <f>IF(C2285="","FEHLT",IF(NOT(ISNUMBER(C2285)),"MESSWERT UNGUELTIG",IF(C2285&lt;0,"MESSWERT UNGUELTIG",IF(H2285="","TARIFPREIS FEHLT","OK"))))</f>
        <v>FEHLT</v>
      </c>
      <c r="K2285" s="7">
        <f>IF(J2285&lt;&gt;"OK","",C2285*I2285/100)</f>
        <v/>
      </c>
    </row>
    <row r="2286" spans="1:11">
      <c r="A2286" s="14">
        <v>46166</v>
      </c>
      <c r="B2286" s="15">
        <v>0.75</v>
      </c>
      <c r="C2286" s="5">
        <f>IF('96 Werte'!BV29="","",'96 Werte'!BV29)</f>
        <v/>
      </c>
      <c r="D2286" t="str">
        <f>IF(IF(Eingaben!$B$21&lt;Eingaben!$B$22,AND(B2286&gt;=Eingaben!$B$21,B2286&lt;Eingaben!$B$22),OR(B2286&gt;=Eingaben!$B$21,B2286&lt;Eingaben!$B$22)),"GO",IF(AND(ISNUMBER(Eingaben!$B$23),ISNUMBER(Eingaben!$B$24),IF(Eingaben!$B$23&lt;Eingaben!$B$24,AND(B2286&gt;=Eingaben!$B$23,B2286&lt;Eingaben!$B$24),OR(B2286&gt;=Eingaben!$B$23,B2286&lt;Eingaben!$B$24))),"HEAT","STANDARD"))</f>
        <v>STANDARD</v>
      </c>
      <c r="E2286" s="9"/>
      <c r="F2286" t="str">
        <f>IF(E2286="",D2286,E2286)</f>
        <v>STANDARD</v>
      </c>
      <c r="G2286" t="str">
        <f>INDEX(Netzzeiten!$B$6:$B$29,HOUR(B2286)+1)</f>
        <v>HT</v>
      </c>
      <c r="H2286" s="6">
        <f>IF(F2286="GO",Eingaben!$B$11,IF(F2286="STANDARD",Eingaben!$B$12,IF(AND(F2286="HEAT",ISNUMBER(Eingaben!$B$13)),Eingaben!$B$13,"")))</f>
        <v>28.2744</v>
      </c>
      <c r="I2286" s="6">
        <f>INDEX(Netzzeiten!$C$6:$C$29,HOUR(B2286)+1)</f>
        <v>10.52</v>
      </c>
      <c r="J2286" t="str">
        <f>IF(C2286="","FEHLT",IF(NOT(ISNUMBER(C2286)),"MESSWERT UNGUELTIG",IF(C2286&lt;0,"MESSWERT UNGUELTIG",IF(H2286="","TARIFPREIS FEHLT","OK"))))</f>
        <v>FEHLT</v>
      </c>
      <c r="K2286" s="7">
        <f>IF(J2286&lt;&gt;"OK","",C2286*I2286/100)</f>
        <v/>
      </c>
    </row>
    <row r="2287" spans="1:11">
      <c r="A2287" s="14">
        <v>46166</v>
      </c>
      <c r="B2287" s="15">
        <v>0.7604166666666666</v>
      </c>
      <c r="C2287" s="5">
        <f>IF('96 Werte'!BW29="","",'96 Werte'!BW29)</f>
        <v/>
      </c>
      <c r="D2287" t="str">
        <f>IF(IF(Eingaben!$B$21&lt;Eingaben!$B$22,AND(B2287&gt;=Eingaben!$B$21,B2287&lt;Eingaben!$B$22),OR(B2287&gt;=Eingaben!$B$21,B2287&lt;Eingaben!$B$22)),"GO",IF(AND(ISNUMBER(Eingaben!$B$23),ISNUMBER(Eingaben!$B$24),IF(Eingaben!$B$23&lt;Eingaben!$B$24,AND(B2287&gt;=Eingaben!$B$23,B2287&lt;Eingaben!$B$24),OR(B2287&gt;=Eingaben!$B$23,B2287&lt;Eingaben!$B$24))),"HEAT","STANDARD"))</f>
        <v>STANDARD</v>
      </c>
      <c r="E2287" s="9"/>
      <c r="F2287" t="str">
        <f>IF(E2287="",D2287,E2287)</f>
        <v>STANDARD</v>
      </c>
      <c r="G2287" t="str">
        <f>INDEX(Netzzeiten!$B$6:$B$29,HOUR(B2287)+1)</f>
        <v>HT</v>
      </c>
      <c r="H2287" s="6">
        <f>IF(F2287="GO",Eingaben!$B$11,IF(F2287="STANDARD",Eingaben!$B$12,IF(AND(F2287="HEAT",ISNUMBER(Eingaben!$B$13)),Eingaben!$B$13,"")))</f>
        <v>28.2744</v>
      </c>
      <c r="I2287" s="6">
        <f>INDEX(Netzzeiten!$C$6:$C$29,HOUR(B2287)+1)</f>
        <v>10.52</v>
      </c>
      <c r="J2287" t="str">
        <f>IF(C2287="","FEHLT",IF(NOT(ISNUMBER(C2287)),"MESSWERT UNGUELTIG",IF(C2287&lt;0,"MESSWERT UNGUELTIG",IF(H2287="","TARIFPREIS FEHLT","OK"))))</f>
        <v>FEHLT</v>
      </c>
      <c r="K2287" s="7">
        <f>IF(J2287&lt;&gt;"OK","",C2287*I2287/100)</f>
        <v/>
      </c>
    </row>
    <row r="2288" spans="1:11">
      <c r="A2288" s="14">
        <v>46166</v>
      </c>
      <c r="B2288" s="15">
        <v>0.7708333333333334</v>
      </c>
      <c r="C2288" s="5">
        <f>IF('96 Werte'!BX29="","",'96 Werte'!BX29)</f>
        <v/>
      </c>
      <c r="D2288" t="str">
        <f>IF(IF(Eingaben!$B$21&lt;Eingaben!$B$22,AND(B2288&gt;=Eingaben!$B$21,B2288&lt;Eingaben!$B$22),OR(B2288&gt;=Eingaben!$B$21,B2288&lt;Eingaben!$B$22)),"GO",IF(AND(ISNUMBER(Eingaben!$B$23),ISNUMBER(Eingaben!$B$24),IF(Eingaben!$B$23&lt;Eingaben!$B$24,AND(B2288&gt;=Eingaben!$B$23,B2288&lt;Eingaben!$B$24),OR(B2288&gt;=Eingaben!$B$23,B2288&lt;Eingaben!$B$24))),"HEAT","STANDARD"))</f>
        <v>STANDARD</v>
      </c>
      <c r="E2288" s="9"/>
      <c r="F2288" t="str">
        <f>IF(E2288="",D2288,E2288)</f>
        <v>STANDARD</v>
      </c>
      <c r="G2288" t="str">
        <f>INDEX(Netzzeiten!$B$6:$B$29,HOUR(B2288)+1)</f>
        <v>HT</v>
      </c>
      <c r="H2288" s="6">
        <f>IF(F2288="GO",Eingaben!$B$11,IF(F2288="STANDARD",Eingaben!$B$12,IF(AND(F2288="HEAT",ISNUMBER(Eingaben!$B$13)),Eingaben!$B$13,"")))</f>
        <v>28.2744</v>
      </c>
      <c r="I2288" s="6">
        <f>INDEX(Netzzeiten!$C$6:$C$29,HOUR(B2288)+1)</f>
        <v>10.52</v>
      </c>
      <c r="J2288" t="str">
        <f>IF(C2288="","FEHLT",IF(NOT(ISNUMBER(C2288)),"MESSWERT UNGUELTIG",IF(C2288&lt;0,"MESSWERT UNGUELTIG",IF(H2288="","TARIFPREIS FEHLT","OK"))))</f>
        <v>FEHLT</v>
      </c>
      <c r="K2288" s="7">
        <f>IF(J2288&lt;&gt;"OK","",C2288*I2288/100)</f>
        <v/>
      </c>
    </row>
    <row r="2289" spans="1:11">
      <c r="A2289" s="14">
        <v>46166</v>
      </c>
      <c r="B2289" s="15">
        <v>0.78125</v>
      </c>
      <c r="C2289" s="5">
        <f>IF('96 Werte'!BY29="","",'96 Werte'!BY29)</f>
        <v/>
      </c>
      <c r="D2289" t="str">
        <f>IF(IF(Eingaben!$B$21&lt;Eingaben!$B$22,AND(B2289&gt;=Eingaben!$B$21,B2289&lt;Eingaben!$B$22),OR(B2289&gt;=Eingaben!$B$21,B2289&lt;Eingaben!$B$22)),"GO",IF(AND(ISNUMBER(Eingaben!$B$23),ISNUMBER(Eingaben!$B$24),IF(Eingaben!$B$23&lt;Eingaben!$B$24,AND(B2289&gt;=Eingaben!$B$23,B2289&lt;Eingaben!$B$24),OR(B2289&gt;=Eingaben!$B$23,B2289&lt;Eingaben!$B$24))),"HEAT","STANDARD"))</f>
        <v>STANDARD</v>
      </c>
      <c r="E2289" s="9"/>
      <c r="F2289" t="str">
        <f>IF(E2289="",D2289,E2289)</f>
        <v>STANDARD</v>
      </c>
      <c r="G2289" t="str">
        <f>INDEX(Netzzeiten!$B$6:$B$29,HOUR(B2289)+1)</f>
        <v>HT</v>
      </c>
      <c r="H2289" s="6">
        <f>IF(F2289="GO",Eingaben!$B$11,IF(F2289="STANDARD",Eingaben!$B$12,IF(AND(F2289="HEAT",ISNUMBER(Eingaben!$B$13)),Eingaben!$B$13,"")))</f>
        <v>28.2744</v>
      </c>
      <c r="I2289" s="6">
        <f>INDEX(Netzzeiten!$C$6:$C$29,HOUR(B2289)+1)</f>
        <v>10.52</v>
      </c>
      <c r="J2289" t="str">
        <f>IF(C2289="","FEHLT",IF(NOT(ISNUMBER(C2289)),"MESSWERT UNGUELTIG",IF(C2289&lt;0,"MESSWERT UNGUELTIG",IF(H2289="","TARIFPREIS FEHLT","OK"))))</f>
        <v>FEHLT</v>
      </c>
      <c r="K2289" s="7">
        <f>IF(J2289&lt;&gt;"OK","",C2289*I2289/100)</f>
        <v/>
      </c>
    </row>
    <row r="2290" spans="1:11">
      <c r="A2290" s="14">
        <v>46166</v>
      </c>
      <c r="B2290" s="15">
        <v>0.7916666666666666</v>
      </c>
      <c r="C2290" s="5">
        <f>IF('96 Werte'!BZ29="","",'96 Werte'!BZ29)</f>
        <v/>
      </c>
      <c r="D2290" t="str">
        <f>IF(IF(Eingaben!$B$21&lt;Eingaben!$B$22,AND(B2290&gt;=Eingaben!$B$21,B2290&lt;Eingaben!$B$22),OR(B2290&gt;=Eingaben!$B$21,B2290&lt;Eingaben!$B$22)),"GO",IF(AND(ISNUMBER(Eingaben!$B$23),ISNUMBER(Eingaben!$B$24),IF(Eingaben!$B$23&lt;Eingaben!$B$24,AND(B2290&gt;=Eingaben!$B$23,B2290&lt;Eingaben!$B$24),OR(B2290&gt;=Eingaben!$B$23,B2290&lt;Eingaben!$B$24))),"HEAT","STANDARD"))</f>
        <v>STANDARD</v>
      </c>
      <c r="E2290" s="9"/>
      <c r="F2290" t="str">
        <f>IF(E2290="",D2290,E2290)</f>
        <v>STANDARD</v>
      </c>
      <c r="G2290" t="str">
        <f>INDEX(Netzzeiten!$B$6:$B$29,HOUR(B2290)+1)</f>
        <v>HT</v>
      </c>
      <c r="H2290" s="6">
        <f>IF(F2290="GO",Eingaben!$B$11,IF(F2290="STANDARD",Eingaben!$B$12,IF(AND(F2290="HEAT",ISNUMBER(Eingaben!$B$13)),Eingaben!$B$13,"")))</f>
        <v>28.2744</v>
      </c>
      <c r="I2290" s="6">
        <f>INDEX(Netzzeiten!$C$6:$C$29,HOUR(B2290)+1)</f>
        <v>10.52</v>
      </c>
      <c r="J2290" t="str">
        <f>IF(C2290="","FEHLT",IF(NOT(ISNUMBER(C2290)),"MESSWERT UNGUELTIG",IF(C2290&lt;0,"MESSWERT UNGUELTIG",IF(H2290="","TARIFPREIS FEHLT","OK"))))</f>
        <v>FEHLT</v>
      </c>
      <c r="K2290" s="7">
        <f>IF(J2290&lt;&gt;"OK","",C2290*I2290/100)</f>
        <v/>
      </c>
    </row>
    <row r="2291" spans="1:11">
      <c r="A2291" s="14">
        <v>46166</v>
      </c>
      <c r="B2291" s="15">
        <v>0.8020833333333334</v>
      </c>
      <c r="C2291" s="5">
        <f>IF('96 Werte'!CA29="","",'96 Werte'!CA29)</f>
        <v/>
      </c>
      <c r="D2291" t="str">
        <f>IF(IF(Eingaben!$B$21&lt;Eingaben!$B$22,AND(B2291&gt;=Eingaben!$B$21,B2291&lt;Eingaben!$B$22),OR(B2291&gt;=Eingaben!$B$21,B2291&lt;Eingaben!$B$22)),"GO",IF(AND(ISNUMBER(Eingaben!$B$23),ISNUMBER(Eingaben!$B$24),IF(Eingaben!$B$23&lt;Eingaben!$B$24,AND(B2291&gt;=Eingaben!$B$23,B2291&lt;Eingaben!$B$24),OR(B2291&gt;=Eingaben!$B$23,B2291&lt;Eingaben!$B$24))),"HEAT","STANDARD"))</f>
        <v>STANDARD</v>
      </c>
      <c r="E2291" s="9"/>
      <c r="F2291" t="str">
        <f>IF(E2291="",D2291,E2291)</f>
        <v>STANDARD</v>
      </c>
      <c r="G2291" t="str">
        <f>INDEX(Netzzeiten!$B$6:$B$29,HOUR(B2291)+1)</f>
        <v>HT</v>
      </c>
      <c r="H2291" s="6">
        <f>IF(F2291="GO",Eingaben!$B$11,IF(F2291="STANDARD",Eingaben!$B$12,IF(AND(F2291="HEAT",ISNUMBER(Eingaben!$B$13)),Eingaben!$B$13,"")))</f>
        <v>28.2744</v>
      </c>
      <c r="I2291" s="6">
        <f>INDEX(Netzzeiten!$C$6:$C$29,HOUR(B2291)+1)</f>
        <v>10.52</v>
      </c>
      <c r="J2291" t="str">
        <f>IF(C2291="","FEHLT",IF(NOT(ISNUMBER(C2291)),"MESSWERT UNGUELTIG",IF(C2291&lt;0,"MESSWERT UNGUELTIG",IF(H2291="","TARIFPREIS FEHLT","OK"))))</f>
        <v>FEHLT</v>
      </c>
      <c r="K2291" s="7">
        <f>IF(J2291&lt;&gt;"OK","",C2291*I2291/100)</f>
        <v/>
      </c>
    </row>
    <row r="2292" spans="1:11">
      <c r="A2292" s="14">
        <v>46166</v>
      </c>
      <c r="B2292" s="15">
        <v>0.8125</v>
      </c>
      <c r="C2292" s="5">
        <f>IF('96 Werte'!CB29="","",'96 Werte'!CB29)</f>
        <v/>
      </c>
      <c r="D2292" t="str">
        <f>IF(IF(Eingaben!$B$21&lt;Eingaben!$B$22,AND(B2292&gt;=Eingaben!$B$21,B2292&lt;Eingaben!$B$22),OR(B2292&gt;=Eingaben!$B$21,B2292&lt;Eingaben!$B$22)),"GO",IF(AND(ISNUMBER(Eingaben!$B$23),ISNUMBER(Eingaben!$B$24),IF(Eingaben!$B$23&lt;Eingaben!$B$24,AND(B2292&gt;=Eingaben!$B$23,B2292&lt;Eingaben!$B$24),OR(B2292&gt;=Eingaben!$B$23,B2292&lt;Eingaben!$B$24))),"HEAT","STANDARD"))</f>
        <v>STANDARD</v>
      </c>
      <c r="E2292" s="9"/>
      <c r="F2292" t="str">
        <f>IF(E2292="",D2292,E2292)</f>
        <v>STANDARD</v>
      </c>
      <c r="G2292" t="str">
        <f>INDEX(Netzzeiten!$B$6:$B$29,HOUR(B2292)+1)</f>
        <v>HT</v>
      </c>
      <c r="H2292" s="6">
        <f>IF(F2292="GO",Eingaben!$B$11,IF(F2292="STANDARD",Eingaben!$B$12,IF(AND(F2292="HEAT",ISNUMBER(Eingaben!$B$13)),Eingaben!$B$13,"")))</f>
        <v>28.2744</v>
      </c>
      <c r="I2292" s="6">
        <f>INDEX(Netzzeiten!$C$6:$C$29,HOUR(B2292)+1)</f>
        <v>10.52</v>
      </c>
      <c r="J2292" t="str">
        <f>IF(C2292="","FEHLT",IF(NOT(ISNUMBER(C2292)),"MESSWERT UNGUELTIG",IF(C2292&lt;0,"MESSWERT UNGUELTIG",IF(H2292="","TARIFPREIS FEHLT","OK"))))</f>
        <v>FEHLT</v>
      </c>
      <c r="K2292" s="7">
        <f>IF(J2292&lt;&gt;"OK","",C2292*I2292/100)</f>
        <v/>
      </c>
    </row>
    <row r="2293" spans="1:11">
      <c r="A2293" s="14">
        <v>46166</v>
      </c>
      <c r="B2293" s="15">
        <v>0.8229166666666666</v>
      </c>
      <c r="C2293" s="5">
        <f>IF('96 Werte'!CC29="","",'96 Werte'!CC29)</f>
        <v/>
      </c>
      <c r="D2293" t="str">
        <f>IF(IF(Eingaben!$B$21&lt;Eingaben!$B$22,AND(B2293&gt;=Eingaben!$B$21,B2293&lt;Eingaben!$B$22),OR(B2293&gt;=Eingaben!$B$21,B2293&lt;Eingaben!$B$22)),"GO",IF(AND(ISNUMBER(Eingaben!$B$23),ISNUMBER(Eingaben!$B$24),IF(Eingaben!$B$23&lt;Eingaben!$B$24,AND(B2293&gt;=Eingaben!$B$23,B2293&lt;Eingaben!$B$24),OR(B2293&gt;=Eingaben!$B$23,B2293&lt;Eingaben!$B$24))),"HEAT","STANDARD"))</f>
        <v>STANDARD</v>
      </c>
      <c r="E2293" s="9"/>
      <c r="F2293" t="str">
        <f>IF(E2293="",D2293,E2293)</f>
        <v>STANDARD</v>
      </c>
      <c r="G2293" t="str">
        <f>INDEX(Netzzeiten!$B$6:$B$29,HOUR(B2293)+1)</f>
        <v>HT</v>
      </c>
      <c r="H2293" s="6">
        <f>IF(F2293="GO",Eingaben!$B$11,IF(F2293="STANDARD",Eingaben!$B$12,IF(AND(F2293="HEAT",ISNUMBER(Eingaben!$B$13)),Eingaben!$B$13,"")))</f>
        <v>28.2744</v>
      </c>
      <c r="I2293" s="6">
        <f>INDEX(Netzzeiten!$C$6:$C$29,HOUR(B2293)+1)</f>
        <v>10.52</v>
      </c>
      <c r="J2293" t="str">
        <f>IF(C2293="","FEHLT",IF(NOT(ISNUMBER(C2293)),"MESSWERT UNGUELTIG",IF(C2293&lt;0,"MESSWERT UNGUELTIG",IF(H2293="","TARIFPREIS FEHLT","OK"))))</f>
        <v>FEHLT</v>
      </c>
      <c r="K2293" s="7">
        <f>IF(J2293&lt;&gt;"OK","",C2293*I2293/100)</f>
        <v/>
      </c>
    </row>
    <row r="2294" spans="1:11">
      <c r="A2294" s="14">
        <v>46166</v>
      </c>
      <c r="B2294" s="15">
        <v>0.8333333333333334</v>
      </c>
      <c r="C2294" s="5">
        <f>IF('96 Werte'!CD29="","",'96 Werte'!CD29)</f>
        <v/>
      </c>
      <c r="D2294" t="str">
        <f>IF(IF(Eingaben!$B$21&lt;Eingaben!$B$22,AND(B2294&gt;=Eingaben!$B$21,B2294&lt;Eingaben!$B$22),OR(B2294&gt;=Eingaben!$B$21,B2294&lt;Eingaben!$B$22)),"GO",IF(AND(ISNUMBER(Eingaben!$B$23),ISNUMBER(Eingaben!$B$24),IF(Eingaben!$B$23&lt;Eingaben!$B$24,AND(B2294&gt;=Eingaben!$B$23,B2294&lt;Eingaben!$B$24),OR(B2294&gt;=Eingaben!$B$23,B2294&lt;Eingaben!$B$24))),"HEAT","STANDARD"))</f>
        <v>STANDARD</v>
      </c>
      <c r="E2294" s="9"/>
      <c r="F2294" t="str">
        <f>IF(E2294="",D2294,E2294)</f>
        <v>STANDARD</v>
      </c>
      <c r="G2294" t="str">
        <f>INDEX(Netzzeiten!$B$6:$B$29,HOUR(B2294)+1)</f>
        <v>HT</v>
      </c>
      <c r="H2294" s="6">
        <f>IF(F2294="GO",Eingaben!$B$11,IF(F2294="STANDARD",Eingaben!$B$12,IF(AND(F2294="HEAT",ISNUMBER(Eingaben!$B$13)),Eingaben!$B$13,"")))</f>
        <v>28.2744</v>
      </c>
      <c r="I2294" s="6">
        <f>INDEX(Netzzeiten!$C$6:$C$29,HOUR(B2294)+1)</f>
        <v>10.52</v>
      </c>
      <c r="J2294" t="str">
        <f>IF(C2294="","FEHLT",IF(NOT(ISNUMBER(C2294)),"MESSWERT UNGUELTIG",IF(C2294&lt;0,"MESSWERT UNGUELTIG",IF(H2294="","TARIFPREIS FEHLT","OK"))))</f>
        <v>FEHLT</v>
      </c>
      <c r="K2294" s="7">
        <f>IF(J2294&lt;&gt;"OK","",C2294*I2294/100)</f>
        <v/>
      </c>
    </row>
    <row r="2295" spans="1:11">
      <c r="A2295" s="14">
        <v>46166</v>
      </c>
      <c r="B2295" s="15">
        <v>0.84375</v>
      </c>
      <c r="C2295" s="5">
        <f>IF('96 Werte'!CE29="","",'96 Werte'!CE29)</f>
        <v/>
      </c>
      <c r="D2295" t="str">
        <f>IF(IF(Eingaben!$B$21&lt;Eingaben!$B$22,AND(B2295&gt;=Eingaben!$B$21,B2295&lt;Eingaben!$B$22),OR(B2295&gt;=Eingaben!$B$21,B2295&lt;Eingaben!$B$22)),"GO",IF(AND(ISNUMBER(Eingaben!$B$23),ISNUMBER(Eingaben!$B$24),IF(Eingaben!$B$23&lt;Eingaben!$B$24,AND(B2295&gt;=Eingaben!$B$23,B2295&lt;Eingaben!$B$24),OR(B2295&gt;=Eingaben!$B$23,B2295&lt;Eingaben!$B$24))),"HEAT","STANDARD"))</f>
        <v>STANDARD</v>
      </c>
      <c r="E2295" s="9"/>
      <c r="F2295" t="str">
        <f>IF(E2295="",D2295,E2295)</f>
        <v>STANDARD</v>
      </c>
      <c r="G2295" t="str">
        <f>INDEX(Netzzeiten!$B$6:$B$29,HOUR(B2295)+1)</f>
        <v>HT</v>
      </c>
      <c r="H2295" s="6">
        <f>IF(F2295="GO",Eingaben!$B$11,IF(F2295="STANDARD",Eingaben!$B$12,IF(AND(F2295="HEAT",ISNUMBER(Eingaben!$B$13)),Eingaben!$B$13,"")))</f>
        <v>28.2744</v>
      </c>
      <c r="I2295" s="6">
        <f>INDEX(Netzzeiten!$C$6:$C$29,HOUR(B2295)+1)</f>
        <v>10.52</v>
      </c>
      <c r="J2295" t="str">
        <f>IF(C2295="","FEHLT",IF(NOT(ISNUMBER(C2295)),"MESSWERT UNGUELTIG",IF(C2295&lt;0,"MESSWERT UNGUELTIG",IF(H2295="","TARIFPREIS FEHLT","OK"))))</f>
        <v>FEHLT</v>
      </c>
      <c r="K2295" s="7">
        <f>IF(J2295&lt;&gt;"OK","",C2295*I2295/100)</f>
        <v/>
      </c>
    </row>
    <row r="2296" spans="1:11">
      <c r="A2296" s="14">
        <v>46166</v>
      </c>
      <c r="B2296" s="15">
        <v>0.8541666666666666</v>
      </c>
      <c r="C2296" s="5">
        <f>IF('96 Werte'!CF29="","",'96 Werte'!CF29)</f>
        <v/>
      </c>
      <c r="D2296" t="str">
        <f>IF(IF(Eingaben!$B$21&lt;Eingaben!$B$22,AND(B2296&gt;=Eingaben!$B$21,B2296&lt;Eingaben!$B$22),OR(B2296&gt;=Eingaben!$B$21,B2296&lt;Eingaben!$B$22)),"GO",IF(AND(ISNUMBER(Eingaben!$B$23),ISNUMBER(Eingaben!$B$24),IF(Eingaben!$B$23&lt;Eingaben!$B$24,AND(B2296&gt;=Eingaben!$B$23,B2296&lt;Eingaben!$B$24),OR(B2296&gt;=Eingaben!$B$23,B2296&lt;Eingaben!$B$24))),"HEAT","STANDARD"))</f>
        <v>STANDARD</v>
      </c>
      <c r="E2296" s="9"/>
      <c r="F2296" t="str">
        <f>IF(E2296="",D2296,E2296)</f>
        <v>STANDARD</v>
      </c>
      <c r="G2296" t="str">
        <f>INDEX(Netzzeiten!$B$6:$B$29,HOUR(B2296)+1)</f>
        <v>HT</v>
      </c>
      <c r="H2296" s="6">
        <f>IF(F2296="GO",Eingaben!$B$11,IF(F2296="STANDARD",Eingaben!$B$12,IF(AND(F2296="HEAT",ISNUMBER(Eingaben!$B$13)),Eingaben!$B$13,"")))</f>
        <v>28.2744</v>
      </c>
      <c r="I2296" s="6">
        <f>INDEX(Netzzeiten!$C$6:$C$29,HOUR(B2296)+1)</f>
        <v>10.52</v>
      </c>
      <c r="J2296" t="str">
        <f>IF(C2296="","FEHLT",IF(NOT(ISNUMBER(C2296)),"MESSWERT UNGUELTIG",IF(C2296&lt;0,"MESSWERT UNGUELTIG",IF(H2296="","TARIFPREIS FEHLT","OK"))))</f>
        <v>FEHLT</v>
      </c>
      <c r="K2296" s="7">
        <f>IF(J2296&lt;&gt;"OK","",C2296*I2296/100)</f>
        <v/>
      </c>
    </row>
    <row r="2297" spans="1:11">
      <c r="A2297" s="14">
        <v>46166</v>
      </c>
      <c r="B2297" s="15">
        <v>0.8645833333333334</v>
      </c>
      <c r="C2297" s="5">
        <f>IF('96 Werte'!CG29="","",'96 Werte'!CG29)</f>
        <v/>
      </c>
      <c r="D2297" t="str">
        <f>IF(IF(Eingaben!$B$21&lt;Eingaben!$B$22,AND(B2297&gt;=Eingaben!$B$21,B2297&lt;Eingaben!$B$22),OR(B2297&gt;=Eingaben!$B$21,B2297&lt;Eingaben!$B$22)),"GO",IF(AND(ISNUMBER(Eingaben!$B$23),ISNUMBER(Eingaben!$B$24),IF(Eingaben!$B$23&lt;Eingaben!$B$24,AND(B2297&gt;=Eingaben!$B$23,B2297&lt;Eingaben!$B$24),OR(B2297&gt;=Eingaben!$B$23,B2297&lt;Eingaben!$B$24))),"HEAT","STANDARD"))</f>
        <v>STANDARD</v>
      </c>
      <c r="E2297" s="9"/>
      <c r="F2297" t="str">
        <f>IF(E2297="",D2297,E2297)</f>
        <v>STANDARD</v>
      </c>
      <c r="G2297" t="str">
        <f>INDEX(Netzzeiten!$B$6:$B$29,HOUR(B2297)+1)</f>
        <v>HT</v>
      </c>
      <c r="H2297" s="6">
        <f>IF(F2297="GO",Eingaben!$B$11,IF(F2297="STANDARD",Eingaben!$B$12,IF(AND(F2297="HEAT",ISNUMBER(Eingaben!$B$13)),Eingaben!$B$13,"")))</f>
        <v>28.2744</v>
      </c>
      <c r="I2297" s="6">
        <f>INDEX(Netzzeiten!$C$6:$C$29,HOUR(B2297)+1)</f>
        <v>10.52</v>
      </c>
      <c r="J2297" t="str">
        <f>IF(C2297="","FEHLT",IF(NOT(ISNUMBER(C2297)),"MESSWERT UNGUELTIG",IF(C2297&lt;0,"MESSWERT UNGUELTIG",IF(H2297="","TARIFPREIS FEHLT","OK"))))</f>
        <v>FEHLT</v>
      </c>
      <c r="K2297" s="7">
        <f>IF(J2297&lt;&gt;"OK","",C2297*I2297/100)</f>
        <v/>
      </c>
    </row>
    <row r="2298" spans="1:11">
      <c r="A2298" s="14">
        <v>46166</v>
      </c>
      <c r="B2298" s="15">
        <v>0.875</v>
      </c>
      <c r="C2298" s="5">
        <f>IF('96 Werte'!CH29="","",'96 Werte'!CH29)</f>
        <v/>
      </c>
      <c r="D2298" t="str">
        <f>IF(IF(Eingaben!$B$21&lt;Eingaben!$B$22,AND(B2298&gt;=Eingaben!$B$21,B2298&lt;Eingaben!$B$22),OR(B2298&gt;=Eingaben!$B$21,B2298&lt;Eingaben!$B$22)),"GO",IF(AND(ISNUMBER(Eingaben!$B$23),ISNUMBER(Eingaben!$B$24),IF(Eingaben!$B$23&lt;Eingaben!$B$24,AND(B2298&gt;=Eingaben!$B$23,B2298&lt;Eingaben!$B$24),OR(B2298&gt;=Eingaben!$B$23,B2298&lt;Eingaben!$B$24))),"HEAT","STANDARD"))</f>
        <v>STANDARD</v>
      </c>
      <c r="E2298" s="9"/>
      <c r="F2298" t="str">
        <f>IF(E2298="",D2298,E2298)</f>
        <v>STANDARD</v>
      </c>
      <c r="G2298" t="str">
        <f>INDEX(Netzzeiten!$B$6:$B$29,HOUR(B2298)+1)</f>
        <v>HT</v>
      </c>
      <c r="H2298" s="6">
        <f>IF(F2298="GO",Eingaben!$B$11,IF(F2298="STANDARD",Eingaben!$B$12,IF(AND(F2298="HEAT",ISNUMBER(Eingaben!$B$13)),Eingaben!$B$13,"")))</f>
        <v>28.2744</v>
      </c>
      <c r="I2298" s="6">
        <f>INDEX(Netzzeiten!$C$6:$C$29,HOUR(B2298)+1)</f>
        <v>10.52</v>
      </c>
      <c r="J2298" t="str">
        <f>IF(C2298="","FEHLT",IF(NOT(ISNUMBER(C2298)),"MESSWERT UNGUELTIG",IF(C2298&lt;0,"MESSWERT UNGUELTIG",IF(H2298="","TARIFPREIS FEHLT","OK"))))</f>
        <v>FEHLT</v>
      </c>
      <c r="K2298" s="7">
        <f>IF(J2298&lt;&gt;"OK","",C2298*I2298/100)</f>
        <v/>
      </c>
    </row>
    <row r="2299" spans="1:11">
      <c r="A2299" s="14">
        <v>46166</v>
      </c>
      <c r="B2299" s="15">
        <v>0.8854166666666666</v>
      </c>
      <c r="C2299" s="5">
        <f>IF('96 Werte'!CI29="","",'96 Werte'!CI29)</f>
        <v/>
      </c>
      <c r="D2299" t="str">
        <f>IF(IF(Eingaben!$B$21&lt;Eingaben!$B$22,AND(B2299&gt;=Eingaben!$B$21,B2299&lt;Eingaben!$B$22),OR(B2299&gt;=Eingaben!$B$21,B2299&lt;Eingaben!$B$22)),"GO",IF(AND(ISNUMBER(Eingaben!$B$23),ISNUMBER(Eingaben!$B$24),IF(Eingaben!$B$23&lt;Eingaben!$B$24,AND(B2299&gt;=Eingaben!$B$23,B2299&lt;Eingaben!$B$24),OR(B2299&gt;=Eingaben!$B$23,B2299&lt;Eingaben!$B$24))),"HEAT","STANDARD"))</f>
        <v>STANDARD</v>
      </c>
      <c r="E2299" s="9"/>
      <c r="F2299" t="str">
        <f>IF(E2299="",D2299,E2299)</f>
        <v>STANDARD</v>
      </c>
      <c r="G2299" t="str">
        <f>INDEX(Netzzeiten!$B$6:$B$29,HOUR(B2299)+1)</f>
        <v>HT</v>
      </c>
      <c r="H2299" s="6">
        <f>IF(F2299="GO",Eingaben!$B$11,IF(F2299="STANDARD",Eingaben!$B$12,IF(AND(F2299="HEAT",ISNUMBER(Eingaben!$B$13)),Eingaben!$B$13,"")))</f>
        <v>28.2744</v>
      </c>
      <c r="I2299" s="6">
        <f>INDEX(Netzzeiten!$C$6:$C$29,HOUR(B2299)+1)</f>
        <v>10.52</v>
      </c>
      <c r="J2299" t="str">
        <f>IF(C2299="","FEHLT",IF(NOT(ISNUMBER(C2299)),"MESSWERT UNGUELTIG",IF(C2299&lt;0,"MESSWERT UNGUELTIG",IF(H2299="","TARIFPREIS FEHLT","OK"))))</f>
        <v>FEHLT</v>
      </c>
      <c r="K2299" s="7">
        <f>IF(J2299&lt;&gt;"OK","",C2299*I2299/100)</f>
        <v/>
      </c>
    </row>
    <row r="2300" spans="1:11">
      <c r="A2300" s="14">
        <v>46166</v>
      </c>
      <c r="B2300" s="15">
        <v>0.8958333333333334</v>
      </c>
      <c r="C2300" s="5">
        <f>IF('96 Werte'!CJ29="","",'96 Werte'!CJ29)</f>
        <v/>
      </c>
      <c r="D2300" t="str">
        <f>IF(IF(Eingaben!$B$21&lt;Eingaben!$B$22,AND(B2300&gt;=Eingaben!$B$21,B2300&lt;Eingaben!$B$22),OR(B2300&gt;=Eingaben!$B$21,B2300&lt;Eingaben!$B$22)),"GO",IF(AND(ISNUMBER(Eingaben!$B$23),ISNUMBER(Eingaben!$B$24),IF(Eingaben!$B$23&lt;Eingaben!$B$24,AND(B2300&gt;=Eingaben!$B$23,B2300&lt;Eingaben!$B$24),OR(B2300&gt;=Eingaben!$B$23,B2300&lt;Eingaben!$B$24))),"HEAT","STANDARD"))</f>
        <v>STANDARD</v>
      </c>
      <c r="E2300" s="9"/>
      <c r="F2300" t="str">
        <f>IF(E2300="",D2300,E2300)</f>
        <v>STANDARD</v>
      </c>
      <c r="G2300" t="str">
        <f>INDEX(Netzzeiten!$B$6:$B$29,HOUR(B2300)+1)</f>
        <v>HT</v>
      </c>
      <c r="H2300" s="6">
        <f>IF(F2300="GO",Eingaben!$B$11,IF(F2300="STANDARD",Eingaben!$B$12,IF(AND(F2300="HEAT",ISNUMBER(Eingaben!$B$13)),Eingaben!$B$13,"")))</f>
        <v>28.2744</v>
      </c>
      <c r="I2300" s="6">
        <f>INDEX(Netzzeiten!$C$6:$C$29,HOUR(B2300)+1)</f>
        <v>10.52</v>
      </c>
      <c r="J2300" t="str">
        <f>IF(C2300="","FEHLT",IF(NOT(ISNUMBER(C2300)),"MESSWERT UNGUELTIG",IF(C2300&lt;0,"MESSWERT UNGUELTIG",IF(H2300="","TARIFPREIS FEHLT","OK"))))</f>
        <v>FEHLT</v>
      </c>
      <c r="K2300" s="7">
        <f>IF(J2300&lt;&gt;"OK","",C2300*I2300/100)</f>
        <v/>
      </c>
    </row>
    <row r="2301" spans="1:11">
      <c r="A2301" s="14">
        <v>46166</v>
      </c>
      <c r="B2301" s="15">
        <v>0.90625</v>
      </c>
      <c r="C2301" s="5">
        <f>IF('96 Werte'!CK29="","",'96 Werte'!CK29)</f>
        <v/>
      </c>
      <c r="D2301" t="str">
        <f>IF(IF(Eingaben!$B$21&lt;Eingaben!$B$22,AND(B2301&gt;=Eingaben!$B$21,B2301&lt;Eingaben!$B$22),OR(B2301&gt;=Eingaben!$B$21,B2301&lt;Eingaben!$B$22)),"GO",IF(AND(ISNUMBER(Eingaben!$B$23),ISNUMBER(Eingaben!$B$24),IF(Eingaben!$B$23&lt;Eingaben!$B$24,AND(B2301&gt;=Eingaben!$B$23,B2301&lt;Eingaben!$B$24),OR(B2301&gt;=Eingaben!$B$23,B2301&lt;Eingaben!$B$24))),"HEAT","STANDARD"))</f>
        <v>STANDARD</v>
      </c>
      <c r="E2301" s="9"/>
      <c r="F2301" t="str">
        <f>IF(E2301="",D2301,E2301)</f>
        <v>STANDARD</v>
      </c>
      <c r="G2301" t="str">
        <f>INDEX(Netzzeiten!$B$6:$B$29,HOUR(B2301)+1)</f>
        <v>HT</v>
      </c>
      <c r="H2301" s="6">
        <f>IF(F2301="GO",Eingaben!$B$11,IF(F2301="STANDARD",Eingaben!$B$12,IF(AND(F2301="HEAT",ISNUMBER(Eingaben!$B$13)),Eingaben!$B$13,"")))</f>
        <v>28.2744</v>
      </c>
      <c r="I2301" s="6">
        <f>INDEX(Netzzeiten!$C$6:$C$29,HOUR(B2301)+1)</f>
        <v>10.52</v>
      </c>
      <c r="J2301" t="str">
        <f>IF(C2301="","FEHLT",IF(NOT(ISNUMBER(C2301)),"MESSWERT UNGUELTIG",IF(C2301&lt;0,"MESSWERT UNGUELTIG",IF(H2301="","TARIFPREIS FEHLT","OK"))))</f>
        <v>FEHLT</v>
      </c>
      <c r="K2301" s="7">
        <f>IF(J2301&lt;&gt;"OK","",C2301*I2301/100)</f>
        <v/>
      </c>
    </row>
    <row r="2302" spans="1:11">
      <c r="A2302" s="14">
        <v>46166</v>
      </c>
      <c r="B2302" s="15">
        <v>0.9166666666666666</v>
      </c>
      <c r="C2302" s="5">
        <f>IF('96 Werte'!CL29="","",'96 Werte'!CL29)</f>
        <v/>
      </c>
      <c r="D2302" t="str">
        <f>IF(IF(Eingaben!$B$21&lt;Eingaben!$B$22,AND(B2302&gt;=Eingaben!$B$21,B2302&lt;Eingaben!$B$22),OR(B2302&gt;=Eingaben!$B$21,B2302&lt;Eingaben!$B$22)),"GO",IF(AND(ISNUMBER(Eingaben!$B$23),ISNUMBER(Eingaben!$B$24),IF(Eingaben!$B$23&lt;Eingaben!$B$24,AND(B2302&gt;=Eingaben!$B$23,B2302&lt;Eingaben!$B$24),OR(B2302&gt;=Eingaben!$B$23,B2302&lt;Eingaben!$B$24))),"HEAT","STANDARD"))</f>
        <v>STANDARD</v>
      </c>
      <c r="E2302" s="9"/>
      <c r="F2302" t="str">
        <f>IF(E2302="",D2302,E2302)</f>
        <v>STANDARD</v>
      </c>
      <c r="G2302" t="str">
        <f>INDEX(Netzzeiten!$B$6:$B$29,HOUR(B2302)+1)</f>
        <v>ST</v>
      </c>
      <c r="H2302" s="6">
        <f>IF(F2302="GO",Eingaben!$B$11,IF(F2302="STANDARD",Eingaben!$B$12,IF(AND(F2302="HEAT",ISNUMBER(Eingaben!$B$13)),Eingaben!$B$13,"")))</f>
        <v>28.2744</v>
      </c>
      <c r="I2302" s="6">
        <f>INDEX(Netzzeiten!$C$6:$C$29,HOUR(B2302)+1)</f>
        <v>5.48</v>
      </c>
      <c r="J2302" t="str">
        <f>IF(C2302="","FEHLT",IF(NOT(ISNUMBER(C2302)),"MESSWERT UNGUELTIG",IF(C2302&lt;0,"MESSWERT UNGUELTIG",IF(H2302="","TARIFPREIS FEHLT","OK"))))</f>
        <v>FEHLT</v>
      </c>
      <c r="K2302" s="7">
        <f>IF(J2302&lt;&gt;"OK","",C2302*I2302/100)</f>
        <v/>
      </c>
    </row>
    <row r="2303" spans="1:11">
      <c r="A2303" s="14">
        <v>46166</v>
      </c>
      <c r="B2303" s="15">
        <v>0.9270833333333334</v>
      </c>
      <c r="C2303" s="5">
        <f>IF('96 Werte'!CM29="","",'96 Werte'!CM29)</f>
        <v/>
      </c>
      <c r="D2303" t="str">
        <f>IF(IF(Eingaben!$B$21&lt;Eingaben!$B$22,AND(B2303&gt;=Eingaben!$B$21,B2303&lt;Eingaben!$B$22),OR(B2303&gt;=Eingaben!$B$21,B2303&lt;Eingaben!$B$22)),"GO",IF(AND(ISNUMBER(Eingaben!$B$23),ISNUMBER(Eingaben!$B$24),IF(Eingaben!$B$23&lt;Eingaben!$B$24,AND(B2303&gt;=Eingaben!$B$23,B2303&lt;Eingaben!$B$24),OR(B2303&gt;=Eingaben!$B$23,B2303&lt;Eingaben!$B$24))),"HEAT","STANDARD"))</f>
        <v>STANDARD</v>
      </c>
      <c r="E2303" s="9"/>
      <c r="F2303" t="str">
        <f>IF(E2303="",D2303,E2303)</f>
        <v>STANDARD</v>
      </c>
      <c r="G2303" t="str">
        <f>INDEX(Netzzeiten!$B$6:$B$29,HOUR(B2303)+1)</f>
        <v>ST</v>
      </c>
      <c r="H2303" s="6">
        <f>IF(F2303="GO",Eingaben!$B$11,IF(F2303="STANDARD",Eingaben!$B$12,IF(AND(F2303="HEAT",ISNUMBER(Eingaben!$B$13)),Eingaben!$B$13,"")))</f>
        <v>28.2744</v>
      </c>
      <c r="I2303" s="6">
        <f>INDEX(Netzzeiten!$C$6:$C$29,HOUR(B2303)+1)</f>
        <v>5.48</v>
      </c>
      <c r="J2303" t="str">
        <f>IF(C2303="","FEHLT",IF(NOT(ISNUMBER(C2303)),"MESSWERT UNGUELTIG",IF(C2303&lt;0,"MESSWERT UNGUELTIG",IF(H2303="","TARIFPREIS FEHLT","OK"))))</f>
        <v>FEHLT</v>
      </c>
      <c r="K2303" s="7">
        <f>IF(J2303&lt;&gt;"OK","",C2303*I2303/100)</f>
        <v/>
      </c>
    </row>
    <row r="2304" spans="1:11">
      <c r="A2304" s="14">
        <v>46166</v>
      </c>
      <c r="B2304" s="15">
        <v>0.9375</v>
      </c>
      <c r="C2304" s="5">
        <f>IF('96 Werte'!CN29="","",'96 Werte'!CN29)</f>
        <v/>
      </c>
      <c r="D2304" t="str">
        <f>IF(IF(Eingaben!$B$21&lt;Eingaben!$B$22,AND(B2304&gt;=Eingaben!$B$21,B2304&lt;Eingaben!$B$22),OR(B2304&gt;=Eingaben!$B$21,B2304&lt;Eingaben!$B$22)),"GO",IF(AND(ISNUMBER(Eingaben!$B$23),ISNUMBER(Eingaben!$B$24),IF(Eingaben!$B$23&lt;Eingaben!$B$24,AND(B2304&gt;=Eingaben!$B$23,B2304&lt;Eingaben!$B$24),OR(B2304&gt;=Eingaben!$B$23,B2304&lt;Eingaben!$B$24))),"HEAT","STANDARD"))</f>
        <v>STANDARD</v>
      </c>
      <c r="E2304" s="9"/>
      <c r="F2304" t="str">
        <f>IF(E2304="",D2304,E2304)</f>
        <v>STANDARD</v>
      </c>
      <c r="G2304" t="str">
        <f>INDEX(Netzzeiten!$B$6:$B$29,HOUR(B2304)+1)</f>
        <v>ST</v>
      </c>
      <c r="H2304" s="6">
        <f>IF(F2304="GO",Eingaben!$B$11,IF(F2304="STANDARD",Eingaben!$B$12,IF(AND(F2304="HEAT",ISNUMBER(Eingaben!$B$13)),Eingaben!$B$13,"")))</f>
        <v>28.2744</v>
      </c>
      <c r="I2304" s="6">
        <f>INDEX(Netzzeiten!$C$6:$C$29,HOUR(B2304)+1)</f>
        <v>5.48</v>
      </c>
      <c r="J2304" t="str">
        <f>IF(C2304="","FEHLT",IF(NOT(ISNUMBER(C2304)),"MESSWERT UNGUELTIG",IF(C2304&lt;0,"MESSWERT UNGUELTIG",IF(H2304="","TARIFPREIS FEHLT","OK"))))</f>
        <v>FEHLT</v>
      </c>
      <c r="K2304" s="7">
        <f>IF(J2304&lt;&gt;"OK","",C2304*I2304/100)</f>
        <v/>
      </c>
    </row>
    <row r="2305" spans="1:11">
      <c r="A2305" s="14">
        <v>46166</v>
      </c>
      <c r="B2305" s="15">
        <v>0.9479166666666666</v>
      </c>
      <c r="C2305" s="5">
        <f>IF('96 Werte'!CO29="","",'96 Werte'!CO29)</f>
        <v/>
      </c>
      <c r="D2305" t="str">
        <f>IF(IF(Eingaben!$B$21&lt;Eingaben!$B$22,AND(B2305&gt;=Eingaben!$B$21,B2305&lt;Eingaben!$B$22),OR(B2305&gt;=Eingaben!$B$21,B2305&lt;Eingaben!$B$22)),"GO",IF(AND(ISNUMBER(Eingaben!$B$23),ISNUMBER(Eingaben!$B$24),IF(Eingaben!$B$23&lt;Eingaben!$B$24,AND(B2305&gt;=Eingaben!$B$23,B2305&lt;Eingaben!$B$24),OR(B2305&gt;=Eingaben!$B$23,B2305&lt;Eingaben!$B$24))),"HEAT","STANDARD"))</f>
        <v>STANDARD</v>
      </c>
      <c r="E2305" s="9"/>
      <c r="F2305" t="str">
        <f>IF(E2305="",D2305,E2305)</f>
        <v>STANDARD</v>
      </c>
      <c r="G2305" t="str">
        <f>INDEX(Netzzeiten!$B$6:$B$29,HOUR(B2305)+1)</f>
        <v>ST</v>
      </c>
      <c r="H2305" s="6">
        <f>IF(F2305="GO",Eingaben!$B$11,IF(F2305="STANDARD",Eingaben!$B$12,IF(AND(F2305="HEAT",ISNUMBER(Eingaben!$B$13)),Eingaben!$B$13,"")))</f>
        <v>28.2744</v>
      </c>
      <c r="I2305" s="6">
        <f>INDEX(Netzzeiten!$C$6:$C$29,HOUR(B2305)+1)</f>
        <v>5.48</v>
      </c>
      <c r="J2305" t="str">
        <f>IF(C2305="","FEHLT",IF(NOT(ISNUMBER(C2305)),"MESSWERT UNGUELTIG",IF(C2305&lt;0,"MESSWERT UNGUELTIG",IF(H2305="","TARIFPREIS FEHLT","OK"))))</f>
        <v>FEHLT</v>
      </c>
      <c r="K2305" s="7">
        <f>IF(J2305&lt;&gt;"OK","",C2305*I2305/100)</f>
        <v/>
      </c>
    </row>
    <row r="2306" spans="1:11">
      <c r="A2306" s="14">
        <v>46166</v>
      </c>
      <c r="B2306" s="15">
        <v>0.9583333333333334</v>
      </c>
      <c r="C2306" s="5">
        <f>IF('96 Werte'!CP29="","",'96 Werte'!CP29)</f>
        <v/>
      </c>
      <c r="D2306" t="str">
        <f>IF(IF(Eingaben!$B$21&lt;Eingaben!$B$22,AND(B2306&gt;=Eingaben!$B$21,B2306&lt;Eingaben!$B$22),OR(B2306&gt;=Eingaben!$B$21,B2306&lt;Eingaben!$B$22)),"GO",IF(AND(ISNUMBER(Eingaben!$B$23),ISNUMBER(Eingaben!$B$24),IF(Eingaben!$B$23&lt;Eingaben!$B$24,AND(B2306&gt;=Eingaben!$B$23,B2306&lt;Eingaben!$B$24),OR(B2306&gt;=Eingaben!$B$23,B2306&lt;Eingaben!$B$24))),"HEAT","STANDARD"))</f>
        <v>STANDARD</v>
      </c>
      <c r="E2306" s="9"/>
      <c r="F2306" t="str">
        <f>IF(E2306="",D2306,E2306)</f>
        <v>STANDARD</v>
      </c>
      <c r="G2306" t="str">
        <f>INDEX(Netzzeiten!$B$6:$B$29,HOUR(B2306)+1)</f>
        <v>NT</v>
      </c>
      <c r="H2306" s="6">
        <f>IF(F2306="GO",Eingaben!$B$11,IF(F2306="STANDARD",Eingaben!$B$12,IF(AND(F2306="HEAT",ISNUMBER(Eingaben!$B$13)),Eingaben!$B$13,"")))</f>
        <v>28.2744</v>
      </c>
      <c r="I2306" s="6">
        <f>INDEX(Netzzeiten!$C$6:$C$29,HOUR(B2306)+1)</f>
        <v>1.64</v>
      </c>
      <c r="J2306" t="str">
        <f>IF(C2306="","FEHLT",IF(NOT(ISNUMBER(C2306)),"MESSWERT UNGUELTIG",IF(C2306&lt;0,"MESSWERT UNGUELTIG",IF(H2306="","TARIFPREIS FEHLT","OK"))))</f>
        <v>FEHLT</v>
      </c>
      <c r="K2306" s="7">
        <f>IF(J2306&lt;&gt;"OK","",C2306*I2306/100)</f>
        <v/>
      </c>
    </row>
    <row r="2307" spans="1:11">
      <c r="A2307" s="14">
        <v>46166</v>
      </c>
      <c r="B2307" s="15">
        <v>0.96875</v>
      </c>
      <c r="C2307" s="5">
        <f>IF('96 Werte'!CQ29="","",'96 Werte'!CQ29)</f>
        <v/>
      </c>
      <c r="D2307" t="str">
        <f>IF(IF(Eingaben!$B$21&lt;Eingaben!$B$22,AND(B2307&gt;=Eingaben!$B$21,B2307&lt;Eingaben!$B$22),OR(B2307&gt;=Eingaben!$B$21,B2307&lt;Eingaben!$B$22)),"GO",IF(AND(ISNUMBER(Eingaben!$B$23),ISNUMBER(Eingaben!$B$24),IF(Eingaben!$B$23&lt;Eingaben!$B$24,AND(B2307&gt;=Eingaben!$B$23,B2307&lt;Eingaben!$B$24),OR(B2307&gt;=Eingaben!$B$23,B2307&lt;Eingaben!$B$24))),"HEAT","STANDARD"))</f>
        <v>STANDARD</v>
      </c>
      <c r="E2307" s="9"/>
      <c r="F2307" t="str">
        <f>IF(E2307="",D2307,E2307)</f>
        <v>STANDARD</v>
      </c>
      <c r="G2307" t="str">
        <f>INDEX(Netzzeiten!$B$6:$B$29,HOUR(B2307)+1)</f>
        <v>NT</v>
      </c>
      <c r="H2307" s="6">
        <f>IF(F2307="GO",Eingaben!$B$11,IF(F2307="STANDARD",Eingaben!$B$12,IF(AND(F2307="HEAT",ISNUMBER(Eingaben!$B$13)),Eingaben!$B$13,"")))</f>
        <v>28.2744</v>
      </c>
      <c r="I2307" s="6">
        <f>INDEX(Netzzeiten!$C$6:$C$29,HOUR(B2307)+1)</f>
        <v>1.64</v>
      </c>
      <c r="J2307" t="str">
        <f>IF(C2307="","FEHLT",IF(NOT(ISNUMBER(C2307)),"MESSWERT UNGUELTIG",IF(C2307&lt;0,"MESSWERT UNGUELTIG",IF(H2307="","TARIFPREIS FEHLT","OK"))))</f>
        <v>FEHLT</v>
      </c>
      <c r="K2307" s="7">
        <f>IF(J2307&lt;&gt;"OK","",C2307*I2307/100)</f>
        <v/>
      </c>
    </row>
    <row r="2308" spans="1:11">
      <c r="A2308" s="14">
        <v>46166</v>
      </c>
      <c r="B2308" s="15">
        <v>0.9791666666666666</v>
      </c>
      <c r="C2308" s="5">
        <f>IF('96 Werte'!CR29="","",'96 Werte'!CR29)</f>
        <v/>
      </c>
      <c r="D2308" t="str">
        <f>IF(IF(Eingaben!$B$21&lt;Eingaben!$B$22,AND(B2308&gt;=Eingaben!$B$21,B2308&lt;Eingaben!$B$22),OR(B2308&gt;=Eingaben!$B$21,B2308&lt;Eingaben!$B$22)),"GO",IF(AND(ISNUMBER(Eingaben!$B$23),ISNUMBER(Eingaben!$B$24),IF(Eingaben!$B$23&lt;Eingaben!$B$24,AND(B2308&gt;=Eingaben!$B$23,B2308&lt;Eingaben!$B$24),OR(B2308&gt;=Eingaben!$B$23,B2308&lt;Eingaben!$B$24))),"HEAT","STANDARD"))</f>
        <v>STANDARD</v>
      </c>
      <c r="E2308" s="9"/>
      <c r="F2308" t="str">
        <f>IF(E2308="",D2308,E2308)</f>
        <v>STANDARD</v>
      </c>
      <c r="G2308" t="str">
        <f>INDEX(Netzzeiten!$B$6:$B$29,HOUR(B2308)+1)</f>
        <v>NT</v>
      </c>
      <c r="H2308" s="6">
        <f>IF(F2308="GO",Eingaben!$B$11,IF(F2308="STANDARD",Eingaben!$B$12,IF(AND(F2308="HEAT",ISNUMBER(Eingaben!$B$13)),Eingaben!$B$13,"")))</f>
        <v>28.2744</v>
      </c>
      <c r="I2308" s="6">
        <f>INDEX(Netzzeiten!$C$6:$C$29,HOUR(B2308)+1)</f>
        <v>1.64</v>
      </c>
      <c r="J2308" t="str">
        <f>IF(C2308="","FEHLT",IF(NOT(ISNUMBER(C2308)),"MESSWERT UNGUELTIG",IF(C2308&lt;0,"MESSWERT UNGUELTIG",IF(H2308="","TARIFPREIS FEHLT","OK"))))</f>
        <v>FEHLT</v>
      </c>
      <c r="K2308" s="7">
        <f>IF(J2308&lt;&gt;"OK","",C2308*I2308/100)</f>
        <v/>
      </c>
    </row>
    <row r="2309" spans="1:11">
      <c r="A2309" s="14">
        <v>46166</v>
      </c>
      <c r="B2309" s="15">
        <v>0.9895833333333334</v>
      </c>
      <c r="C2309" s="5">
        <f>IF('96 Werte'!CS29="","",'96 Werte'!CS29)</f>
        <v/>
      </c>
      <c r="D2309" t="str">
        <f>IF(IF(Eingaben!$B$21&lt;Eingaben!$B$22,AND(B2309&gt;=Eingaben!$B$21,B2309&lt;Eingaben!$B$22),OR(B2309&gt;=Eingaben!$B$21,B2309&lt;Eingaben!$B$22)),"GO",IF(AND(ISNUMBER(Eingaben!$B$23),ISNUMBER(Eingaben!$B$24),IF(Eingaben!$B$23&lt;Eingaben!$B$24,AND(B2309&gt;=Eingaben!$B$23,B2309&lt;Eingaben!$B$24),OR(B2309&gt;=Eingaben!$B$23,B2309&lt;Eingaben!$B$24))),"HEAT","STANDARD"))</f>
        <v>STANDARD</v>
      </c>
      <c r="E2309" s="9"/>
      <c r="F2309" t="str">
        <f>IF(E2309="",D2309,E2309)</f>
        <v>STANDARD</v>
      </c>
      <c r="G2309" t="str">
        <f>INDEX(Netzzeiten!$B$6:$B$29,HOUR(B2309)+1)</f>
        <v>NT</v>
      </c>
      <c r="H2309" s="6">
        <f>IF(F2309="GO",Eingaben!$B$11,IF(F2309="STANDARD",Eingaben!$B$12,IF(AND(F2309="HEAT",ISNUMBER(Eingaben!$B$13)),Eingaben!$B$13,"")))</f>
        <v>28.2744</v>
      </c>
      <c r="I2309" s="6">
        <f>INDEX(Netzzeiten!$C$6:$C$29,HOUR(B2309)+1)</f>
        <v>1.64</v>
      </c>
      <c r="J2309" t="str">
        <f>IF(C2309="","FEHLT",IF(NOT(ISNUMBER(C2309)),"MESSWERT UNGUELTIG",IF(C2309&lt;0,"MESSWERT UNGUELTIG",IF(H2309="","TARIFPREIS FEHLT","OK"))))</f>
        <v>FEHLT</v>
      </c>
      <c r="K2309" s="7">
        <f>IF(J2309&lt;&gt;"OK","",C2309*I2309/100)</f>
        <v/>
      </c>
    </row>
    <row r="2310" spans="1:11">
      <c r="A2310" s="14">
        <v>46167</v>
      </c>
      <c r="B2310" s="15">
        <v>0</v>
      </c>
      <c r="C2310" s="5">
        <f>IF('96 Werte'!B30="","",'96 Werte'!B30)</f>
        <v/>
      </c>
      <c r="D2310" t="str">
        <f>IF(IF(Eingaben!$B$21&lt;Eingaben!$B$22,AND(B2310&gt;=Eingaben!$B$21,B2310&lt;Eingaben!$B$22),OR(B2310&gt;=Eingaben!$B$21,B2310&lt;Eingaben!$B$22)),"GO",IF(AND(ISNUMBER(Eingaben!$B$23),ISNUMBER(Eingaben!$B$24),IF(Eingaben!$B$23&lt;Eingaben!$B$24,AND(B2310&gt;=Eingaben!$B$23,B2310&lt;Eingaben!$B$24),OR(B2310&gt;=Eingaben!$B$23,B2310&lt;Eingaben!$B$24))),"HEAT","STANDARD"))</f>
        <v>GO</v>
      </c>
      <c r="E2310" s="9"/>
      <c r="F2310" t="str">
        <f>IF(E2310="",D2310,E2310)</f>
        <v>GO</v>
      </c>
      <c r="G2310" t="str">
        <f>INDEX(Netzzeiten!$B$6:$B$29,HOUR(B2310)+1)</f>
        <v>NT</v>
      </c>
      <c r="H2310" s="6">
        <f>IF(F2310="GO",Eingaben!$B$11,IF(F2310="STANDARD",Eingaben!$B$12,IF(AND(F2310="HEAT",ISNUMBER(Eingaben!$B$13)),Eingaben!$B$13,"")))</f>
        <v>15.0654</v>
      </c>
      <c r="I2310" s="6">
        <f>INDEX(Netzzeiten!$C$6:$C$29,HOUR(B2310)+1)</f>
        <v>1.64</v>
      </c>
      <c r="J2310" t="str">
        <f>IF(C2310="","FEHLT",IF(NOT(ISNUMBER(C2310)),"MESSWERT UNGUELTIG",IF(C2310&lt;0,"MESSWERT UNGUELTIG",IF(H2310="","TARIFPREIS FEHLT","OK"))))</f>
        <v>FEHLT</v>
      </c>
      <c r="K2310" s="7">
        <f>IF(J2310&lt;&gt;"OK","",C2310*I2310/100)</f>
        <v/>
      </c>
    </row>
    <row r="2311" spans="1:11">
      <c r="A2311" s="14">
        <v>46167</v>
      </c>
      <c r="B2311" s="15">
        <v>0.01041666666666667</v>
      </c>
      <c r="C2311" s="5">
        <f>IF('96 Werte'!C30="","",'96 Werte'!C30)</f>
        <v/>
      </c>
      <c r="D2311" t="str">
        <f>IF(IF(Eingaben!$B$21&lt;Eingaben!$B$22,AND(B2311&gt;=Eingaben!$B$21,B2311&lt;Eingaben!$B$22),OR(B2311&gt;=Eingaben!$B$21,B2311&lt;Eingaben!$B$22)),"GO",IF(AND(ISNUMBER(Eingaben!$B$23),ISNUMBER(Eingaben!$B$24),IF(Eingaben!$B$23&lt;Eingaben!$B$24,AND(B2311&gt;=Eingaben!$B$23,B2311&lt;Eingaben!$B$24),OR(B2311&gt;=Eingaben!$B$23,B2311&lt;Eingaben!$B$24))),"HEAT","STANDARD"))</f>
        <v>GO</v>
      </c>
      <c r="E2311" s="9"/>
      <c r="F2311" t="str">
        <f>IF(E2311="",D2311,E2311)</f>
        <v>GO</v>
      </c>
      <c r="G2311" t="str">
        <f>INDEX(Netzzeiten!$B$6:$B$29,HOUR(B2311)+1)</f>
        <v>NT</v>
      </c>
      <c r="H2311" s="6">
        <f>IF(F2311="GO",Eingaben!$B$11,IF(F2311="STANDARD",Eingaben!$B$12,IF(AND(F2311="HEAT",ISNUMBER(Eingaben!$B$13)),Eingaben!$B$13,"")))</f>
        <v>15.0654</v>
      </c>
      <c r="I2311" s="6">
        <f>INDEX(Netzzeiten!$C$6:$C$29,HOUR(B2311)+1)</f>
        <v>1.64</v>
      </c>
      <c r="J2311" t="str">
        <f>IF(C2311="","FEHLT",IF(NOT(ISNUMBER(C2311)),"MESSWERT UNGUELTIG",IF(C2311&lt;0,"MESSWERT UNGUELTIG",IF(H2311="","TARIFPREIS FEHLT","OK"))))</f>
        <v>FEHLT</v>
      </c>
      <c r="K2311" s="7">
        <f>IF(J2311&lt;&gt;"OK","",C2311*I2311/100)</f>
        <v/>
      </c>
    </row>
    <row r="2312" spans="1:11">
      <c r="A2312" s="14">
        <v>46167</v>
      </c>
      <c r="B2312" s="15">
        <v>0.02083333333333333</v>
      </c>
      <c r="C2312" s="5">
        <f>IF('96 Werte'!D30="","",'96 Werte'!D30)</f>
        <v/>
      </c>
      <c r="D2312" t="str">
        <f>IF(IF(Eingaben!$B$21&lt;Eingaben!$B$22,AND(B2312&gt;=Eingaben!$B$21,B2312&lt;Eingaben!$B$22),OR(B2312&gt;=Eingaben!$B$21,B2312&lt;Eingaben!$B$22)),"GO",IF(AND(ISNUMBER(Eingaben!$B$23),ISNUMBER(Eingaben!$B$24),IF(Eingaben!$B$23&lt;Eingaben!$B$24,AND(B2312&gt;=Eingaben!$B$23,B2312&lt;Eingaben!$B$24),OR(B2312&gt;=Eingaben!$B$23,B2312&lt;Eingaben!$B$24))),"HEAT","STANDARD"))</f>
        <v>GO</v>
      </c>
      <c r="E2312" s="9"/>
      <c r="F2312" t="str">
        <f>IF(E2312="",D2312,E2312)</f>
        <v>GO</v>
      </c>
      <c r="G2312" t="str">
        <f>INDEX(Netzzeiten!$B$6:$B$29,HOUR(B2312)+1)</f>
        <v>NT</v>
      </c>
      <c r="H2312" s="6">
        <f>IF(F2312="GO",Eingaben!$B$11,IF(F2312="STANDARD",Eingaben!$B$12,IF(AND(F2312="HEAT",ISNUMBER(Eingaben!$B$13)),Eingaben!$B$13,"")))</f>
        <v>15.0654</v>
      </c>
      <c r="I2312" s="6">
        <f>INDEX(Netzzeiten!$C$6:$C$29,HOUR(B2312)+1)</f>
        <v>1.64</v>
      </c>
      <c r="J2312" t="str">
        <f>IF(C2312="","FEHLT",IF(NOT(ISNUMBER(C2312)),"MESSWERT UNGUELTIG",IF(C2312&lt;0,"MESSWERT UNGUELTIG",IF(H2312="","TARIFPREIS FEHLT","OK"))))</f>
        <v>FEHLT</v>
      </c>
      <c r="K2312" s="7">
        <f>IF(J2312&lt;&gt;"OK","",C2312*I2312/100)</f>
        <v/>
      </c>
    </row>
    <row r="2313" spans="1:11">
      <c r="A2313" s="14">
        <v>46167</v>
      </c>
      <c r="B2313" s="15">
        <v>0.03125</v>
      </c>
      <c r="C2313" s="5">
        <f>IF('96 Werte'!E30="","",'96 Werte'!E30)</f>
        <v/>
      </c>
      <c r="D2313" t="str">
        <f>IF(IF(Eingaben!$B$21&lt;Eingaben!$B$22,AND(B2313&gt;=Eingaben!$B$21,B2313&lt;Eingaben!$B$22),OR(B2313&gt;=Eingaben!$B$21,B2313&lt;Eingaben!$B$22)),"GO",IF(AND(ISNUMBER(Eingaben!$B$23),ISNUMBER(Eingaben!$B$24),IF(Eingaben!$B$23&lt;Eingaben!$B$24,AND(B2313&gt;=Eingaben!$B$23,B2313&lt;Eingaben!$B$24),OR(B2313&gt;=Eingaben!$B$23,B2313&lt;Eingaben!$B$24))),"HEAT","STANDARD"))</f>
        <v>GO</v>
      </c>
      <c r="E2313" s="9"/>
      <c r="F2313" t="str">
        <f>IF(E2313="",D2313,E2313)</f>
        <v>GO</v>
      </c>
      <c r="G2313" t="str">
        <f>INDEX(Netzzeiten!$B$6:$B$29,HOUR(B2313)+1)</f>
        <v>NT</v>
      </c>
      <c r="H2313" s="6">
        <f>IF(F2313="GO",Eingaben!$B$11,IF(F2313="STANDARD",Eingaben!$B$12,IF(AND(F2313="HEAT",ISNUMBER(Eingaben!$B$13)),Eingaben!$B$13,"")))</f>
        <v>15.0654</v>
      </c>
      <c r="I2313" s="6">
        <f>INDEX(Netzzeiten!$C$6:$C$29,HOUR(B2313)+1)</f>
        <v>1.64</v>
      </c>
      <c r="J2313" t="str">
        <f>IF(C2313="","FEHLT",IF(NOT(ISNUMBER(C2313)),"MESSWERT UNGUELTIG",IF(C2313&lt;0,"MESSWERT UNGUELTIG",IF(H2313="","TARIFPREIS FEHLT","OK"))))</f>
        <v>FEHLT</v>
      </c>
      <c r="K2313" s="7">
        <f>IF(J2313&lt;&gt;"OK","",C2313*I2313/100)</f>
        <v/>
      </c>
    </row>
    <row r="2314" spans="1:11">
      <c r="A2314" s="14">
        <v>46167</v>
      </c>
      <c r="B2314" s="15">
        <v>0.04166666666666666</v>
      </c>
      <c r="C2314" s="5">
        <f>IF('96 Werte'!F30="","",'96 Werte'!F30)</f>
        <v/>
      </c>
      <c r="D2314" t="str">
        <f>IF(IF(Eingaben!$B$21&lt;Eingaben!$B$22,AND(B2314&gt;=Eingaben!$B$21,B2314&lt;Eingaben!$B$22),OR(B2314&gt;=Eingaben!$B$21,B2314&lt;Eingaben!$B$22)),"GO",IF(AND(ISNUMBER(Eingaben!$B$23),ISNUMBER(Eingaben!$B$24),IF(Eingaben!$B$23&lt;Eingaben!$B$24,AND(B2314&gt;=Eingaben!$B$23,B2314&lt;Eingaben!$B$24),OR(B2314&gt;=Eingaben!$B$23,B2314&lt;Eingaben!$B$24))),"HEAT","STANDARD"))</f>
        <v>GO</v>
      </c>
      <c r="E2314" s="9"/>
      <c r="F2314" t="str">
        <f>IF(E2314="",D2314,E2314)</f>
        <v>GO</v>
      </c>
      <c r="G2314" t="str">
        <f>INDEX(Netzzeiten!$B$6:$B$29,HOUR(B2314)+1)</f>
        <v>NT</v>
      </c>
      <c r="H2314" s="6">
        <f>IF(F2314="GO",Eingaben!$B$11,IF(F2314="STANDARD",Eingaben!$B$12,IF(AND(F2314="HEAT",ISNUMBER(Eingaben!$B$13)),Eingaben!$B$13,"")))</f>
        <v>15.0654</v>
      </c>
      <c r="I2314" s="6">
        <f>INDEX(Netzzeiten!$C$6:$C$29,HOUR(B2314)+1)</f>
        <v>1.64</v>
      </c>
      <c r="J2314" t="str">
        <f>IF(C2314="","FEHLT",IF(NOT(ISNUMBER(C2314)),"MESSWERT UNGUELTIG",IF(C2314&lt;0,"MESSWERT UNGUELTIG",IF(H2314="","TARIFPREIS FEHLT","OK"))))</f>
        <v>FEHLT</v>
      </c>
      <c r="K2314" s="7">
        <f>IF(J2314&lt;&gt;"OK","",C2314*I2314/100)</f>
        <v/>
      </c>
    </row>
    <row r="2315" spans="1:11">
      <c r="A2315" s="14">
        <v>46167</v>
      </c>
      <c r="B2315" s="15">
        <v>0.05208333333333334</v>
      </c>
      <c r="C2315" s="5">
        <f>IF('96 Werte'!G30="","",'96 Werte'!G30)</f>
        <v/>
      </c>
      <c r="D2315" t="str">
        <f>IF(IF(Eingaben!$B$21&lt;Eingaben!$B$22,AND(B2315&gt;=Eingaben!$B$21,B2315&lt;Eingaben!$B$22),OR(B2315&gt;=Eingaben!$B$21,B2315&lt;Eingaben!$B$22)),"GO",IF(AND(ISNUMBER(Eingaben!$B$23),ISNUMBER(Eingaben!$B$24),IF(Eingaben!$B$23&lt;Eingaben!$B$24,AND(B2315&gt;=Eingaben!$B$23,B2315&lt;Eingaben!$B$24),OR(B2315&gt;=Eingaben!$B$23,B2315&lt;Eingaben!$B$24))),"HEAT","STANDARD"))</f>
        <v>GO</v>
      </c>
      <c r="E2315" s="9"/>
      <c r="F2315" t="str">
        <f>IF(E2315="",D2315,E2315)</f>
        <v>GO</v>
      </c>
      <c r="G2315" t="str">
        <f>INDEX(Netzzeiten!$B$6:$B$29,HOUR(B2315)+1)</f>
        <v>NT</v>
      </c>
      <c r="H2315" s="6">
        <f>IF(F2315="GO",Eingaben!$B$11,IF(F2315="STANDARD",Eingaben!$B$12,IF(AND(F2315="HEAT",ISNUMBER(Eingaben!$B$13)),Eingaben!$B$13,"")))</f>
        <v>15.0654</v>
      </c>
      <c r="I2315" s="6">
        <f>INDEX(Netzzeiten!$C$6:$C$29,HOUR(B2315)+1)</f>
        <v>1.64</v>
      </c>
      <c r="J2315" t="str">
        <f>IF(C2315="","FEHLT",IF(NOT(ISNUMBER(C2315)),"MESSWERT UNGUELTIG",IF(C2315&lt;0,"MESSWERT UNGUELTIG",IF(H2315="","TARIFPREIS FEHLT","OK"))))</f>
        <v>FEHLT</v>
      </c>
      <c r="K2315" s="7">
        <f>IF(J2315&lt;&gt;"OK","",C2315*I2315/100)</f>
        <v/>
      </c>
    </row>
    <row r="2316" spans="1:11">
      <c r="A2316" s="14">
        <v>46167</v>
      </c>
      <c r="B2316" s="15">
        <v>0.0625</v>
      </c>
      <c r="C2316" s="5">
        <f>IF('96 Werte'!H30="","",'96 Werte'!H30)</f>
        <v/>
      </c>
      <c r="D2316" t="str">
        <f>IF(IF(Eingaben!$B$21&lt;Eingaben!$B$22,AND(B2316&gt;=Eingaben!$B$21,B2316&lt;Eingaben!$B$22),OR(B2316&gt;=Eingaben!$B$21,B2316&lt;Eingaben!$B$22)),"GO",IF(AND(ISNUMBER(Eingaben!$B$23),ISNUMBER(Eingaben!$B$24),IF(Eingaben!$B$23&lt;Eingaben!$B$24,AND(B2316&gt;=Eingaben!$B$23,B2316&lt;Eingaben!$B$24),OR(B2316&gt;=Eingaben!$B$23,B2316&lt;Eingaben!$B$24))),"HEAT","STANDARD"))</f>
        <v>GO</v>
      </c>
      <c r="E2316" s="9"/>
      <c r="F2316" t="str">
        <f>IF(E2316="",D2316,E2316)</f>
        <v>GO</v>
      </c>
      <c r="G2316" t="str">
        <f>INDEX(Netzzeiten!$B$6:$B$29,HOUR(B2316)+1)</f>
        <v>NT</v>
      </c>
      <c r="H2316" s="6">
        <f>IF(F2316="GO",Eingaben!$B$11,IF(F2316="STANDARD",Eingaben!$B$12,IF(AND(F2316="HEAT",ISNUMBER(Eingaben!$B$13)),Eingaben!$B$13,"")))</f>
        <v>15.0654</v>
      </c>
      <c r="I2316" s="6">
        <f>INDEX(Netzzeiten!$C$6:$C$29,HOUR(B2316)+1)</f>
        <v>1.64</v>
      </c>
      <c r="J2316" t="str">
        <f>IF(C2316="","FEHLT",IF(NOT(ISNUMBER(C2316)),"MESSWERT UNGUELTIG",IF(C2316&lt;0,"MESSWERT UNGUELTIG",IF(H2316="","TARIFPREIS FEHLT","OK"))))</f>
        <v>FEHLT</v>
      </c>
      <c r="K2316" s="7">
        <f>IF(J2316&lt;&gt;"OK","",C2316*I2316/100)</f>
        <v/>
      </c>
    </row>
    <row r="2317" spans="1:11">
      <c r="A2317" s="14">
        <v>46167</v>
      </c>
      <c r="B2317" s="15">
        <v>0.07291666666666667</v>
      </c>
      <c r="C2317" s="5">
        <f>IF('96 Werte'!I30="","",'96 Werte'!I30)</f>
        <v/>
      </c>
      <c r="D2317" t="str">
        <f>IF(IF(Eingaben!$B$21&lt;Eingaben!$B$22,AND(B2317&gt;=Eingaben!$B$21,B2317&lt;Eingaben!$B$22),OR(B2317&gt;=Eingaben!$B$21,B2317&lt;Eingaben!$B$22)),"GO",IF(AND(ISNUMBER(Eingaben!$B$23),ISNUMBER(Eingaben!$B$24),IF(Eingaben!$B$23&lt;Eingaben!$B$24,AND(B2317&gt;=Eingaben!$B$23,B2317&lt;Eingaben!$B$24),OR(B2317&gt;=Eingaben!$B$23,B2317&lt;Eingaben!$B$24))),"HEAT","STANDARD"))</f>
        <v>GO</v>
      </c>
      <c r="E2317" s="9"/>
      <c r="F2317" t="str">
        <f>IF(E2317="",D2317,E2317)</f>
        <v>GO</v>
      </c>
      <c r="G2317" t="str">
        <f>INDEX(Netzzeiten!$B$6:$B$29,HOUR(B2317)+1)</f>
        <v>NT</v>
      </c>
      <c r="H2317" s="6">
        <f>IF(F2317="GO",Eingaben!$B$11,IF(F2317="STANDARD",Eingaben!$B$12,IF(AND(F2317="HEAT",ISNUMBER(Eingaben!$B$13)),Eingaben!$B$13,"")))</f>
        <v>15.0654</v>
      </c>
      <c r="I2317" s="6">
        <f>INDEX(Netzzeiten!$C$6:$C$29,HOUR(B2317)+1)</f>
        <v>1.64</v>
      </c>
      <c r="J2317" t="str">
        <f>IF(C2317="","FEHLT",IF(NOT(ISNUMBER(C2317)),"MESSWERT UNGUELTIG",IF(C2317&lt;0,"MESSWERT UNGUELTIG",IF(H2317="","TARIFPREIS FEHLT","OK"))))</f>
        <v>FEHLT</v>
      </c>
      <c r="K2317" s="7">
        <f>IF(J2317&lt;&gt;"OK","",C2317*I2317/100)</f>
        <v/>
      </c>
    </row>
    <row r="2318" spans="1:11">
      <c r="A2318" s="14">
        <v>46167</v>
      </c>
      <c r="B2318" s="15">
        <v>0.08333333333333333</v>
      </c>
      <c r="C2318" s="5">
        <f>IF('96 Werte'!J30="","",'96 Werte'!J30)</f>
        <v/>
      </c>
      <c r="D2318" t="str">
        <f>IF(IF(Eingaben!$B$21&lt;Eingaben!$B$22,AND(B2318&gt;=Eingaben!$B$21,B2318&lt;Eingaben!$B$22),OR(B2318&gt;=Eingaben!$B$21,B2318&lt;Eingaben!$B$22)),"GO",IF(AND(ISNUMBER(Eingaben!$B$23),ISNUMBER(Eingaben!$B$24),IF(Eingaben!$B$23&lt;Eingaben!$B$24,AND(B2318&gt;=Eingaben!$B$23,B2318&lt;Eingaben!$B$24),OR(B2318&gt;=Eingaben!$B$23,B2318&lt;Eingaben!$B$24))),"HEAT","STANDARD"))</f>
        <v>GO</v>
      </c>
      <c r="E2318" s="9"/>
      <c r="F2318" t="str">
        <f>IF(E2318="",D2318,E2318)</f>
        <v>GO</v>
      </c>
      <c r="G2318" t="str">
        <f>INDEX(Netzzeiten!$B$6:$B$29,HOUR(B2318)+1)</f>
        <v>NT</v>
      </c>
      <c r="H2318" s="6">
        <f>IF(F2318="GO",Eingaben!$B$11,IF(F2318="STANDARD",Eingaben!$B$12,IF(AND(F2318="HEAT",ISNUMBER(Eingaben!$B$13)),Eingaben!$B$13,"")))</f>
        <v>15.0654</v>
      </c>
      <c r="I2318" s="6">
        <f>INDEX(Netzzeiten!$C$6:$C$29,HOUR(B2318)+1)</f>
        <v>1.64</v>
      </c>
      <c r="J2318" t="str">
        <f>IF(C2318="","FEHLT",IF(NOT(ISNUMBER(C2318)),"MESSWERT UNGUELTIG",IF(C2318&lt;0,"MESSWERT UNGUELTIG",IF(H2318="","TARIFPREIS FEHLT","OK"))))</f>
        <v>FEHLT</v>
      </c>
      <c r="K2318" s="7">
        <f>IF(J2318&lt;&gt;"OK","",C2318*I2318/100)</f>
        <v/>
      </c>
    </row>
    <row r="2319" spans="1:11">
      <c r="A2319" s="14">
        <v>46167</v>
      </c>
      <c r="B2319" s="15">
        <v>0.09375</v>
      </c>
      <c r="C2319" s="5">
        <f>IF('96 Werte'!K30="","",'96 Werte'!K30)</f>
        <v/>
      </c>
      <c r="D2319" t="str">
        <f>IF(IF(Eingaben!$B$21&lt;Eingaben!$B$22,AND(B2319&gt;=Eingaben!$B$21,B2319&lt;Eingaben!$B$22),OR(B2319&gt;=Eingaben!$B$21,B2319&lt;Eingaben!$B$22)),"GO",IF(AND(ISNUMBER(Eingaben!$B$23),ISNUMBER(Eingaben!$B$24),IF(Eingaben!$B$23&lt;Eingaben!$B$24,AND(B2319&gt;=Eingaben!$B$23,B2319&lt;Eingaben!$B$24),OR(B2319&gt;=Eingaben!$B$23,B2319&lt;Eingaben!$B$24))),"HEAT","STANDARD"))</f>
        <v>GO</v>
      </c>
      <c r="E2319" s="9"/>
      <c r="F2319" t="str">
        <f>IF(E2319="",D2319,E2319)</f>
        <v>GO</v>
      </c>
      <c r="G2319" t="str">
        <f>INDEX(Netzzeiten!$B$6:$B$29,HOUR(B2319)+1)</f>
        <v>NT</v>
      </c>
      <c r="H2319" s="6">
        <f>IF(F2319="GO",Eingaben!$B$11,IF(F2319="STANDARD",Eingaben!$B$12,IF(AND(F2319="HEAT",ISNUMBER(Eingaben!$B$13)),Eingaben!$B$13,"")))</f>
        <v>15.0654</v>
      </c>
      <c r="I2319" s="6">
        <f>INDEX(Netzzeiten!$C$6:$C$29,HOUR(B2319)+1)</f>
        <v>1.64</v>
      </c>
      <c r="J2319" t="str">
        <f>IF(C2319="","FEHLT",IF(NOT(ISNUMBER(C2319)),"MESSWERT UNGUELTIG",IF(C2319&lt;0,"MESSWERT UNGUELTIG",IF(H2319="","TARIFPREIS FEHLT","OK"))))</f>
        <v>FEHLT</v>
      </c>
      <c r="K2319" s="7">
        <f>IF(J2319&lt;&gt;"OK","",C2319*I2319/100)</f>
        <v/>
      </c>
    </row>
    <row r="2320" spans="1:11">
      <c r="A2320" s="14">
        <v>46167</v>
      </c>
      <c r="B2320" s="15">
        <v>0.1041666666666667</v>
      </c>
      <c r="C2320" s="5">
        <f>IF('96 Werte'!L30="","",'96 Werte'!L30)</f>
        <v/>
      </c>
      <c r="D2320" t="str">
        <f>IF(IF(Eingaben!$B$21&lt;Eingaben!$B$22,AND(B2320&gt;=Eingaben!$B$21,B2320&lt;Eingaben!$B$22),OR(B2320&gt;=Eingaben!$B$21,B2320&lt;Eingaben!$B$22)),"GO",IF(AND(ISNUMBER(Eingaben!$B$23),ISNUMBER(Eingaben!$B$24),IF(Eingaben!$B$23&lt;Eingaben!$B$24,AND(B2320&gt;=Eingaben!$B$23,B2320&lt;Eingaben!$B$24),OR(B2320&gt;=Eingaben!$B$23,B2320&lt;Eingaben!$B$24))),"HEAT","STANDARD"))</f>
        <v>GO</v>
      </c>
      <c r="E2320" s="9"/>
      <c r="F2320" t="str">
        <f>IF(E2320="",D2320,E2320)</f>
        <v>GO</v>
      </c>
      <c r="G2320" t="str">
        <f>INDEX(Netzzeiten!$B$6:$B$29,HOUR(B2320)+1)</f>
        <v>NT</v>
      </c>
      <c r="H2320" s="6">
        <f>IF(F2320="GO",Eingaben!$B$11,IF(F2320="STANDARD",Eingaben!$B$12,IF(AND(F2320="HEAT",ISNUMBER(Eingaben!$B$13)),Eingaben!$B$13,"")))</f>
        <v>15.0654</v>
      </c>
      <c r="I2320" s="6">
        <f>INDEX(Netzzeiten!$C$6:$C$29,HOUR(B2320)+1)</f>
        <v>1.64</v>
      </c>
      <c r="J2320" t="str">
        <f>IF(C2320="","FEHLT",IF(NOT(ISNUMBER(C2320)),"MESSWERT UNGUELTIG",IF(C2320&lt;0,"MESSWERT UNGUELTIG",IF(H2320="","TARIFPREIS FEHLT","OK"))))</f>
        <v>FEHLT</v>
      </c>
      <c r="K2320" s="7">
        <f>IF(J2320&lt;&gt;"OK","",C2320*I2320/100)</f>
        <v/>
      </c>
    </row>
    <row r="2321" spans="1:11">
      <c r="A2321" s="14">
        <v>46167</v>
      </c>
      <c r="B2321" s="15">
        <v>0.1145833333333333</v>
      </c>
      <c r="C2321" s="5">
        <f>IF('96 Werte'!M30="","",'96 Werte'!M30)</f>
        <v/>
      </c>
      <c r="D2321" t="str">
        <f>IF(IF(Eingaben!$B$21&lt;Eingaben!$B$22,AND(B2321&gt;=Eingaben!$B$21,B2321&lt;Eingaben!$B$22),OR(B2321&gt;=Eingaben!$B$21,B2321&lt;Eingaben!$B$22)),"GO",IF(AND(ISNUMBER(Eingaben!$B$23),ISNUMBER(Eingaben!$B$24),IF(Eingaben!$B$23&lt;Eingaben!$B$24,AND(B2321&gt;=Eingaben!$B$23,B2321&lt;Eingaben!$B$24),OR(B2321&gt;=Eingaben!$B$23,B2321&lt;Eingaben!$B$24))),"HEAT","STANDARD"))</f>
        <v>GO</v>
      </c>
      <c r="E2321" s="9"/>
      <c r="F2321" t="str">
        <f>IF(E2321="",D2321,E2321)</f>
        <v>GO</v>
      </c>
      <c r="G2321" t="str">
        <f>INDEX(Netzzeiten!$B$6:$B$29,HOUR(B2321)+1)</f>
        <v>NT</v>
      </c>
      <c r="H2321" s="6">
        <f>IF(F2321="GO",Eingaben!$B$11,IF(F2321="STANDARD",Eingaben!$B$12,IF(AND(F2321="HEAT",ISNUMBER(Eingaben!$B$13)),Eingaben!$B$13,"")))</f>
        <v>15.0654</v>
      </c>
      <c r="I2321" s="6">
        <f>INDEX(Netzzeiten!$C$6:$C$29,HOUR(B2321)+1)</f>
        <v>1.64</v>
      </c>
      <c r="J2321" t="str">
        <f>IF(C2321="","FEHLT",IF(NOT(ISNUMBER(C2321)),"MESSWERT UNGUELTIG",IF(C2321&lt;0,"MESSWERT UNGUELTIG",IF(H2321="","TARIFPREIS FEHLT","OK"))))</f>
        <v>FEHLT</v>
      </c>
      <c r="K2321" s="7">
        <f>IF(J2321&lt;&gt;"OK","",C2321*I2321/100)</f>
        <v/>
      </c>
    </row>
    <row r="2322" spans="1:11">
      <c r="A2322" s="14">
        <v>46167</v>
      </c>
      <c r="B2322" s="15">
        <v>0.125</v>
      </c>
      <c r="C2322" s="5">
        <f>IF('96 Werte'!N30="","",'96 Werte'!N30)</f>
        <v/>
      </c>
      <c r="D2322" t="str">
        <f>IF(IF(Eingaben!$B$21&lt;Eingaben!$B$22,AND(B2322&gt;=Eingaben!$B$21,B2322&lt;Eingaben!$B$22),OR(B2322&gt;=Eingaben!$B$21,B2322&lt;Eingaben!$B$22)),"GO",IF(AND(ISNUMBER(Eingaben!$B$23),ISNUMBER(Eingaben!$B$24),IF(Eingaben!$B$23&lt;Eingaben!$B$24,AND(B2322&gt;=Eingaben!$B$23,B2322&lt;Eingaben!$B$24),OR(B2322&gt;=Eingaben!$B$23,B2322&lt;Eingaben!$B$24))),"HEAT","STANDARD"))</f>
        <v>GO</v>
      </c>
      <c r="E2322" s="9"/>
      <c r="F2322" t="str">
        <f>IF(E2322="",D2322,E2322)</f>
        <v>GO</v>
      </c>
      <c r="G2322" t="str">
        <f>INDEX(Netzzeiten!$B$6:$B$29,HOUR(B2322)+1)</f>
        <v>NT</v>
      </c>
      <c r="H2322" s="6">
        <f>IF(F2322="GO",Eingaben!$B$11,IF(F2322="STANDARD",Eingaben!$B$12,IF(AND(F2322="HEAT",ISNUMBER(Eingaben!$B$13)),Eingaben!$B$13,"")))</f>
        <v>15.0654</v>
      </c>
      <c r="I2322" s="6">
        <f>INDEX(Netzzeiten!$C$6:$C$29,HOUR(B2322)+1)</f>
        <v>1.64</v>
      </c>
      <c r="J2322" t="str">
        <f>IF(C2322="","FEHLT",IF(NOT(ISNUMBER(C2322)),"MESSWERT UNGUELTIG",IF(C2322&lt;0,"MESSWERT UNGUELTIG",IF(H2322="","TARIFPREIS FEHLT","OK"))))</f>
        <v>FEHLT</v>
      </c>
      <c r="K2322" s="7">
        <f>IF(J2322&lt;&gt;"OK","",C2322*I2322/100)</f>
        <v/>
      </c>
    </row>
    <row r="2323" spans="1:11">
      <c r="A2323" s="14">
        <v>46167</v>
      </c>
      <c r="B2323" s="15">
        <v>0.1354166666666667</v>
      </c>
      <c r="C2323" s="5">
        <f>IF('96 Werte'!O30="","",'96 Werte'!O30)</f>
        <v/>
      </c>
      <c r="D2323" t="str">
        <f>IF(IF(Eingaben!$B$21&lt;Eingaben!$B$22,AND(B2323&gt;=Eingaben!$B$21,B2323&lt;Eingaben!$B$22),OR(B2323&gt;=Eingaben!$B$21,B2323&lt;Eingaben!$B$22)),"GO",IF(AND(ISNUMBER(Eingaben!$B$23),ISNUMBER(Eingaben!$B$24),IF(Eingaben!$B$23&lt;Eingaben!$B$24,AND(B2323&gt;=Eingaben!$B$23,B2323&lt;Eingaben!$B$24),OR(B2323&gt;=Eingaben!$B$23,B2323&lt;Eingaben!$B$24))),"HEAT","STANDARD"))</f>
        <v>GO</v>
      </c>
      <c r="E2323" s="9"/>
      <c r="F2323" t="str">
        <f>IF(E2323="",D2323,E2323)</f>
        <v>GO</v>
      </c>
      <c r="G2323" t="str">
        <f>INDEX(Netzzeiten!$B$6:$B$29,HOUR(B2323)+1)</f>
        <v>NT</v>
      </c>
      <c r="H2323" s="6">
        <f>IF(F2323="GO",Eingaben!$B$11,IF(F2323="STANDARD",Eingaben!$B$12,IF(AND(F2323="HEAT",ISNUMBER(Eingaben!$B$13)),Eingaben!$B$13,"")))</f>
        <v>15.0654</v>
      </c>
      <c r="I2323" s="6">
        <f>INDEX(Netzzeiten!$C$6:$C$29,HOUR(B2323)+1)</f>
        <v>1.64</v>
      </c>
      <c r="J2323" t="str">
        <f>IF(C2323="","FEHLT",IF(NOT(ISNUMBER(C2323)),"MESSWERT UNGUELTIG",IF(C2323&lt;0,"MESSWERT UNGUELTIG",IF(H2323="","TARIFPREIS FEHLT","OK"))))</f>
        <v>FEHLT</v>
      </c>
      <c r="K2323" s="7">
        <f>IF(J2323&lt;&gt;"OK","",C2323*I2323/100)</f>
        <v/>
      </c>
    </row>
    <row r="2324" spans="1:11">
      <c r="A2324" s="14">
        <v>46167</v>
      </c>
      <c r="B2324" s="15">
        <v>0.1458333333333333</v>
      </c>
      <c r="C2324" s="5">
        <f>IF('96 Werte'!P30="","",'96 Werte'!P30)</f>
        <v/>
      </c>
      <c r="D2324" t="str">
        <f>IF(IF(Eingaben!$B$21&lt;Eingaben!$B$22,AND(B2324&gt;=Eingaben!$B$21,B2324&lt;Eingaben!$B$22),OR(B2324&gt;=Eingaben!$B$21,B2324&lt;Eingaben!$B$22)),"GO",IF(AND(ISNUMBER(Eingaben!$B$23),ISNUMBER(Eingaben!$B$24),IF(Eingaben!$B$23&lt;Eingaben!$B$24,AND(B2324&gt;=Eingaben!$B$23,B2324&lt;Eingaben!$B$24),OR(B2324&gt;=Eingaben!$B$23,B2324&lt;Eingaben!$B$24))),"HEAT","STANDARD"))</f>
        <v>GO</v>
      </c>
      <c r="E2324" s="9"/>
      <c r="F2324" t="str">
        <f>IF(E2324="",D2324,E2324)</f>
        <v>GO</v>
      </c>
      <c r="G2324" t="str">
        <f>INDEX(Netzzeiten!$B$6:$B$29,HOUR(B2324)+1)</f>
        <v>NT</v>
      </c>
      <c r="H2324" s="6">
        <f>IF(F2324="GO",Eingaben!$B$11,IF(F2324="STANDARD",Eingaben!$B$12,IF(AND(F2324="HEAT",ISNUMBER(Eingaben!$B$13)),Eingaben!$B$13,"")))</f>
        <v>15.0654</v>
      </c>
      <c r="I2324" s="6">
        <f>INDEX(Netzzeiten!$C$6:$C$29,HOUR(B2324)+1)</f>
        <v>1.64</v>
      </c>
      <c r="J2324" t="str">
        <f>IF(C2324="","FEHLT",IF(NOT(ISNUMBER(C2324)),"MESSWERT UNGUELTIG",IF(C2324&lt;0,"MESSWERT UNGUELTIG",IF(H2324="","TARIFPREIS FEHLT","OK"))))</f>
        <v>FEHLT</v>
      </c>
      <c r="K2324" s="7">
        <f>IF(J2324&lt;&gt;"OK","",C2324*I2324/100)</f>
        <v/>
      </c>
    </row>
    <row r="2325" spans="1:11">
      <c r="A2325" s="14">
        <v>46167</v>
      </c>
      <c r="B2325" s="15">
        <v>0.15625</v>
      </c>
      <c r="C2325" s="5">
        <f>IF('96 Werte'!Q30="","",'96 Werte'!Q30)</f>
        <v/>
      </c>
      <c r="D2325" t="str">
        <f>IF(IF(Eingaben!$B$21&lt;Eingaben!$B$22,AND(B2325&gt;=Eingaben!$B$21,B2325&lt;Eingaben!$B$22),OR(B2325&gt;=Eingaben!$B$21,B2325&lt;Eingaben!$B$22)),"GO",IF(AND(ISNUMBER(Eingaben!$B$23),ISNUMBER(Eingaben!$B$24),IF(Eingaben!$B$23&lt;Eingaben!$B$24,AND(B2325&gt;=Eingaben!$B$23,B2325&lt;Eingaben!$B$24),OR(B2325&gt;=Eingaben!$B$23,B2325&lt;Eingaben!$B$24))),"HEAT","STANDARD"))</f>
        <v>GO</v>
      </c>
      <c r="E2325" s="9"/>
      <c r="F2325" t="str">
        <f>IF(E2325="",D2325,E2325)</f>
        <v>GO</v>
      </c>
      <c r="G2325" t="str">
        <f>INDEX(Netzzeiten!$B$6:$B$29,HOUR(B2325)+1)</f>
        <v>NT</v>
      </c>
      <c r="H2325" s="6">
        <f>IF(F2325="GO",Eingaben!$B$11,IF(F2325="STANDARD",Eingaben!$B$12,IF(AND(F2325="HEAT",ISNUMBER(Eingaben!$B$13)),Eingaben!$B$13,"")))</f>
        <v>15.0654</v>
      </c>
      <c r="I2325" s="6">
        <f>INDEX(Netzzeiten!$C$6:$C$29,HOUR(B2325)+1)</f>
        <v>1.64</v>
      </c>
      <c r="J2325" t="str">
        <f>IF(C2325="","FEHLT",IF(NOT(ISNUMBER(C2325)),"MESSWERT UNGUELTIG",IF(C2325&lt;0,"MESSWERT UNGUELTIG",IF(H2325="","TARIFPREIS FEHLT","OK"))))</f>
        <v>FEHLT</v>
      </c>
      <c r="K2325" s="7">
        <f>IF(J2325&lt;&gt;"OK","",C2325*I2325/100)</f>
        <v/>
      </c>
    </row>
    <row r="2326" spans="1:11">
      <c r="A2326" s="14">
        <v>46167</v>
      </c>
      <c r="B2326" s="15">
        <v>0.1666666666666667</v>
      </c>
      <c r="C2326" s="5">
        <f>IF('96 Werte'!R30="","",'96 Werte'!R30)</f>
        <v/>
      </c>
      <c r="D2326" t="str">
        <f>IF(IF(Eingaben!$B$21&lt;Eingaben!$B$22,AND(B2326&gt;=Eingaben!$B$21,B2326&lt;Eingaben!$B$22),OR(B2326&gt;=Eingaben!$B$21,B2326&lt;Eingaben!$B$22)),"GO",IF(AND(ISNUMBER(Eingaben!$B$23),ISNUMBER(Eingaben!$B$24),IF(Eingaben!$B$23&lt;Eingaben!$B$24,AND(B2326&gt;=Eingaben!$B$23,B2326&lt;Eingaben!$B$24),OR(B2326&gt;=Eingaben!$B$23,B2326&lt;Eingaben!$B$24))),"HEAT","STANDARD"))</f>
        <v>GO</v>
      </c>
      <c r="E2326" s="9"/>
      <c r="F2326" t="str">
        <f>IF(E2326="",D2326,E2326)</f>
        <v>GO</v>
      </c>
      <c r="G2326" t="str">
        <f>INDEX(Netzzeiten!$B$6:$B$29,HOUR(B2326)+1)</f>
        <v>NT</v>
      </c>
      <c r="H2326" s="6">
        <f>IF(F2326="GO",Eingaben!$B$11,IF(F2326="STANDARD",Eingaben!$B$12,IF(AND(F2326="HEAT",ISNUMBER(Eingaben!$B$13)),Eingaben!$B$13,"")))</f>
        <v>15.0654</v>
      </c>
      <c r="I2326" s="6">
        <f>INDEX(Netzzeiten!$C$6:$C$29,HOUR(B2326)+1)</f>
        <v>1.64</v>
      </c>
      <c r="J2326" t="str">
        <f>IF(C2326="","FEHLT",IF(NOT(ISNUMBER(C2326)),"MESSWERT UNGUELTIG",IF(C2326&lt;0,"MESSWERT UNGUELTIG",IF(H2326="","TARIFPREIS FEHLT","OK"))))</f>
        <v>FEHLT</v>
      </c>
      <c r="K2326" s="7">
        <f>IF(J2326&lt;&gt;"OK","",C2326*I2326/100)</f>
        <v/>
      </c>
    </row>
    <row r="2327" spans="1:11">
      <c r="A2327" s="14">
        <v>46167</v>
      </c>
      <c r="B2327" s="15">
        <v>0.1770833333333333</v>
      </c>
      <c r="C2327" s="5">
        <f>IF('96 Werte'!S30="","",'96 Werte'!S30)</f>
        <v/>
      </c>
      <c r="D2327" t="str">
        <f>IF(IF(Eingaben!$B$21&lt;Eingaben!$B$22,AND(B2327&gt;=Eingaben!$B$21,B2327&lt;Eingaben!$B$22),OR(B2327&gt;=Eingaben!$B$21,B2327&lt;Eingaben!$B$22)),"GO",IF(AND(ISNUMBER(Eingaben!$B$23),ISNUMBER(Eingaben!$B$24),IF(Eingaben!$B$23&lt;Eingaben!$B$24,AND(B2327&gt;=Eingaben!$B$23,B2327&lt;Eingaben!$B$24),OR(B2327&gt;=Eingaben!$B$23,B2327&lt;Eingaben!$B$24))),"HEAT","STANDARD"))</f>
        <v>GO</v>
      </c>
      <c r="E2327" s="9"/>
      <c r="F2327" t="str">
        <f>IF(E2327="",D2327,E2327)</f>
        <v>GO</v>
      </c>
      <c r="G2327" t="str">
        <f>INDEX(Netzzeiten!$B$6:$B$29,HOUR(B2327)+1)</f>
        <v>NT</v>
      </c>
      <c r="H2327" s="6">
        <f>IF(F2327="GO",Eingaben!$B$11,IF(F2327="STANDARD",Eingaben!$B$12,IF(AND(F2327="HEAT",ISNUMBER(Eingaben!$B$13)),Eingaben!$B$13,"")))</f>
        <v>15.0654</v>
      </c>
      <c r="I2327" s="6">
        <f>INDEX(Netzzeiten!$C$6:$C$29,HOUR(B2327)+1)</f>
        <v>1.64</v>
      </c>
      <c r="J2327" t="str">
        <f>IF(C2327="","FEHLT",IF(NOT(ISNUMBER(C2327)),"MESSWERT UNGUELTIG",IF(C2327&lt;0,"MESSWERT UNGUELTIG",IF(H2327="","TARIFPREIS FEHLT","OK"))))</f>
        <v>FEHLT</v>
      </c>
      <c r="K2327" s="7">
        <f>IF(J2327&lt;&gt;"OK","",C2327*I2327/100)</f>
        <v/>
      </c>
    </row>
    <row r="2328" spans="1:11">
      <c r="A2328" s="14">
        <v>46167</v>
      </c>
      <c r="B2328" s="15">
        <v>0.1875</v>
      </c>
      <c r="C2328" s="5">
        <f>IF('96 Werte'!T30="","",'96 Werte'!T30)</f>
        <v/>
      </c>
      <c r="D2328" t="str">
        <f>IF(IF(Eingaben!$B$21&lt;Eingaben!$B$22,AND(B2328&gt;=Eingaben!$B$21,B2328&lt;Eingaben!$B$22),OR(B2328&gt;=Eingaben!$B$21,B2328&lt;Eingaben!$B$22)),"GO",IF(AND(ISNUMBER(Eingaben!$B$23),ISNUMBER(Eingaben!$B$24),IF(Eingaben!$B$23&lt;Eingaben!$B$24,AND(B2328&gt;=Eingaben!$B$23,B2328&lt;Eingaben!$B$24),OR(B2328&gt;=Eingaben!$B$23,B2328&lt;Eingaben!$B$24))),"HEAT","STANDARD"))</f>
        <v>GO</v>
      </c>
      <c r="E2328" s="9"/>
      <c r="F2328" t="str">
        <f>IF(E2328="",D2328,E2328)</f>
        <v>GO</v>
      </c>
      <c r="G2328" t="str">
        <f>INDEX(Netzzeiten!$B$6:$B$29,HOUR(B2328)+1)</f>
        <v>NT</v>
      </c>
      <c r="H2328" s="6">
        <f>IF(F2328="GO",Eingaben!$B$11,IF(F2328="STANDARD",Eingaben!$B$12,IF(AND(F2328="HEAT",ISNUMBER(Eingaben!$B$13)),Eingaben!$B$13,"")))</f>
        <v>15.0654</v>
      </c>
      <c r="I2328" s="6">
        <f>INDEX(Netzzeiten!$C$6:$C$29,HOUR(B2328)+1)</f>
        <v>1.64</v>
      </c>
      <c r="J2328" t="str">
        <f>IF(C2328="","FEHLT",IF(NOT(ISNUMBER(C2328)),"MESSWERT UNGUELTIG",IF(C2328&lt;0,"MESSWERT UNGUELTIG",IF(H2328="","TARIFPREIS FEHLT","OK"))))</f>
        <v>FEHLT</v>
      </c>
      <c r="K2328" s="7">
        <f>IF(J2328&lt;&gt;"OK","",C2328*I2328/100)</f>
        <v/>
      </c>
    </row>
    <row r="2329" spans="1:11">
      <c r="A2329" s="14">
        <v>46167</v>
      </c>
      <c r="B2329" s="15">
        <v>0.1979166666666667</v>
      </c>
      <c r="C2329" s="5">
        <f>IF('96 Werte'!U30="","",'96 Werte'!U30)</f>
        <v/>
      </c>
      <c r="D2329" t="str">
        <f>IF(IF(Eingaben!$B$21&lt;Eingaben!$B$22,AND(B2329&gt;=Eingaben!$B$21,B2329&lt;Eingaben!$B$22),OR(B2329&gt;=Eingaben!$B$21,B2329&lt;Eingaben!$B$22)),"GO",IF(AND(ISNUMBER(Eingaben!$B$23),ISNUMBER(Eingaben!$B$24),IF(Eingaben!$B$23&lt;Eingaben!$B$24,AND(B2329&gt;=Eingaben!$B$23,B2329&lt;Eingaben!$B$24),OR(B2329&gt;=Eingaben!$B$23,B2329&lt;Eingaben!$B$24))),"HEAT","STANDARD"))</f>
        <v>GO</v>
      </c>
      <c r="E2329" s="9"/>
      <c r="F2329" t="str">
        <f>IF(E2329="",D2329,E2329)</f>
        <v>GO</v>
      </c>
      <c r="G2329" t="str">
        <f>INDEX(Netzzeiten!$B$6:$B$29,HOUR(B2329)+1)</f>
        <v>NT</v>
      </c>
      <c r="H2329" s="6">
        <f>IF(F2329="GO",Eingaben!$B$11,IF(F2329="STANDARD",Eingaben!$B$12,IF(AND(F2329="HEAT",ISNUMBER(Eingaben!$B$13)),Eingaben!$B$13,"")))</f>
        <v>15.0654</v>
      </c>
      <c r="I2329" s="6">
        <f>INDEX(Netzzeiten!$C$6:$C$29,HOUR(B2329)+1)</f>
        <v>1.64</v>
      </c>
      <c r="J2329" t="str">
        <f>IF(C2329="","FEHLT",IF(NOT(ISNUMBER(C2329)),"MESSWERT UNGUELTIG",IF(C2329&lt;0,"MESSWERT UNGUELTIG",IF(H2329="","TARIFPREIS FEHLT","OK"))))</f>
        <v>FEHLT</v>
      </c>
      <c r="K2329" s="7">
        <f>IF(J2329&lt;&gt;"OK","",C2329*I2329/100)</f>
        <v/>
      </c>
    </row>
    <row r="2330" spans="1:11">
      <c r="A2330" s="14">
        <v>46167</v>
      </c>
      <c r="B2330" s="15">
        <v>0.2083333333333333</v>
      </c>
      <c r="C2330" s="5">
        <f>IF('96 Werte'!V30="","",'96 Werte'!V30)</f>
        <v/>
      </c>
      <c r="D2330" t="str">
        <f>IF(IF(Eingaben!$B$21&lt;Eingaben!$B$22,AND(B2330&gt;=Eingaben!$B$21,B2330&lt;Eingaben!$B$22),OR(B2330&gt;=Eingaben!$B$21,B2330&lt;Eingaben!$B$22)),"GO",IF(AND(ISNUMBER(Eingaben!$B$23),ISNUMBER(Eingaben!$B$24),IF(Eingaben!$B$23&lt;Eingaben!$B$24,AND(B2330&gt;=Eingaben!$B$23,B2330&lt;Eingaben!$B$24),OR(B2330&gt;=Eingaben!$B$23,B2330&lt;Eingaben!$B$24))),"HEAT","STANDARD"))</f>
        <v>STANDARD</v>
      </c>
      <c r="E2330" s="9"/>
      <c r="F2330" t="str">
        <f>IF(E2330="",D2330,E2330)</f>
        <v>STANDARD</v>
      </c>
      <c r="G2330" t="str">
        <f>INDEX(Netzzeiten!$B$6:$B$29,HOUR(B2330)+1)</f>
        <v>NT</v>
      </c>
      <c r="H2330" s="6">
        <f>IF(F2330="GO",Eingaben!$B$11,IF(F2330="STANDARD",Eingaben!$B$12,IF(AND(F2330="HEAT",ISNUMBER(Eingaben!$B$13)),Eingaben!$B$13,"")))</f>
        <v>28.2744</v>
      </c>
      <c r="I2330" s="6">
        <f>INDEX(Netzzeiten!$C$6:$C$29,HOUR(B2330)+1)</f>
        <v>1.64</v>
      </c>
      <c r="J2330" t="str">
        <f>IF(C2330="","FEHLT",IF(NOT(ISNUMBER(C2330)),"MESSWERT UNGUELTIG",IF(C2330&lt;0,"MESSWERT UNGUELTIG",IF(H2330="","TARIFPREIS FEHLT","OK"))))</f>
        <v>FEHLT</v>
      </c>
      <c r="K2330" s="7">
        <f>IF(J2330&lt;&gt;"OK","",C2330*I2330/100)</f>
        <v/>
      </c>
    </row>
    <row r="2331" spans="1:11">
      <c r="A2331" s="14">
        <v>46167</v>
      </c>
      <c r="B2331" s="15">
        <v>0.21875</v>
      </c>
      <c r="C2331" s="5">
        <f>IF('96 Werte'!W30="","",'96 Werte'!W30)</f>
        <v/>
      </c>
      <c r="D2331" t="str">
        <f>IF(IF(Eingaben!$B$21&lt;Eingaben!$B$22,AND(B2331&gt;=Eingaben!$B$21,B2331&lt;Eingaben!$B$22),OR(B2331&gt;=Eingaben!$B$21,B2331&lt;Eingaben!$B$22)),"GO",IF(AND(ISNUMBER(Eingaben!$B$23),ISNUMBER(Eingaben!$B$24),IF(Eingaben!$B$23&lt;Eingaben!$B$24,AND(B2331&gt;=Eingaben!$B$23,B2331&lt;Eingaben!$B$24),OR(B2331&gt;=Eingaben!$B$23,B2331&lt;Eingaben!$B$24))),"HEAT","STANDARD"))</f>
        <v>STANDARD</v>
      </c>
      <c r="E2331" s="9"/>
      <c r="F2331" t="str">
        <f>IF(E2331="",D2331,E2331)</f>
        <v>STANDARD</v>
      </c>
      <c r="G2331" t="str">
        <f>INDEX(Netzzeiten!$B$6:$B$29,HOUR(B2331)+1)</f>
        <v>NT</v>
      </c>
      <c r="H2331" s="6">
        <f>IF(F2331="GO",Eingaben!$B$11,IF(F2331="STANDARD",Eingaben!$B$12,IF(AND(F2331="HEAT",ISNUMBER(Eingaben!$B$13)),Eingaben!$B$13,"")))</f>
        <v>28.2744</v>
      </c>
      <c r="I2331" s="6">
        <f>INDEX(Netzzeiten!$C$6:$C$29,HOUR(B2331)+1)</f>
        <v>1.64</v>
      </c>
      <c r="J2331" t="str">
        <f>IF(C2331="","FEHLT",IF(NOT(ISNUMBER(C2331)),"MESSWERT UNGUELTIG",IF(C2331&lt;0,"MESSWERT UNGUELTIG",IF(H2331="","TARIFPREIS FEHLT","OK"))))</f>
        <v>FEHLT</v>
      </c>
      <c r="K2331" s="7">
        <f>IF(J2331&lt;&gt;"OK","",C2331*I2331/100)</f>
        <v/>
      </c>
    </row>
    <row r="2332" spans="1:11">
      <c r="A2332" s="14">
        <v>46167</v>
      </c>
      <c r="B2332" s="15">
        <v>0.2291666666666667</v>
      </c>
      <c r="C2332" s="5">
        <f>IF('96 Werte'!X30="","",'96 Werte'!X30)</f>
        <v/>
      </c>
      <c r="D2332" t="str">
        <f>IF(IF(Eingaben!$B$21&lt;Eingaben!$B$22,AND(B2332&gt;=Eingaben!$B$21,B2332&lt;Eingaben!$B$22),OR(B2332&gt;=Eingaben!$B$21,B2332&lt;Eingaben!$B$22)),"GO",IF(AND(ISNUMBER(Eingaben!$B$23),ISNUMBER(Eingaben!$B$24),IF(Eingaben!$B$23&lt;Eingaben!$B$24,AND(B2332&gt;=Eingaben!$B$23,B2332&lt;Eingaben!$B$24),OR(B2332&gt;=Eingaben!$B$23,B2332&lt;Eingaben!$B$24))),"HEAT","STANDARD"))</f>
        <v>STANDARD</v>
      </c>
      <c r="E2332" s="9"/>
      <c r="F2332" t="str">
        <f>IF(E2332="",D2332,E2332)</f>
        <v>STANDARD</v>
      </c>
      <c r="G2332" t="str">
        <f>INDEX(Netzzeiten!$B$6:$B$29,HOUR(B2332)+1)</f>
        <v>NT</v>
      </c>
      <c r="H2332" s="6">
        <f>IF(F2332="GO",Eingaben!$B$11,IF(F2332="STANDARD",Eingaben!$B$12,IF(AND(F2332="HEAT",ISNUMBER(Eingaben!$B$13)),Eingaben!$B$13,"")))</f>
        <v>28.2744</v>
      </c>
      <c r="I2332" s="6">
        <f>INDEX(Netzzeiten!$C$6:$C$29,HOUR(B2332)+1)</f>
        <v>1.64</v>
      </c>
      <c r="J2332" t="str">
        <f>IF(C2332="","FEHLT",IF(NOT(ISNUMBER(C2332)),"MESSWERT UNGUELTIG",IF(C2332&lt;0,"MESSWERT UNGUELTIG",IF(H2332="","TARIFPREIS FEHLT","OK"))))</f>
        <v>FEHLT</v>
      </c>
      <c r="K2332" s="7">
        <f>IF(J2332&lt;&gt;"OK","",C2332*I2332/100)</f>
        <v/>
      </c>
    </row>
    <row r="2333" spans="1:11">
      <c r="A2333" s="14">
        <v>46167</v>
      </c>
      <c r="B2333" s="15">
        <v>0.2395833333333333</v>
      </c>
      <c r="C2333" s="5">
        <f>IF('96 Werte'!Y30="","",'96 Werte'!Y30)</f>
        <v/>
      </c>
      <c r="D2333" t="str">
        <f>IF(IF(Eingaben!$B$21&lt;Eingaben!$B$22,AND(B2333&gt;=Eingaben!$B$21,B2333&lt;Eingaben!$B$22),OR(B2333&gt;=Eingaben!$B$21,B2333&lt;Eingaben!$B$22)),"GO",IF(AND(ISNUMBER(Eingaben!$B$23),ISNUMBER(Eingaben!$B$24),IF(Eingaben!$B$23&lt;Eingaben!$B$24,AND(B2333&gt;=Eingaben!$B$23,B2333&lt;Eingaben!$B$24),OR(B2333&gt;=Eingaben!$B$23,B2333&lt;Eingaben!$B$24))),"HEAT","STANDARD"))</f>
        <v>STANDARD</v>
      </c>
      <c r="E2333" s="9"/>
      <c r="F2333" t="str">
        <f>IF(E2333="",D2333,E2333)</f>
        <v>STANDARD</v>
      </c>
      <c r="G2333" t="str">
        <f>INDEX(Netzzeiten!$B$6:$B$29,HOUR(B2333)+1)</f>
        <v>NT</v>
      </c>
      <c r="H2333" s="6">
        <f>IF(F2333="GO",Eingaben!$B$11,IF(F2333="STANDARD",Eingaben!$B$12,IF(AND(F2333="HEAT",ISNUMBER(Eingaben!$B$13)),Eingaben!$B$13,"")))</f>
        <v>28.2744</v>
      </c>
      <c r="I2333" s="6">
        <f>INDEX(Netzzeiten!$C$6:$C$29,HOUR(B2333)+1)</f>
        <v>1.64</v>
      </c>
      <c r="J2333" t="str">
        <f>IF(C2333="","FEHLT",IF(NOT(ISNUMBER(C2333)),"MESSWERT UNGUELTIG",IF(C2333&lt;0,"MESSWERT UNGUELTIG",IF(H2333="","TARIFPREIS FEHLT","OK"))))</f>
        <v>FEHLT</v>
      </c>
      <c r="K2333" s="7">
        <f>IF(J2333&lt;&gt;"OK","",C2333*I2333/100)</f>
        <v/>
      </c>
    </row>
    <row r="2334" spans="1:11">
      <c r="A2334" s="14">
        <v>46167</v>
      </c>
      <c r="B2334" s="15">
        <v>0.25</v>
      </c>
      <c r="C2334" s="5">
        <f>IF('96 Werte'!Z30="","",'96 Werte'!Z30)</f>
        <v/>
      </c>
      <c r="D2334" t="str">
        <f>IF(IF(Eingaben!$B$21&lt;Eingaben!$B$22,AND(B2334&gt;=Eingaben!$B$21,B2334&lt;Eingaben!$B$22),OR(B2334&gt;=Eingaben!$B$21,B2334&lt;Eingaben!$B$22)),"GO",IF(AND(ISNUMBER(Eingaben!$B$23),ISNUMBER(Eingaben!$B$24),IF(Eingaben!$B$23&lt;Eingaben!$B$24,AND(B2334&gt;=Eingaben!$B$23,B2334&lt;Eingaben!$B$24),OR(B2334&gt;=Eingaben!$B$23,B2334&lt;Eingaben!$B$24))),"HEAT","STANDARD"))</f>
        <v>STANDARD</v>
      </c>
      <c r="E2334" s="9"/>
      <c r="F2334" t="str">
        <f>IF(E2334="",D2334,E2334)</f>
        <v>STANDARD</v>
      </c>
      <c r="G2334" t="str">
        <f>INDEX(Netzzeiten!$B$6:$B$29,HOUR(B2334)+1)</f>
        <v>ST</v>
      </c>
      <c r="H2334" s="6">
        <f>IF(F2334="GO",Eingaben!$B$11,IF(F2334="STANDARD",Eingaben!$B$12,IF(AND(F2334="HEAT",ISNUMBER(Eingaben!$B$13)),Eingaben!$B$13,"")))</f>
        <v>28.2744</v>
      </c>
      <c r="I2334" s="6">
        <f>INDEX(Netzzeiten!$C$6:$C$29,HOUR(B2334)+1)</f>
        <v>5.48</v>
      </c>
      <c r="J2334" t="str">
        <f>IF(C2334="","FEHLT",IF(NOT(ISNUMBER(C2334)),"MESSWERT UNGUELTIG",IF(C2334&lt;0,"MESSWERT UNGUELTIG",IF(H2334="","TARIFPREIS FEHLT","OK"))))</f>
        <v>FEHLT</v>
      </c>
      <c r="K2334" s="7">
        <f>IF(J2334&lt;&gt;"OK","",C2334*I2334/100)</f>
        <v/>
      </c>
    </row>
    <row r="2335" spans="1:11">
      <c r="A2335" s="14">
        <v>46167</v>
      </c>
      <c r="B2335" s="15">
        <v>0.2604166666666667</v>
      </c>
      <c r="C2335" s="5">
        <f>IF('96 Werte'!AA30="","",'96 Werte'!AA30)</f>
        <v/>
      </c>
      <c r="D2335" t="str">
        <f>IF(IF(Eingaben!$B$21&lt;Eingaben!$B$22,AND(B2335&gt;=Eingaben!$B$21,B2335&lt;Eingaben!$B$22),OR(B2335&gt;=Eingaben!$B$21,B2335&lt;Eingaben!$B$22)),"GO",IF(AND(ISNUMBER(Eingaben!$B$23),ISNUMBER(Eingaben!$B$24),IF(Eingaben!$B$23&lt;Eingaben!$B$24,AND(B2335&gt;=Eingaben!$B$23,B2335&lt;Eingaben!$B$24),OR(B2335&gt;=Eingaben!$B$23,B2335&lt;Eingaben!$B$24))),"HEAT","STANDARD"))</f>
        <v>STANDARD</v>
      </c>
      <c r="E2335" s="9"/>
      <c r="F2335" t="str">
        <f>IF(E2335="",D2335,E2335)</f>
        <v>STANDARD</v>
      </c>
      <c r="G2335" t="str">
        <f>INDEX(Netzzeiten!$B$6:$B$29,HOUR(B2335)+1)</f>
        <v>ST</v>
      </c>
      <c r="H2335" s="6">
        <f>IF(F2335="GO",Eingaben!$B$11,IF(F2335="STANDARD",Eingaben!$B$12,IF(AND(F2335="HEAT",ISNUMBER(Eingaben!$B$13)),Eingaben!$B$13,"")))</f>
        <v>28.2744</v>
      </c>
      <c r="I2335" s="6">
        <f>INDEX(Netzzeiten!$C$6:$C$29,HOUR(B2335)+1)</f>
        <v>5.48</v>
      </c>
      <c r="J2335" t="str">
        <f>IF(C2335="","FEHLT",IF(NOT(ISNUMBER(C2335)),"MESSWERT UNGUELTIG",IF(C2335&lt;0,"MESSWERT UNGUELTIG",IF(H2335="","TARIFPREIS FEHLT","OK"))))</f>
        <v>FEHLT</v>
      </c>
      <c r="K2335" s="7">
        <f>IF(J2335&lt;&gt;"OK","",C2335*I2335/100)</f>
        <v/>
      </c>
    </row>
    <row r="2336" spans="1:11">
      <c r="A2336" s="14">
        <v>46167</v>
      </c>
      <c r="B2336" s="15">
        <v>0.2708333333333333</v>
      </c>
      <c r="C2336" s="5">
        <f>IF('96 Werte'!AB30="","",'96 Werte'!AB30)</f>
        <v/>
      </c>
      <c r="D2336" t="str">
        <f>IF(IF(Eingaben!$B$21&lt;Eingaben!$B$22,AND(B2336&gt;=Eingaben!$B$21,B2336&lt;Eingaben!$B$22),OR(B2336&gt;=Eingaben!$B$21,B2336&lt;Eingaben!$B$22)),"GO",IF(AND(ISNUMBER(Eingaben!$B$23),ISNUMBER(Eingaben!$B$24),IF(Eingaben!$B$23&lt;Eingaben!$B$24,AND(B2336&gt;=Eingaben!$B$23,B2336&lt;Eingaben!$B$24),OR(B2336&gt;=Eingaben!$B$23,B2336&lt;Eingaben!$B$24))),"HEAT","STANDARD"))</f>
        <v>STANDARD</v>
      </c>
      <c r="E2336" s="9"/>
      <c r="F2336" t="str">
        <f>IF(E2336="",D2336,E2336)</f>
        <v>STANDARD</v>
      </c>
      <c r="G2336" t="str">
        <f>INDEX(Netzzeiten!$B$6:$B$29,HOUR(B2336)+1)</f>
        <v>ST</v>
      </c>
      <c r="H2336" s="6">
        <f>IF(F2336="GO",Eingaben!$B$11,IF(F2336="STANDARD",Eingaben!$B$12,IF(AND(F2336="HEAT",ISNUMBER(Eingaben!$B$13)),Eingaben!$B$13,"")))</f>
        <v>28.2744</v>
      </c>
      <c r="I2336" s="6">
        <f>INDEX(Netzzeiten!$C$6:$C$29,HOUR(B2336)+1)</f>
        <v>5.48</v>
      </c>
      <c r="J2336" t="str">
        <f>IF(C2336="","FEHLT",IF(NOT(ISNUMBER(C2336)),"MESSWERT UNGUELTIG",IF(C2336&lt;0,"MESSWERT UNGUELTIG",IF(H2336="","TARIFPREIS FEHLT","OK"))))</f>
        <v>FEHLT</v>
      </c>
      <c r="K2336" s="7">
        <f>IF(J2336&lt;&gt;"OK","",C2336*I2336/100)</f>
        <v/>
      </c>
    </row>
    <row r="2337" spans="1:11">
      <c r="A2337" s="14">
        <v>46167</v>
      </c>
      <c r="B2337" s="15">
        <v>0.28125</v>
      </c>
      <c r="C2337" s="5">
        <f>IF('96 Werte'!AC30="","",'96 Werte'!AC30)</f>
        <v/>
      </c>
      <c r="D2337" t="str">
        <f>IF(IF(Eingaben!$B$21&lt;Eingaben!$B$22,AND(B2337&gt;=Eingaben!$B$21,B2337&lt;Eingaben!$B$22),OR(B2337&gt;=Eingaben!$B$21,B2337&lt;Eingaben!$B$22)),"GO",IF(AND(ISNUMBER(Eingaben!$B$23),ISNUMBER(Eingaben!$B$24),IF(Eingaben!$B$23&lt;Eingaben!$B$24,AND(B2337&gt;=Eingaben!$B$23,B2337&lt;Eingaben!$B$24),OR(B2337&gt;=Eingaben!$B$23,B2337&lt;Eingaben!$B$24))),"HEAT","STANDARD"))</f>
        <v>STANDARD</v>
      </c>
      <c r="E2337" s="9"/>
      <c r="F2337" t="str">
        <f>IF(E2337="",D2337,E2337)</f>
        <v>STANDARD</v>
      </c>
      <c r="G2337" t="str">
        <f>INDEX(Netzzeiten!$B$6:$B$29,HOUR(B2337)+1)</f>
        <v>ST</v>
      </c>
      <c r="H2337" s="6">
        <f>IF(F2337="GO",Eingaben!$B$11,IF(F2337="STANDARD",Eingaben!$B$12,IF(AND(F2337="HEAT",ISNUMBER(Eingaben!$B$13)),Eingaben!$B$13,"")))</f>
        <v>28.2744</v>
      </c>
      <c r="I2337" s="6">
        <f>INDEX(Netzzeiten!$C$6:$C$29,HOUR(B2337)+1)</f>
        <v>5.48</v>
      </c>
      <c r="J2337" t="str">
        <f>IF(C2337="","FEHLT",IF(NOT(ISNUMBER(C2337)),"MESSWERT UNGUELTIG",IF(C2337&lt;0,"MESSWERT UNGUELTIG",IF(H2337="","TARIFPREIS FEHLT","OK"))))</f>
        <v>FEHLT</v>
      </c>
      <c r="K2337" s="7">
        <f>IF(J2337&lt;&gt;"OK","",C2337*I2337/100)</f>
        <v/>
      </c>
    </row>
    <row r="2338" spans="1:11">
      <c r="A2338" s="14">
        <v>46167</v>
      </c>
      <c r="B2338" s="15">
        <v>0.2916666666666667</v>
      </c>
      <c r="C2338" s="5">
        <f>IF('96 Werte'!AD30="","",'96 Werte'!AD30)</f>
        <v/>
      </c>
      <c r="D2338" t="str">
        <f>IF(IF(Eingaben!$B$21&lt;Eingaben!$B$22,AND(B2338&gt;=Eingaben!$B$21,B2338&lt;Eingaben!$B$22),OR(B2338&gt;=Eingaben!$B$21,B2338&lt;Eingaben!$B$22)),"GO",IF(AND(ISNUMBER(Eingaben!$B$23),ISNUMBER(Eingaben!$B$24),IF(Eingaben!$B$23&lt;Eingaben!$B$24,AND(B2338&gt;=Eingaben!$B$23,B2338&lt;Eingaben!$B$24),OR(B2338&gt;=Eingaben!$B$23,B2338&lt;Eingaben!$B$24))),"HEAT","STANDARD"))</f>
        <v>STANDARD</v>
      </c>
      <c r="E2338" s="9"/>
      <c r="F2338" t="str">
        <f>IF(E2338="",D2338,E2338)</f>
        <v>STANDARD</v>
      </c>
      <c r="G2338" t="str">
        <f>INDEX(Netzzeiten!$B$6:$B$29,HOUR(B2338)+1)</f>
        <v>ST</v>
      </c>
      <c r="H2338" s="6">
        <f>IF(F2338="GO",Eingaben!$B$11,IF(F2338="STANDARD",Eingaben!$B$12,IF(AND(F2338="HEAT",ISNUMBER(Eingaben!$B$13)),Eingaben!$B$13,"")))</f>
        <v>28.2744</v>
      </c>
      <c r="I2338" s="6">
        <f>INDEX(Netzzeiten!$C$6:$C$29,HOUR(B2338)+1)</f>
        <v>5.48</v>
      </c>
      <c r="J2338" t="str">
        <f>IF(C2338="","FEHLT",IF(NOT(ISNUMBER(C2338)),"MESSWERT UNGUELTIG",IF(C2338&lt;0,"MESSWERT UNGUELTIG",IF(H2338="","TARIFPREIS FEHLT","OK"))))</f>
        <v>FEHLT</v>
      </c>
      <c r="K2338" s="7">
        <f>IF(J2338&lt;&gt;"OK","",C2338*I2338/100)</f>
        <v/>
      </c>
    </row>
    <row r="2339" spans="1:11">
      <c r="A2339" s="14">
        <v>46167</v>
      </c>
      <c r="B2339" s="15">
        <v>0.3020833333333333</v>
      </c>
      <c r="C2339" s="5">
        <f>IF('96 Werte'!AE30="","",'96 Werte'!AE30)</f>
        <v/>
      </c>
      <c r="D2339" t="str">
        <f>IF(IF(Eingaben!$B$21&lt;Eingaben!$B$22,AND(B2339&gt;=Eingaben!$B$21,B2339&lt;Eingaben!$B$22),OR(B2339&gt;=Eingaben!$B$21,B2339&lt;Eingaben!$B$22)),"GO",IF(AND(ISNUMBER(Eingaben!$B$23),ISNUMBER(Eingaben!$B$24),IF(Eingaben!$B$23&lt;Eingaben!$B$24,AND(B2339&gt;=Eingaben!$B$23,B2339&lt;Eingaben!$B$24),OR(B2339&gt;=Eingaben!$B$23,B2339&lt;Eingaben!$B$24))),"HEAT","STANDARD"))</f>
        <v>STANDARD</v>
      </c>
      <c r="E2339" s="9"/>
      <c r="F2339" t="str">
        <f>IF(E2339="",D2339,E2339)</f>
        <v>STANDARD</v>
      </c>
      <c r="G2339" t="str">
        <f>INDEX(Netzzeiten!$B$6:$B$29,HOUR(B2339)+1)</f>
        <v>ST</v>
      </c>
      <c r="H2339" s="6">
        <f>IF(F2339="GO",Eingaben!$B$11,IF(F2339="STANDARD",Eingaben!$B$12,IF(AND(F2339="HEAT",ISNUMBER(Eingaben!$B$13)),Eingaben!$B$13,"")))</f>
        <v>28.2744</v>
      </c>
      <c r="I2339" s="6">
        <f>INDEX(Netzzeiten!$C$6:$C$29,HOUR(B2339)+1)</f>
        <v>5.48</v>
      </c>
      <c r="J2339" t="str">
        <f>IF(C2339="","FEHLT",IF(NOT(ISNUMBER(C2339)),"MESSWERT UNGUELTIG",IF(C2339&lt;0,"MESSWERT UNGUELTIG",IF(H2339="","TARIFPREIS FEHLT","OK"))))</f>
        <v>FEHLT</v>
      </c>
      <c r="K2339" s="7">
        <f>IF(J2339&lt;&gt;"OK","",C2339*I2339/100)</f>
        <v/>
      </c>
    </row>
    <row r="2340" spans="1:11">
      <c r="A2340" s="14">
        <v>46167</v>
      </c>
      <c r="B2340" s="15">
        <v>0.3125</v>
      </c>
      <c r="C2340" s="5">
        <f>IF('96 Werte'!AF30="","",'96 Werte'!AF30)</f>
        <v/>
      </c>
      <c r="D2340" t="str">
        <f>IF(IF(Eingaben!$B$21&lt;Eingaben!$B$22,AND(B2340&gt;=Eingaben!$B$21,B2340&lt;Eingaben!$B$22),OR(B2340&gt;=Eingaben!$B$21,B2340&lt;Eingaben!$B$22)),"GO",IF(AND(ISNUMBER(Eingaben!$B$23),ISNUMBER(Eingaben!$B$24),IF(Eingaben!$B$23&lt;Eingaben!$B$24,AND(B2340&gt;=Eingaben!$B$23,B2340&lt;Eingaben!$B$24),OR(B2340&gt;=Eingaben!$B$23,B2340&lt;Eingaben!$B$24))),"HEAT","STANDARD"))</f>
        <v>STANDARD</v>
      </c>
      <c r="E2340" s="9"/>
      <c r="F2340" t="str">
        <f>IF(E2340="",D2340,E2340)</f>
        <v>STANDARD</v>
      </c>
      <c r="G2340" t="str">
        <f>INDEX(Netzzeiten!$B$6:$B$29,HOUR(B2340)+1)</f>
        <v>ST</v>
      </c>
      <c r="H2340" s="6">
        <f>IF(F2340="GO",Eingaben!$B$11,IF(F2340="STANDARD",Eingaben!$B$12,IF(AND(F2340="HEAT",ISNUMBER(Eingaben!$B$13)),Eingaben!$B$13,"")))</f>
        <v>28.2744</v>
      </c>
      <c r="I2340" s="6">
        <f>INDEX(Netzzeiten!$C$6:$C$29,HOUR(B2340)+1)</f>
        <v>5.48</v>
      </c>
      <c r="J2340" t="str">
        <f>IF(C2340="","FEHLT",IF(NOT(ISNUMBER(C2340)),"MESSWERT UNGUELTIG",IF(C2340&lt;0,"MESSWERT UNGUELTIG",IF(H2340="","TARIFPREIS FEHLT","OK"))))</f>
        <v>FEHLT</v>
      </c>
      <c r="K2340" s="7">
        <f>IF(J2340&lt;&gt;"OK","",C2340*I2340/100)</f>
        <v/>
      </c>
    </row>
    <row r="2341" spans="1:11">
      <c r="A2341" s="14">
        <v>46167</v>
      </c>
      <c r="B2341" s="15">
        <v>0.3229166666666667</v>
      </c>
      <c r="C2341" s="5">
        <f>IF('96 Werte'!AG30="","",'96 Werte'!AG30)</f>
        <v/>
      </c>
      <c r="D2341" t="str">
        <f>IF(IF(Eingaben!$B$21&lt;Eingaben!$B$22,AND(B2341&gt;=Eingaben!$B$21,B2341&lt;Eingaben!$B$22),OR(B2341&gt;=Eingaben!$B$21,B2341&lt;Eingaben!$B$22)),"GO",IF(AND(ISNUMBER(Eingaben!$B$23),ISNUMBER(Eingaben!$B$24),IF(Eingaben!$B$23&lt;Eingaben!$B$24,AND(B2341&gt;=Eingaben!$B$23,B2341&lt;Eingaben!$B$24),OR(B2341&gt;=Eingaben!$B$23,B2341&lt;Eingaben!$B$24))),"HEAT","STANDARD"))</f>
        <v>STANDARD</v>
      </c>
      <c r="E2341" s="9"/>
      <c r="F2341" t="str">
        <f>IF(E2341="",D2341,E2341)</f>
        <v>STANDARD</v>
      </c>
      <c r="G2341" t="str">
        <f>INDEX(Netzzeiten!$B$6:$B$29,HOUR(B2341)+1)</f>
        <v>ST</v>
      </c>
      <c r="H2341" s="6">
        <f>IF(F2341="GO",Eingaben!$B$11,IF(F2341="STANDARD",Eingaben!$B$12,IF(AND(F2341="HEAT",ISNUMBER(Eingaben!$B$13)),Eingaben!$B$13,"")))</f>
        <v>28.2744</v>
      </c>
      <c r="I2341" s="6">
        <f>INDEX(Netzzeiten!$C$6:$C$29,HOUR(B2341)+1)</f>
        <v>5.48</v>
      </c>
      <c r="J2341" t="str">
        <f>IF(C2341="","FEHLT",IF(NOT(ISNUMBER(C2341)),"MESSWERT UNGUELTIG",IF(C2341&lt;0,"MESSWERT UNGUELTIG",IF(H2341="","TARIFPREIS FEHLT","OK"))))</f>
        <v>FEHLT</v>
      </c>
      <c r="K2341" s="7">
        <f>IF(J2341&lt;&gt;"OK","",C2341*I2341/100)</f>
        <v/>
      </c>
    </row>
    <row r="2342" spans="1:11">
      <c r="A2342" s="14">
        <v>46167</v>
      </c>
      <c r="B2342" s="15">
        <v>0.3333333333333333</v>
      </c>
      <c r="C2342" s="5">
        <f>IF('96 Werte'!AH30="","",'96 Werte'!AH30)</f>
        <v/>
      </c>
      <c r="D2342" t="str">
        <f>IF(IF(Eingaben!$B$21&lt;Eingaben!$B$22,AND(B2342&gt;=Eingaben!$B$21,B2342&lt;Eingaben!$B$22),OR(B2342&gt;=Eingaben!$B$21,B2342&lt;Eingaben!$B$22)),"GO",IF(AND(ISNUMBER(Eingaben!$B$23),ISNUMBER(Eingaben!$B$24),IF(Eingaben!$B$23&lt;Eingaben!$B$24,AND(B2342&gt;=Eingaben!$B$23,B2342&lt;Eingaben!$B$24),OR(B2342&gt;=Eingaben!$B$23,B2342&lt;Eingaben!$B$24))),"HEAT","STANDARD"))</f>
        <v>STANDARD</v>
      </c>
      <c r="E2342" s="9"/>
      <c r="F2342" t="str">
        <f>IF(E2342="",D2342,E2342)</f>
        <v>STANDARD</v>
      </c>
      <c r="G2342" t="str">
        <f>INDEX(Netzzeiten!$B$6:$B$29,HOUR(B2342)+1)</f>
        <v>ST</v>
      </c>
      <c r="H2342" s="6">
        <f>IF(F2342="GO",Eingaben!$B$11,IF(F2342="STANDARD",Eingaben!$B$12,IF(AND(F2342="HEAT",ISNUMBER(Eingaben!$B$13)),Eingaben!$B$13,"")))</f>
        <v>28.2744</v>
      </c>
      <c r="I2342" s="6">
        <f>INDEX(Netzzeiten!$C$6:$C$29,HOUR(B2342)+1)</f>
        <v>5.48</v>
      </c>
      <c r="J2342" t="str">
        <f>IF(C2342="","FEHLT",IF(NOT(ISNUMBER(C2342)),"MESSWERT UNGUELTIG",IF(C2342&lt;0,"MESSWERT UNGUELTIG",IF(H2342="","TARIFPREIS FEHLT","OK"))))</f>
        <v>FEHLT</v>
      </c>
      <c r="K2342" s="7">
        <f>IF(J2342&lt;&gt;"OK","",C2342*I2342/100)</f>
        <v/>
      </c>
    </row>
    <row r="2343" spans="1:11">
      <c r="A2343" s="14">
        <v>46167</v>
      </c>
      <c r="B2343" s="15">
        <v>0.34375</v>
      </c>
      <c r="C2343" s="5">
        <f>IF('96 Werte'!AI30="","",'96 Werte'!AI30)</f>
        <v/>
      </c>
      <c r="D2343" t="str">
        <f>IF(IF(Eingaben!$B$21&lt;Eingaben!$B$22,AND(B2343&gt;=Eingaben!$B$21,B2343&lt;Eingaben!$B$22),OR(B2343&gt;=Eingaben!$B$21,B2343&lt;Eingaben!$B$22)),"GO",IF(AND(ISNUMBER(Eingaben!$B$23),ISNUMBER(Eingaben!$B$24),IF(Eingaben!$B$23&lt;Eingaben!$B$24,AND(B2343&gt;=Eingaben!$B$23,B2343&lt;Eingaben!$B$24),OR(B2343&gt;=Eingaben!$B$23,B2343&lt;Eingaben!$B$24))),"HEAT","STANDARD"))</f>
        <v>STANDARD</v>
      </c>
      <c r="E2343" s="9"/>
      <c r="F2343" t="str">
        <f>IF(E2343="",D2343,E2343)</f>
        <v>STANDARD</v>
      </c>
      <c r="G2343" t="str">
        <f>INDEX(Netzzeiten!$B$6:$B$29,HOUR(B2343)+1)</f>
        <v>ST</v>
      </c>
      <c r="H2343" s="6">
        <f>IF(F2343="GO",Eingaben!$B$11,IF(F2343="STANDARD",Eingaben!$B$12,IF(AND(F2343="HEAT",ISNUMBER(Eingaben!$B$13)),Eingaben!$B$13,"")))</f>
        <v>28.2744</v>
      </c>
      <c r="I2343" s="6">
        <f>INDEX(Netzzeiten!$C$6:$C$29,HOUR(B2343)+1)</f>
        <v>5.48</v>
      </c>
      <c r="J2343" t="str">
        <f>IF(C2343="","FEHLT",IF(NOT(ISNUMBER(C2343)),"MESSWERT UNGUELTIG",IF(C2343&lt;0,"MESSWERT UNGUELTIG",IF(H2343="","TARIFPREIS FEHLT","OK"))))</f>
        <v>FEHLT</v>
      </c>
      <c r="K2343" s="7">
        <f>IF(J2343&lt;&gt;"OK","",C2343*I2343/100)</f>
        <v/>
      </c>
    </row>
    <row r="2344" spans="1:11">
      <c r="A2344" s="14">
        <v>46167</v>
      </c>
      <c r="B2344" s="15">
        <v>0.3541666666666667</v>
      </c>
      <c r="C2344" s="5">
        <f>IF('96 Werte'!AJ30="","",'96 Werte'!AJ30)</f>
        <v/>
      </c>
      <c r="D2344" t="str">
        <f>IF(IF(Eingaben!$B$21&lt;Eingaben!$B$22,AND(B2344&gt;=Eingaben!$B$21,B2344&lt;Eingaben!$B$22),OR(B2344&gt;=Eingaben!$B$21,B2344&lt;Eingaben!$B$22)),"GO",IF(AND(ISNUMBER(Eingaben!$B$23),ISNUMBER(Eingaben!$B$24),IF(Eingaben!$B$23&lt;Eingaben!$B$24,AND(B2344&gt;=Eingaben!$B$23,B2344&lt;Eingaben!$B$24),OR(B2344&gt;=Eingaben!$B$23,B2344&lt;Eingaben!$B$24))),"HEAT","STANDARD"))</f>
        <v>STANDARD</v>
      </c>
      <c r="E2344" s="9"/>
      <c r="F2344" t="str">
        <f>IF(E2344="",D2344,E2344)</f>
        <v>STANDARD</v>
      </c>
      <c r="G2344" t="str">
        <f>INDEX(Netzzeiten!$B$6:$B$29,HOUR(B2344)+1)</f>
        <v>ST</v>
      </c>
      <c r="H2344" s="6">
        <f>IF(F2344="GO",Eingaben!$B$11,IF(F2344="STANDARD",Eingaben!$B$12,IF(AND(F2344="HEAT",ISNUMBER(Eingaben!$B$13)),Eingaben!$B$13,"")))</f>
        <v>28.2744</v>
      </c>
      <c r="I2344" s="6">
        <f>INDEX(Netzzeiten!$C$6:$C$29,HOUR(B2344)+1)</f>
        <v>5.48</v>
      </c>
      <c r="J2344" t="str">
        <f>IF(C2344="","FEHLT",IF(NOT(ISNUMBER(C2344)),"MESSWERT UNGUELTIG",IF(C2344&lt;0,"MESSWERT UNGUELTIG",IF(H2344="","TARIFPREIS FEHLT","OK"))))</f>
        <v>FEHLT</v>
      </c>
      <c r="K2344" s="7">
        <f>IF(J2344&lt;&gt;"OK","",C2344*I2344/100)</f>
        <v/>
      </c>
    </row>
    <row r="2345" spans="1:11">
      <c r="A2345" s="14">
        <v>46167</v>
      </c>
      <c r="B2345" s="15">
        <v>0.3645833333333333</v>
      </c>
      <c r="C2345" s="5">
        <f>IF('96 Werte'!AK30="","",'96 Werte'!AK30)</f>
        <v/>
      </c>
      <c r="D2345" t="str">
        <f>IF(IF(Eingaben!$B$21&lt;Eingaben!$B$22,AND(B2345&gt;=Eingaben!$B$21,B2345&lt;Eingaben!$B$22),OR(B2345&gt;=Eingaben!$B$21,B2345&lt;Eingaben!$B$22)),"GO",IF(AND(ISNUMBER(Eingaben!$B$23),ISNUMBER(Eingaben!$B$24),IF(Eingaben!$B$23&lt;Eingaben!$B$24,AND(B2345&gt;=Eingaben!$B$23,B2345&lt;Eingaben!$B$24),OR(B2345&gt;=Eingaben!$B$23,B2345&lt;Eingaben!$B$24))),"HEAT","STANDARD"))</f>
        <v>STANDARD</v>
      </c>
      <c r="E2345" s="9"/>
      <c r="F2345" t="str">
        <f>IF(E2345="",D2345,E2345)</f>
        <v>STANDARD</v>
      </c>
      <c r="G2345" t="str">
        <f>INDEX(Netzzeiten!$B$6:$B$29,HOUR(B2345)+1)</f>
        <v>ST</v>
      </c>
      <c r="H2345" s="6">
        <f>IF(F2345="GO",Eingaben!$B$11,IF(F2345="STANDARD",Eingaben!$B$12,IF(AND(F2345="HEAT",ISNUMBER(Eingaben!$B$13)),Eingaben!$B$13,"")))</f>
        <v>28.2744</v>
      </c>
      <c r="I2345" s="6">
        <f>INDEX(Netzzeiten!$C$6:$C$29,HOUR(B2345)+1)</f>
        <v>5.48</v>
      </c>
      <c r="J2345" t="str">
        <f>IF(C2345="","FEHLT",IF(NOT(ISNUMBER(C2345)),"MESSWERT UNGUELTIG",IF(C2345&lt;0,"MESSWERT UNGUELTIG",IF(H2345="","TARIFPREIS FEHLT","OK"))))</f>
        <v>FEHLT</v>
      </c>
      <c r="K2345" s="7">
        <f>IF(J2345&lt;&gt;"OK","",C2345*I2345/100)</f>
        <v/>
      </c>
    </row>
    <row r="2346" spans="1:11">
      <c r="A2346" s="14">
        <v>46167</v>
      </c>
      <c r="B2346" s="15">
        <v>0.375</v>
      </c>
      <c r="C2346" s="5">
        <f>IF('96 Werte'!AL30="","",'96 Werte'!AL30)</f>
        <v/>
      </c>
      <c r="D2346" t="str">
        <f>IF(IF(Eingaben!$B$21&lt;Eingaben!$B$22,AND(B2346&gt;=Eingaben!$B$21,B2346&lt;Eingaben!$B$22),OR(B2346&gt;=Eingaben!$B$21,B2346&lt;Eingaben!$B$22)),"GO",IF(AND(ISNUMBER(Eingaben!$B$23),ISNUMBER(Eingaben!$B$24),IF(Eingaben!$B$23&lt;Eingaben!$B$24,AND(B2346&gt;=Eingaben!$B$23,B2346&lt;Eingaben!$B$24),OR(B2346&gt;=Eingaben!$B$23,B2346&lt;Eingaben!$B$24))),"HEAT","STANDARD"))</f>
        <v>STANDARD</v>
      </c>
      <c r="E2346" s="9"/>
      <c r="F2346" t="str">
        <f>IF(E2346="",D2346,E2346)</f>
        <v>STANDARD</v>
      </c>
      <c r="G2346" t="str">
        <f>INDEX(Netzzeiten!$B$6:$B$29,HOUR(B2346)+1)</f>
        <v>ST</v>
      </c>
      <c r="H2346" s="6">
        <f>IF(F2346="GO",Eingaben!$B$11,IF(F2346="STANDARD",Eingaben!$B$12,IF(AND(F2346="HEAT",ISNUMBER(Eingaben!$B$13)),Eingaben!$B$13,"")))</f>
        <v>28.2744</v>
      </c>
      <c r="I2346" s="6">
        <f>INDEX(Netzzeiten!$C$6:$C$29,HOUR(B2346)+1)</f>
        <v>5.48</v>
      </c>
      <c r="J2346" t="str">
        <f>IF(C2346="","FEHLT",IF(NOT(ISNUMBER(C2346)),"MESSWERT UNGUELTIG",IF(C2346&lt;0,"MESSWERT UNGUELTIG",IF(H2346="","TARIFPREIS FEHLT","OK"))))</f>
        <v>FEHLT</v>
      </c>
      <c r="K2346" s="7">
        <f>IF(J2346&lt;&gt;"OK","",C2346*I2346/100)</f>
        <v/>
      </c>
    </row>
    <row r="2347" spans="1:11">
      <c r="A2347" s="14">
        <v>46167</v>
      </c>
      <c r="B2347" s="15">
        <v>0.3854166666666667</v>
      </c>
      <c r="C2347" s="5">
        <f>IF('96 Werte'!AM30="","",'96 Werte'!AM30)</f>
        <v/>
      </c>
      <c r="D2347" t="str">
        <f>IF(IF(Eingaben!$B$21&lt;Eingaben!$B$22,AND(B2347&gt;=Eingaben!$B$21,B2347&lt;Eingaben!$B$22),OR(B2347&gt;=Eingaben!$B$21,B2347&lt;Eingaben!$B$22)),"GO",IF(AND(ISNUMBER(Eingaben!$B$23),ISNUMBER(Eingaben!$B$24),IF(Eingaben!$B$23&lt;Eingaben!$B$24,AND(B2347&gt;=Eingaben!$B$23,B2347&lt;Eingaben!$B$24),OR(B2347&gt;=Eingaben!$B$23,B2347&lt;Eingaben!$B$24))),"HEAT","STANDARD"))</f>
        <v>STANDARD</v>
      </c>
      <c r="E2347" s="9"/>
      <c r="F2347" t="str">
        <f>IF(E2347="",D2347,E2347)</f>
        <v>STANDARD</v>
      </c>
      <c r="G2347" t="str">
        <f>INDEX(Netzzeiten!$B$6:$B$29,HOUR(B2347)+1)</f>
        <v>ST</v>
      </c>
      <c r="H2347" s="6">
        <f>IF(F2347="GO",Eingaben!$B$11,IF(F2347="STANDARD",Eingaben!$B$12,IF(AND(F2347="HEAT",ISNUMBER(Eingaben!$B$13)),Eingaben!$B$13,"")))</f>
        <v>28.2744</v>
      </c>
      <c r="I2347" s="6">
        <f>INDEX(Netzzeiten!$C$6:$C$29,HOUR(B2347)+1)</f>
        <v>5.48</v>
      </c>
      <c r="J2347" t="str">
        <f>IF(C2347="","FEHLT",IF(NOT(ISNUMBER(C2347)),"MESSWERT UNGUELTIG",IF(C2347&lt;0,"MESSWERT UNGUELTIG",IF(H2347="","TARIFPREIS FEHLT","OK"))))</f>
        <v>FEHLT</v>
      </c>
      <c r="K2347" s="7">
        <f>IF(J2347&lt;&gt;"OK","",C2347*I2347/100)</f>
        <v/>
      </c>
    </row>
    <row r="2348" spans="1:11">
      <c r="A2348" s="14">
        <v>46167</v>
      </c>
      <c r="B2348" s="15">
        <v>0.3958333333333333</v>
      </c>
      <c r="C2348" s="5">
        <f>IF('96 Werte'!AN30="","",'96 Werte'!AN30)</f>
        <v/>
      </c>
      <c r="D2348" t="str">
        <f>IF(IF(Eingaben!$B$21&lt;Eingaben!$B$22,AND(B2348&gt;=Eingaben!$B$21,B2348&lt;Eingaben!$B$22),OR(B2348&gt;=Eingaben!$B$21,B2348&lt;Eingaben!$B$22)),"GO",IF(AND(ISNUMBER(Eingaben!$B$23),ISNUMBER(Eingaben!$B$24),IF(Eingaben!$B$23&lt;Eingaben!$B$24,AND(B2348&gt;=Eingaben!$B$23,B2348&lt;Eingaben!$B$24),OR(B2348&gt;=Eingaben!$B$23,B2348&lt;Eingaben!$B$24))),"HEAT","STANDARD"))</f>
        <v>STANDARD</v>
      </c>
      <c r="E2348" s="9"/>
      <c r="F2348" t="str">
        <f>IF(E2348="",D2348,E2348)</f>
        <v>STANDARD</v>
      </c>
      <c r="G2348" t="str">
        <f>INDEX(Netzzeiten!$B$6:$B$29,HOUR(B2348)+1)</f>
        <v>ST</v>
      </c>
      <c r="H2348" s="6">
        <f>IF(F2348="GO",Eingaben!$B$11,IF(F2348="STANDARD",Eingaben!$B$12,IF(AND(F2348="HEAT",ISNUMBER(Eingaben!$B$13)),Eingaben!$B$13,"")))</f>
        <v>28.2744</v>
      </c>
      <c r="I2348" s="6">
        <f>INDEX(Netzzeiten!$C$6:$C$29,HOUR(B2348)+1)</f>
        <v>5.48</v>
      </c>
      <c r="J2348" t="str">
        <f>IF(C2348="","FEHLT",IF(NOT(ISNUMBER(C2348)),"MESSWERT UNGUELTIG",IF(C2348&lt;0,"MESSWERT UNGUELTIG",IF(H2348="","TARIFPREIS FEHLT","OK"))))</f>
        <v>FEHLT</v>
      </c>
      <c r="K2348" s="7">
        <f>IF(J2348&lt;&gt;"OK","",C2348*I2348/100)</f>
        <v/>
      </c>
    </row>
    <row r="2349" spans="1:11">
      <c r="A2349" s="14">
        <v>46167</v>
      </c>
      <c r="B2349" s="15">
        <v>0.40625</v>
      </c>
      <c r="C2349" s="5">
        <f>IF('96 Werte'!AO30="","",'96 Werte'!AO30)</f>
        <v/>
      </c>
      <c r="D2349" t="str">
        <f>IF(IF(Eingaben!$B$21&lt;Eingaben!$B$22,AND(B2349&gt;=Eingaben!$B$21,B2349&lt;Eingaben!$B$22),OR(B2349&gt;=Eingaben!$B$21,B2349&lt;Eingaben!$B$22)),"GO",IF(AND(ISNUMBER(Eingaben!$B$23),ISNUMBER(Eingaben!$B$24),IF(Eingaben!$B$23&lt;Eingaben!$B$24,AND(B2349&gt;=Eingaben!$B$23,B2349&lt;Eingaben!$B$24),OR(B2349&gt;=Eingaben!$B$23,B2349&lt;Eingaben!$B$24))),"HEAT","STANDARD"))</f>
        <v>STANDARD</v>
      </c>
      <c r="E2349" s="9"/>
      <c r="F2349" t="str">
        <f>IF(E2349="",D2349,E2349)</f>
        <v>STANDARD</v>
      </c>
      <c r="G2349" t="str">
        <f>INDEX(Netzzeiten!$B$6:$B$29,HOUR(B2349)+1)</f>
        <v>ST</v>
      </c>
      <c r="H2349" s="6">
        <f>IF(F2349="GO",Eingaben!$B$11,IF(F2349="STANDARD",Eingaben!$B$12,IF(AND(F2349="HEAT",ISNUMBER(Eingaben!$B$13)),Eingaben!$B$13,"")))</f>
        <v>28.2744</v>
      </c>
      <c r="I2349" s="6">
        <f>INDEX(Netzzeiten!$C$6:$C$29,HOUR(B2349)+1)</f>
        <v>5.48</v>
      </c>
      <c r="J2349" t="str">
        <f>IF(C2349="","FEHLT",IF(NOT(ISNUMBER(C2349)),"MESSWERT UNGUELTIG",IF(C2349&lt;0,"MESSWERT UNGUELTIG",IF(H2349="","TARIFPREIS FEHLT","OK"))))</f>
        <v>FEHLT</v>
      </c>
      <c r="K2349" s="7">
        <f>IF(J2349&lt;&gt;"OK","",C2349*I2349/100)</f>
        <v/>
      </c>
    </row>
    <row r="2350" spans="1:11">
      <c r="A2350" s="14">
        <v>46167</v>
      </c>
      <c r="B2350" s="15">
        <v>0.4166666666666667</v>
      </c>
      <c r="C2350" s="5">
        <f>IF('96 Werte'!AP30="","",'96 Werte'!AP30)</f>
        <v/>
      </c>
      <c r="D2350" t="str">
        <f>IF(IF(Eingaben!$B$21&lt;Eingaben!$B$22,AND(B2350&gt;=Eingaben!$B$21,B2350&lt;Eingaben!$B$22),OR(B2350&gt;=Eingaben!$B$21,B2350&lt;Eingaben!$B$22)),"GO",IF(AND(ISNUMBER(Eingaben!$B$23),ISNUMBER(Eingaben!$B$24),IF(Eingaben!$B$23&lt;Eingaben!$B$24,AND(B2350&gt;=Eingaben!$B$23,B2350&lt;Eingaben!$B$24),OR(B2350&gt;=Eingaben!$B$23,B2350&lt;Eingaben!$B$24))),"HEAT","STANDARD"))</f>
        <v>STANDARD</v>
      </c>
      <c r="E2350" s="9"/>
      <c r="F2350" t="str">
        <f>IF(E2350="",D2350,E2350)</f>
        <v>STANDARD</v>
      </c>
      <c r="G2350" t="str">
        <f>INDEX(Netzzeiten!$B$6:$B$29,HOUR(B2350)+1)</f>
        <v>ST</v>
      </c>
      <c r="H2350" s="6">
        <f>IF(F2350="GO",Eingaben!$B$11,IF(F2350="STANDARD",Eingaben!$B$12,IF(AND(F2350="HEAT",ISNUMBER(Eingaben!$B$13)),Eingaben!$B$13,"")))</f>
        <v>28.2744</v>
      </c>
      <c r="I2350" s="6">
        <f>INDEX(Netzzeiten!$C$6:$C$29,HOUR(B2350)+1)</f>
        <v>5.48</v>
      </c>
      <c r="J2350" t="str">
        <f>IF(C2350="","FEHLT",IF(NOT(ISNUMBER(C2350)),"MESSWERT UNGUELTIG",IF(C2350&lt;0,"MESSWERT UNGUELTIG",IF(H2350="","TARIFPREIS FEHLT","OK"))))</f>
        <v>FEHLT</v>
      </c>
      <c r="K2350" s="7">
        <f>IF(J2350&lt;&gt;"OK","",C2350*I2350/100)</f>
        <v/>
      </c>
    </row>
    <row r="2351" spans="1:11">
      <c r="A2351" s="14">
        <v>46167</v>
      </c>
      <c r="B2351" s="15">
        <v>0.4270833333333333</v>
      </c>
      <c r="C2351" s="5">
        <f>IF('96 Werte'!AQ30="","",'96 Werte'!AQ30)</f>
        <v/>
      </c>
      <c r="D2351" t="str">
        <f>IF(IF(Eingaben!$B$21&lt;Eingaben!$B$22,AND(B2351&gt;=Eingaben!$B$21,B2351&lt;Eingaben!$B$22),OR(B2351&gt;=Eingaben!$B$21,B2351&lt;Eingaben!$B$22)),"GO",IF(AND(ISNUMBER(Eingaben!$B$23),ISNUMBER(Eingaben!$B$24),IF(Eingaben!$B$23&lt;Eingaben!$B$24,AND(B2351&gt;=Eingaben!$B$23,B2351&lt;Eingaben!$B$24),OR(B2351&gt;=Eingaben!$B$23,B2351&lt;Eingaben!$B$24))),"HEAT","STANDARD"))</f>
        <v>STANDARD</v>
      </c>
      <c r="E2351" s="9"/>
      <c r="F2351" t="str">
        <f>IF(E2351="",D2351,E2351)</f>
        <v>STANDARD</v>
      </c>
      <c r="G2351" t="str">
        <f>INDEX(Netzzeiten!$B$6:$B$29,HOUR(B2351)+1)</f>
        <v>ST</v>
      </c>
      <c r="H2351" s="6">
        <f>IF(F2351="GO",Eingaben!$B$11,IF(F2351="STANDARD",Eingaben!$B$12,IF(AND(F2351="HEAT",ISNUMBER(Eingaben!$B$13)),Eingaben!$B$13,"")))</f>
        <v>28.2744</v>
      </c>
      <c r="I2351" s="6">
        <f>INDEX(Netzzeiten!$C$6:$C$29,HOUR(B2351)+1)</f>
        <v>5.48</v>
      </c>
      <c r="J2351" t="str">
        <f>IF(C2351="","FEHLT",IF(NOT(ISNUMBER(C2351)),"MESSWERT UNGUELTIG",IF(C2351&lt;0,"MESSWERT UNGUELTIG",IF(H2351="","TARIFPREIS FEHLT","OK"))))</f>
        <v>FEHLT</v>
      </c>
      <c r="K2351" s="7">
        <f>IF(J2351&lt;&gt;"OK","",C2351*I2351/100)</f>
        <v/>
      </c>
    </row>
    <row r="2352" spans="1:11">
      <c r="A2352" s="14">
        <v>46167</v>
      </c>
      <c r="B2352" s="15">
        <v>0.4375</v>
      </c>
      <c r="C2352" s="5">
        <f>IF('96 Werte'!AR30="","",'96 Werte'!AR30)</f>
        <v/>
      </c>
      <c r="D2352" t="str">
        <f>IF(IF(Eingaben!$B$21&lt;Eingaben!$B$22,AND(B2352&gt;=Eingaben!$B$21,B2352&lt;Eingaben!$B$22),OR(B2352&gt;=Eingaben!$B$21,B2352&lt;Eingaben!$B$22)),"GO",IF(AND(ISNUMBER(Eingaben!$B$23),ISNUMBER(Eingaben!$B$24),IF(Eingaben!$B$23&lt;Eingaben!$B$24,AND(B2352&gt;=Eingaben!$B$23,B2352&lt;Eingaben!$B$24),OR(B2352&gt;=Eingaben!$B$23,B2352&lt;Eingaben!$B$24))),"HEAT","STANDARD"))</f>
        <v>STANDARD</v>
      </c>
      <c r="E2352" s="9"/>
      <c r="F2352" t="str">
        <f>IF(E2352="",D2352,E2352)</f>
        <v>STANDARD</v>
      </c>
      <c r="G2352" t="str">
        <f>INDEX(Netzzeiten!$B$6:$B$29,HOUR(B2352)+1)</f>
        <v>ST</v>
      </c>
      <c r="H2352" s="6">
        <f>IF(F2352="GO",Eingaben!$B$11,IF(F2352="STANDARD",Eingaben!$B$12,IF(AND(F2352="HEAT",ISNUMBER(Eingaben!$B$13)),Eingaben!$B$13,"")))</f>
        <v>28.2744</v>
      </c>
      <c r="I2352" s="6">
        <f>INDEX(Netzzeiten!$C$6:$C$29,HOUR(B2352)+1)</f>
        <v>5.48</v>
      </c>
      <c r="J2352" t="str">
        <f>IF(C2352="","FEHLT",IF(NOT(ISNUMBER(C2352)),"MESSWERT UNGUELTIG",IF(C2352&lt;0,"MESSWERT UNGUELTIG",IF(H2352="","TARIFPREIS FEHLT","OK"))))</f>
        <v>FEHLT</v>
      </c>
      <c r="K2352" s="7">
        <f>IF(J2352&lt;&gt;"OK","",C2352*I2352/100)</f>
        <v/>
      </c>
    </row>
    <row r="2353" spans="1:11">
      <c r="A2353" s="14">
        <v>46167</v>
      </c>
      <c r="B2353" s="15">
        <v>0.4479166666666667</v>
      </c>
      <c r="C2353" s="5">
        <f>IF('96 Werte'!AS30="","",'96 Werte'!AS30)</f>
        <v/>
      </c>
      <c r="D2353" t="str">
        <f>IF(IF(Eingaben!$B$21&lt;Eingaben!$B$22,AND(B2353&gt;=Eingaben!$B$21,B2353&lt;Eingaben!$B$22),OR(B2353&gt;=Eingaben!$B$21,B2353&lt;Eingaben!$B$22)),"GO",IF(AND(ISNUMBER(Eingaben!$B$23),ISNUMBER(Eingaben!$B$24),IF(Eingaben!$B$23&lt;Eingaben!$B$24,AND(B2353&gt;=Eingaben!$B$23,B2353&lt;Eingaben!$B$24),OR(B2353&gt;=Eingaben!$B$23,B2353&lt;Eingaben!$B$24))),"HEAT","STANDARD"))</f>
        <v>STANDARD</v>
      </c>
      <c r="E2353" s="9"/>
      <c r="F2353" t="str">
        <f>IF(E2353="",D2353,E2353)</f>
        <v>STANDARD</v>
      </c>
      <c r="G2353" t="str">
        <f>INDEX(Netzzeiten!$B$6:$B$29,HOUR(B2353)+1)</f>
        <v>ST</v>
      </c>
      <c r="H2353" s="6">
        <f>IF(F2353="GO",Eingaben!$B$11,IF(F2353="STANDARD",Eingaben!$B$12,IF(AND(F2353="HEAT",ISNUMBER(Eingaben!$B$13)),Eingaben!$B$13,"")))</f>
        <v>28.2744</v>
      </c>
      <c r="I2353" s="6">
        <f>INDEX(Netzzeiten!$C$6:$C$29,HOUR(B2353)+1)</f>
        <v>5.48</v>
      </c>
      <c r="J2353" t="str">
        <f>IF(C2353="","FEHLT",IF(NOT(ISNUMBER(C2353)),"MESSWERT UNGUELTIG",IF(C2353&lt;0,"MESSWERT UNGUELTIG",IF(H2353="","TARIFPREIS FEHLT","OK"))))</f>
        <v>FEHLT</v>
      </c>
      <c r="K2353" s="7">
        <f>IF(J2353&lt;&gt;"OK","",C2353*I2353/100)</f>
        <v/>
      </c>
    </row>
    <row r="2354" spans="1:11">
      <c r="A2354" s="14">
        <v>46167</v>
      </c>
      <c r="B2354" s="15">
        <v>0.4583333333333333</v>
      </c>
      <c r="C2354" s="5">
        <f>IF('96 Werte'!AT30="","",'96 Werte'!AT30)</f>
        <v/>
      </c>
      <c r="D2354" t="str">
        <f>IF(IF(Eingaben!$B$21&lt;Eingaben!$B$22,AND(B2354&gt;=Eingaben!$B$21,B2354&lt;Eingaben!$B$22),OR(B2354&gt;=Eingaben!$B$21,B2354&lt;Eingaben!$B$22)),"GO",IF(AND(ISNUMBER(Eingaben!$B$23),ISNUMBER(Eingaben!$B$24),IF(Eingaben!$B$23&lt;Eingaben!$B$24,AND(B2354&gt;=Eingaben!$B$23,B2354&lt;Eingaben!$B$24),OR(B2354&gt;=Eingaben!$B$23,B2354&lt;Eingaben!$B$24))),"HEAT","STANDARD"))</f>
        <v>STANDARD</v>
      </c>
      <c r="E2354" s="9"/>
      <c r="F2354" t="str">
        <f>IF(E2354="",D2354,E2354)</f>
        <v>STANDARD</v>
      </c>
      <c r="G2354" t="str">
        <f>INDEX(Netzzeiten!$B$6:$B$29,HOUR(B2354)+1)</f>
        <v>NT</v>
      </c>
      <c r="H2354" s="6">
        <f>IF(F2354="GO",Eingaben!$B$11,IF(F2354="STANDARD",Eingaben!$B$12,IF(AND(F2354="HEAT",ISNUMBER(Eingaben!$B$13)),Eingaben!$B$13,"")))</f>
        <v>28.2744</v>
      </c>
      <c r="I2354" s="6">
        <f>INDEX(Netzzeiten!$C$6:$C$29,HOUR(B2354)+1)</f>
        <v>1.64</v>
      </c>
      <c r="J2354" t="str">
        <f>IF(C2354="","FEHLT",IF(NOT(ISNUMBER(C2354)),"MESSWERT UNGUELTIG",IF(C2354&lt;0,"MESSWERT UNGUELTIG",IF(H2354="","TARIFPREIS FEHLT","OK"))))</f>
        <v>FEHLT</v>
      </c>
      <c r="K2354" s="7">
        <f>IF(J2354&lt;&gt;"OK","",C2354*I2354/100)</f>
        <v/>
      </c>
    </row>
    <row r="2355" spans="1:11">
      <c r="A2355" s="14">
        <v>46167</v>
      </c>
      <c r="B2355" s="15">
        <v>0.46875</v>
      </c>
      <c r="C2355" s="5">
        <f>IF('96 Werte'!AU30="","",'96 Werte'!AU30)</f>
        <v/>
      </c>
      <c r="D2355" t="str">
        <f>IF(IF(Eingaben!$B$21&lt;Eingaben!$B$22,AND(B2355&gt;=Eingaben!$B$21,B2355&lt;Eingaben!$B$22),OR(B2355&gt;=Eingaben!$B$21,B2355&lt;Eingaben!$B$22)),"GO",IF(AND(ISNUMBER(Eingaben!$B$23),ISNUMBER(Eingaben!$B$24),IF(Eingaben!$B$23&lt;Eingaben!$B$24,AND(B2355&gt;=Eingaben!$B$23,B2355&lt;Eingaben!$B$24),OR(B2355&gt;=Eingaben!$B$23,B2355&lt;Eingaben!$B$24))),"HEAT","STANDARD"))</f>
        <v>STANDARD</v>
      </c>
      <c r="E2355" s="9"/>
      <c r="F2355" t="str">
        <f>IF(E2355="",D2355,E2355)</f>
        <v>STANDARD</v>
      </c>
      <c r="G2355" t="str">
        <f>INDEX(Netzzeiten!$B$6:$B$29,HOUR(B2355)+1)</f>
        <v>NT</v>
      </c>
      <c r="H2355" s="6">
        <f>IF(F2355="GO",Eingaben!$B$11,IF(F2355="STANDARD",Eingaben!$B$12,IF(AND(F2355="HEAT",ISNUMBER(Eingaben!$B$13)),Eingaben!$B$13,"")))</f>
        <v>28.2744</v>
      </c>
      <c r="I2355" s="6">
        <f>INDEX(Netzzeiten!$C$6:$C$29,HOUR(B2355)+1)</f>
        <v>1.64</v>
      </c>
      <c r="J2355" t="str">
        <f>IF(C2355="","FEHLT",IF(NOT(ISNUMBER(C2355)),"MESSWERT UNGUELTIG",IF(C2355&lt;0,"MESSWERT UNGUELTIG",IF(H2355="","TARIFPREIS FEHLT","OK"))))</f>
        <v>FEHLT</v>
      </c>
      <c r="K2355" s="7">
        <f>IF(J2355&lt;&gt;"OK","",C2355*I2355/100)</f>
        <v/>
      </c>
    </row>
    <row r="2356" spans="1:11">
      <c r="A2356" s="14">
        <v>46167</v>
      </c>
      <c r="B2356" s="15">
        <v>0.4791666666666667</v>
      </c>
      <c r="C2356" s="5">
        <f>IF('96 Werte'!AV30="","",'96 Werte'!AV30)</f>
        <v/>
      </c>
      <c r="D2356" t="str">
        <f>IF(IF(Eingaben!$B$21&lt;Eingaben!$B$22,AND(B2356&gt;=Eingaben!$B$21,B2356&lt;Eingaben!$B$22),OR(B2356&gt;=Eingaben!$B$21,B2356&lt;Eingaben!$B$22)),"GO",IF(AND(ISNUMBER(Eingaben!$B$23),ISNUMBER(Eingaben!$B$24),IF(Eingaben!$B$23&lt;Eingaben!$B$24,AND(B2356&gt;=Eingaben!$B$23,B2356&lt;Eingaben!$B$24),OR(B2356&gt;=Eingaben!$B$23,B2356&lt;Eingaben!$B$24))),"HEAT","STANDARD"))</f>
        <v>STANDARD</v>
      </c>
      <c r="E2356" s="9"/>
      <c r="F2356" t="str">
        <f>IF(E2356="",D2356,E2356)</f>
        <v>STANDARD</v>
      </c>
      <c r="G2356" t="str">
        <f>INDEX(Netzzeiten!$B$6:$B$29,HOUR(B2356)+1)</f>
        <v>NT</v>
      </c>
      <c r="H2356" s="6">
        <f>IF(F2356="GO",Eingaben!$B$11,IF(F2356="STANDARD",Eingaben!$B$12,IF(AND(F2356="HEAT",ISNUMBER(Eingaben!$B$13)),Eingaben!$B$13,"")))</f>
        <v>28.2744</v>
      </c>
      <c r="I2356" s="6">
        <f>INDEX(Netzzeiten!$C$6:$C$29,HOUR(B2356)+1)</f>
        <v>1.64</v>
      </c>
      <c r="J2356" t="str">
        <f>IF(C2356="","FEHLT",IF(NOT(ISNUMBER(C2356)),"MESSWERT UNGUELTIG",IF(C2356&lt;0,"MESSWERT UNGUELTIG",IF(H2356="","TARIFPREIS FEHLT","OK"))))</f>
        <v>FEHLT</v>
      </c>
      <c r="K2356" s="7">
        <f>IF(J2356&lt;&gt;"OK","",C2356*I2356/100)</f>
        <v/>
      </c>
    </row>
    <row r="2357" spans="1:11">
      <c r="A2357" s="14">
        <v>46167</v>
      </c>
      <c r="B2357" s="15">
        <v>0.4895833333333333</v>
      </c>
      <c r="C2357" s="5">
        <f>IF('96 Werte'!AW30="","",'96 Werte'!AW30)</f>
        <v/>
      </c>
      <c r="D2357" t="str">
        <f>IF(IF(Eingaben!$B$21&lt;Eingaben!$B$22,AND(B2357&gt;=Eingaben!$B$21,B2357&lt;Eingaben!$B$22),OR(B2357&gt;=Eingaben!$B$21,B2357&lt;Eingaben!$B$22)),"GO",IF(AND(ISNUMBER(Eingaben!$B$23),ISNUMBER(Eingaben!$B$24),IF(Eingaben!$B$23&lt;Eingaben!$B$24,AND(B2357&gt;=Eingaben!$B$23,B2357&lt;Eingaben!$B$24),OR(B2357&gt;=Eingaben!$B$23,B2357&lt;Eingaben!$B$24))),"HEAT","STANDARD"))</f>
        <v>STANDARD</v>
      </c>
      <c r="E2357" s="9"/>
      <c r="F2357" t="str">
        <f>IF(E2357="",D2357,E2357)</f>
        <v>STANDARD</v>
      </c>
      <c r="G2357" t="str">
        <f>INDEX(Netzzeiten!$B$6:$B$29,HOUR(B2357)+1)</f>
        <v>NT</v>
      </c>
      <c r="H2357" s="6">
        <f>IF(F2357="GO",Eingaben!$B$11,IF(F2357="STANDARD",Eingaben!$B$12,IF(AND(F2357="HEAT",ISNUMBER(Eingaben!$B$13)),Eingaben!$B$13,"")))</f>
        <v>28.2744</v>
      </c>
      <c r="I2357" s="6">
        <f>INDEX(Netzzeiten!$C$6:$C$29,HOUR(B2357)+1)</f>
        <v>1.64</v>
      </c>
      <c r="J2357" t="str">
        <f>IF(C2357="","FEHLT",IF(NOT(ISNUMBER(C2357)),"MESSWERT UNGUELTIG",IF(C2357&lt;0,"MESSWERT UNGUELTIG",IF(H2357="","TARIFPREIS FEHLT","OK"))))</f>
        <v>FEHLT</v>
      </c>
      <c r="K2357" s="7">
        <f>IF(J2357&lt;&gt;"OK","",C2357*I2357/100)</f>
        <v/>
      </c>
    </row>
    <row r="2358" spans="1:11">
      <c r="A2358" s="14">
        <v>46167</v>
      </c>
      <c r="B2358" s="15">
        <v>0.5</v>
      </c>
      <c r="C2358" s="5">
        <f>IF('96 Werte'!AX30="","",'96 Werte'!AX30)</f>
        <v/>
      </c>
      <c r="D2358" t="str">
        <f>IF(IF(Eingaben!$B$21&lt;Eingaben!$B$22,AND(B2358&gt;=Eingaben!$B$21,B2358&lt;Eingaben!$B$22),OR(B2358&gt;=Eingaben!$B$21,B2358&lt;Eingaben!$B$22)),"GO",IF(AND(ISNUMBER(Eingaben!$B$23),ISNUMBER(Eingaben!$B$24),IF(Eingaben!$B$23&lt;Eingaben!$B$24,AND(B2358&gt;=Eingaben!$B$23,B2358&lt;Eingaben!$B$24),OR(B2358&gt;=Eingaben!$B$23,B2358&lt;Eingaben!$B$24))),"HEAT","STANDARD"))</f>
        <v>STANDARD</v>
      </c>
      <c r="E2358" s="9"/>
      <c r="F2358" t="str">
        <f>IF(E2358="",D2358,E2358)</f>
        <v>STANDARD</v>
      </c>
      <c r="G2358" t="str">
        <f>INDEX(Netzzeiten!$B$6:$B$29,HOUR(B2358)+1)</f>
        <v>NT</v>
      </c>
      <c r="H2358" s="6">
        <f>IF(F2358="GO",Eingaben!$B$11,IF(F2358="STANDARD",Eingaben!$B$12,IF(AND(F2358="HEAT",ISNUMBER(Eingaben!$B$13)),Eingaben!$B$13,"")))</f>
        <v>28.2744</v>
      </c>
      <c r="I2358" s="6">
        <f>INDEX(Netzzeiten!$C$6:$C$29,HOUR(B2358)+1)</f>
        <v>1.64</v>
      </c>
      <c r="J2358" t="str">
        <f>IF(C2358="","FEHLT",IF(NOT(ISNUMBER(C2358)),"MESSWERT UNGUELTIG",IF(C2358&lt;0,"MESSWERT UNGUELTIG",IF(H2358="","TARIFPREIS FEHLT","OK"))))</f>
        <v>FEHLT</v>
      </c>
      <c r="K2358" s="7">
        <f>IF(J2358&lt;&gt;"OK","",C2358*I2358/100)</f>
        <v/>
      </c>
    </row>
    <row r="2359" spans="1:11">
      <c r="A2359" s="14">
        <v>46167</v>
      </c>
      <c r="B2359" s="15">
        <v>0.5104166666666666</v>
      </c>
      <c r="C2359" s="5">
        <f>IF('96 Werte'!AY30="","",'96 Werte'!AY30)</f>
        <v/>
      </c>
      <c r="D2359" t="str">
        <f>IF(IF(Eingaben!$B$21&lt;Eingaben!$B$22,AND(B2359&gt;=Eingaben!$B$21,B2359&lt;Eingaben!$B$22),OR(B2359&gt;=Eingaben!$B$21,B2359&lt;Eingaben!$B$22)),"GO",IF(AND(ISNUMBER(Eingaben!$B$23),ISNUMBER(Eingaben!$B$24),IF(Eingaben!$B$23&lt;Eingaben!$B$24,AND(B2359&gt;=Eingaben!$B$23,B2359&lt;Eingaben!$B$24),OR(B2359&gt;=Eingaben!$B$23,B2359&lt;Eingaben!$B$24))),"HEAT","STANDARD"))</f>
        <v>STANDARD</v>
      </c>
      <c r="E2359" s="9"/>
      <c r="F2359" t="str">
        <f>IF(E2359="",D2359,E2359)</f>
        <v>STANDARD</v>
      </c>
      <c r="G2359" t="str">
        <f>INDEX(Netzzeiten!$B$6:$B$29,HOUR(B2359)+1)</f>
        <v>NT</v>
      </c>
      <c r="H2359" s="6">
        <f>IF(F2359="GO",Eingaben!$B$11,IF(F2359="STANDARD",Eingaben!$B$12,IF(AND(F2359="HEAT",ISNUMBER(Eingaben!$B$13)),Eingaben!$B$13,"")))</f>
        <v>28.2744</v>
      </c>
      <c r="I2359" s="6">
        <f>INDEX(Netzzeiten!$C$6:$C$29,HOUR(B2359)+1)</f>
        <v>1.64</v>
      </c>
      <c r="J2359" t="str">
        <f>IF(C2359="","FEHLT",IF(NOT(ISNUMBER(C2359)),"MESSWERT UNGUELTIG",IF(C2359&lt;0,"MESSWERT UNGUELTIG",IF(H2359="","TARIFPREIS FEHLT","OK"))))</f>
        <v>FEHLT</v>
      </c>
      <c r="K2359" s="7">
        <f>IF(J2359&lt;&gt;"OK","",C2359*I2359/100)</f>
        <v/>
      </c>
    </row>
    <row r="2360" spans="1:11">
      <c r="A2360" s="14">
        <v>46167</v>
      </c>
      <c r="B2360" s="15">
        <v>0.5208333333333334</v>
      </c>
      <c r="C2360" s="5">
        <f>IF('96 Werte'!AZ30="","",'96 Werte'!AZ30)</f>
        <v/>
      </c>
      <c r="D2360" t="str">
        <f>IF(IF(Eingaben!$B$21&lt;Eingaben!$B$22,AND(B2360&gt;=Eingaben!$B$21,B2360&lt;Eingaben!$B$22),OR(B2360&gt;=Eingaben!$B$21,B2360&lt;Eingaben!$B$22)),"GO",IF(AND(ISNUMBER(Eingaben!$B$23),ISNUMBER(Eingaben!$B$24),IF(Eingaben!$B$23&lt;Eingaben!$B$24,AND(B2360&gt;=Eingaben!$B$23,B2360&lt;Eingaben!$B$24),OR(B2360&gt;=Eingaben!$B$23,B2360&lt;Eingaben!$B$24))),"HEAT","STANDARD"))</f>
        <v>STANDARD</v>
      </c>
      <c r="E2360" s="9"/>
      <c r="F2360" t="str">
        <f>IF(E2360="",D2360,E2360)</f>
        <v>STANDARD</v>
      </c>
      <c r="G2360" t="str">
        <f>INDEX(Netzzeiten!$B$6:$B$29,HOUR(B2360)+1)</f>
        <v>NT</v>
      </c>
      <c r="H2360" s="6">
        <f>IF(F2360="GO",Eingaben!$B$11,IF(F2360="STANDARD",Eingaben!$B$12,IF(AND(F2360="HEAT",ISNUMBER(Eingaben!$B$13)),Eingaben!$B$13,"")))</f>
        <v>28.2744</v>
      </c>
      <c r="I2360" s="6">
        <f>INDEX(Netzzeiten!$C$6:$C$29,HOUR(B2360)+1)</f>
        <v>1.64</v>
      </c>
      <c r="J2360" t="str">
        <f>IF(C2360="","FEHLT",IF(NOT(ISNUMBER(C2360)),"MESSWERT UNGUELTIG",IF(C2360&lt;0,"MESSWERT UNGUELTIG",IF(H2360="","TARIFPREIS FEHLT","OK"))))</f>
        <v>FEHLT</v>
      </c>
      <c r="K2360" s="7">
        <f>IF(J2360&lt;&gt;"OK","",C2360*I2360/100)</f>
        <v/>
      </c>
    </row>
    <row r="2361" spans="1:11">
      <c r="A2361" s="14">
        <v>46167</v>
      </c>
      <c r="B2361" s="15">
        <v>0.53125</v>
      </c>
      <c r="C2361" s="5">
        <f>IF('96 Werte'!BA30="","",'96 Werte'!BA30)</f>
        <v/>
      </c>
      <c r="D2361" t="str">
        <f>IF(IF(Eingaben!$B$21&lt;Eingaben!$B$22,AND(B2361&gt;=Eingaben!$B$21,B2361&lt;Eingaben!$B$22),OR(B2361&gt;=Eingaben!$B$21,B2361&lt;Eingaben!$B$22)),"GO",IF(AND(ISNUMBER(Eingaben!$B$23),ISNUMBER(Eingaben!$B$24),IF(Eingaben!$B$23&lt;Eingaben!$B$24,AND(B2361&gt;=Eingaben!$B$23,B2361&lt;Eingaben!$B$24),OR(B2361&gt;=Eingaben!$B$23,B2361&lt;Eingaben!$B$24))),"HEAT","STANDARD"))</f>
        <v>STANDARD</v>
      </c>
      <c r="E2361" s="9"/>
      <c r="F2361" t="str">
        <f>IF(E2361="",D2361,E2361)</f>
        <v>STANDARD</v>
      </c>
      <c r="G2361" t="str">
        <f>INDEX(Netzzeiten!$B$6:$B$29,HOUR(B2361)+1)</f>
        <v>NT</v>
      </c>
      <c r="H2361" s="6">
        <f>IF(F2361="GO",Eingaben!$B$11,IF(F2361="STANDARD",Eingaben!$B$12,IF(AND(F2361="HEAT",ISNUMBER(Eingaben!$B$13)),Eingaben!$B$13,"")))</f>
        <v>28.2744</v>
      </c>
      <c r="I2361" s="6">
        <f>INDEX(Netzzeiten!$C$6:$C$29,HOUR(B2361)+1)</f>
        <v>1.64</v>
      </c>
      <c r="J2361" t="str">
        <f>IF(C2361="","FEHLT",IF(NOT(ISNUMBER(C2361)),"MESSWERT UNGUELTIG",IF(C2361&lt;0,"MESSWERT UNGUELTIG",IF(H2361="","TARIFPREIS FEHLT","OK"))))</f>
        <v>FEHLT</v>
      </c>
      <c r="K2361" s="7">
        <f>IF(J2361&lt;&gt;"OK","",C2361*I2361/100)</f>
        <v/>
      </c>
    </row>
    <row r="2362" spans="1:11">
      <c r="A2362" s="14">
        <v>46167</v>
      </c>
      <c r="B2362" s="15">
        <v>0.5416666666666666</v>
      </c>
      <c r="C2362" s="5">
        <f>IF('96 Werte'!BB30="","",'96 Werte'!BB30)</f>
        <v/>
      </c>
      <c r="D2362" t="str">
        <f>IF(IF(Eingaben!$B$21&lt;Eingaben!$B$22,AND(B2362&gt;=Eingaben!$B$21,B2362&lt;Eingaben!$B$22),OR(B2362&gt;=Eingaben!$B$21,B2362&lt;Eingaben!$B$22)),"GO",IF(AND(ISNUMBER(Eingaben!$B$23),ISNUMBER(Eingaben!$B$24),IF(Eingaben!$B$23&lt;Eingaben!$B$24,AND(B2362&gt;=Eingaben!$B$23,B2362&lt;Eingaben!$B$24),OR(B2362&gt;=Eingaben!$B$23,B2362&lt;Eingaben!$B$24))),"HEAT","STANDARD"))</f>
        <v>STANDARD</v>
      </c>
      <c r="E2362" s="9"/>
      <c r="F2362" t="str">
        <f>IF(E2362="",D2362,E2362)</f>
        <v>STANDARD</v>
      </c>
      <c r="G2362" t="str">
        <f>INDEX(Netzzeiten!$B$6:$B$29,HOUR(B2362)+1)</f>
        <v>NT</v>
      </c>
      <c r="H2362" s="6">
        <f>IF(F2362="GO",Eingaben!$B$11,IF(F2362="STANDARD",Eingaben!$B$12,IF(AND(F2362="HEAT",ISNUMBER(Eingaben!$B$13)),Eingaben!$B$13,"")))</f>
        <v>28.2744</v>
      </c>
      <c r="I2362" s="6">
        <f>INDEX(Netzzeiten!$C$6:$C$29,HOUR(B2362)+1)</f>
        <v>1.64</v>
      </c>
      <c r="J2362" t="str">
        <f>IF(C2362="","FEHLT",IF(NOT(ISNUMBER(C2362)),"MESSWERT UNGUELTIG",IF(C2362&lt;0,"MESSWERT UNGUELTIG",IF(H2362="","TARIFPREIS FEHLT","OK"))))</f>
        <v>FEHLT</v>
      </c>
      <c r="K2362" s="7">
        <f>IF(J2362&lt;&gt;"OK","",C2362*I2362/100)</f>
        <v/>
      </c>
    </row>
    <row r="2363" spans="1:11">
      <c r="A2363" s="14">
        <v>46167</v>
      </c>
      <c r="B2363" s="15">
        <v>0.5520833333333334</v>
      </c>
      <c r="C2363" s="5">
        <f>IF('96 Werte'!BC30="","",'96 Werte'!BC30)</f>
        <v/>
      </c>
      <c r="D2363" t="str">
        <f>IF(IF(Eingaben!$B$21&lt;Eingaben!$B$22,AND(B2363&gt;=Eingaben!$B$21,B2363&lt;Eingaben!$B$22),OR(B2363&gt;=Eingaben!$B$21,B2363&lt;Eingaben!$B$22)),"GO",IF(AND(ISNUMBER(Eingaben!$B$23),ISNUMBER(Eingaben!$B$24),IF(Eingaben!$B$23&lt;Eingaben!$B$24,AND(B2363&gt;=Eingaben!$B$23,B2363&lt;Eingaben!$B$24),OR(B2363&gt;=Eingaben!$B$23,B2363&lt;Eingaben!$B$24))),"HEAT","STANDARD"))</f>
        <v>STANDARD</v>
      </c>
      <c r="E2363" s="9"/>
      <c r="F2363" t="str">
        <f>IF(E2363="",D2363,E2363)</f>
        <v>STANDARD</v>
      </c>
      <c r="G2363" t="str">
        <f>INDEX(Netzzeiten!$B$6:$B$29,HOUR(B2363)+1)</f>
        <v>NT</v>
      </c>
      <c r="H2363" s="6">
        <f>IF(F2363="GO",Eingaben!$B$11,IF(F2363="STANDARD",Eingaben!$B$12,IF(AND(F2363="HEAT",ISNUMBER(Eingaben!$B$13)),Eingaben!$B$13,"")))</f>
        <v>28.2744</v>
      </c>
      <c r="I2363" s="6">
        <f>INDEX(Netzzeiten!$C$6:$C$29,HOUR(B2363)+1)</f>
        <v>1.64</v>
      </c>
      <c r="J2363" t="str">
        <f>IF(C2363="","FEHLT",IF(NOT(ISNUMBER(C2363)),"MESSWERT UNGUELTIG",IF(C2363&lt;0,"MESSWERT UNGUELTIG",IF(H2363="","TARIFPREIS FEHLT","OK"))))</f>
        <v>FEHLT</v>
      </c>
      <c r="K2363" s="7">
        <f>IF(J2363&lt;&gt;"OK","",C2363*I2363/100)</f>
        <v/>
      </c>
    </row>
    <row r="2364" spans="1:11">
      <c r="A2364" s="14">
        <v>46167</v>
      </c>
      <c r="B2364" s="15">
        <v>0.5625</v>
      </c>
      <c r="C2364" s="5">
        <f>IF('96 Werte'!BD30="","",'96 Werte'!BD30)</f>
        <v/>
      </c>
      <c r="D2364" t="str">
        <f>IF(IF(Eingaben!$B$21&lt;Eingaben!$B$22,AND(B2364&gt;=Eingaben!$B$21,B2364&lt;Eingaben!$B$22),OR(B2364&gt;=Eingaben!$B$21,B2364&lt;Eingaben!$B$22)),"GO",IF(AND(ISNUMBER(Eingaben!$B$23),ISNUMBER(Eingaben!$B$24),IF(Eingaben!$B$23&lt;Eingaben!$B$24,AND(B2364&gt;=Eingaben!$B$23,B2364&lt;Eingaben!$B$24),OR(B2364&gt;=Eingaben!$B$23,B2364&lt;Eingaben!$B$24))),"HEAT","STANDARD"))</f>
        <v>STANDARD</v>
      </c>
      <c r="E2364" s="9"/>
      <c r="F2364" t="str">
        <f>IF(E2364="",D2364,E2364)</f>
        <v>STANDARD</v>
      </c>
      <c r="G2364" t="str">
        <f>INDEX(Netzzeiten!$B$6:$B$29,HOUR(B2364)+1)</f>
        <v>NT</v>
      </c>
      <c r="H2364" s="6">
        <f>IF(F2364="GO",Eingaben!$B$11,IF(F2364="STANDARD",Eingaben!$B$12,IF(AND(F2364="HEAT",ISNUMBER(Eingaben!$B$13)),Eingaben!$B$13,"")))</f>
        <v>28.2744</v>
      </c>
      <c r="I2364" s="6">
        <f>INDEX(Netzzeiten!$C$6:$C$29,HOUR(B2364)+1)</f>
        <v>1.64</v>
      </c>
      <c r="J2364" t="str">
        <f>IF(C2364="","FEHLT",IF(NOT(ISNUMBER(C2364)),"MESSWERT UNGUELTIG",IF(C2364&lt;0,"MESSWERT UNGUELTIG",IF(H2364="","TARIFPREIS FEHLT","OK"))))</f>
        <v>FEHLT</v>
      </c>
      <c r="K2364" s="7">
        <f>IF(J2364&lt;&gt;"OK","",C2364*I2364/100)</f>
        <v/>
      </c>
    </row>
    <row r="2365" spans="1:11">
      <c r="A2365" s="14">
        <v>46167</v>
      </c>
      <c r="B2365" s="15">
        <v>0.5729166666666666</v>
      </c>
      <c r="C2365" s="5">
        <f>IF('96 Werte'!BE30="","",'96 Werte'!BE30)</f>
        <v/>
      </c>
      <c r="D2365" t="str">
        <f>IF(IF(Eingaben!$B$21&lt;Eingaben!$B$22,AND(B2365&gt;=Eingaben!$B$21,B2365&lt;Eingaben!$B$22),OR(B2365&gt;=Eingaben!$B$21,B2365&lt;Eingaben!$B$22)),"GO",IF(AND(ISNUMBER(Eingaben!$B$23),ISNUMBER(Eingaben!$B$24),IF(Eingaben!$B$23&lt;Eingaben!$B$24,AND(B2365&gt;=Eingaben!$B$23,B2365&lt;Eingaben!$B$24),OR(B2365&gt;=Eingaben!$B$23,B2365&lt;Eingaben!$B$24))),"HEAT","STANDARD"))</f>
        <v>STANDARD</v>
      </c>
      <c r="E2365" s="9"/>
      <c r="F2365" t="str">
        <f>IF(E2365="",D2365,E2365)</f>
        <v>STANDARD</v>
      </c>
      <c r="G2365" t="str">
        <f>INDEX(Netzzeiten!$B$6:$B$29,HOUR(B2365)+1)</f>
        <v>NT</v>
      </c>
      <c r="H2365" s="6">
        <f>IF(F2365="GO",Eingaben!$B$11,IF(F2365="STANDARD",Eingaben!$B$12,IF(AND(F2365="HEAT",ISNUMBER(Eingaben!$B$13)),Eingaben!$B$13,"")))</f>
        <v>28.2744</v>
      </c>
      <c r="I2365" s="6">
        <f>INDEX(Netzzeiten!$C$6:$C$29,HOUR(B2365)+1)</f>
        <v>1.64</v>
      </c>
      <c r="J2365" t="str">
        <f>IF(C2365="","FEHLT",IF(NOT(ISNUMBER(C2365)),"MESSWERT UNGUELTIG",IF(C2365&lt;0,"MESSWERT UNGUELTIG",IF(H2365="","TARIFPREIS FEHLT","OK"))))</f>
        <v>FEHLT</v>
      </c>
      <c r="K2365" s="7">
        <f>IF(J2365&lt;&gt;"OK","",C2365*I2365/100)</f>
        <v/>
      </c>
    </row>
    <row r="2366" spans="1:11">
      <c r="A2366" s="14">
        <v>46167</v>
      </c>
      <c r="B2366" s="15">
        <v>0.5833333333333334</v>
      </c>
      <c r="C2366" s="5">
        <f>IF('96 Werte'!BF30="","",'96 Werte'!BF30)</f>
        <v/>
      </c>
      <c r="D2366" t="str">
        <f>IF(IF(Eingaben!$B$21&lt;Eingaben!$B$22,AND(B2366&gt;=Eingaben!$B$21,B2366&lt;Eingaben!$B$22),OR(B2366&gt;=Eingaben!$B$21,B2366&lt;Eingaben!$B$22)),"GO",IF(AND(ISNUMBER(Eingaben!$B$23),ISNUMBER(Eingaben!$B$24),IF(Eingaben!$B$23&lt;Eingaben!$B$24,AND(B2366&gt;=Eingaben!$B$23,B2366&lt;Eingaben!$B$24),OR(B2366&gt;=Eingaben!$B$23,B2366&lt;Eingaben!$B$24))),"HEAT","STANDARD"))</f>
        <v>STANDARD</v>
      </c>
      <c r="E2366" s="9"/>
      <c r="F2366" t="str">
        <f>IF(E2366="",D2366,E2366)</f>
        <v>STANDARD</v>
      </c>
      <c r="G2366" t="str">
        <f>INDEX(Netzzeiten!$B$6:$B$29,HOUR(B2366)+1)</f>
        <v>NT</v>
      </c>
      <c r="H2366" s="6">
        <f>IF(F2366="GO",Eingaben!$B$11,IF(F2366="STANDARD",Eingaben!$B$12,IF(AND(F2366="HEAT",ISNUMBER(Eingaben!$B$13)),Eingaben!$B$13,"")))</f>
        <v>28.2744</v>
      </c>
      <c r="I2366" s="6">
        <f>INDEX(Netzzeiten!$C$6:$C$29,HOUR(B2366)+1)</f>
        <v>1.64</v>
      </c>
      <c r="J2366" t="str">
        <f>IF(C2366="","FEHLT",IF(NOT(ISNUMBER(C2366)),"MESSWERT UNGUELTIG",IF(C2366&lt;0,"MESSWERT UNGUELTIG",IF(H2366="","TARIFPREIS FEHLT","OK"))))</f>
        <v>FEHLT</v>
      </c>
      <c r="K2366" s="7">
        <f>IF(J2366&lt;&gt;"OK","",C2366*I2366/100)</f>
        <v/>
      </c>
    </row>
    <row r="2367" spans="1:11">
      <c r="A2367" s="14">
        <v>46167</v>
      </c>
      <c r="B2367" s="15">
        <v>0.59375</v>
      </c>
      <c r="C2367" s="5">
        <f>IF('96 Werte'!BG30="","",'96 Werte'!BG30)</f>
        <v/>
      </c>
      <c r="D2367" t="str">
        <f>IF(IF(Eingaben!$B$21&lt;Eingaben!$B$22,AND(B2367&gt;=Eingaben!$B$21,B2367&lt;Eingaben!$B$22),OR(B2367&gt;=Eingaben!$B$21,B2367&lt;Eingaben!$B$22)),"GO",IF(AND(ISNUMBER(Eingaben!$B$23),ISNUMBER(Eingaben!$B$24),IF(Eingaben!$B$23&lt;Eingaben!$B$24,AND(B2367&gt;=Eingaben!$B$23,B2367&lt;Eingaben!$B$24),OR(B2367&gt;=Eingaben!$B$23,B2367&lt;Eingaben!$B$24))),"HEAT","STANDARD"))</f>
        <v>STANDARD</v>
      </c>
      <c r="E2367" s="9"/>
      <c r="F2367" t="str">
        <f>IF(E2367="",D2367,E2367)</f>
        <v>STANDARD</v>
      </c>
      <c r="G2367" t="str">
        <f>INDEX(Netzzeiten!$B$6:$B$29,HOUR(B2367)+1)</f>
        <v>NT</v>
      </c>
      <c r="H2367" s="6">
        <f>IF(F2367="GO",Eingaben!$B$11,IF(F2367="STANDARD",Eingaben!$B$12,IF(AND(F2367="HEAT",ISNUMBER(Eingaben!$B$13)),Eingaben!$B$13,"")))</f>
        <v>28.2744</v>
      </c>
      <c r="I2367" s="6">
        <f>INDEX(Netzzeiten!$C$6:$C$29,HOUR(B2367)+1)</f>
        <v>1.64</v>
      </c>
      <c r="J2367" t="str">
        <f>IF(C2367="","FEHLT",IF(NOT(ISNUMBER(C2367)),"MESSWERT UNGUELTIG",IF(C2367&lt;0,"MESSWERT UNGUELTIG",IF(H2367="","TARIFPREIS FEHLT","OK"))))</f>
        <v>FEHLT</v>
      </c>
      <c r="K2367" s="7">
        <f>IF(J2367&lt;&gt;"OK","",C2367*I2367/100)</f>
        <v/>
      </c>
    </row>
    <row r="2368" spans="1:11">
      <c r="A2368" s="14">
        <v>46167</v>
      </c>
      <c r="B2368" s="15">
        <v>0.6041666666666666</v>
      </c>
      <c r="C2368" s="5">
        <f>IF('96 Werte'!BH30="","",'96 Werte'!BH30)</f>
        <v/>
      </c>
      <c r="D2368" t="str">
        <f>IF(IF(Eingaben!$B$21&lt;Eingaben!$B$22,AND(B2368&gt;=Eingaben!$B$21,B2368&lt;Eingaben!$B$22),OR(B2368&gt;=Eingaben!$B$21,B2368&lt;Eingaben!$B$22)),"GO",IF(AND(ISNUMBER(Eingaben!$B$23),ISNUMBER(Eingaben!$B$24),IF(Eingaben!$B$23&lt;Eingaben!$B$24,AND(B2368&gt;=Eingaben!$B$23,B2368&lt;Eingaben!$B$24),OR(B2368&gt;=Eingaben!$B$23,B2368&lt;Eingaben!$B$24))),"HEAT","STANDARD"))</f>
        <v>STANDARD</v>
      </c>
      <c r="E2368" s="9"/>
      <c r="F2368" t="str">
        <f>IF(E2368="",D2368,E2368)</f>
        <v>STANDARD</v>
      </c>
      <c r="G2368" t="str">
        <f>INDEX(Netzzeiten!$B$6:$B$29,HOUR(B2368)+1)</f>
        <v>NT</v>
      </c>
      <c r="H2368" s="6">
        <f>IF(F2368="GO",Eingaben!$B$11,IF(F2368="STANDARD",Eingaben!$B$12,IF(AND(F2368="HEAT",ISNUMBER(Eingaben!$B$13)),Eingaben!$B$13,"")))</f>
        <v>28.2744</v>
      </c>
      <c r="I2368" s="6">
        <f>INDEX(Netzzeiten!$C$6:$C$29,HOUR(B2368)+1)</f>
        <v>1.64</v>
      </c>
      <c r="J2368" t="str">
        <f>IF(C2368="","FEHLT",IF(NOT(ISNUMBER(C2368)),"MESSWERT UNGUELTIG",IF(C2368&lt;0,"MESSWERT UNGUELTIG",IF(H2368="","TARIFPREIS FEHLT","OK"))))</f>
        <v>FEHLT</v>
      </c>
      <c r="K2368" s="7">
        <f>IF(J2368&lt;&gt;"OK","",C2368*I2368/100)</f>
        <v/>
      </c>
    </row>
    <row r="2369" spans="1:11">
      <c r="A2369" s="14">
        <v>46167</v>
      </c>
      <c r="B2369" s="15">
        <v>0.6145833333333334</v>
      </c>
      <c r="C2369" s="5">
        <f>IF('96 Werte'!BI30="","",'96 Werte'!BI30)</f>
        <v/>
      </c>
      <c r="D2369" t="str">
        <f>IF(IF(Eingaben!$B$21&lt;Eingaben!$B$22,AND(B2369&gt;=Eingaben!$B$21,B2369&lt;Eingaben!$B$22),OR(B2369&gt;=Eingaben!$B$21,B2369&lt;Eingaben!$B$22)),"GO",IF(AND(ISNUMBER(Eingaben!$B$23),ISNUMBER(Eingaben!$B$24),IF(Eingaben!$B$23&lt;Eingaben!$B$24,AND(B2369&gt;=Eingaben!$B$23,B2369&lt;Eingaben!$B$24),OR(B2369&gt;=Eingaben!$B$23,B2369&lt;Eingaben!$B$24))),"HEAT","STANDARD"))</f>
        <v>STANDARD</v>
      </c>
      <c r="E2369" s="9"/>
      <c r="F2369" t="str">
        <f>IF(E2369="",D2369,E2369)</f>
        <v>STANDARD</v>
      </c>
      <c r="G2369" t="str">
        <f>INDEX(Netzzeiten!$B$6:$B$29,HOUR(B2369)+1)</f>
        <v>NT</v>
      </c>
      <c r="H2369" s="6">
        <f>IF(F2369="GO",Eingaben!$B$11,IF(F2369="STANDARD",Eingaben!$B$12,IF(AND(F2369="HEAT",ISNUMBER(Eingaben!$B$13)),Eingaben!$B$13,"")))</f>
        <v>28.2744</v>
      </c>
      <c r="I2369" s="6">
        <f>INDEX(Netzzeiten!$C$6:$C$29,HOUR(B2369)+1)</f>
        <v>1.64</v>
      </c>
      <c r="J2369" t="str">
        <f>IF(C2369="","FEHLT",IF(NOT(ISNUMBER(C2369)),"MESSWERT UNGUELTIG",IF(C2369&lt;0,"MESSWERT UNGUELTIG",IF(H2369="","TARIFPREIS FEHLT","OK"))))</f>
        <v>FEHLT</v>
      </c>
      <c r="K2369" s="7">
        <f>IF(J2369&lt;&gt;"OK","",C2369*I2369/100)</f>
        <v/>
      </c>
    </row>
    <row r="2370" spans="1:11">
      <c r="A2370" s="14">
        <v>46167</v>
      </c>
      <c r="B2370" s="15">
        <v>0.625</v>
      </c>
      <c r="C2370" s="5">
        <f>IF('96 Werte'!BJ30="","",'96 Werte'!BJ30)</f>
        <v/>
      </c>
      <c r="D2370" t="str">
        <f>IF(IF(Eingaben!$B$21&lt;Eingaben!$B$22,AND(B2370&gt;=Eingaben!$B$21,B2370&lt;Eingaben!$B$22),OR(B2370&gt;=Eingaben!$B$21,B2370&lt;Eingaben!$B$22)),"GO",IF(AND(ISNUMBER(Eingaben!$B$23),ISNUMBER(Eingaben!$B$24),IF(Eingaben!$B$23&lt;Eingaben!$B$24,AND(B2370&gt;=Eingaben!$B$23,B2370&lt;Eingaben!$B$24),OR(B2370&gt;=Eingaben!$B$23,B2370&lt;Eingaben!$B$24))),"HEAT","STANDARD"))</f>
        <v>STANDARD</v>
      </c>
      <c r="E2370" s="9"/>
      <c r="F2370" t="str">
        <f>IF(E2370="",D2370,E2370)</f>
        <v>STANDARD</v>
      </c>
      <c r="G2370" t="str">
        <f>INDEX(Netzzeiten!$B$6:$B$29,HOUR(B2370)+1)</f>
        <v>ST</v>
      </c>
      <c r="H2370" s="6">
        <f>IF(F2370="GO",Eingaben!$B$11,IF(F2370="STANDARD",Eingaben!$B$12,IF(AND(F2370="HEAT",ISNUMBER(Eingaben!$B$13)),Eingaben!$B$13,"")))</f>
        <v>28.2744</v>
      </c>
      <c r="I2370" s="6">
        <f>INDEX(Netzzeiten!$C$6:$C$29,HOUR(B2370)+1)</f>
        <v>5.48</v>
      </c>
      <c r="J2370" t="str">
        <f>IF(C2370="","FEHLT",IF(NOT(ISNUMBER(C2370)),"MESSWERT UNGUELTIG",IF(C2370&lt;0,"MESSWERT UNGUELTIG",IF(H2370="","TARIFPREIS FEHLT","OK"))))</f>
        <v>FEHLT</v>
      </c>
      <c r="K2370" s="7">
        <f>IF(J2370&lt;&gt;"OK","",C2370*I2370/100)</f>
        <v/>
      </c>
    </row>
    <row r="2371" spans="1:11">
      <c r="A2371" s="14">
        <v>46167</v>
      </c>
      <c r="B2371" s="15">
        <v>0.6354166666666666</v>
      </c>
      <c r="C2371" s="5">
        <f>IF('96 Werte'!BK30="","",'96 Werte'!BK30)</f>
        <v/>
      </c>
      <c r="D2371" t="str">
        <f>IF(IF(Eingaben!$B$21&lt;Eingaben!$B$22,AND(B2371&gt;=Eingaben!$B$21,B2371&lt;Eingaben!$B$22),OR(B2371&gt;=Eingaben!$B$21,B2371&lt;Eingaben!$B$22)),"GO",IF(AND(ISNUMBER(Eingaben!$B$23),ISNUMBER(Eingaben!$B$24),IF(Eingaben!$B$23&lt;Eingaben!$B$24,AND(B2371&gt;=Eingaben!$B$23,B2371&lt;Eingaben!$B$24),OR(B2371&gt;=Eingaben!$B$23,B2371&lt;Eingaben!$B$24))),"HEAT","STANDARD"))</f>
        <v>STANDARD</v>
      </c>
      <c r="E2371" s="9"/>
      <c r="F2371" t="str">
        <f>IF(E2371="",D2371,E2371)</f>
        <v>STANDARD</v>
      </c>
      <c r="G2371" t="str">
        <f>INDEX(Netzzeiten!$B$6:$B$29,HOUR(B2371)+1)</f>
        <v>ST</v>
      </c>
      <c r="H2371" s="6">
        <f>IF(F2371="GO",Eingaben!$B$11,IF(F2371="STANDARD",Eingaben!$B$12,IF(AND(F2371="HEAT",ISNUMBER(Eingaben!$B$13)),Eingaben!$B$13,"")))</f>
        <v>28.2744</v>
      </c>
      <c r="I2371" s="6">
        <f>INDEX(Netzzeiten!$C$6:$C$29,HOUR(B2371)+1)</f>
        <v>5.48</v>
      </c>
      <c r="J2371" t="str">
        <f>IF(C2371="","FEHLT",IF(NOT(ISNUMBER(C2371)),"MESSWERT UNGUELTIG",IF(C2371&lt;0,"MESSWERT UNGUELTIG",IF(H2371="","TARIFPREIS FEHLT","OK"))))</f>
        <v>FEHLT</v>
      </c>
      <c r="K2371" s="7">
        <f>IF(J2371&lt;&gt;"OK","",C2371*I2371/100)</f>
        <v/>
      </c>
    </row>
    <row r="2372" spans="1:11">
      <c r="A2372" s="14">
        <v>46167</v>
      </c>
      <c r="B2372" s="15">
        <v>0.6458333333333334</v>
      </c>
      <c r="C2372" s="5">
        <f>IF('96 Werte'!BL30="","",'96 Werte'!BL30)</f>
        <v/>
      </c>
      <c r="D2372" t="str">
        <f>IF(IF(Eingaben!$B$21&lt;Eingaben!$B$22,AND(B2372&gt;=Eingaben!$B$21,B2372&lt;Eingaben!$B$22),OR(B2372&gt;=Eingaben!$B$21,B2372&lt;Eingaben!$B$22)),"GO",IF(AND(ISNUMBER(Eingaben!$B$23),ISNUMBER(Eingaben!$B$24),IF(Eingaben!$B$23&lt;Eingaben!$B$24,AND(B2372&gt;=Eingaben!$B$23,B2372&lt;Eingaben!$B$24),OR(B2372&gt;=Eingaben!$B$23,B2372&lt;Eingaben!$B$24))),"HEAT","STANDARD"))</f>
        <v>STANDARD</v>
      </c>
      <c r="E2372" s="9"/>
      <c r="F2372" t="str">
        <f>IF(E2372="",D2372,E2372)</f>
        <v>STANDARD</v>
      </c>
      <c r="G2372" t="str">
        <f>INDEX(Netzzeiten!$B$6:$B$29,HOUR(B2372)+1)</f>
        <v>ST</v>
      </c>
      <c r="H2372" s="6">
        <f>IF(F2372="GO",Eingaben!$B$11,IF(F2372="STANDARD",Eingaben!$B$12,IF(AND(F2372="HEAT",ISNUMBER(Eingaben!$B$13)),Eingaben!$B$13,"")))</f>
        <v>28.2744</v>
      </c>
      <c r="I2372" s="6">
        <f>INDEX(Netzzeiten!$C$6:$C$29,HOUR(B2372)+1)</f>
        <v>5.48</v>
      </c>
      <c r="J2372" t="str">
        <f>IF(C2372="","FEHLT",IF(NOT(ISNUMBER(C2372)),"MESSWERT UNGUELTIG",IF(C2372&lt;0,"MESSWERT UNGUELTIG",IF(H2372="","TARIFPREIS FEHLT","OK"))))</f>
        <v>FEHLT</v>
      </c>
      <c r="K2372" s="7">
        <f>IF(J2372&lt;&gt;"OK","",C2372*I2372/100)</f>
        <v/>
      </c>
    </row>
    <row r="2373" spans="1:11">
      <c r="A2373" s="14">
        <v>46167</v>
      </c>
      <c r="B2373" s="15">
        <v>0.65625</v>
      </c>
      <c r="C2373" s="5">
        <f>IF('96 Werte'!BM30="","",'96 Werte'!BM30)</f>
        <v/>
      </c>
      <c r="D2373" t="str">
        <f>IF(IF(Eingaben!$B$21&lt;Eingaben!$B$22,AND(B2373&gt;=Eingaben!$B$21,B2373&lt;Eingaben!$B$22),OR(B2373&gt;=Eingaben!$B$21,B2373&lt;Eingaben!$B$22)),"GO",IF(AND(ISNUMBER(Eingaben!$B$23),ISNUMBER(Eingaben!$B$24),IF(Eingaben!$B$23&lt;Eingaben!$B$24,AND(B2373&gt;=Eingaben!$B$23,B2373&lt;Eingaben!$B$24),OR(B2373&gt;=Eingaben!$B$23,B2373&lt;Eingaben!$B$24))),"HEAT","STANDARD"))</f>
        <v>STANDARD</v>
      </c>
      <c r="E2373" s="9"/>
      <c r="F2373" t="str">
        <f>IF(E2373="",D2373,E2373)</f>
        <v>STANDARD</v>
      </c>
      <c r="G2373" t="str">
        <f>INDEX(Netzzeiten!$B$6:$B$29,HOUR(B2373)+1)</f>
        <v>ST</v>
      </c>
      <c r="H2373" s="6">
        <f>IF(F2373="GO",Eingaben!$B$11,IF(F2373="STANDARD",Eingaben!$B$12,IF(AND(F2373="HEAT",ISNUMBER(Eingaben!$B$13)),Eingaben!$B$13,"")))</f>
        <v>28.2744</v>
      </c>
      <c r="I2373" s="6">
        <f>INDEX(Netzzeiten!$C$6:$C$29,HOUR(B2373)+1)</f>
        <v>5.48</v>
      </c>
      <c r="J2373" t="str">
        <f>IF(C2373="","FEHLT",IF(NOT(ISNUMBER(C2373)),"MESSWERT UNGUELTIG",IF(C2373&lt;0,"MESSWERT UNGUELTIG",IF(H2373="","TARIFPREIS FEHLT","OK"))))</f>
        <v>FEHLT</v>
      </c>
      <c r="K2373" s="7">
        <f>IF(J2373&lt;&gt;"OK","",C2373*I2373/100)</f>
        <v/>
      </c>
    </row>
    <row r="2374" spans="1:11">
      <c r="A2374" s="14">
        <v>46167</v>
      </c>
      <c r="B2374" s="15">
        <v>0.6666666666666666</v>
      </c>
      <c r="C2374" s="5">
        <f>IF('96 Werte'!BN30="","",'96 Werte'!BN30)</f>
        <v/>
      </c>
      <c r="D2374" t="str">
        <f>IF(IF(Eingaben!$B$21&lt;Eingaben!$B$22,AND(B2374&gt;=Eingaben!$B$21,B2374&lt;Eingaben!$B$22),OR(B2374&gt;=Eingaben!$B$21,B2374&lt;Eingaben!$B$22)),"GO",IF(AND(ISNUMBER(Eingaben!$B$23),ISNUMBER(Eingaben!$B$24),IF(Eingaben!$B$23&lt;Eingaben!$B$24,AND(B2374&gt;=Eingaben!$B$23,B2374&lt;Eingaben!$B$24),OR(B2374&gt;=Eingaben!$B$23,B2374&lt;Eingaben!$B$24))),"HEAT","STANDARD"))</f>
        <v>STANDARD</v>
      </c>
      <c r="E2374" s="9"/>
      <c r="F2374" t="str">
        <f>IF(E2374="",D2374,E2374)</f>
        <v>STANDARD</v>
      </c>
      <c r="G2374" t="str">
        <f>INDEX(Netzzeiten!$B$6:$B$29,HOUR(B2374)+1)</f>
        <v>ST</v>
      </c>
      <c r="H2374" s="6">
        <f>IF(F2374="GO",Eingaben!$B$11,IF(F2374="STANDARD",Eingaben!$B$12,IF(AND(F2374="HEAT",ISNUMBER(Eingaben!$B$13)),Eingaben!$B$13,"")))</f>
        <v>28.2744</v>
      </c>
      <c r="I2374" s="6">
        <f>INDEX(Netzzeiten!$C$6:$C$29,HOUR(B2374)+1)</f>
        <v>5.48</v>
      </c>
      <c r="J2374" t="str">
        <f>IF(C2374="","FEHLT",IF(NOT(ISNUMBER(C2374)),"MESSWERT UNGUELTIG",IF(C2374&lt;0,"MESSWERT UNGUELTIG",IF(H2374="","TARIFPREIS FEHLT","OK"))))</f>
        <v>FEHLT</v>
      </c>
      <c r="K2374" s="7">
        <f>IF(J2374&lt;&gt;"OK","",C2374*I2374/100)</f>
        <v/>
      </c>
    </row>
    <row r="2375" spans="1:11">
      <c r="A2375" s="14">
        <v>46167</v>
      </c>
      <c r="B2375" s="15">
        <v>0.6770833333333334</v>
      </c>
      <c r="C2375" s="5">
        <f>IF('96 Werte'!BO30="","",'96 Werte'!BO30)</f>
        <v/>
      </c>
      <c r="D2375" t="str">
        <f>IF(IF(Eingaben!$B$21&lt;Eingaben!$B$22,AND(B2375&gt;=Eingaben!$B$21,B2375&lt;Eingaben!$B$22),OR(B2375&gt;=Eingaben!$B$21,B2375&lt;Eingaben!$B$22)),"GO",IF(AND(ISNUMBER(Eingaben!$B$23),ISNUMBER(Eingaben!$B$24),IF(Eingaben!$B$23&lt;Eingaben!$B$24,AND(B2375&gt;=Eingaben!$B$23,B2375&lt;Eingaben!$B$24),OR(B2375&gt;=Eingaben!$B$23,B2375&lt;Eingaben!$B$24))),"HEAT","STANDARD"))</f>
        <v>STANDARD</v>
      </c>
      <c r="E2375" s="9"/>
      <c r="F2375" t="str">
        <f>IF(E2375="",D2375,E2375)</f>
        <v>STANDARD</v>
      </c>
      <c r="G2375" t="str">
        <f>INDEX(Netzzeiten!$B$6:$B$29,HOUR(B2375)+1)</f>
        <v>ST</v>
      </c>
      <c r="H2375" s="6">
        <f>IF(F2375="GO",Eingaben!$B$11,IF(F2375="STANDARD",Eingaben!$B$12,IF(AND(F2375="HEAT",ISNUMBER(Eingaben!$B$13)),Eingaben!$B$13,"")))</f>
        <v>28.2744</v>
      </c>
      <c r="I2375" s="6">
        <f>INDEX(Netzzeiten!$C$6:$C$29,HOUR(B2375)+1)</f>
        <v>5.48</v>
      </c>
      <c r="J2375" t="str">
        <f>IF(C2375="","FEHLT",IF(NOT(ISNUMBER(C2375)),"MESSWERT UNGUELTIG",IF(C2375&lt;0,"MESSWERT UNGUELTIG",IF(H2375="","TARIFPREIS FEHLT","OK"))))</f>
        <v>FEHLT</v>
      </c>
      <c r="K2375" s="7">
        <f>IF(J2375&lt;&gt;"OK","",C2375*I2375/100)</f>
        <v/>
      </c>
    </row>
    <row r="2376" spans="1:11">
      <c r="A2376" s="14">
        <v>46167</v>
      </c>
      <c r="B2376" s="15">
        <v>0.6875</v>
      </c>
      <c r="C2376" s="5">
        <f>IF('96 Werte'!BP30="","",'96 Werte'!BP30)</f>
        <v/>
      </c>
      <c r="D2376" t="str">
        <f>IF(IF(Eingaben!$B$21&lt;Eingaben!$B$22,AND(B2376&gt;=Eingaben!$B$21,B2376&lt;Eingaben!$B$22),OR(B2376&gt;=Eingaben!$B$21,B2376&lt;Eingaben!$B$22)),"GO",IF(AND(ISNUMBER(Eingaben!$B$23),ISNUMBER(Eingaben!$B$24),IF(Eingaben!$B$23&lt;Eingaben!$B$24,AND(B2376&gt;=Eingaben!$B$23,B2376&lt;Eingaben!$B$24),OR(B2376&gt;=Eingaben!$B$23,B2376&lt;Eingaben!$B$24))),"HEAT","STANDARD"))</f>
        <v>STANDARD</v>
      </c>
      <c r="E2376" s="9"/>
      <c r="F2376" t="str">
        <f>IF(E2376="",D2376,E2376)</f>
        <v>STANDARD</v>
      </c>
      <c r="G2376" t="str">
        <f>INDEX(Netzzeiten!$B$6:$B$29,HOUR(B2376)+1)</f>
        <v>ST</v>
      </c>
      <c r="H2376" s="6">
        <f>IF(F2376="GO",Eingaben!$B$11,IF(F2376="STANDARD",Eingaben!$B$12,IF(AND(F2376="HEAT",ISNUMBER(Eingaben!$B$13)),Eingaben!$B$13,"")))</f>
        <v>28.2744</v>
      </c>
      <c r="I2376" s="6">
        <f>INDEX(Netzzeiten!$C$6:$C$29,HOUR(B2376)+1)</f>
        <v>5.48</v>
      </c>
      <c r="J2376" t="str">
        <f>IF(C2376="","FEHLT",IF(NOT(ISNUMBER(C2376)),"MESSWERT UNGUELTIG",IF(C2376&lt;0,"MESSWERT UNGUELTIG",IF(H2376="","TARIFPREIS FEHLT","OK"))))</f>
        <v>FEHLT</v>
      </c>
      <c r="K2376" s="7">
        <f>IF(J2376&lt;&gt;"OK","",C2376*I2376/100)</f>
        <v/>
      </c>
    </row>
    <row r="2377" spans="1:11">
      <c r="A2377" s="14">
        <v>46167</v>
      </c>
      <c r="B2377" s="15">
        <v>0.6979166666666666</v>
      </c>
      <c r="C2377" s="5">
        <f>IF('96 Werte'!BQ30="","",'96 Werte'!BQ30)</f>
        <v/>
      </c>
      <c r="D2377" t="str">
        <f>IF(IF(Eingaben!$B$21&lt;Eingaben!$B$22,AND(B2377&gt;=Eingaben!$B$21,B2377&lt;Eingaben!$B$22),OR(B2377&gt;=Eingaben!$B$21,B2377&lt;Eingaben!$B$22)),"GO",IF(AND(ISNUMBER(Eingaben!$B$23),ISNUMBER(Eingaben!$B$24),IF(Eingaben!$B$23&lt;Eingaben!$B$24,AND(B2377&gt;=Eingaben!$B$23,B2377&lt;Eingaben!$B$24),OR(B2377&gt;=Eingaben!$B$23,B2377&lt;Eingaben!$B$24))),"HEAT","STANDARD"))</f>
        <v>STANDARD</v>
      </c>
      <c r="E2377" s="9"/>
      <c r="F2377" t="str">
        <f>IF(E2377="",D2377,E2377)</f>
        <v>STANDARD</v>
      </c>
      <c r="G2377" t="str">
        <f>INDEX(Netzzeiten!$B$6:$B$29,HOUR(B2377)+1)</f>
        <v>ST</v>
      </c>
      <c r="H2377" s="6">
        <f>IF(F2377="GO",Eingaben!$B$11,IF(F2377="STANDARD",Eingaben!$B$12,IF(AND(F2377="HEAT",ISNUMBER(Eingaben!$B$13)),Eingaben!$B$13,"")))</f>
        <v>28.2744</v>
      </c>
      <c r="I2377" s="6">
        <f>INDEX(Netzzeiten!$C$6:$C$29,HOUR(B2377)+1)</f>
        <v>5.48</v>
      </c>
      <c r="J2377" t="str">
        <f>IF(C2377="","FEHLT",IF(NOT(ISNUMBER(C2377)),"MESSWERT UNGUELTIG",IF(C2377&lt;0,"MESSWERT UNGUELTIG",IF(H2377="","TARIFPREIS FEHLT","OK"))))</f>
        <v>FEHLT</v>
      </c>
      <c r="K2377" s="7">
        <f>IF(J2377&lt;&gt;"OK","",C2377*I2377/100)</f>
        <v/>
      </c>
    </row>
    <row r="2378" spans="1:11">
      <c r="A2378" s="14">
        <v>46167</v>
      </c>
      <c r="B2378" s="15">
        <v>0.7083333333333334</v>
      </c>
      <c r="C2378" s="5">
        <f>IF('96 Werte'!BR30="","",'96 Werte'!BR30)</f>
        <v/>
      </c>
      <c r="D2378" t="str">
        <f>IF(IF(Eingaben!$B$21&lt;Eingaben!$B$22,AND(B2378&gt;=Eingaben!$B$21,B2378&lt;Eingaben!$B$22),OR(B2378&gt;=Eingaben!$B$21,B2378&lt;Eingaben!$B$22)),"GO",IF(AND(ISNUMBER(Eingaben!$B$23),ISNUMBER(Eingaben!$B$24),IF(Eingaben!$B$23&lt;Eingaben!$B$24,AND(B2378&gt;=Eingaben!$B$23,B2378&lt;Eingaben!$B$24),OR(B2378&gt;=Eingaben!$B$23,B2378&lt;Eingaben!$B$24))),"HEAT","STANDARD"))</f>
        <v>STANDARD</v>
      </c>
      <c r="E2378" s="9"/>
      <c r="F2378" t="str">
        <f>IF(E2378="",D2378,E2378)</f>
        <v>STANDARD</v>
      </c>
      <c r="G2378" t="str">
        <f>INDEX(Netzzeiten!$B$6:$B$29,HOUR(B2378)+1)</f>
        <v>HT</v>
      </c>
      <c r="H2378" s="6">
        <f>IF(F2378="GO",Eingaben!$B$11,IF(F2378="STANDARD",Eingaben!$B$12,IF(AND(F2378="HEAT",ISNUMBER(Eingaben!$B$13)),Eingaben!$B$13,"")))</f>
        <v>28.2744</v>
      </c>
      <c r="I2378" s="6">
        <f>INDEX(Netzzeiten!$C$6:$C$29,HOUR(B2378)+1)</f>
        <v>10.52</v>
      </c>
      <c r="J2378" t="str">
        <f>IF(C2378="","FEHLT",IF(NOT(ISNUMBER(C2378)),"MESSWERT UNGUELTIG",IF(C2378&lt;0,"MESSWERT UNGUELTIG",IF(H2378="","TARIFPREIS FEHLT","OK"))))</f>
        <v>FEHLT</v>
      </c>
      <c r="K2378" s="7">
        <f>IF(J2378&lt;&gt;"OK","",C2378*I2378/100)</f>
        <v/>
      </c>
    </row>
    <row r="2379" spans="1:11">
      <c r="A2379" s="14">
        <v>46167</v>
      </c>
      <c r="B2379" s="15">
        <v>0.71875</v>
      </c>
      <c r="C2379" s="5">
        <f>IF('96 Werte'!BS30="","",'96 Werte'!BS30)</f>
        <v/>
      </c>
      <c r="D2379" t="str">
        <f>IF(IF(Eingaben!$B$21&lt;Eingaben!$B$22,AND(B2379&gt;=Eingaben!$B$21,B2379&lt;Eingaben!$B$22),OR(B2379&gt;=Eingaben!$B$21,B2379&lt;Eingaben!$B$22)),"GO",IF(AND(ISNUMBER(Eingaben!$B$23),ISNUMBER(Eingaben!$B$24),IF(Eingaben!$B$23&lt;Eingaben!$B$24,AND(B2379&gt;=Eingaben!$B$23,B2379&lt;Eingaben!$B$24),OR(B2379&gt;=Eingaben!$B$23,B2379&lt;Eingaben!$B$24))),"HEAT","STANDARD"))</f>
        <v>STANDARD</v>
      </c>
      <c r="E2379" s="9"/>
      <c r="F2379" t="str">
        <f>IF(E2379="",D2379,E2379)</f>
        <v>STANDARD</v>
      </c>
      <c r="G2379" t="str">
        <f>INDEX(Netzzeiten!$B$6:$B$29,HOUR(B2379)+1)</f>
        <v>HT</v>
      </c>
      <c r="H2379" s="6">
        <f>IF(F2379="GO",Eingaben!$B$11,IF(F2379="STANDARD",Eingaben!$B$12,IF(AND(F2379="HEAT",ISNUMBER(Eingaben!$B$13)),Eingaben!$B$13,"")))</f>
        <v>28.2744</v>
      </c>
      <c r="I2379" s="6">
        <f>INDEX(Netzzeiten!$C$6:$C$29,HOUR(B2379)+1)</f>
        <v>10.52</v>
      </c>
      <c r="J2379" t="str">
        <f>IF(C2379="","FEHLT",IF(NOT(ISNUMBER(C2379)),"MESSWERT UNGUELTIG",IF(C2379&lt;0,"MESSWERT UNGUELTIG",IF(H2379="","TARIFPREIS FEHLT","OK"))))</f>
        <v>FEHLT</v>
      </c>
      <c r="K2379" s="7">
        <f>IF(J2379&lt;&gt;"OK","",C2379*I2379/100)</f>
        <v/>
      </c>
    </row>
    <row r="2380" spans="1:11">
      <c r="A2380" s="14">
        <v>46167</v>
      </c>
      <c r="B2380" s="15">
        <v>0.7291666666666666</v>
      </c>
      <c r="C2380" s="5">
        <f>IF('96 Werte'!BT30="","",'96 Werte'!BT30)</f>
        <v/>
      </c>
      <c r="D2380" t="str">
        <f>IF(IF(Eingaben!$B$21&lt;Eingaben!$B$22,AND(B2380&gt;=Eingaben!$B$21,B2380&lt;Eingaben!$B$22),OR(B2380&gt;=Eingaben!$B$21,B2380&lt;Eingaben!$B$22)),"GO",IF(AND(ISNUMBER(Eingaben!$B$23),ISNUMBER(Eingaben!$B$24),IF(Eingaben!$B$23&lt;Eingaben!$B$24,AND(B2380&gt;=Eingaben!$B$23,B2380&lt;Eingaben!$B$24),OR(B2380&gt;=Eingaben!$B$23,B2380&lt;Eingaben!$B$24))),"HEAT","STANDARD"))</f>
        <v>STANDARD</v>
      </c>
      <c r="E2380" s="9"/>
      <c r="F2380" t="str">
        <f>IF(E2380="",D2380,E2380)</f>
        <v>STANDARD</v>
      </c>
      <c r="G2380" t="str">
        <f>INDEX(Netzzeiten!$B$6:$B$29,HOUR(B2380)+1)</f>
        <v>HT</v>
      </c>
      <c r="H2380" s="6">
        <f>IF(F2380="GO",Eingaben!$B$11,IF(F2380="STANDARD",Eingaben!$B$12,IF(AND(F2380="HEAT",ISNUMBER(Eingaben!$B$13)),Eingaben!$B$13,"")))</f>
        <v>28.2744</v>
      </c>
      <c r="I2380" s="6">
        <f>INDEX(Netzzeiten!$C$6:$C$29,HOUR(B2380)+1)</f>
        <v>10.52</v>
      </c>
      <c r="J2380" t="str">
        <f>IF(C2380="","FEHLT",IF(NOT(ISNUMBER(C2380)),"MESSWERT UNGUELTIG",IF(C2380&lt;0,"MESSWERT UNGUELTIG",IF(H2380="","TARIFPREIS FEHLT","OK"))))</f>
        <v>FEHLT</v>
      </c>
      <c r="K2380" s="7">
        <f>IF(J2380&lt;&gt;"OK","",C2380*I2380/100)</f>
        <v/>
      </c>
    </row>
    <row r="2381" spans="1:11">
      <c r="A2381" s="14">
        <v>46167</v>
      </c>
      <c r="B2381" s="15">
        <v>0.7395833333333334</v>
      </c>
      <c r="C2381" s="5">
        <f>IF('96 Werte'!BU30="","",'96 Werte'!BU30)</f>
        <v/>
      </c>
      <c r="D2381" t="str">
        <f>IF(IF(Eingaben!$B$21&lt;Eingaben!$B$22,AND(B2381&gt;=Eingaben!$B$21,B2381&lt;Eingaben!$B$22),OR(B2381&gt;=Eingaben!$B$21,B2381&lt;Eingaben!$B$22)),"GO",IF(AND(ISNUMBER(Eingaben!$B$23),ISNUMBER(Eingaben!$B$24),IF(Eingaben!$B$23&lt;Eingaben!$B$24,AND(B2381&gt;=Eingaben!$B$23,B2381&lt;Eingaben!$B$24),OR(B2381&gt;=Eingaben!$B$23,B2381&lt;Eingaben!$B$24))),"HEAT","STANDARD"))</f>
        <v>STANDARD</v>
      </c>
      <c r="E2381" s="9"/>
      <c r="F2381" t="str">
        <f>IF(E2381="",D2381,E2381)</f>
        <v>STANDARD</v>
      </c>
      <c r="G2381" t="str">
        <f>INDEX(Netzzeiten!$B$6:$B$29,HOUR(B2381)+1)</f>
        <v>HT</v>
      </c>
      <c r="H2381" s="6">
        <f>IF(F2381="GO",Eingaben!$B$11,IF(F2381="STANDARD",Eingaben!$B$12,IF(AND(F2381="HEAT",ISNUMBER(Eingaben!$B$13)),Eingaben!$B$13,"")))</f>
        <v>28.2744</v>
      </c>
      <c r="I2381" s="6">
        <f>INDEX(Netzzeiten!$C$6:$C$29,HOUR(B2381)+1)</f>
        <v>10.52</v>
      </c>
      <c r="J2381" t="str">
        <f>IF(C2381="","FEHLT",IF(NOT(ISNUMBER(C2381)),"MESSWERT UNGUELTIG",IF(C2381&lt;0,"MESSWERT UNGUELTIG",IF(H2381="","TARIFPREIS FEHLT","OK"))))</f>
        <v>FEHLT</v>
      </c>
      <c r="K2381" s="7">
        <f>IF(J2381&lt;&gt;"OK","",C2381*I2381/100)</f>
        <v/>
      </c>
    </row>
    <row r="2382" spans="1:11">
      <c r="A2382" s="14">
        <v>46167</v>
      </c>
      <c r="B2382" s="15">
        <v>0.75</v>
      </c>
      <c r="C2382" s="5">
        <f>IF('96 Werte'!BV30="","",'96 Werte'!BV30)</f>
        <v/>
      </c>
      <c r="D2382" t="str">
        <f>IF(IF(Eingaben!$B$21&lt;Eingaben!$B$22,AND(B2382&gt;=Eingaben!$B$21,B2382&lt;Eingaben!$B$22),OR(B2382&gt;=Eingaben!$B$21,B2382&lt;Eingaben!$B$22)),"GO",IF(AND(ISNUMBER(Eingaben!$B$23),ISNUMBER(Eingaben!$B$24),IF(Eingaben!$B$23&lt;Eingaben!$B$24,AND(B2382&gt;=Eingaben!$B$23,B2382&lt;Eingaben!$B$24),OR(B2382&gt;=Eingaben!$B$23,B2382&lt;Eingaben!$B$24))),"HEAT","STANDARD"))</f>
        <v>STANDARD</v>
      </c>
      <c r="E2382" s="9"/>
      <c r="F2382" t="str">
        <f>IF(E2382="",D2382,E2382)</f>
        <v>STANDARD</v>
      </c>
      <c r="G2382" t="str">
        <f>INDEX(Netzzeiten!$B$6:$B$29,HOUR(B2382)+1)</f>
        <v>HT</v>
      </c>
      <c r="H2382" s="6">
        <f>IF(F2382="GO",Eingaben!$B$11,IF(F2382="STANDARD",Eingaben!$B$12,IF(AND(F2382="HEAT",ISNUMBER(Eingaben!$B$13)),Eingaben!$B$13,"")))</f>
        <v>28.2744</v>
      </c>
      <c r="I2382" s="6">
        <f>INDEX(Netzzeiten!$C$6:$C$29,HOUR(B2382)+1)</f>
        <v>10.52</v>
      </c>
      <c r="J2382" t="str">
        <f>IF(C2382="","FEHLT",IF(NOT(ISNUMBER(C2382)),"MESSWERT UNGUELTIG",IF(C2382&lt;0,"MESSWERT UNGUELTIG",IF(H2382="","TARIFPREIS FEHLT","OK"))))</f>
        <v>FEHLT</v>
      </c>
      <c r="K2382" s="7">
        <f>IF(J2382&lt;&gt;"OK","",C2382*I2382/100)</f>
        <v/>
      </c>
    </row>
    <row r="2383" spans="1:11">
      <c r="A2383" s="14">
        <v>46167</v>
      </c>
      <c r="B2383" s="15">
        <v>0.7604166666666666</v>
      </c>
      <c r="C2383" s="5">
        <f>IF('96 Werte'!BW30="","",'96 Werte'!BW30)</f>
        <v/>
      </c>
      <c r="D2383" t="str">
        <f>IF(IF(Eingaben!$B$21&lt;Eingaben!$B$22,AND(B2383&gt;=Eingaben!$B$21,B2383&lt;Eingaben!$B$22),OR(B2383&gt;=Eingaben!$B$21,B2383&lt;Eingaben!$B$22)),"GO",IF(AND(ISNUMBER(Eingaben!$B$23),ISNUMBER(Eingaben!$B$24),IF(Eingaben!$B$23&lt;Eingaben!$B$24,AND(B2383&gt;=Eingaben!$B$23,B2383&lt;Eingaben!$B$24),OR(B2383&gt;=Eingaben!$B$23,B2383&lt;Eingaben!$B$24))),"HEAT","STANDARD"))</f>
        <v>STANDARD</v>
      </c>
      <c r="E2383" s="9"/>
      <c r="F2383" t="str">
        <f>IF(E2383="",D2383,E2383)</f>
        <v>STANDARD</v>
      </c>
      <c r="G2383" t="str">
        <f>INDEX(Netzzeiten!$B$6:$B$29,HOUR(B2383)+1)</f>
        <v>HT</v>
      </c>
      <c r="H2383" s="6">
        <f>IF(F2383="GO",Eingaben!$B$11,IF(F2383="STANDARD",Eingaben!$B$12,IF(AND(F2383="HEAT",ISNUMBER(Eingaben!$B$13)),Eingaben!$B$13,"")))</f>
        <v>28.2744</v>
      </c>
      <c r="I2383" s="6">
        <f>INDEX(Netzzeiten!$C$6:$C$29,HOUR(B2383)+1)</f>
        <v>10.52</v>
      </c>
      <c r="J2383" t="str">
        <f>IF(C2383="","FEHLT",IF(NOT(ISNUMBER(C2383)),"MESSWERT UNGUELTIG",IF(C2383&lt;0,"MESSWERT UNGUELTIG",IF(H2383="","TARIFPREIS FEHLT","OK"))))</f>
        <v>FEHLT</v>
      </c>
      <c r="K2383" s="7">
        <f>IF(J2383&lt;&gt;"OK","",C2383*I2383/100)</f>
        <v/>
      </c>
    </row>
    <row r="2384" spans="1:11">
      <c r="A2384" s="14">
        <v>46167</v>
      </c>
      <c r="B2384" s="15">
        <v>0.7708333333333334</v>
      </c>
      <c r="C2384" s="5">
        <f>IF('96 Werte'!BX30="","",'96 Werte'!BX30)</f>
        <v/>
      </c>
      <c r="D2384" t="str">
        <f>IF(IF(Eingaben!$B$21&lt;Eingaben!$B$22,AND(B2384&gt;=Eingaben!$B$21,B2384&lt;Eingaben!$B$22),OR(B2384&gt;=Eingaben!$B$21,B2384&lt;Eingaben!$B$22)),"GO",IF(AND(ISNUMBER(Eingaben!$B$23),ISNUMBER(Eingaben!$B$24),IF(Eingaben!$B$23&lt;Eingaben!$B$24,AND(B2384&gt;=Eingaben!$B$23,B2384&lt;Eingaben!$B$24),OR(B2384&gt;=Eingaben!$B$23,B2384&lt;Eingaben!$B$24))),"HEAT","STANDARD"))</f>
        <v>STANDARD</v>
      </c>
      <c r="E2384" s="9"/>
      <c r="F2384" t="str">
        <f>IF(E2384="",D2384,E2384)</f>
        <v>STANDARD</v>
      </c>
      <c r="G2384" t="str">
        <f>INDEX(Netzzeiten!$B$6:$B$29,HOUR(B2384)+1)</f>
        <v>HT</v>
      </c>
      <c r="H2384" s="6">
        <f>IF(F2384="GO",Eingaben!$B$11,IF(F2384="STANDARD",Eingaben!$B$12,IF(AND(F2384="HEAT",ISNUMBER(Eingaben!$B$13)),Eingaben!$B$13,"")))</f>
        <v>28.2744</v>
      </c>
      <c r="I2384" s="6">
        <f>INDEX(Netzzeiten!$C$6:$C$29,HOUR(B2384)+1)</f>
        <v>10.52</v>
      </c>
      <c r="J2384" t="str">
        <f>IF(C2384="","FEHLT",IF(NOT(ISNUMBER(C2384)),"MESSWERT UNGUELTIG",IF(C2384&lt;0,"MESSWERT UNGUELTIG",IF(H2384="","TARIFPREIS FEHLT","OK"))))</f>
        <v>FEHLT</v>
      </c>
      <c r="K2384" s="7">
        <f>IF(J2384&lt;&gt;"OK","",C2384*I2384/100)</f>
        <v/>
      </c>
    </row>
    <row r="2385" spans="1:11">
      <c r="A2385" s="14">
        <v>46167</v>
      </c>
      <c r="B2385" s="15">
        <v>0.78125</v>
      </c>
      <c r="C2385" s="5">
        <f>IF('96 Werte'!BY30="","",'96 Werte'!BY30)</f>
        <v/>
      </c>
      <c r="D2385" t="str">
        <f>IF(IF(Eingaben!$B$21&lt;Eingaben!$B$22,AND(B2385&gt;=Eingaben!$B$21,B2385&lt;Eingaben!$B$22),OR(B2385&gt;=Eingaben!$B$21,B2385&lt;Eingaben!$B$22)),"GO",IF(AND(ISNUMBER(Eingaben!$B$23),ISNUMBER(Eingaben!$B$24),IF(Eingaben!$B$23&lt;Eingaben!$B$24,AND(B2385&gt;=Eingaben!$B$23,B2385&lt;Eingaben!$B$24),OR(B2385&gt;=Eingaben!$B$23,B2385&lt;Eingaben!$B$24))),"HEAT","STANDARD"))</f>
        <v>STANDARD</v>
      </c>
      <c r="E2385" s="9"/>
      <c r="F2385" t="str">
        <f>IF(E2385="",D2385,E2385)</f>
        <v>STANDARD</v>
      </c>
      <c r="G2385" t="str">
        <f>INDEX(Netzzeiten!$B$6:$B$29,HOUR(B2385)+1)</f>
        <v>HT</v>
      </c>
      <c r="H2385" s="6">
        <f>IF(F2385="GO",Eingaben!$B$11,IF(F2385="STANDARD",Eingaben!$B$12,IF(AND(F2385="HEAT",ISNUMBER(Eingaben!$B$13)),Eingaben!$B$13,"")))</f>
        <v>28.2744</v>
      </c>
      <c r="I2385" s="6">
        <f>INDEX(Netzzeiten!$C$6:$C$29,HOUR(B2385)+1)</f>
        <v>10.52</v>
      </c>
      <c r="J2385" t="str">
        <f>IF(C2385="","FEHLT",IF(NOT(ISNUMBER(C2385)),"MESSWERT UNGUELTIG",IF(C2385&lt;0,"MESSWERT UNGUELTIG",IF(H2385="","TARIFPREIS FEHLT","OK"))))</f>
        <v>FEHLT</v>
      </c>
      <c r="K2385" s="7">
        <f>IF(J2385&lt;&gt;"OK","",C2385*I2385/100)</f>
        <v/>
      </c>
    </row>
    <row r="2386" spans="1:11">
      <c r="A2386" s="14">
        <v>46167</v>
      </c>
      <c r="B2386" s="15">
        <v>0.7916666666666666</v>
      </c>
      <c r="C2386" s="5">
        <f>IF('96 Werte'!BZ30="","",'96 Werte'!BZ30)</f>
        <v/>
      </c>
      <c r="D2386" t="str">
        <f>IF(IF(Eingaben!$B$21&lt;Eingaben!$B$22,AND(B2386&gt;=Eingaben!$B$21,B2386&lt;Eingaben!$B$22),OR(B2386&gt;=Eingaben!$B$21,B2386&lt;Eingaben!$B$22)),"GO",IF(AND(ISNUMBER(Eingaben!$B$23),ISNUMBER(Eingaben!$B$24),IF(Eingaben!$B$23&lt;Eingaben!$B$24,AND(B2386&gt;=Eingaben!$B$23,B2386&lt;Eingaben!$B$24),OR(B2386&gt;=Eingaben!$B$23,B2386&lt;Eingaben!$B$24))),"HEAT","STANDARD"))</f>
        <v>STANDARD</v>
      </c>
      <c r="E2386" s="9"/>
      <c r="F2386" t="str">
        <f>IF(E2386="",D2386,E2386)</f>
        <v>STANDARD</v>
      </c>
      <c r="G2386" t="str">
        <f>INDEX(Netzzeiten!$B$6:$B$29,HOUR(B2386)+1)</f>
        <v>HT</v>
      </c>
      <c r="H2386" s="6">
        <f>IF(F2386="GO",Eingaben!$B$11,IF(F2386="STANDARD",Eingaben!$B$12,IF(AND(F2386="HEAT",ISNUMBER(Eingaben!$B$13)),Eingaben!$B$13,"")))</f>
        <v>28.2744</v>
      </c>
      <c r="I2386" s="6">
        <f>INDEX(Netzzeiten!$C$6:$C$29,HOUR(B2386)+1)</f>
        <v>10.52</v>
      </c>
      <c r="J2386" t="str">
        <f>IF(C2386="","FEHLT",IF(NOT(ISNUMBER(C2386)),"MESSWERT UNGUELTIG",IF(C2386&lt;0,"MESSWERT UNGUELTIG",IF(H2386="","TARIFPREIS FEHLT","OK"))))</f>
        <v>FEHLT</v>
      </c>
      <c r="K2386" s="7">
        <f>IF(J2386&lt;&gt;"OK","",C2386*I2386/100)</f>
        <v/>
      </c>
    </row>
    <row r="2387" spans="1:11">
      <c r="A2387" s="14">
        <v>46167</v>
      </c>
      <c r="B2387" s="15">
        <v>0.8020833333333334</v>
      </c>
      <c r="C2387" s="5">
        <f>IF('96 Werte'!CA30="","",'96 Werte'!CA30)</f>
        <v/>
      </c>
      <c r="D2387" t="str">
        <f>IF(IF(Eingaben!$B$21&lt;Eingaben!$B$22,AND(B2387&gt;=Eingaben!$B$21,B2387&lt;Eingaben!$B$22),OR(B2387&gt;=Eingaben!$B$21,B2387&lt;Eingaben!$B$22)),"GO",IF(AND(ISNUMBER(Eingaben!$B$23),ISNUMBER(Eingaben!$B$24),IF(Eingaben!$B$23&lt;Eingaben!$B$24,AND(B2387&gt;=Eingaben!$B$23,B2387&lt;Eingaben!$B$24),OR(B2387&gt;=Eingaben!$B$23,B2387&lt;Eingaben!$B$24))),"HEAT","STANDARD"))</f>
        <v>STANDARD</v>
      </c>
      <c r="E2387" s="9"/>
      <c r="F2387" t="str">
        <f>IF(E2387="",D2387,E2387)</f>
        <v>STANDARD</v>
      </c>
      <c r="G2387" t="str">
        <f>INDEX(Netzzeiten!$B$6:$B$29,HOUR(B2387)+1)</f>
        <v>HT</v>
      </c>
      <c r="H2387" s="6">
        <f>IF(F2387="GO",Eingaben!$B$11,IF(F2387="STANDARD",Eingaben!$B$12,IF(AND(F2387="HEAT",ISNUMBER(Eingaben!$B$13)),Eingaben!$B$13,"")))</f>
        <v>28.2744</v>
      </c>
      <c r="I2387" s="6">
        <f>INDEX(Netzzeiten!$C$6:$C$29,HOUR(B2387)+1)</f>
        <v>10.52</v>
      </c>
      <c r="J2387" t="str">
        <f>IF(C2387="","FEHLT",IF(NOT(ISNUMBER(C2387)),"MESSWERT UNGUELTIG",IF(C2387&lt;0,"MESSWERT UNGUELTIG",IF(H2387="","TARIFPREIS FEHLT","OK"))))</f>
        <v>FEHLT</v>
      </c>
      <c r="K2387" s="7">
        <f>IF(J2387&lt;&gt;"OK","",C2387*I2387/100)</f>
        <v/>
      </c>
    </row>
    <row r="2388" spans="1:11">
      <c r="A2388" s="14">
        <v>46167</v>
      </c>
      <c r="B2388" s="15">
        <v>0.8125</v>
      </c>
      <c r="C2388" s="5">
        <f>IF('96 Werte'!CB30="","",'96 Werte'!CB30)</f>
        <v/>
      </c>
      <c r="D2388" t="str">
        <f>IF(IF(Eingaben!$B$21&lt;Eingaben!$B$22,AND(B2388&gt;=Eingaben!$B$21,B2388&lt;Eingaben!$B$22),OR(B2388&gt;=Eingaben!$B$21,B2388&lt;Eingaben!$B$22)),"GO",IF(AND(ISNUMBER(Eingaben!$B$23),ISNUMBER(Eingaben!$B$24),IF(Eingaben!$B$23&lt;Eingaben!$B$24,AND(B2388&gt;=Eingaben!$B$23,B2388&lt;Eingaben!$B$24),OR(B2388&gt;=Eingaben!$B$23,B2388&lt;Eingaben!$B$24))),"HEAT","STANDARD"))</f>
        <v>STANDARD</v>
      </c>
      <c r="E2388" s="9"/>
      <c r="F2388" t="str">
        <f>IF(E2388="",D2388,E2388)</f>
        <v>STANDARD</v>
      </c>
      <c r="G2388" t="str">
        <f>INDEX(Netzzeiten!$B$6:$B$29,HOUR(B2388)+1)</f>
        <v>HT</v>
      </c>
      <c r="H2388" s="6">
        <f>IF(F2388="GO",Eingaben!$B$11,IF(F2388="STANDARD",Eingaben!$B$12,IF(AND(F2388="HEAT",ISNUMBER(Eingaben!$B$13)),Eingaben!$B$13,"")))</f>
        <v>28.2744</v>
      </c>
      <c r="I2388" s="6">
        <f>INDEX(Netzzeiten!$C$6:$C$29,HOUR(B2388)+1)</f>
        <v>10.52</v>
      </c>
      <c r="J2388" t="str">
        <f>IF(C2388="","FEHLT",IF(NOT(ISNUMBER(C2388)),"MESSWERT UNGUELTIG",IF(C2388&lt;0,"MESSWERT UNGUELTIG",IF(H2388="","TARIFPREIS FEHLT","OK"))))</f>
        <v>FEHLT</v>
      </c>
      <c r="K2388" s="7">
        <f>IF(J2388&lt;&gt;"OK","",C2388*I2388/100)</f>
        <v/>
      </c>
    </row>
    <row r="2389" spans="1:11">
      <c r="A2389" s="14">
        <v>46167</v>
      </c>
      <c r="B2389" s="15">
        <v>0.8229166666666666</v>
      </c>
      <c r="C2389" s="5">
        <f>IF('96 Werte'!CC30="","",'96 Werte'!CC30)</f>
        <v/>
      </c>
      <c r="D2389" t="str">
        <f>IF(IF(Eingaben!$B$21&lt;Eingaben!$B$22,AND(B2389&gt;=Eingaben!$B$21,B2389&lt;Eingaben!$B$22),OR(B2389&gt;=Eingaben!$B$21,B2389&lt;Eingaben!$B$22)),"GO",IF(AND(ISNUMBER(Eingaben!$B$23),ISNUMBER(Eingaben!$B$24),IF(Eingaben!$B$23&lt;Eingaben!$B$24,AND(B2389&gt;=Eingaben!$B$23,B2389&lt;Eingaben!$B$24),OR(B2389&gt;=Eingaben!$B$23,B2389&lt;Eingaben!$B$24))),"HEAT","STANDARD"))</f>
        <v>STANDARD</v>
      </c>
      <c r="E2389" s="9"/>
      <c r="F2389" t="str">
        <f>IF(E2389="",D2389,E2389)</f>
        <v>STANDARD</v>
      </c>
      <c r="G2389" t="str">
        <f>INDEX(Netzzeiten!$B$6:$B$29,HOUR(B2389)+1)</f>
        <v>HT</v>
      </c>
      <c r="H2389" s="6">
        <f>IF(F2389="GO",Eingaben!$B$11,IF(F2389="STANDARD",Eingaben!$B$12,IF(AND(F2389="HEAT",ISNUMBER(Eingaben!$B$13)),Eingaben!$B$13,"")))</f>
        <v>28.2744</v>
      </c>
      <c r="I2389" s="6">
        <f>INDEX(Netzzeiten!$C$6:$C$29,HOUR(B2389)+1)</f>
        <v>10.52</v>
      </c>
      <c r="J2389" t="str">
        <f>IF(C2389="","FEHLT",IF(NOT(ISNUMBER(C2389)),"MESSWERT UNGUELTIG",IF(C2389&lt;0,"MESSWERT UNGUELTIG",IF(H2389="","TARIFPREIS FEHLT","OK"))))</f>
        <v>FEHLT</v>
      </c>
      <c r="K2389" s="7">
        <f>IF(J2389&lt;&gt;"OK","",C2389*I2389/100)</f>
        <v/>
      </c>
    </row>
    <row r="2390" spans="1:11">
      <c r="A2390" s="14">
        <v>46167</v>
      </c>
      <c r="B2390" s="15">
        <v>0.8333333333333334</v>
      </c>
      <c r="C2390" s="5">
        <f>IF('96 Werte'!CD30="","",'96 Werte'!CD30)</f>
        <v/>
      </c>
      <c r="D2390" t="str">
        <f>IF(IF(Eingaben!$B$21&lt;Eingaben!$B$22,AND(B2390&gt;=Eingaben!$B$21,B2390&lt;Eingaben!$B$22),OR(B2390&gt;=Eingaben!$B$21,B2390&lt;Eingaben!$B$22)),"GO",IF(AND(ISNUMBER(Eingaben!$B$23),ISNUMBER(Eingaben!$B$24),IF(Eingaben!$B$23&lt;Eingaben!$B$24,AND(B2390&gt;=Eingaben!$B$23,B2390&lt;Eingaben!$B$24),OR(B2390&gt;=Eingaben!$B$23,B2390&lt;Eingaben!$B$24))),"HEAT","STANDARD"))</f>
        <v>STANDARD</v>
      </c>
      <c r="E2390" s="9"/>
      <c r="F2390" t="str">
        <f>IF(E2390="",D2390,E2390)</f>
        <v>STANDARD</v>
      </c>
      <c r="G2390" t="str">
        <f>INDEX(Netzzeiten!$B$6:$B$29,HOUR(B2390)+1)</f>
        <v>HT</v>
      </c>
      <c r="H2390" s="6">
        <f>IF(F2390="GO",Eingaben!$B$11,IF(F2390="STANDARD",Eingaben!$B$12,IF(AND(F2390="HEAT",ISNUMBER(Eingaben!$B$13)),Eingaben!$B$13,"")))</f>
        <v>28.2744</v>
      </c>
      <c r="I2390" s="6">
        <f>INDEX(Netzzeiten!$C$6:$C$29,HOUR(B2390)+1)</f>
        <v>10.52</v>
      </c>
      <c r="J2390" t="str">
        <f>IF(C2390="","FEHLT",IF(NOT(ISNUMBER(C2390)),"MESSWERT UNGUELTIG",IF(C2390&lt;0,"MESSWERT UNGUELTIG",IF(H2390="","TARIFPREIS FEHLT","OK"))))</f>
        <v>FEHLT</v>
      </c>
      <c r="K2390" s="7">
        <f>IF(J2390&lt;&gt;"OK","",C2390*I2390/100)</f>
        <v/>
      </c>
    </row>
    <row r="2391" spans="1:11">
      <c r="A2391" s="14">
        <v>46167</v>
      </c>
      <c r="B2391" s="15">
        <v>0.84375</v>
      </c>
      <c r="C2391" s="5">
        <f>IF('96 Werte'!CE30="","",'96 Werte'!CE30)</f>
        <v/>
      </c>
      <c r="D2391" t="str">
        <f>IF(IF(Eingaben!$B$21&lt;Eingaben!$B$22,AND(B2391&gt;=Eingaben!$B$21,B2391&lt;Eingaben!$B$22),OR(B2391&gt;=Eingaben!$B$21,B2391&lt;Eingaben!$B$22)),"GO",IF(AND(ISNUMBER(Eingaben!$B$23),ISNUMBER(Eingaben!$B$24),IF(Eingaben!$B$23&lt;Eingaben!$B$24,AND(B2391&gt;=Eingaben!$B$23,B2391&lt;Eingaben!$B$24),OR(B2391&gt;=Eingaben!$B$23,B2391&lt;Eingaben!$B$24))),"HEAT","STANDARD"))</f>
        <v>STANDARD</v>
      </c>
      <c r="E2391" s="9"/>
      <c r="F2391" t="str">
        <f>IF(E2391="",D2391,E2391)</f>
        <v>STANDARD</v>
      </c>
      <c r="G2391" t="str">
        <f>INDEX(Netzzeiten!$B$6:$B$29,HOUR(B2391)+1)</f>
        <v>HT</v>
      </c>
      <c r="H2391" s="6">
        <f>IF(F2391="GO",Eingaben!$B$11,IF(F2391="STANDARD",Eingaben!$B$12,IF(AND(F2391="HEAT",ISNUMBER(Eingaben!$B$13)),Eingaben!$B$13,"")))</f>
        <v>28.2744</v>
      </c>
      <c r="I2391" s="6">
        <f>INDEX(Netzzeiten!$C$6:$C$29,HOUR(B2391)+1)</f>
        <v>10.52</v>
      </c>
      <c r="J2391" t="str">
        <f>IF(C2391="","FEHLT",IF(NOT(ISNUMBER(C2391)),"MESSWERT UNGUELTIG",IF(C2391&lt;0,"MESSWERT UNGUELTIG",IF(H2391="","TARIFPREIS FEHLT","OK"))))</f>
        <v>FEHLT</v>
      </c>
      <c r="K2391" s="7">
        <f>IF(J2391&lt;&gt;"OK","",C2391*I2391/100)</f>
        <v/>
      </c>
    </row>
    <row r="2392" spans="1:11">
      <c r="A2392" s="14">
        <v>46167</v>
      </c>
      <c r="B2392" s="15">
        <v>0.8541666666666666</v>
      </c>
      <c r="C2392" s="5">
        <f>IF('96 Werte'!CF30="","",'96 Werte'!CF30)</f>
        <v/>
      </c>
      <c r="D2392" t="str">
        <f>IF(IF(Eingaben!$B$21&lt;Eingaben!$B$22,AND(B2392&gt;=Eingaben!$B$21,B2392&lt;Eingaben!$B$22),OR(B2392&gt;=Eingaben!$B$21,B2392&lt;Eingaben!$B$22)),"GO",IF(AND(ISNUMBER(Eingaben!$B$23),ISNUMBER(Eingaben!$B$24),IF(Eingaben!$B$23&lt;Eingaben!$B$24,AND(B2392&gt;=Eingaben!$B$23,B2392&lt;Eingaben!$B$24),OR(B2392&gt;=Eingaben!$B$23,B2392&lt;Eingaben!$B$24))),"HEAT","STANDARD"))</f>
        <v>STANDARD</v>
      </c>
      <c r="E2392" s="9"/>
      <c r="F2392" t="str">
        <f>IF(E2392="",D2392,E2392)</f>
        <v>STANDARD</v>
      </c>
      <c r="G2392" t="str">
        <f>INDEX(Netzzeiten!$B$6:$B$29,HOUR(B2392)+1)</f>
        <v>HT</v>
      </c>
      <c r="H2392" s="6">
        <f>IF(F2392="GO",Eingaben!$B$11,IF(F2392="STANDARD",Eingaben!$B$12,IF(AND(F2392="HEAT",ISNUMBER(Eingaben!$B$13)),Eingaben!$B$13,"")))</f>
        <v>28.2744</v>
      </c>
      <c r="I2392" s="6">
        <f>INDEX(Netzzeiten!$C$6:$C$29,HOUR(B2392)+1)</f>
        <v>10.52</v>
      </c>
      <c r="J2392" t="str">
        <f>IF(C2392="","FEHLT",IF(NOT(ISNUMBER(C2392)),"MESSWERT UNGUELTIG",IF(C2392&lt;0,"MESSWERT UNGUELTIG",IF(H2392="","TARIFPREIS FEHLT","OK"))))</f>
        <v>FEHLT</v>
      </c>
      <c r="K2392" s="7">
        <f>IF(J2392&lt;&gt;"OK","",C2392*I2392/100)</f>
        <v/>
      </c>
    </row>
    <row r="2393" spans="1:11">
      <c r="A2393" s="14">
        <v>46167</v>
      </c>
      <c r="B2393" s="15">
        <v>0.8645833333333334</v>
      </c>
      <c r="C2393" s="5">
        <f>IF('96 Werte'!CG30="","",'96 Werte'!CG30)</f>
        <v/>
      </c>
      <c r="D2393" t="str">
        <f>IF(IF(Eingaben!$B$21&lt;Eingaben!$B$22,AND(B2393&gt;=Eingaben!$B$21,B2393&lt;Eingaben!$B$22),OR(B2393&gt;=Eingaben!$B$21,B2393&lt;Eingaben!$B$22)),"GO",IF(AND(ISNUMBER(Eingaben!$B$23),ISNUMBER(Eingaben!$B$24),IF(Eingaben!$B$23&lt;Eingaben!$B$24,AND(B2393&gt;=Eingaben!$B$23,B2393&lt;Eingaben!$B$24),OR(B2393&gt;=Eingaben!$B$23,B2393&lt;Eingaben!$B$24))),"HEAT","STANDARD"))</f>
        <v>STANDARD</v>
      </c>
      <c r="E2393" s="9"/>
      <c r="F2393" t="str">
        <f>IF(E2393="",D2393,E2393)</f>
        <v>STANDARD</v>
      </c>
      <c r="G2393" t="str">
        <f>INDEX(Netzzeiten!$B$6:$B$29,HOUR(B2393)+1)</f>
        <v>HT</v>
      </c>
      <c r="H2393" s="6">
        <f>IF(F2393="GO",Eingaben!$B$11,IF(F2393="STANDARD",Eingaben!$B$12,IF(AND(F2393="HEAT",ISNUMBER(Eingaben!$B$13)),Eingaben!$B$13,"")))</f>
        <v>28.2744</v>
      </c>
      <c r="I2393" s="6">
        <f>INDEX(Netzzeiten!$C$6:$C$29,HOUR(B2393)+1)</f>
        <v>10.52</v>
      </c>
      <c r="J2393" t="str">
        <f>IF(C2393="","FEHLT",IF(NOT(ISNUMBER(C2393)),"MESSWERT UNGUELTIG",IF(C2393&lt;0,"MESSWERT UNGUELTIG",IF(H2393="","TARIFPREIS FEHLT","OK"))))</f>
        <v>FEHLT</v>
      </c>
      <c r="K2393" s="7">
        <f>IF(J2393&lt;&gt;"OK","",C2393*I2393/100)</f>
        <v/>
      </c>
    </row>
    <row r="2394" spans="1:11">
      <c r="A2394" s="14">
        <v>46167</v>
      </c>
      <c r="B2394" s="15">
        <v>0.875</v>
      </c>
      <c r="C2394" s="5">
        <f>IF('96 Werte'!CH30="","",'96 Werte'!CH30)</f>
        <v/>
      </c>
      <c r="D2394" t="str">
        <f>IF(IF(Eingaben!$B$21&lt;Eingaben!$B$22,AND(B2394&gt;=Eingaben!$B$21,B2394&lt;Eingaben!$B$22),OR(B2394&gt;=Eingaben!$B$21,B2394&lt;Eingaben!$B$22)),"GO",IF(AND(ISNUMBER(Eingaben!$B$23),ISNUMBER(Eingaben!$B$24),IF(Eingaben!$B$23&lt;Eingaben!$B$24,AND(B2394&gt;=Eingaben!$B$23,B2394&lt;Eingaben!$B$24),OR(B2394&gt;=Eingaben!$B$23,B2394&lt;Eingaben!$B$24))),"HEAT","STANDARD"))</f>
        <v>STANDARD</v>
      </c>
      <c r="E2394" s="9"/>
      <c r="F2394" t="str">
        <f>IF(E2394="",D2394,E2394)</f>
        <v>STANDARD</v>
      </c>
      <c r="G2394" t="str">
        <f>INDEX(Netzzeiten!$B$6:$B$29,HOUR(B2394)+1)</f>
        <v>HT</v>
      </c>
      <c r="H2394" s="6">
        <f>IF(F2394="GO",Eingaben!$B$11,IF(F2394="STANDARD",Eingaben!$B$12,IF(AND(F2394="HEAT",ISNUMBER(Eingaben!$B$13)),Eingaben!$B$13,"")))</f>
        <v>28.2744</v>
      </c>
      <c r="I2394" s="6">
        <f>INDEX(Netzzeiten!$C$6:$C$29,HOUR(B2394)+1)</f>
        <v>10.52</v>
      </c>
      <c r="J2394" t="str">
        <f>IF(C2394="","FEHLT",IF(NOT(ISNUMBER(C2394)),"MESSWERT UNGUELTIG",IF(C2394&lt;0,"MESSWERT UNGUELTIG",IF(H2394="","TARIFPREIS FEHLT","OK"))))</f>
        <v>FEHLT</v>
      </c>
      <c r="K2394" s="7">
        <f>IF(J2394&lt;&gt;"OK","",C2394*I2394/100)</f>
        <v/>
      </c>
    </row>
    <row r="2395" spans="1:11">
      <c r="A2395" s="14">
        <v>46167</v>
      </c>
      <c r="B2395" s="15">
        <v>0.8854166666666666</v>
      </c>
      <c r="C2395" s="5">
        <f>IF('96 Werte'!CI30="","",'96 Werte'!CI30)</f>
        <v/>
      </c>
      <c r="D2395" t="str">
        <f>IF(IF(Eingaben!$B$21&lt;Eingaben!$B$22,AND(B2395&gt;=Eingaben!$B$21,B2395&lt;Eingaben!$B$22),OR(B2395&gt;=Eingaben!$B$21,B2395&lt;Eingaben!$B$22)),"GO",IF(AND(ISNUMBER(Eingaben!$B$23),ISNUMBER(Eingaben!$B$24),IF(Eingaben!$B$23&lt;Eingaben!$B$24,AND(B2395&gt;=Eingaben!$B$23,B2395&lt;Eingaben!$B$24),OR(B2395&gt;=Eingaben!$B$23,B2395&lt;Eingaben!$B$24))),"HEAT","STANDARD"))</f>
        <v>STANDARD</v>
      </c>
      <c r="E2395" s="9"/>
      <c r="F2395" t="str">
        <f>IF(E2395="",D2395,E2395)</f>
        <v>STANDARD</v>
      </c>
      <c r="G2395" t="str">
        <f>INDEX(Netzzeiten!$B$6:$B$29,HOUR(B2395)+1)</f>
        <v>HT</v>
      </c>
      <c r="H2395" s="6">
        <f>IF(F2395="GO",Eingaben!$B$11,IF(F2395="STANDARD",Eingaben!$B$12,IF(AND(F2395="HEAT",ISNUMBER(Eingaben!$B$13)),Eingaben!$B$13,"")))</f>
        <v>28.2744</v>
      </c>
      <c r="I2395" s="6">
        <f>INDEX(Netzzeiten!$C$6:$C$29,HOUR(B2395)+1)</f>
        <v>10.52</v>
      </c>
      <c r="J2395" t="str">
        <f>IF(C2395="","FEHLT",IF(NOT(ISNUMBER(C2395)),"MESSWERT UNGUELTIG",IF(C2395&lt;0,"MESSWERT UNGUELTIG",IF(H2395="","TARIFPREIS FEHLT","OK"))))</f>
        <v>FEHLT</v>
      </c>
      <c r="K2395" s="7">
        <f>IF(J2395&lt;&gt;"OK","",C2395*I2395/100)</f>
        <v/>
      </c>
    </row>
    <row r="2396" spans="1:11">
      <c r="A2396" s="14">
        <v>46167</v>
      </c>
      <c r="B2396" s="15">
        <v>0.8958333333333334</v>
      </c>
      <c r="C2396" s="5">
        <f>IF('96 Werte'!CJ30="","",'96 Werte'!CJ30)</f>
        <v/>
      </c>
      <c r="D2396" t="str">
        <f>IF(IF(Eingaben!$B$21&lt;Eingaben!$B$22,AND(B2396&gt;=Eingaben!$B$21,B2396&lt;Eingaben!$B$22),OR(B2396&gt;=Eingaben!$B$21,B2396&lt;Eingaben!$B$22)),"GO",IF(AND(ISNUMBER(Eingaben!$B$23),ISNUMBER(Eingaben!$B$24),IF(Eingaben!$B$23&lt;Eingaben!$B$24,AND(B2396&gt;=Eingaben!$B$23,B2396&lt;Eingaben!$B$24),OR(B2396&gt;=Eingaben!$B$23,B2396&lt;Eingaben!$B$24))),"HEAT","STANDARD"))</f>
        <v>STANDARD</v>
      </c>
      <c r="E2396" s="9"/>
      <c r="F2396" t="str">
        <f>IF(E2396="",D2396,E2396)</f>
        <v>STANDARD</v>
      </c>
      <c r="G2396" t="str">
        <f>INDEX(Netzzeiten!$B$6:$B$29,HOUR(B2396)+1)</f>
        <v>HT</v>
      </c>
      <c r="H2396" s="6">
        <f>IF(F2396="GO",Eingaben!$B$11,IF(F2396="STANDARD",Eingaben!$B$12,IF(AND(F2396="HEAT",ISNUMBER(Eingaben!$B$13)),Eingaben!$B$13,"")))</f>
        <v>28.2744</v>
      </c>
      <c r="I2396" s="6">
        <f>INDEX(Netzzeiten!$C$6:$C$29,HOUR(B2396)+1)</f>
        <v>10.52</v>
      </c>
      <c r="J2396" t="str">
        <f>IF(C2396="","FEHLT",IF(NOT(ISNUMBER(C2396)),"MESSWERT UNGUELTIG",IF(C2396&lt;0,"MESSWERT UNGUELTIG",IF(H2396="","TARIFPREIS FEHLT","OK"))))</f>
        <v>FEHLT</v>
      </c>
      <c r="K2396" s="7">
        <f>IF(J2396&lt;&gt;"OK","",C2396*I2396/100)</f>
        <v/>
      </c>
    </row>
    <row r="2397" spans="1:11">
      <c r="A2397" s="14">
        <v>46167</v>
      </c>
      <c r="B2397" s="15">
        <v>0.90625</v>
      </c>
      <c r="C2397" s="5">
        <f>IF('96 Werte'!CK30="","",'96 Werte'!CK30)</f>
        <v/>
      </c>
      <c r="D2397" t="str">
        <f>IF(IF(Eingaben!$B$21&lt;Eingaben!$B$22,AND(B2397&gt;=Eingaben!$B$21,B2397&lt;Eingaben!$B$22),OR(B2397&gt;=Eingaben!$B$21,B2397&lt;Eingaben!$B$22)),"GO",IF(AND(ISNUMBER(Eingaben!$B$23),ISNUMBER(Eingaben!$B$24),IF(Eingaben!$B$23&lt;Eingaben!$B$24,AND(B2397&gt;=Eingaben!$B$23,B2397&lt;Eingaben!$B$24),OR(B2397&gt;=Eingaben!$B$23,B2397&lt;Eingaben!$B$24))),"HEAT","STANDARD"))</f>
        <v>STANDARD</v>
      </c>
      <c r="E2397" s="9"/>
      <c r="F2397" t="str">
        <f>IF(E2397="",D2397,E2397)</f>
        <v>STANDARD</v>
      </c>
      <c r="G2397" t="str">
        <f>INDEX(Netzzeiten!$B$6:$B$29,HOUR(B2397)+1)</f>
        <v>HT</v>
      </c>
      <c r="H2397" s="6">
        <f>IF(F2397="GO",Eingaben!$B$11,IF(F2397="STANDARD",Eingaben!$B$12,IF(AND(F2397="HEAT",ISNUMBER(Eingaben!$B$13)),Eingaben!$B$13,"")))</f>
        <v>28.2744</v>
      </c>
      <c r="I2397" s="6">
        <f>INDEX(Netzzeiten!$C$6:$C$29,HOUR(B2397)+1)</f>
        <v>10.52</v>
      </c>
      <c r="J2397" t="str">
        <f>IF(C2397="","FEHLT",IF(NOT(ISNUMBER(C2397)),"MESSWERT UNGUELTIG",IF(C2397&lt;0,"MESSWERT UNGUELTIG",IF(H2397="","TARIFPREIS FEHLT","OK"))))</f>
        <v>FEHLT</v>
      </c>
      <c r="K2397" s="7">
        <f>IF(J2397&lt;&gt;"OK","",C2397*I2397/100)</f>
        <v/>
      </c>
    </row>
    <row r="2398" spans="1:11">
      <c r="A2398" s="14">
        <v>46167</v>
      </c>
      <c r="B2398" s="15">
        <v>0.9166666666666666</v>
      </c>
      <c r="C2398" s="5">
        <f>IF('96 Werte'!CL30="","",'96 Werte'!CL30)</f>
        <v/>
      </c>
      <c r="D2398" t="str">
        <f>IF(IF(Eingaben!$B$21&lt;Eingaben!$B$22,AND(B2398&gt;=Eingaben!$B$21,B2398&lt;Eingaben!$B$22),OR(B2398&gt;=Eingaben!$B$21,B2398&lt;Eingaben!$B$22)),"GO",IF(AND(ISNUMBER(Eingaben!$B$23),ISNUMBER(Eingaben!$B$24),IF(Eingaben!$B$23&lt;Eingaben!$B$24,AND(B2398&gt;=Eingaben!$B$23,B2398&lt;Eingaben!$B$24),OR(B2398&gt;=Eingaben!$B$23,B2398&lt;Eingaben!$B$24))),"HEAT","STANDARD"))</f>
        <v>STANDARD</v>
      </c>
      <c r="E2398" s="9"/>
      <c r="F2398" t="str">
        <f>IF(E2398="",D2398,E2398)</f>
        <v>STANDARD</v>
      </c>
      <c r="G2398" t="str">
        <f>INDEX(Netzzeiten!$B$6:$B$29,HOUR(B2398)+1)</f>
        <v>ST</v>
      </c>
      <c r="H2398" s="6">
        <f>IF(F2398="GO",Eingaben!$B$11,IF(F2398="STANDARD",Eingaben!$B$12,IF(AND(F2398="HEAT",ISNUMBER(Eingaben!$B$13)),Eingaben!$B$13,"")))</f>
        <v>28.2744</v>
      </c>
      <c r="I2398" s="6">
        <f>INDEX(Netzzeiten!$C$6:$C$29,HOUR(B2398)+1)</f>
        <v>5.48</v>
      </c>
      <c r="J2398" t="str">
        <f>IF(C2398="","FEHLT",IF(NOT(ISNUMBER(C2398)),"MESSWERT UNGUELTIG",IF(C2398&lt;0,"MESSWERT UNGUELTIG",IF(H2398="","TARIFPREIS FEHLT","OK"))))</f>
        <v>FEHLT</v>
      </c>
      <c r="K2398" s="7">
        <f>IF(J2398&lt;&gt;"OK","",C2398*I2398/100)</f>
        <v/>
      </c>
    </row>
    <row r="2399" spans="1:11">
      <c r="A2399" s="14">
        <v>46167</v>
      </c>
      <c r="B2399" s="15">
        <v>0.9270833333333334</v>
      </c>
      <c r="C2399" s="5">
        <f>IF('96 Werte'!CM30="","",'96 Werte'!CM30)</f>
        <v/>
      </c>
      <c r="D2399" t="str">
        <f>IF(IF(Eingaben!$B$21&lt;Eingaben!$B$22,AND(B2399&gt;=Eingaben!$B$21,B2399&lt;Eingaben!$B$22),OR(B2399&gt;=Eingaben!$B$21,B2399&lt;Eingaben!$B$22)),"GO",IF(AND(ISNUMBER(Eingaben!$B$23),ISNUMBER(Eingaben!$B$24),IF(Eingaben!$B$23&lt;Eingaben!$B$24,AND(B2399&gt;=Eingaben!$B$23,B2399&lt;Eingaben!$B$24),OR(B2399&gt;=Eingaben!$B$23,B2399&lt;Eingaben!$B$24))),"HEAT","STANDARD"))</f>
        <v>STANDARD</v>
      </c>
      <c r="E2399" s="9"/>
      <c r="F2399" t="str">
        <f>IF(E2399="",D2399,E2399)</f>
        <v>STANDARD</v>
      </c>
      <c r="G2399" t="str">
        <f>INDEX(Netzzeiten!$B$6:$B$29,HOUR(B2399)+1)</f>
        <v>ST</v>
      </c>
      <c r="H2399" s="6">
        <f>IF(F2399="GO",Eingaben!$B$11,IF(F2399="STANDARD",Eingaben!$B$12,IF(AND(F2399="HEAT",ISNUMBER(Eingaben!$B$13)),Eingaben!$B$13,"")))</f>
        <v>28.2744</v>
      </c>
      <c r="I2399" s="6">
        <f>INDEX(Netzzeiten!$C$6:$C$29,HOUR(B2399)+1)</f>
        <v>5.48</v>
      </c>
      <c r="J2399" t="str">
        <f>IF(C2399="","FEHLT",IF(NOT(ISNUMBER(C2399)),"MESSWERT UNGUELTIG",IF(C2399&lt;0,"MESSWERT UNGUELTIG",IF(H2399="","TARIFPREIS FEHLT","OK"))))</f>
        <v>FEHLT</v>
      </c>
      <c r="K2399" s="7">
        <f>IF(J2399&lt;&gt;"OK","",C2399*I2399/100)</f>
        <v/>
      </c>
    </row>
    <row r="2400" spans="1:11">
      <c r="A2400" s="14">
        <v>46167</v>
      </c>
      <c r="B2400" s="15">
        <v>0.9375</v>
      </c>
      <c r="C2400" s="5">
        <f>IF('96 Werte'!CN30="","",'96 Werte'!CN30)</f>
        <v/>
      </c>
      <c r="D2400" t="str">
        <f>IF(IF(Eingaben!$B$21&lt;Eingaben!$B$22,AND(B2400&gt;=Eingaben!$B$21,B2400&lt;Eingaben!$B$22),OR(B2400&gt;=Eingaben!$B$21,B2400&lt;Eingaben!$B$22)),"GO",IF(AND(ISNUMBER(Eingaben!$B$23),ISNUMBER(Eingaben!$B$24),IF(Eingaben!$B$23&lt;Eingaben!$B$24,AND(B2400&gt;=Eingaben!$B$23,B2400&lt;Eingaben!$B$24),OR(B2400&gt;=Eingaben!$B$23,B2400&lt;Eingaben!$B$24))),"HEAT","STANDARD"))</f>
        <v>STANDARD</v>
      </c>
      <c r="E2400" s="9"/>
      <c r="F2400" t="str">
        <f>IF(E2400="",D2400,E2400)</f>
        <v>STANDARD</v>
      </c>
      <c r="G2400" t="str">
        <f>INDEX(Netzzeiten!$B$6:$B$29,HOUR(B2400)+1)</f>
        <v>ST</v>
      </c>
      <c r="H2400" s="6">
        <f>IF(F2400="GO",Eingaben!$B$11,IF(F2400="STANDARD",Eingaben!$B$12,IF(AND(F2400="HEAT",ISNUMBER(Eingaben!$B$13)),Eingaben!$B$13,"")))</f>
        <v>28.2744</v>
      </c>
      <c r="I2400" s="6">
        <f>INDEX(Netzzeiten!$C$6:$C$29,HOUR(B2400)+1)</f>
        <v>5.48</v>
      </c>
      <c r="J2400" t="str">
        <f>IF(C2400="","FEHLT",IF(NOT(ISNUMBER(C2400)),"MESSWERT UNGUELTIG",IF(C2400&lt;0,"MESSWERT UNGUELTIG",IF(H2400="","TARIFPREIS FEHLT","OK"))))</f>
        <v>FEHLT</v>
      </c>
      <c r="K2400" s="7">
        <f>IF(J2400&lt;&gt;"OK","",C2400*I2400/100)</f>
        <v/>
      </c>
    </row>
    <row r="2401" spans="1:11">
      <c r="A2401" s="14">
        <v>46167</v>
      </c>
      <c r="B2401" s="15">
        <v>0.9479166666666666</v>
      </c>
      <c r="C2401" s="5">
        <f>IF('96 Werte'!CO30="","",'96 Werte'!CO30)</f>
        <v/>
      </c>
      <c r="D2401" t="str">
        <f>IF(IF(Eingaben!$B$21&lt;Eingaben!$B$22,AND(B2401&gt;=Eingaben!$B$21,B2401&lt;Eingaben!$B$22),OR(B2401&gt;=Eingaben!$B$21,B2401&lt;Eingaben!$B$22)),"GO",IF(AND(ISNUMBER(Eingaben!$B$23),ISNUMBER(Eingaben!$B$24),IF(Eingaben!$B$23&lt;Eingaben!$B$24,AND(B2401&gt;=Eingaben!$B$23,B2401&lt;Eingaben!$B$24),OR(B2401&gt;=Eingaben!$B$23,B2401&lt;Eingaben!$B$24))),"HEAT","STANDARD"))</f>
        <v>STANDARD</v>
      </c>
      <c r="E2401" s="9"/>
      <c r="F2401" t="str">
        <f>IF(E2401="",D2401,E2401)</f>
        <v>STANDARD</v>
      </c>
      <c r="G2401" t="str">
        <f>INDEX(Netzzeiten!$B$6:$B$29,HOUR(B2401)+1)</f>
        <v>ST</v>
      </c>
      <c r="H2401" s="6">
        <f>IF(F2401="GO",Eingaben!$B$11,IF(F2401="STANDARD",Eingaben!$B$12,IF(AND(F2401="HEAT",ISNUMBER(Eingaben!$B$13)),Eingaben!$B$13,"")))</f>
        <v>28.2744</v>
      </c>
      <c r="I2401" s="6">
        <f>INDEX(Netzzeiten!$C$6:$C$29,HOUR(B2401)+1)</f>
        <v>5.48</v>
      </c>
      <c r="J2401" t="str">
        <f>IF(C2401="","FEHLT",IF(NOT(ISNUMBER(C2401)),"MESSWERT UNGUELTIG",IF(C2401&lt;0,"MESSWERT UNGUELTIG",IF(H2401="","TARIFPREIS FEHLT","OK"))))</f>
        <v>FEHLT</v>
      </c>
      <c r="K2401" s="7">
        <f>IF(J2401&lt;&gt;"OK","",C2401*I2401/100)</f>
        <v/>
      </c>
    </row>
    <row r="2402" spans="1:11">
      <c r="A2402" s="14">
        <v>46167</v>
      </c>
      <c r="B2402" s="15">
        <v>0.9583333333333334</v>
      </c>
      <c r="C2402" s="5">
        <f>IF('96 Werte'!CP30="","",'96 Werte'!CP30)</f>
        <v/>
      </c>
      <c r="D2402" t="str">
        <f>IF(IF(Eingaben!$B$21&lt;Eingaben!$B$22,AND(B2402&gt;=Eingaben!$B$21,B2402&lt;Eingaben!$B$22),OR(B2402&gt;=Eingaben!$B$21,B2402&lt;Eingaben!$B$22)),"GO",IF(AND(ISNUMBER(Eingaben!$B$23),ISNUMBER(Eingaben!$B$24),IF(Eingaben!$B$23&lt;Eingaben!$B$24,AND(B2402&gt;=Eingaben!$B$23,B2402&lt;Eingaben!$B$24),OR(B2402&gt;=Eingaben!$B$23,B2402&lt;Eingaben!$B$24))),"HEAT","STANDARD"))</f>
        <v>STANDARD</v>
      </c>
      <c r="E2402" s="9"/>
      <c r="F2402" t="str">
        <f>IF(E2402="",D2402,E2402)</f>
        <v>STANDARD</v>
      </c>
      <c r="G2402" t="str">
        <f>INDEX(Netzzeiten!$B$6:$B$29,HOUR(B2402)+1)</f>
        <v>NT</v>
      </c>
      <c r="H2402" s="6">
        <f>IF(F2402="GO",Eingaben!$B$11,IF(F2402="STANDARD",Eingaben!$B$12,IF(AND(F2402="HEAT",ISNUMBER(Eingaben!$B$13)),Eingaben!$B$13,"")))</f>
        <v>28.2744</v>
      </c>
      <c r="I2402" s="6">
        <f>INDEX(Netzzeiten!$C$6:$C$29,HOUR(B2402)+1)</f>
        <v>1.64</v>
      </c>
      <c r="J2402" t="str">
        <f>IF(C2402="","FEHLT",IF(NOT(ISNUMBER(C2402)),"MESSWERT UNGUELTIG",IF(C2402&lt;0,"MESSWERT UNGUELTIG",IF(H2402="","TARIFPREIS FEHLT","OK"))))</f>
        <v>FEHLT</v>
      </c>
      <c r="K2402" s="7">
        <f>IF(J2402&lt;&gt;"OK","",C2402*I2402/100)</f>
        <v/>
      </c>
    </row>
    <row r="2403" spans="1:11">
      <c r="A2403" s="14">
        <v>46167</v>
      </c>
      <c r="B2403" s="15">
        <v>0.96875</v>
      </c>
      <c r="C2403" s="5">
        <f>IF('96 Werte'!CQ30="","",'96 Werte'!CQ30)</f>
        <v/>
      </c>
      <c r="D2403" t="str">
        <f>IF(IF(Eingaben!$B$21&lt;Eingaben!$B$22,AND(B2403&gt;=Eingaben!$B$21,B2403&lt;Eingaben!$B$22),OR(B2403&gt;=Eingaben!$B$21,B2403&lt;Eingaben!$B$22)),"GO",IF(AND(ISNUMBER(Eingaben!$B$23),ISNUMBER(Eingaben!$B$24),IF(Eingaben!$B$23&lt;Eingaben!$B$24,AND(B2403&gt;=Eingaben!$B$23,B2403&lt;Eingaben!$B$24),OR(B2403&gt;=Eingaben!$B$23,B2403&lt;Eingaben!$B$24))),"HEAT","STANDARD"))</f>
        <v>STANDARD</v>
      </c>
      <c r="E2403" s="9"/>
      <c r="F2403" t="str">
        <f>IF(E2403="",D2403,E2403)</f>
        <v>STANDARD</v>
      </c>
      <c r="G2403" t="str">
        <f>INDEX(Netzzeiten!$B$6:$B$29,HOUR(B2403)+1)</f>
        <v>NT</v>
      </c>
      <c r="H2403" s="6">
        <f>IF(F2403="GO",Eingaben!$B$11,IF(F2403="STANDARD",Eingaben!$B$12,IF(AND(F2403="HEAT",ISNUMBER(Eingaben!$B$13)),Eingaben!$B$13,"")))</f>
        <v>28.2744</v>
      </c>
      <c r="I2403" s="6">
        <f>INDEX(Netzzeiten!$C$6:$C$29,HOUR(B2403)+1)</f>
        <v>1.64</v>
      </c>
      <c r="J2403" t="str">
        <f>IF(C2403="","FEHLT",IF(NOT(ISNUMBER(C2403)),"MESSWERT UNGUELTIG",IF(C2403&lt;0,"MESSWERT UNGUELTIG",IF(H2403="","TARIFPREIS FEHLT","OK"))))</f>
        <v>FEHLT</v>
      </c>
      <c r="K2403" s="7">
        <f>IF(J2403&lt;&gt;"OK","",C2403*I2403/100)</f>
        <v/>
      </c>
    </row>
    <row r="2404" spans="1:11">
      <c r="A2404" s="14">
        <v>46167</v>
      </c>
      <c r="B2404" s="15">
        <v>0.9791666666666666</v>
      </c>
      <c r="C2404" s="5">
        <f>IF('96 Werte'!CR30="","",'96 Werte'!CR30)</f>
        <v/>
      </c>
      <c r="D2404" t="str">
        <f>IF(IF(Eingaben!$B$21&lt;Eingaben!$B$22,AND(B2404&gt;=Eingaben!$B$21,B2404&lt;Eingaben!$B$22),OR(B2404&gt;=Eingaben!$B$21,B2404&lt;Eingaben!$B$22)),"GO",IF(AND(ISNUMBER(Eingaben!$B$23),ISNUMBER(Eingaben!$B$24),IF(Eingaben!$B$23&lt;Eingaben!$B$24,AND(B2404&gt;=Eingaben!$B$23,B2404&lt;Eingaben!$B$24),OR(B2404&gt;=Eingaben!$B$23,B2404&lt;Eingaben!$B$24))),"HEAT","STANDARD"))</f>
        <v>STANDARD</v>
      </c>
      <c r="E2404" s="9"/>
      <c r="F2404" t="str">
        <f>IF(E2404="",D2404,E2404)</f>
        <v>STANDARD</v>
      </c>
      <c r="G2404" t="str">
        <f>INDEX(Netzzeiten!$B$6:$B$29,HOUR(B2404)+1)</f>
        <v>NT</v>
      </c>
      <c r="H2404" s="6">
        <f>IF(F2404="GO",Eingaben!$B$11,IF(F2404="STANDARD",Eingaben!$B$12,IF(AND(F2404="HEAT",ISNUMBER(Eingaben!$B$13)),Eingaben!$B$13,"")))</f>
        <v>28.2744</v>
      </c>
      <c r="I2404" s="6">
        <f>INDEX(Netzzeiten!$C$6:$C$29,HOUR(B2404)+1)</f>
        <v>1.64</v>
      </c>
      <c r="J2404" t="str">
        <f>IF(C2404="","FEHLT",IF(NOT(ISNUMBER(C2404)),"MESSWERT UNGUELTIG",IF(C2404&lt;0,"MESSWERT UNGUELTIG",IF(H2404="","TARIFPREIS FEHLT","OK"))))</f>
        <v>FEHLT</v>
      </c>
      <c r="K2404" s="7">
        <f>IF(J2404&lt;&gt;"OK","",C2404*I2404/100)</f>
        <v/>
      </c>
    </row>
    <row r="2405" spans="1:11">
      <c r="A2405" s="14">
        <v>46167</v>
      </c>
      <c r="B2405" s="15">
        <v>0.9895833333333334</v>
      </c>
      <c r="C2405" s="5">
        <f>IF('96 Werte'!CS30="","",'96 Werte'!CS30)</f>
        <v/>
      </c>
      <c r="D2405" t="str">
        <f>IF(IF(Eingaben!$B$21&lt;Eingaben!$B$22,AND(B2405&gt;=Eingaben!$B$21,B2405&lt;Eingaben!$B$22),OR(B2405&gt;=Eingaben!$B$21,B2405&lt;Eingaben!$B$22)),"GO",IF(AND(ISNUMBER(Eingaben!$B$23),ISNUMBER(Eingaben!$B$24),IF(Eingaben!$B$23&lt;Eingaben!$B$24,AND(B2405&gt;=Eingaben!$B$23,B2405&lt;Eingaben!$B$24),OR(B2405&gt;=Eingaben!$B$23,B2405&lt;Eingaben!$B$24))),"HEAT","STANDARD"))</f>
        <v>STANDARD</v>
      </c>
      <c r="E2405" s="9"/>
      <c r="F2405" t="str">
        <f>IF(E2405="",D2405,E2405)</f>
        <v>STANDARD</v>
      </c>
      <c r="G2405" t="str">
        <f>INDEX(Netzzeiten!$B$6:$B$29,HOUR(B2405)+1)</f>
        <v>NT</v>
      </c>
      <c r="H2405" s="6">
        <f>IF(F2405="GO",Eingaben!$B$11,IF(F2405="STANDARD",Eingaben!$B$12,IF(AND(F2405="HEAT",ISNUMBER(Eingaben!$B$13)),Eingaben!$B$13,"")))</f>
        <v>28.2744</v>
      </c>
      <c r="I2405" s="6">
        <f>INDEX(Netzzeiten!$C$6:$C$29,HOUR(B2405)+1)</f>
        <v>1.64</v>
      </c>
      <c r="J2405" t="str">
        <f>IF(C2405="","FEHLT",IF(NOT(ISNUMBER(C2405)),"MESSWERT UNGUELTIG",IF(C2405&lt;0,"MESSWERT UNGUELTIG",IF(H2405="","TARIFPREIS FEHLT","OK"))))</f>
        <v>FEHLT</v>
      </c>
      <c r="K2405" s="7">
        <f>IF(J2405&lt;&gt;"OK","",C2405*I2405/100)</f>
        <v/>
      </c>
    </row>
    <row r="2406" spans="1:11">
      <c r="A2406" s="14">
        <v>46168</v>
      </c>
      <c r="B2406" s="15">
        <v>0</v>
      </c>
      <c r="C2406" s="5">
        <f>IF('96 Werte'!B31="","",'96 Werte'!B31)</f>
        <v/>
      </c>
      <c r="D2406" t="str">
        <f>IF(IF(Eingaben!$B$21&lt;Eingaben!$B$22,AND(B2406&gt;=Eingaben!$B$21,B2406&lt;Eingaben!$B$22),OR(B2406&gt;=Eingaben!$B$21,B2406&lt;Eingaben!$B$22)),"GO",IF(AND(ISNUMBER(Eingaben!$B$23),ISNUMBER(Eingaben!$B$24),IF(Eingaben!$B$23&lt;Eingaben!$B$24,AND(B2406&gt;=Eingaben!$B$23,B2406&lt;Eingaben!$B$24),OR(B2406&gt;=Eingaben!$B$23,B2406&lt;Eingaben!$B$24))),"HEAT","STANDARD"))</f>
        <v>GO</v>
      </c>
      <c r="E2406" s="9"/>
      <c r="F2406" t="str">
        <f>IF(E2406="",D2406,E2406)</f>
        <v>GO</v>
      </c>
      <c r="G2406" t="str">
        <f>INDEX(Netzzeiten!$B$6:$B$29,HOUR(B2406)+1)</f>
        <v>NT</v>
      </c>
      <c r="H2406" s="6">
        <f>IF(F2406="GO",Eingaben!$B$11,IF(F2406="STANDARD",Eingaben!$B$12,IF(AND(F2406="HEAT",ISNUMBER(Eingaben!$B$13)),Eingaben!$B$13,"")))</f>
        <v>15.0654</v>
      </c>
      <c r="I2406" s="6">
        <f>INDEX(Netzzeiten!$C$6:$C$29,HOUR(B2406)+1)</f>
        <v>1.64</v>
      </c>
      <c r="J2406" t="str">
        <f>IF(C2406="","FEHLT",IF(NOT(ISNUMBER(C2406)),"MESSWERT UNGUELTIG",IF(C2406&lt;0,"MESSWERT UNGUELTIG",IF(H2406="","TARIFPREIS FEHLT","OK"))))</f>
        <v>FEHLT</v>
      </c>
      <c r="K2406" s="7">
        <f>IF(J2406&lt;&gt;"OK","",C2406*I2406/100)</f>
        <v/>
      </c>
    </row>
    <row r="2407" spans="1:11">
      <c r="A2407" s="14">
        <v>46168</v>
      </c>
      <c r="B2407" s="15">
        <v>0.01041666666666667</v>
      </c>
      <c r="C2407" s="5">
        <f>IF('96 Werte'!C31="","",'96 Werte'!C31)</f>
        <v/>
      </c>
      <c r="D2407" t="str">
        <f>IF(IF(Eingaben!$B$21&lt;Eingaben!$B$22,AND(B2407&gt;=Eingaben!$B$21,B2407&lt;Eingaben!$B$22),OR(B2407&gt;=Eingaben!$B$21,B2407&lt;Eingaben!$B$22)),"GO",IF(AND(ISNUMBER(Eingaben!$B$23),ISNUMBER(Eingaben!$B$24),IF(Eingaben!$B$23&lt;Eingaben!$B$24,AND(B2407&gt;=Eingaben!$B$23,B2407&lt;Eingaben!$B$24),OR(B2407&gt;=Eingaben!$B$23,B2407&lt;Eingaben!$B$24))),"HEAT","STANDARD"))</f>
        <v>GO</v>
      </c>
      <c r="E2407" s="9"/>
      <c r="F2407" t="str">
        <f>IF(E2407="",D2407,E2407)</f>
        <v>GO</v>
      </c>
      <c r="G2407" t="str">
        <f>INDEX(Netzzeiten!$B$6:$B$29,HOUR(B2407)+1)</f>
        <v>NT</v>
      </c>
      <c r="H2407" s="6">
        <f>IF(F2407="GO",Eingaben!$B$11,IF(F2407="STANDARD",Eingaben!$B$12,IF(AND(F2407="HEAT",ISNUMBER(Eingaben!$B$13)),Eingaben!$B$13,"")))</f>
        <v>15.0654</v>
      </c>
      <c r="I2407" s="6">
        <f>INDEX(Netzzeiten!$C$6:$C$29,HOUR(B2407)+1)</f>
        <v>1.64</v>
      </c>
      <c r="J2407" t="str">
        <f>IF(C2407="","FEHLT",IF(NOT(ISNUMBER(C2407)),"MESSWERT UNGUELTIG",IF(C2407&lt;0,"MESSWERT UNGUELTIG",IF(H2407="","TARIFPREIS FEHLT","OK"))))</f>
        <v>FEHLT</v>
      </c>
      <c r="K2407" s="7">
        <f>IF(J2407&lt;&gt;"OK","",C2407*I2407/100)</f>
        <v/>
      </c>
    </row>
    <row r="2408" spans="1:11">
      <c r="A2408" s="14">
        <v>46168</v>
      </c>
      <c r="B2408" s="15">
        <v>0.02083333333333333</v>
      </c>
      <c r="C2408" s="5">
        <f>IF('96 Werte'!D31="","",'96 Werte'!D31)</f>
        <v/>
      </c>
      <c r="D2408" t="str">
        <f>IF(IF(Eingaben!$B$21&lt;Eingaben!$B$22,AND(B2408&gt;=Eingaben!$B$21,B2408&lt;Eingaben!$B$22),OR(B2408&gt;=Eingaben!$B$21,B2408&lt;Eingaben!$B$22)),"GO",IF(AND(ISNUMBER(Eingaben!$B$23),ISNUMBER(Eingaben!$B$24),IF(Eingaben!$B$23&lt;Eingaben!$B$24,AND(B2408&gt;=Eingaben!$B$23,B2408&lt;Eingaben!$B$24),OR(B2408&gt;=Eingaben!$B$23,B2408&lt;Eingaben!$B$24))),"HEAT","STANDARD"))</f>
        <v>GO</v>
      </c>
      <c r="E2408" s="9"/>
      <c r="F2408" t="str">
        <f>IF(E2408="",D2408,E2408)</f>
        <v>GO</v>
      </c>
      <c r="G2408" t="str">
        <f>INDEX(Netzzeiten!$B$6:$B$29,HOUR(B2408)+1)</f>
        <v>NT</v>
      </c>
      <c r="H2408" s="6">
        <f>IF(F2408="GO",Eingaben!$B$11,IF(F2408="STANDARD",Eingaben!$B$12,IF(AND(F2408="HEAT",ISNUMBER(Eingaben!$B$13)),Eingaben!$B$13,"")))</f>
        <v>15.0654</v>
      </c>
      <c r="I2408" s="6">
        <f>INDEX(Netzzeiten!$C$6:$C$29,HOUR(B2408)+1)</f>
        <v>1.64</v>
      </c>
      <c r="J2408" t="str">
        <f>IF(C2408="","FEHLT",IF(NOT(ISNUMBER(C2408)),"MESSWERT UNGUELTIG",IF(C2408&lt;0,"MESSWERT UNGUELTIG",IF(H2408="","TARIFPREIS FEHLT","OK"))))</f>
        <v>FEHLT</v>
      </c>
      <c r="K2408" s="7">
        <f>IF(J2408&lt;&gt;"OK","",C2408*I2408/100)</f>
        <v/>
      </c>
    </row>
    <row r="2409" spans="1:11">
      <c r="A2409" s="14">
        <v>46168</v>
      </c>
      <c r="B2409" s="15">
        <v>0.03125</v>
      </c>
      <c r="C2409" s="5">
        <f>IF('96 Werte'!E31="","",'96 Werte'!E31)</f>
        <v/>
      </c>
      <c r="D2409" t="str">
        <f>IF(IF(Eingaben!$B$21&lt;Eingaben!$B$22,AND(B2409&gt;=Eingaben!$B$21,B2409&lt;Eingaben!$B$22),OR(B2409&gt;=Eingaben!$B$21,B2409&lt;Eingaben!$B$22)),"GO",IF(AND(ISNUMBER(Eingaben!$B$23),ISNUMBER(Eingaben!$B$24),IF(Eingaben!$B$23&lt;Eingaben!$B$24,AND(B2409&gt;=Eingaben!$B$23,B2409&lt;Eingaben!$B$24),OR(B2409&gt;=Eingaben!$B$23,B2409&lt;Eingaben!$B$24))),"HEAT","STANDARD"))</f>
        <v>GO</v>
      </c>
      <c r="E2409" s="9"/>
      <c r="F2409" t="str">
        <f>IF(E2409="",D2409,E2409)</f>
        <v>GO</v>
      </c>
      <c r="G2409" t="str">
        <f>INDEX(Netzzeiten!$B$6:$B$29,HOUR(B2409)+1)</f>
        <v>NT</v>
      </c>
      <c r="H2409" s="6">
        <f>IF(F2409="GO",Eingaben!$B$11,IF(F2409="STANDARD",Eingaben!$B$12,IF(AND(F2409="HEAT",ISNUMBER(Eingaben!$B$13)),Eingaben!$B$13,"")))</f>
        <v>15.0654</v>
      </c>
      <c r="I2409" s="6">
        <f>INDEX(Netzzeiten!$C$6:$C$29,HOUR(B2409)+1)</f>
        <v>1.64</v>
      </c>
      <c r="J2409" t="str">
        <f>IF(C2409="","FEHLT",IF(NOT(ISNUMBER(C2409)),"MESSWERT UNGUELTIG",IF(C2409&lt;0,"MESSWERT UNGUELTIG",IF(H2409="","TARIFPREIS FEHLT","OK"))))</f>
        <v>FEHLT</v>
      </c>
      <c r="K2409" s="7">
        <f>IF(J2409&lt;&gt;"OK","",C2409*I2409/100)</f>
        <v/>
      </c>
    </row>
    <row r="2410" spans="1:11">
      <c r="A2410" s="14">
        <v>46168</v>
      </c>
      <c r="B2410" s="15">
        <v>0.04166666666666666</v>
      </c>
      <c r="C2410" s="5">
        <f>IF('96 Werte'!F31="","",'96 Werte'!F31)</f>
        <v/>
      </c>
      <c r="D2410" t="str">
        <f>IF(IF(Eingaben!$B$21&lt;Eingaben!$B$22,AND(B2410&gt;=Eingaben!$B$21,B2410&lt;Eingaben!$B$22),OR(B2410&gt;=Eingaben!$B$21,B2410&lt;Eingaben!$B$22)),"GO",IF(AND(ISNUMBER(Eingaben!$B$23),ISNUMBER(Eingaben!$B$24),IF(Eingaben!$B$23&lt;Eingaben!$B$24,AND(B2410&gt;=Eingaben!$B$23,B2410&lt;Eingaben!$B$24),OR(B2410&gt;=Eingaben!$B$23,B2410&lt;Eingaben!$B$24))),"HEAT","STANDARD"))</f>
        <v>GO</v>
      </c>
      <c r="E2410" s="9"/>
      <c r="F2410" t="str">
        <f>IF(E2410="",D2410,E2410)</f>
        <v>GO</v>
      </c>
      <c r="G2410" t="str">
        <f>INDEX(Netzzeiten!$B$6:$B$29,HOUR(B2410)+1)</f>
        <v>NT</v>
      </c>
      <c r="H2410" s="6">
        <f>IF(F2410="GO",Eingaben!$B$11,IF(F2410="STANDARD",Eingaben!$B$12,IF(AND(F2410="HEAT",ISNUMBER(Eingaben!$B$13)),Eingaben!$B$13,"")))</f>
        <v>15.0654</v>
      </c>
      <c r="I2410" s="6">
        <f>INDEX(Netzzeiten!$C$6:$C$29,HOUR(B2410)+1)</f>
        <v>1.64</v>
      </c>
      <c r="J2410" t="str">
        <f>IF(C2410="","FEHLT",IF(NOT(ISNUMBER(C2410)),"MESSWERT UNGUELTIG",IF(C2410&lt;0,"MESSWERT UNGUELTIG",IF(H2410="","TARIFPREIS FEHLT","OK"))))</f>
        <v>FEHLT</v>
      </c>
      <c r="K2410" s="7">
        <f>IF(J2410&lt;&gt;"OK","",C2410*I2410/100)</f>
        <v/>
      </c>
    </row>
    <row r="2411" spans="1:11">
      <c r="A2411" s="14">
        <v>46168</v>
      </c>
      <c r="B2411" s="15">
        <v>0.05208333333333334</v>
      </c>
      <c r="C2411" s="5">
        <f>IF('96 Werte'!G31="","",'96 Werte'!G31)</f>
        <v/>
      </c>
      <c r="D2411" t="str">
        <f>IF(IF(Eingaben!$B$21&lt;Eingaben!$B$22,AND(B2411&gt;=Eingaben!$B$21,B2411&lt;Eingaben!$B$22),OR(B2411&gt;=Eingaben!$B$21,B2411&lt;Eingaben!$B$22)),"GO",IF(AND(ISNUMBER(Eingaben!$B$23),ISNUMBER(Eingaben!$B$24),IF(Eingaben!$B$23&lt;Eingaben!$B$24,AND(B2411&gt;=Eingaben!$B$23,B2411&lt;Eingaben!$B$24),OR(B2411&gt;=Eingaben!$B$23,B2411&lt;Eingaben!$B$24))),"HEAT","STANDARD"))</f>
        <v>GO</v>
      </c>
      <c r="E2411" s="9"/>
      <c r="F2411" t="str">
        <f>IF(E2411="",D2411,E2411)</f>
        <v>GO</v>
      </c>
      <c r="G2411" t="str">
        <f>INDEX(Netzzeiten!$B$6:$B$29,HOUR(B2411)+1)</f>
        <v>NT</v>
      </c>
      <c r="H2411" s="6">
        <f>IF(F2411="GO",Eingaben!$B$11,IF(F2411="STANDARD",Eingaben!$B$12,IF(AND(F2411="HEAT",ISNUMBER(Eingaben!$B$13)),Eingaben!$B$13,"")))</f>
        <v>15.0654</v>
      </c>
      <c r="I2411" s="6">
        <f>INDEX(Netzzeiten!$C$6:$C$29,HOUR(B2411)+1)</f>
        <v>1.64</v>
      </c>
      <c r="J2411" t="str">
        <f>IF(C2411="","FEHLT",IF(NOT(ISNUMBER(C2411)),"MESSWERT UNGUELTIG",IF(C2411&lt;0,"MESSWERT UNGUELTIG",IF(H2411="","TARIFPREIS FEHLT","OK"))))</f>
        <v>FEHLT</v>
      </c>
      <c r="K2411" s="7">
        <f>IF(J2411&lt;&gt;"OK","",C2411*I2411/100)</f>
        <v/>
      </c>
    </row>
    <row r="2412" spans="1:11">
      <c r="A2412" s="14">
        <v>46168</v>
      </c>
      <c r="B2412" s="15">
        <v>0.0625</v>
      </c>
      <c r="C2412" s="5">
        <f>IF('96 Werte'!H31="","",'96 Werte'!H31)</f>
        <v/>
      </c>
      <c r="D2412" t="str">
        <f>IF(IF(Eingaben!$B$21&lt;Eingaben!$B$22,AND(B2412&gt;=Eingaben!$B$21,B2412&lt;Eingaben!$B$22),OR(B2412&gt;=Eingaben!$B$21,B2412&lt;Eingaben!$B$22)),"GO",IF(AND(ISNUMBER(Eingaben!$B$23),ISNUMBER(Eingaben!$B$24),IF(Eingaben!$B$23&lt;Eingaben!$B$24,AND(B2412&gt;=Eingaben!$B$23,B2412&lt;Eingaben!$B$24),OR(B2412&gt;=Eingaben!$B$23,B2412&lt;Eingaben!$B$24))),"HEAT","STANDARD"))</f>
        <v>GO</v>
      </c>
      <c r="E2412" s="9"/>
      <c r="F2412" t="str">
        <f>IF(E2412="",D2412,E2412)</f>
        <v>GO</v>
      </c>
      <c r="G2412" t="str">
        <f>INDEX(Netzzeiten!$B$6:$B$29,HOUR(B2412)+1)</f>
        <v>NT</v>
      </c>
      <c r="H2412" s="6">
        <f>IF(F2412="GO",Eingaben!$B$11,IF(F2412="STANDARD",Eingaben!$B$12,IF(AND(F2412="HEAT",ISNUMBER(Eingaben!$B$13)),Eingaben!$B$13,"")))</f>
        <v>15.0654</v>
      </c>
      <c r="I2412" s="6">
        <f>INDEX(Netzzeiten!$C$6:$C$29,HOUR(B2412)+1)</f>
        <v>1.64</v>
      </c>
      <c r="J2412" t="str">
        <f>IF(C2412="","FEHLT",IF(NOT(ISNUMBER(C2412)),"MESSWERT UNGUELTIG",IF(C2412&lt;0,"MESSWERT UNGUELTIG",IF(H2412="","TARIFPREIS FEHLT","OK"))))</f>
        <v>FEHLT</v>
      </c>
      <c r="K2412" s="7">
        <f>IF(J2412&lt;&gt;"OK","",C2412*I2412/100)</f>
        <v/>
      </c>
    </row>
    <row r="2413" spans="1:11">
      <c r="A2413" s="14">
        <v>46168</v>
      </c>
      <c r="B2413" s="15">
        <v>0.07291666666666667</v>
      </c>
      <c r="C2413" s="5">
        <f>IF('96 Werte'!I31="","",'96 Werte'!I31)</f>
        <v/>
      </c>
      <c r="D2413" t="str">
        <f>IF(IF(Eingaben!$B$21&lt;Eingaben!$B$22,AND(B2413&gt;=Eingaben!$B$21,B2413&lt;Eingaben!$B$22),OR(B2413&gt;=Eingaben!$B$21,B2413&lt;Eingaben!$B$22)),"GO",IF(AND(ISNUMBER(Eingaben!$B$23),ISNUMBER(Eingaben!$B$24),IF(Eingaben!$B$23&lt;Eingaben!$B$24,AND(B2413&gt;=Eingaben!$B$23,B2413&lt;Eingaben!$B$24),OR(B2413&gt;=Eingaben!$B$23,B2413&lt;Eingaben!$B$24))),"HEAT","STANDARD"))</f>
        <v>GO</v>
      </c>
      <c r="E2413" s="9"/>
      <c r="F2413" t="str">
        <f>IF(E2413="",D2413,E2413)</f>
        <v>GO</v>
      </c>
      <c r="G2413" t="str">
        <f>INDEX(Netzzeiten!$B$6:$B$29,HOUR(B2413)+1)</f>
        <v>NT</v>
      </c>
      <c r="H2413" s="6">
        <f>IF(F2413="GO",Eingaben!$B$11,IF(F2413="STANDARD",Eingaben!$B$12,IF(AND(F2413="HEAT",ISNUMBER(Eingaben!$B$13)),Eingaben!$B$13,"")))</f>
        <v>15.0654</v>
      </c>
      <c r="I2413" s="6">
        <f>INDEX(Netzzeiten!$C$6:$C$29,HOUR(B2413)+1)</f>
        <v>1.64</v>
      </c>
      <c r="J2413" t="str">
        <f>IF(C2413="","FEHLT",IF(NOT(ISNUMBER(C2413)),"MESSWERT UNGUELTIG",IF(C2413&lt;0,"MESSWERT UNGUELTIG",IF(H2413="","TARIFPREIS FEHLT","OK"))))</f>
        <v>FEHLT</v>
      </c>
      <c r="K2413" s="7">
        <f>IF(J2413&lt;&gt;"OK","",C2413*I2413/100)</f>
        <v/>
      </c>
    </row>
    <row r="2414" spans="1:11">
      <c r="A2414" s="14">
        <v>46168</v>
      </c>
      <c r="B2414" s="15">
        <v>0.08333333333333333</v>
      </c>
      <c r="C2414" s="5">
        <f>IF('96 Werte'!J31="","",'96 Werte'!J31)</f>
        <v/>
      </c>
      <c r="D2414" t="str">
        <f>IF(IF(Eingaben!$B$21&lt;Eingaben!$B$22,AND(B2414&gt;=Eingaben!$B$21,B2414&lt;Eingaben!$B$22),OR(B2414&gt;=Eingaben!$B$21,B2414&lt;Eingaben!$B$22)),"GO",IF(AND(ISNUMBER(Eingaben!$B$23),ISNUMBER(Eingaben!$B$24),IF(Eingaben!$B$23&lt;Eingaben!$B$24,AND(B2414&gt;=Eingaben!$B$23,B2414&lt;Eingaben!$B$24),OR(B2414&gt;=Eingaben!$B$23,B2414&lt;Eingaben!$B$24))),"HEAT","STANDARD"))</f>
        <v>GO</v>
      </c>
      <c r="E2414" s="9"/>
      <c r="F2414" t="str">
        <f>IF(E2414="",D2414,E2414)</f>
        <v>GO</v>
      </c>
      <c r="G2414" t="str">
        <f>INDEX(Netzzeiten!$B$6:$B$29,HOUR(B2414)+1)</f>
        <v>NT</v>
      </c>
      <c r="H2414" s="6">
        <f>IF(F2414="GO",Eingaben!$B$11,IF(F2414="STANDARD",Eingaben!$B$12,IF(AND(F2414="HEAT",ISNUMBER(Eingaben!$B$13)),Eingaben!$B$13,"")))</f>
        <v>15.0654</v>
      </c>
      <c r="I2414" s="6">
        <f>INDEX(Netzzeiten!$C$6:$C$29,HOUR(B2414)+1)</f>
        <v>1.64</v>
      </c>
      <c r="J2414" t="str">
        <f>IF(C2414="","FEHLT",IF(NOT(ISNUMBER(C2414)),"MESSWERT UNGUELTIG",IF(C2414&lt;0,"MESSWERT UNGUELTIG",IF(H2414="","TARIFPREIS FEHLT","OK"))))</f>
        <v>FEHLT</v>
      </c>
      <c r="K2414" s="7">
        <f>IF(J2414&lt;&gt;"OK","",C2414*I2414/100)</f>
        <v/>
      </c>
    </row>
    <row r="2415" spans="1:11">
      <c r="A2415" s="14">
        <v>46168</v>
      </c>
      <c r="B2415" s="15">
        <v>0.09375</v>
      </c>
      <c r="C2415" s="5">
        <f>IF('96 Werte'!K31="","",'96 Werte'!K31)</f>
        <v/>
      </c>
      <c r="D2415" t="str">
        <f>IF(IF(Eingaben!$B$21&lt;Eingaben!$B$22,AND(B2415&gt;=Eingaben!$B$21,B2415&lt;Eingaben!$B$22),OR(B2415&gt;=Eingaben!$B$21,B2415&lt;Eingaben!$B$22)),"GO",IF(AND(ISNUMBER(Eingaben!$B$23),ISNUMBER(Eingaben!$B$24),IF(Eingaben!$B$23&lt;Eingaben!$B$24,AND(B2415&gt;=Eingaben!$B$23,B2415&lt;Eingaben!$B$24),OR(B2415&gt;=Eingaben!$B$23,B2415&lt;Eingaben!$B$24))),"HEAT","STANDARD"))</f>
        <v>GO</v>
      </c>
      <c r="E2415" s="9"/>
      <c r="F2415" t="str">
        <f>IF(E2415="",D2415,E2415)</f>
        <v>GO</v>
      </c>
      <c r="G2415" t="str">
        <f>INDEX(Netzzeiten!$B$6:$B$29,HOUR(B2415)+1)</f>
        <v>NT</v>
      </c>
      <c r="H2415" s="6">
        <f>IF(F2415="GO",Eingaben!$B$11,IF(F2415="STANDARD",Eingaben!$B$12,IF(AND(F2415="HEAT",ISNUMBER(Eingaben!$B$13)),Eingaben!$B$13,"")))</f>
        <v>15.0654</v>
      </c>
      <c r="I2415" s="6">
        <f>INDEX(Netzzeiten!$C$6:$C$29,HOUR(B2415)+1)</f>
        <v>1.64</v>
      </c>
      <c r="J2415" t="str">
        <f>IF(C2415="","FEHLT",IF(NOT(ISNUMBER(C2415)),"MESSWERT UNGUELTIG",IF(C2415&lt;0,"MESSWERT UNGUELTIG",IF(H2415="","TARIFPREIS FEHLT","OK"))))</f>
        <v>FEHLT</v>
      </c>
      <c r="K2415" s="7">
        <f>IF(J2415&lt;&gt;"OK","",C2415*I2415/100)</f>
        <v/>
      </c>
    </row>
    <row r="2416" spans="1:11">
      <c r="A2416" s="14">
        <v>46168</v>
      </c>
      <c r="B2416" s="15">
        <v>0.1041666666666667</v>
      </c>
      <c r="C2416" s="5">
        <f>IF('96 Werte'!L31="","",'96 Werte'!L31)</f>
        <v/>
      </c>
      <c r="D2416" t="str">
        <f>IF(IF(Eingaben!$B$21&lt;Eingaben!$B$22,AND(B2416&gt;=Eingaben!$B$21,B2416&lt;Eingaben!$B$22),OR(B2416&gt;=Eingaben!$B$21,B2416&lt;Eingaben!$B$22)),"GO",IF(AND(ISNUMBER(Eingaben!$B$23),ISNUMBER(Eingaben!$B$24),IF(Eingaben!$B$23&lt;Eingaben!$B$24,AND(B2416&gt;=Eingaben!$B$23,B2416&lt;Eingaben!$B$24),OR(B2416&gt;=Eingaben!$B$23,B2416&lt;Eingaben!$B$24))),"HEAT","STANDARD"))</f>
        <v>GO</v>
      </c>
      <c r="E2416" s="9"/>
      <c r="F2416" t="str">
        <f>IF(E2416="",D2416,E2416)</f>
        <v>GO</v>
      </c>
      <c r="G2416" t="str">
        <f>INDEX(Netzzeiten!$B$6:$B$29,HOUR(B2416)+1)</f>
        <v>NT</v>
      </c>
      <c r="H2416" s="6">
        <f>IF(F2416="GO",Eingaben!$B$11,IF(F2416="STANDARD",Eingaben!$B$12,IF(AND(F2416="HEAT",ISNUMBER(Eingaben!$B$13)),Eingaben!$B$13,"")))</f>
        <v>15.0654</v>
      </c>
      <c r="I2416" s="6">
        <f>INDEX(Netzzeiten!$C$6:$C$29,HOUR(B2416)+1)</f>
        <v>1.64</v>
      </c>
      <c r="J2416" t="str">
        <f>IF(C2416="","FEHLT",IF(NOT(ISNUMBER(C2416)),"MESSWERT UNGUELTIG",IF(C2416&lt;0,"MESSWERT UNGUELTIG",IF(H2416="","TARIFPREIS FEHLT","OK"))))</f>
        <v>FEHLT</v>
      </c>
      <c r="K2416" s="7">
        <f>IF(J2416&lt;&gt;"OK","",C2416*I2416/100)</f>
        <v/>
      </c>
    </row>
    <row r="2417" spans="1:11">
      <c r="A2417" s="14">
        <v>46168</v>
      </c>
      <c r="B2417" s="15">
        <v>0.1145833333333333</v>
      </c>
      <c r="C2417" s="5">
        <f>IF('96 Werte'!M31="","",'96 Werte'!M31)</f>
        <v/>
      </c>
      <c r="D2417" t="str">
        <f>IF(IF(Eingaben!$B$21&lt;Eingaben!$B$22,AND(B2417&gt;=Eingaben!$B$21,B2417&lt;Eingaben!$B$22),OR(B2417&gt;=Eingaben!$B$21,B2417&lt;Eingaben!$B$22)),"GO",IF(AND(ISNUMBER(Eingaben!$B$23),ISNUMBER(Eingaben!$B$24),IF(Eingaben!$B$23&lt;Eingaben!$B$24,AND(B2417&gt;=Eingaben!$B$23,B2417&lt;Eingaben!$B$24),OR(B2417&gt;=Eingaben!$B$23,B2417&lt;Eingaben!$B$24))),"HEAT","STANDARD"))</f>
        <v>GO</v>
      </c>
      <c r="E2417" s="9"/>
      <c r="F2417" t="str">
        <f>IF(E2417="",D2417,E2417)</f>
        <v>GO</v>
      </c>
      <c r="G2417" t="str">
        <f>INDEX(Netzzeiten!$B$6:$B$29,HOUR(B2417)+1)</f>
        <v>NT</v>
      </c>
      <c r="H2417" s="6">
        <f>IF(F2417="GO",Eingaben!$B$11,IF(F2417="STANDARD",Eingaben!$B$12,IF(AND(F2417="HEAT",ISNUMBER(Eingaben!$B$13)),Eingaben!$B$13,"")))</f>
        <v>15.0654</v>
      </c>
      <c r="I2417" s="6">
        <f>INDEX(Netzzeiten!$C$6:$C$29,HOUR(B2417)+1)</f>
        <v>1.64</v>
      </c>
      <c r="J2417" t="str">
        <f>IF(C2417="","FEHLT",IF(NOT(ISNUMBER(C2417)),"MESSWERT UNGUELTIG",IF(C2417&lt;0,"MESSWERT UNGUELTIG",IF(H2417="","TARIFPREIS FEHLT","OK"))))</f>
        <v>FEHLT</v>
      </c>
      <c r="K2417" s="7">
        <f>IF(J2417&lt;&gt;"OK","",C2417*I2417/100)</f>
        <v/>
      </c>
    </row>
    <row r="2418" spans="1:11">
      <c r="A2418" s="14">
        <v>46168</v>
      </c>
      <c r="B2418" s="15">
        <v>0.125</v>
      </c>
      <c r="C2418" s="5">
        <f>IF('96 Werte'!N31="","",'96 Werte'!N31)</f>
        <v/>
      </c>
      <c r="D2418" t="str">
        <f>IF(IF(Eingaben!$B$21&lt;Eingaben!$B$22,AND(B2418&gt;=Eingaben!$B$21,B2418&lt;Eingaben!$B$22),OR(B2418&gt;=Eingaben!$B$21,B2418&lt;Eingaben!$B$22)),"GO",IF(AND(ISNUMBER(Eingaben!$B$23),ISNUMBER(Eingaben!$B$24),IF(Eingaben!$B$23&lt;Eingaben!$B$24,AND(B2418&gt;=Eingaben!$B$23,B2418&lt;Eingaben!$B$24),OR(B2418&gt;=Eingaben!$B$23,B2418&lt;Eingaben!$B$24))),"HEAT","STANDARD"))</f>
        <v>GO</v>
      </c>
      <c r="E2418" s="9"/>
      <c r="F2418" t="str">
        <f>IF(E2418="",D2418,E2418)</f>
        <v>GO</v>
      </c>
      <c r="G2418" t="str">
        <f>INDEX(Netzzeiten!$B$6:$B$29,HOUR(B2418)+1)</f>
        <v>NT</v>
      </c>
      <c r="H2418" s="6">
        <f>IF(F2418="GO",Eingaben!$B$11,IF(F2418="STANDARD",Eingaben!$B$12,IF(AND(F2418="HEAT",ISNUMBER(Eingaben!$B$13)),Eingaben!$B$13,"")))</f>
        <v>15.0654</v>
      </c>
      <c r="I2418" s="6">
        <f>INDEX(Netzzeiten!$C$6:$C$29,HOUR(B2418)+1)</f>
        <v>1.64</v>
      </c>
      <c r="J2418" t="str">
        <f>IF(C2418="","FEHLT",IF(NOT(ISNUMBER(C2418)),"MESSWERT UNGUELTIG",IF(C2418&lt;0,"MESSWERT UNGUELTIG",IF(H2418="","TARIFPREIS FEHLT","OK"))))</f>
        <v>FEHLT</v>
      </c>
      <c r="K2418" s="7">
        <f>IF(J2418&lt;&gt;"OK","",C2418*I2418/100)</f>
        <v/>
      </c>
    </row>
    <row r="2419" spans="1:11">
      <c r="A2419" s="14">
        <v>46168</v>
      </c>
      <c r="B2419" s="15">
        <v>0.1354166666666667</v>
      </c>
      <c r="C2419" s="5">
        <f>IF('96 Werte'!O31="","",'96 Werte'!O31)</f>
        <v/>
      </c>
      <c r="D2419" t="str">
        <f>IF(IF(Eingaben!$B$21&lt;Eingaben!$B$22,AND(B2419&gt;=Eingaben!$B$21,B2419&lt;Eingaben!$B$22),OR(B2419&gt;=Eingaben!$B$21,B2419&lt;Eingaben!$B$22)),"GO",IF(AND(ISNUMBER(Eingaben!$B$23),ISNUMBER(Eingaben!$B$24),IF(Eingaben!$B$23&lt;Eingaben!$B$24,AND(B2419&gt;=Eingaben!$B$23,B2419&lt;Eingaben!$B$24),OR(B2419&gt;=Eingaben!$B$23,B2419&lt;Eingaben!$B$24))),"HEAT","STANDARD"))</f>
        <v>GO</v>
      </c>
      <c r="E2419" s="9"/>
      <c r="F2419" t="str">
        <f>IF(E2419="",D2419,E2419)</f>
        <v>GO</v>
      </c>
      <c r="G2419" t="str">
        <f>INDEX(Netzzeiten!$B$6:$B$29,HOUR(B2419)+1)</f>
        <v>NT</v>
      </c>
      <c r="H2419" s="6">
        <f>IF(F2419="GO",Eingaben!$B$11,IF(F2419="STANDARD",Eingaben!$B$12,IF(AND(F2419="HEAT",ISNUMBER(Eingaben!$B$13)),Eingaben!$B$13,"")))</f>
        <v>15.0654</v>
      </c>
      <c r="I2419" s="6">
        <f>INDEX(Netzzeiten!$C$6:$C$29,HOUR(B2419)+1)</f>
        <v>1.64</v>
      </c>
      <c r="J2419" t="str">
        <f>IF(C2419="","FEHLT",IF(NOT(ISNUMBER(C2419)),"MESSWERT UNGUELTIG",IF(C2419&lt;0,"MESSWERT UNGUELTIG",IF(H2419="","TARIFPREIS FEHLT","OK"))))</f>
        <v>FEHLT</v>
      </c>
      <c r="K2419" s="7">
        <f>IF(J2419&lt;&gt;"OK","",C2419*I2419/100)</f>
        <v/>
      </c>
    </row>
    <row r="2420" spans="1:11">
      <c r="A2420" s="14">
        <v>46168</v>
      </c>
      <c r="B2420" s="15">
        <v>0.1458333333333333</v>
      </c>
      <c r="C2420" s="5">
        <f>IF('96 Werte'!P31="","",'96 Werte'!P31)</f>
        <v/>
      </c>
      <c r="D2420" t="str">
        <f>IF(IF(Eingaben!$B$21&lt;Eingaben!$B$22,AND(B2420&gt;=Eingaben!$B$21,B2420&lt;Eingaben!$B$22),OR(B2420&gt;=Eingaben!$B$21,B2420&lt;Eingaben!$B$22)),"GO",IF(AND(ISNUMBER(Eingaben!$B$23),ISNUMBER(Eingaben!$B$24),IF(Eingaben!$B$23&lt;Eingaben!$B$24,AND(B2420&gt;=Eingaben!$B$23,B2420&lt;Eingaben!$B$24),OR(B2420&gt;=Eingaben!$B$23,B2420&lt;Eingaben!$B$24))),"HEAT","STANDARD"))</f>
        <v>GO</v>
      </c>
      <c r="E2420" s="9"/>
      <c r="F2420" t="str">
        <f>IF(E2420="",D2420,E2420)</f>
        <v>GO</v>
      </c>
      <c r="G2420" t="str">
        <f>INDEX(Netzzeiten!$B$6:$B$29,HOUR(B2420)+1)</f>
        <v>NT</v>
      </c>
      <c r="H2420" s="6">
        <f>IF(F2420="GO",Eingaben!$B$11,IF(F2420="STANDARD",Eingaben!$B$12,IF(AND(F2420="HEAT",ISNUMBER(Eingaben!$B$13)),Eingaben!$B$13,"")))</f>
        <v>15.0654</v>
      </c>
      <c r="I2420" s="6">
        <f>INDEX(Netzzeiten!$C$6:$C$29,HOUR(B2420)+1)</f>
        <v>1.64</v>
      </c>
      <c r="J2420" t="str">
        <f>IF(C2420="","FEHLT",IF(NOT(ISNUMBER(C2420)),"MESSWERT UNGUELTIG",IF(C2420&lt;0,"MESSWERT UNGUELTIG",IF(H2420="","TARIFPREIS FEHLT","OK"))))</f>
        <v>FEHLT</v>
      </c>
      <c r="K2420" s="7">
        <f>IF(J2420&lt;&gt;"OK","",C2420*I2420/100)</f>
        <v/>
      </c>
    </row>
    <row r="2421" spans="1:11">
      <c r="A2421" s="14">
        <v>46168</v>
      </c>
      <c r="B2421" s="15">
        <v>0.15625</v>
      </c>
      <c r="C2421" s="5">
        <f>IF('96 Werte'!Q31="","",'96 Werte'!Q31)</f>
        <v/>
      </c>
      <c r="D2421" t="str">
        <f>IF(IF(Eingaben!$B$21&lt;Eingaben!$B$22,AND(B2421&gt;=Eingaben!$B$21,B2421&lt;Eingaben!$B$22),OR(B2421&gt;=Eingaben!$B$21,B2421&lt;Eingaben!$B$22)),"GO",IF(AND(ISNUMBER(Eingaben!$B$23),ISNUMBER(Eingaben!$B$24),IF(Eingaben!$B$23&lt;Eingaben!$B$24,AND(B2421&gt;=Eingaben!$B$23,B2421&lt;Eingaben!$B$24),OR(B2421&gt;=Eingaben!$B$23,B2421&lt;Eingaben!$B$24))),"HEAT","STANDARD"))</f>
        <v>GO</v>
      </c>
      <c r="E2421" s="9"/>
      <c r="F2421" t="str">
        <f>IF(E2421="",D2421,E2421)</f>
        <v>GO</v>
      </c>
      <c r="G2421" t="str">
        <f>INDEX(Netzzeiten!$B$6:$B$29,HOUR(B2421)+1)</f>
        <v>NT</v>
      </c>
      <c r="H2421" s="6">
        <f>IF(F2421="GO",Eingaben!$B$11,IF(F2421="STANDARD",Eingaben!$B$12,IF(AND(F2421="HEAT",ISNUMBER(Eingaben!$B$13)),Eingaben!$B$13,"")))</f>
        <v>15.0654</v>
      </c>
      <c r="I2421" s="6">
        <f>INDEX(Netzzeiten!$C$6:$C$29,HOUR(B2421)+1)</f>
        <v>1.64</v>
      </c>
      <c r="J2421" t="str">
        <f>IF(C2421="","FEHLT",IF(NOT(ISNUMBER(C2421)),"MESSWERT UNGUELTIG",IF(C2421&lt;0,"MESSWERT UNGUELTIG",IF(H2421="","TARIFPREIS FEHLT","OK"))))</f>
        <v>FEHLT</v>
      </c>
      <c r="K2421" s="7">
        <f>IF(J2421&lt;&gt;"OK","",C2421*I2421/100)</f>
        <v/>
      </c>
    </row>
    <row r="2422" spans="1:11">
      <c r="A2422" s="14">
        <v>46168</v>
      </c>
      <c r="B2422" s="15">
        <v>0.1666666666666667</v>
      </c>
      <c r="C2422" s="5">
        <f>IF('96 Werte'!R31="","",'96 Werte'!R31)</f>
        <v/>
      </c>
      <c r="D2422" t="str">
        <f>IF(IF(Eingaben!$B$21&lt;Eingaben!$B$22,AND(B2422&gt;=Eingaben!$B$21,B2422&lt;Eingaben!$B$22),OR(B2422&gt;=Eingaben!$B$21,B2422&lt;Eingaben!$B$22)),"GO",IF(AND(ISNUMBER(Eingaben!$B$23),ISNUMBER(Eingaben!$B$24),IF(Eingaben!$B$23&lt;Eingaben!$B$24,AND(B2422&gt;=Eingaben!$B$23,B2422&lt;Eingaben!$B$24),OR(B2422&gt;=Eingaben!$B$23,B2422&lt;Eingaben!$B$24))),"HEAT","STANDARD"))</f>
        <v>GO</v>
      </c>
      <c r="E2422" s="9"/>
      <c r="F2422" t="str">
        <f>IF(E2422="",D2422,E2422)</f>
        <v>GO</v>
      </c>
      <c r="G2422" t="str">
        <f>INDEX(Netzzeiten!$B$6:$B$29,HOUR(B2422)+1)</f>
        <v>NT</v>
      </c>
      <c r="H2422" s="6">
        <f>IF(F2422="GO",Eingaben!$B$11,IF(F2422="STANDARD",Eingaben!$B$12,IF(AND(F2422="HEAT",ISNUMBER(Eingaben!$B$13)),Eingaben!$B$13,"")))</f>
        <v>15.0654</v>
      </c>
      <c r="I2422" s="6">
        <f>INDEX(Netzzeiten!$C$6:$C$29,HOUR(B2422)+1)</f>
        <v>1.64</v>
      </c>
      <c r="J2422" t="str">
        <f>IF(C2422="","FEHLT",IF(NOT(ISNUMBER(C2422)),"MESSWERT UNGUELTIG",IF(C2422&lt;0,"MESSWERT UNGUELTIG",IF(H2422="","TARIFPREIS FEHLT","OK"))))</f>
        <v>FEHLT</v>
      </c>
      <c r="K2422" s="7">
        <f>IF(J2422&lt;&gt;"OK","",C2422*I2422/100)</f>
        <v/>
      </c>
    </row>
    <row r="2423" spans="1:11">
      <c r="A2423" s="14">
        <v>46168</v>
      </c>
      <c r="B2423" s="15">
        <v>0.1770833333333333</v>
      </c>
      <c r="C2423" s="5">
        <f>IF('96 Werte'!S31="","",'96 Werte'!S31)</f>
        <v/>
      </c>
      <c r="D2423" t="str">
        <f>IF(IF(Eingaben!$B$21&lt;Eingaben!$B$22,AND(B2423&gt;=Eingaben!$B$21,B2423&lt;Eingaben!$B$22),OR(B2423&gt;=Eingaben!$B$21,B2423&lt;Eingaben!$B$22)),"GO",IF(AND(ISNUMBER(Eingaben!$B$23),ISNUMBER(Eingaben!$B$24),IF(Eingaben!$B$23&lt;Eingaben!$B$24,AND(B2423&gt;=Eingaben!$B$23,B2423&lt;Eingaben!$B$24),OR(B2423&gt;=Eingaben!$B$23,B2423&lt;Eingaben!$B$24))),"HEAT","STANDARD"))</f>
        <v>GO</v>
      </c>
      <c r="E2423" s="9"/>
      <c r="F2423" t="str">
        <f>IF(E2423="",D2423,E2423)</f>
        <v>GO</v>
      </c>
      <c r="G2423" t="str">
        <f>INDEX(Netzzeiten!$B$6:$B$29,HOUR(B2423)+1)</f>
        <v>NT</v>
      </c>
      <c r="H2423" s="6">
        <f>IF(F2423="GO",Eingaben!$B$11,IF(F2423="STANDARD",Eingaben!$B$12,IF(AND(F2423="HEAT",ISNUMBER(Eingaben!$B$13)),Eingaben!$B$13,"")))</f>
        <v>15.0654</v>
      </c>
      <c r="I2423" s="6">
        <f>INDEX(Netzzeiten!$C$6:$C$29,HOUR(B2423)+1)</f>
        <v>1.64</v>
      </c>
      <c r="J2423" t="str">
        <f>IF(C2423="","FEHLT",IF(NOT(ISNUMBER(C2423)),"MESSWERT UNGUELTIG",IF(C2423&lt;0,"MESSWERT UNGUELTIG",IF(H2423="","TARIFPREIS FEHLT","OK"))))</f>
        <v>FEHLT</v>
      </c>
      <c r="K2423" s="7">
        <f>IF(J2423&lt;&gt;"OK","",C2423*I2423/100)</f>
        <v/>
      </c>
    </row>
    <row r="2424" spans="1:11">
      <c r="A2424" s="14">
        <v>46168</v>
      </c>
      <c r="B2424" s="15">
        <v>0.1875</v>
      </c>
      <c r="C2424" s="5">
        <f>IF('96 Werte'!T31="","",'96 Werte'!T31)</f>
        <v/>
      </c>
      <c r="D2424" t="str">
        <f>IF(IF(Eingaben!$B$21&lt;Eingaben!$B$22,AND(B2424&gt;=Eingaben!$B$21,B2424&lt;Eingaben!$B$22),OR(B2424&gt;=Eingaben!$B$21,B2424&lt;Eingaben!$B$22)),"GO",IF(AND(ISNUMBER(Eingaben!$B$23),ISNUMBER(Eingaben!$B$24),IF(Eingaben!$B$23&lt;Eingaben!$B$24,AND(B2424&gt;=Eingaben!$B$23,B2424&lt;Eingaben!$B$24),OR(B2424&gt;=Eingaben!$B$23,B2424&lt;Eingaben!$B$24))),"HEAT","STANDARD"))</f>
        <v>GO</v>
      </c>
      <c r="E2424" s="9"/>
      <c r="F2424" t="str">
        <f>IF(E2424="",D2424,E2424)</f>
        <v>GO</v>
      </c>
      <c r="G2424" t="str">
        <f>INDEX(Netzzeiten!$B$6:$B$29,HOUR(B2424)+1)</f>
        <v>NT</v>
      </c>
      <c r="H2424" s="6">
        <f>IF(F2424="GO",Eingaben!$B$11,IF(F2424="STANDARD",Eingaben!$B$12,IF(AND(F2424="HEAT",ISNUMBER(Eingaben!$B$13)),Eingaben!$B$13,"")))</f>
        <v>15.0654</v>
      </c>
      <c r="I2424" s="6">
        <f>INDEX(Netzzeiten!$C$6:$C$29,HOUR(B2424)+1)</f>
        <v>1.64</v>
      </c>
      <c r="J2424" t="str">
        <f>IF(C2424="","FEHLT",IF(NOT(ISNUMBER(C2424)),"MESSWERT UNGUELTIG",IF(C2424&lt;0,"MESSWERT UNGUELTIG",IF(H2424="","TARIFPREIS FEHLT","OK"))))</f>
        <v>FEHLT</v>
      </c>
      <c r="K2424" s="7">
        <f>IF(J2424&lt;&gt;"OK","",C2424*I2424/100)</f>
        <v/>
      </c>
    </row>
    <row r="2425" spans="1:11">
      <c r="A2425" s="14">
        <v>46168</v>
      </c>
      <c r="B2425" s="15">
        <v>0.1979166666666667</v>
      </c>
      <c r="C2425" s="5">
        <f>IF('96 Werte'!U31="","",'96 Werte'!U31)</f>
        <v/>
      </c>
      <c r="D2425" t="str">
        <f>IF(IF(Eingaben!$B$21&lt;Eingaben!$B$22,AND(B2425&gt;=Eingaben!$B$21,B2425&lt;Eingaben!$B$22),OR(B2425&gt;=Eingaben!$B$21,B2425&lt;Eingaben!$B$22)),"GO",IF(AND(ISNUMBER(Eingaben!$B$23),ISNUMBER(Eingaben!$B$24),IF(Eingaben!$B$23&lt;Eingaben!$B$24,AND(B2425&gt;=Eingaben!$B$23,B2425&lt;Eingaben!$B$24),OR(B2425&gt;=Eingaben!$B$23,B2425&lt;Eingaben!$B$24))),"HEAT","STANDARD"))</f>
        <v>GO</v>
      </c>
      <c r="E2425" s="9"/>
      <c r="F2425" t="str">
        <f>IF(E2425="",D2425,E2425)</f>
        <v>GO</v>
      </c>
      <c r="G2425" t="str">
        <f>INDEX(Netzzeiten!$B$6:$B$29,HOUR(B2425)+1)</f>
        <v>NT</v>
      </c>
      <c r="H2425" s="6">
        <f>IF(F2425="GO",Eingaben!$B$11,IF(F2425="STANDARD",Eingaben!$B$12,IF(AND(F2425="HEAT",ISNUMBER(Eingaben!$B$13)),Eingaben!$B$13,"")))</f>
        <v>15.0654</v>
      </c>
      <c r="I2425" s="6">
        <f>INDEX(Netzzeiten!$C$6:$C$29,HOUR(B2425)+1)</f>
        <v>1.64</v>
      </c>
      <c r="J2425" t="str">
        <f>IF(C2425="","FEHLT",IF(NOT(ISNUMBER(C2425)),"MESSWERT UNGUELTIG",IF(C2425&lt;0,"MESSWERT UNGUELTIG",IF(H2425="","TARIFPREIS FEHLT","OK"))))</f>
        <v>FEHLT</v>
      </c>
      <c r="K2425" s="7">
        <f>IF(J2425&lt;&gt;"OK","",C2425*I2425/100)</f>
        <v/>
      </c>
    </row>
    <row r="2426" spans="1:11">
      <c r="A2426" s="14">
        <v>46168</v>
      </c>
      <c r="B2426" s="15">
        <v>0.2083333333333333</v>
      </c>
      <c r="C2426" s="5">
        <f>IF('96 Werte'!V31="","",'96 Werte'!V31)</f>
        <v/>
      </c>
      <c r="D2426" t="str">
        <f>IF(IF(Eingaben!$B$21&lt;Eingaben!$B$22,AND(B2426&gt;=Eingaben!$B$21,B2426&lt;Eingaben!$B$22),OR(B2426&gt;=Eingaben!$B$21,B2426&lt;Eingaben!$B$22)),"GO",IF(AND(ISNUMBER(Eingaben!$B$23),ISNUMBER(Eingaben!$B$24),IF(Eingaben!$B$23&lt;Eingaben!$B$24,AND(B2426&gt;=Eingaben!$B$23,B2426&lt;Eingaben!$B$24),OR(B2426&gt;=Eingaben!$B$23,B2426&lt;Eingaben!$B$24))),"HEAT","STANDARD"))</f>
        <v>STANDARD</v>
      </c>
      <c r="E2426" s="9"/>
      <c r="F2426" t="str">
        <f>IF(E2426="",D2426,E2426)</f>
        <v>STANDARD</v>
      </c>
      <c r="G2426" t="str">
        <f>INDEX(Netzzeiten!$B$6:$B$29,HOUR(B2426)+1)</f>
        <v>NT</v>
      </c>
      <c r="H2426" s="6">
        <f>IF(F2426="GO",Eingaben!$B$11,IF(F2426="STANDARD",Eingaben!$B$12,IF(AND(F2426="HEAT",ISNUMBER(Eingaben!$B$13)),Eingaben!$B$13,"")))</f>
        <v>28.2744</v>
      </c>
      <c r="I2426" s="6">
        <f>INDEX(Netzzeiten!$C$6:$C$29,HOUR(B2426)+1)</f>
        <v>1.64</v>
      </c>
      <c r="J2426" t="str">
        <f>IF(C2426="","FEHLT",IF(NOT(ISNUMBER(C2426)),"MESSWERT UNGUELTIG",IF(C2426&lt;0,"MESSWERT UNGUELTIG",IF(H2426="","TARIFPREIS FEHLT","OK"))))</f>
        <v>FEHLT</v>
      </c>
      <c r="K2426" s="7">
        <f>IF(J2426&lt;&gt;"OK","",C2426*I2426/100)</f>
        <v/>
      </c>
    </row>
    <row r="2427" spans="1:11">
      <c r="A2427" s="14">
        <v>46168</v>
      </c>
      <c r="B2427" s="15">
        <v>0.21875</v>
      </c>
      <c r="C2427" s="5">
        <f>IF('96 Werte'!W31="","",'96 Werte'!W31)</f>
        <v/>
      </c>
      <c r="D2427" t="str">
        <f>IF(IF(Eingaben!$B$21&lt;Eingaben!$B$22,AND(B2427&gt;=Eingaben!$B$21,B2427&lt;Eingaben!$B$22),OR(B2427&gt;=Eingaben!$B$21,B2427&lt;Eingaben!$B$22)),"GO",IF(AND(ISNUMBER(Eingaben!$B$23),ISNUMBER(Eingaben!$B$24),IF(Eingaben!$B$23&lt;Eingaben!$B$24,AND(B2427&gt;=Eingaben!$B$23,B2427&lt;Eingaben!$B$24),OR(B2427&gt;=Eingaben!$B$23,B2427&lt;Eingaben!$B$24))),"HEAT","STANDARD"))</f>
        <v>STANDARD</v>
      </c>
      <c r="E2427" s="9"/>
      <c r="F2427" t="str">
        <f>IF(E2427="",D2427,E2427)</f>
        <v>STANDARD</v>
      </c>
      <c r="G2427" t="str">
        <f>INDEX(Netzzeiten!$B$6:$B$29,HOUR(B2427)+1)</f>
        <v>NT</v>
      </c>
      <c r="H2427" s="6">
        <f>IF(F2427="GO",Eingaben!$B$11,IF(F2427="STANDARD",Eingaben!$B$12,IF(AND(F2427="HEAT",ISNUMBER(Eingaben!$B$13)),Eingaben!$B$13,"")))</f>
        <v>28.2744</v>
      </c>
      <c r="I2427" s="6">
        <f>INDEX(Netzzeiten!$C$6:$C$29,HOUR(B2427)+1)</f>
        <v>1.64</v>
      </c>
      <c r="J2427" t="str">
        <f>IF(C2427="","FEHLT",IF(NOT(ISNUMBER(C2427)),"MESSWERT UNGUELTIG",IF(C2427&lt;0,"MESSWERT UNGUELTIG",IF(H2427="","TARIFPREIS FEHLT","OK"))))</f>
        <v>FEHLT</v>
      </c>
      <c r="K2427" s="7">
        <f>IF(J2427&lt;&gt;"OK","",C2427*I2427/100)</f>
        <v/>
      </c>
    </row>
    <row r="2428" spans="1:11">
      <c r="A2428" s="14">
        <v>46168</v>
      </c>
      <c r="B2428" s="15">
        <v>0.2291666666666667</v>
      </c>
      <c r="C2428" s="5">
        <f>IF('96 Werte'!X31="","",'96 Werte'!X31)</f>
        <v/>
      </c>
      <c r="D2428" t="str">
        <f>IF(IF(Eingaben!$B$21&lt;Eingaben!$B$22,AND(B2428&gt;=Eingaben!$B$21,B2428&lt;Eingaben!$B$22),OR(B2428&gt;=Eingaben!$B$21,B2428&lt;Eingaben!$B$22)),"GO",IF(AND(ISNUMBER(Eingaben!$B$23),ISNUMBER(Eingaben!$B$24),IF(Eingaben!$B$23&lt;Eingaben!$B$24,AND(B2428&gt;=Eingaben!$B$23,B2428&lt;Eingaben!$B$24),OR(B2428&gt;=Eingaben!$B$23,B2428&lt;Eingaben!$B$24))),"HEAT","STANDARD"))</f>
        <v>STANDARD</v>
      </c>
      <c r="E2428" s="9"/>
      <c r="F2428" t="str">
        <f>IF(E2428="",D2428,E2428)</f>
        <v>STANDARD</v>
      </c>
      <c r="G2428" t="str">
        <f>INDEX(Netzzeiten!$B$6:$B$29,HOUR(B2428)+1)</f>
        <v>NT</v>
      </c>
      <c r="H2428" s="6">
        <f>IF(F2428="GO",Eingaben!$B$11,IF(F2428="STANDARD",Eingaben!$B$12,IF(AND(F2428="HEAT",ISNUMBER(Eingaben!$B$13)),Eingaben!$B$13,"")))</f>
        <v>28.2744</v>
      </c>
      <c r="I2428" s="6">
        <f>INDEX(Netzzeiten!$C$6:$C$29,HOUR(B2428)+1)</f>
        <v>1.64</v>
      </c>
      <c r="J2428" t="str">
        <f>IF(C2428="","FEHLT",IF(NOT(ISNUMBER(C2428)),"MESSWERT UNGUELTIG",IF(C2428&lt;0,"MESSWERT UNGUELTIG",IF(H2428="","TARIFPREIS FEHLT","OK"))))</f>
        <v>FEHLT</v>
      </c>
      <c r="K2428" s="7">
        <f>IF(J2428&lt;&gt;"OK","",C2428*I2428/100)</f>
        <v/>
      </c>
    </row>
    <row r="2429" spans="1:11">
      <c r="A2429" s="14">
        <v>46168</v>
      </c>
      <c r="B2429" s="15">
        <v>0.2395833333333333</v>
      </c>
      <c r="C2429" s="5">
        <f>IF('96 Werte'!Y31="","",'96 Werte'!Y31)</f>
        <v/>
      </c>
      <c r="D2429" t="str">
        <f>IF(IF(Eingaben!$B$21&lt;Eingaben!$B$22,AND(B2429&gt;=Eingaben!$B$21,B2429&lt;Eingaben!$B$22),OR(B2429&gt;=Eingaben!$B$21,B2429&lt;Eingaben!$B$22)),"GO",IF(AND(ISNUMBER(Eingaben!$B$23),ISNUMBER(Eingaben!$B$24),IF(Eingaben!$B$23&lt;Eingaben!$B$24,AND(B2429&gt;=Eingaben!$B$23,B2429&lt;Eingaben!$B$24),OR(B2429&gt;=Eingaben!$B$23,B2429&lt;Eingaben!$B$24))),"HEAT","STANDARD"))</f>
        <v>STANDARD</v>
      </c>
      <c r="E2429" s="9"/>
      <c r="F2429" t="str">
        <f>IF(E2429="",D2429,E2429)</f>
        <v>STANDARD</v>
      </c>
      <c r="G2429" t="str">
        <f>INDEX(Netzzeiten!$B$6:$B$29,HOUR(B2429)+1)</f>
        <v>NT</v>
      </c>
      <c r="H2429" s="6">
        <f>IF(F2429="GO",Eingaben!$B$11,IF(F2429="STANDARD",Eingaben!$B$12,IF(AND(F2429="HEAT",ISNUMBER(Eingaben!$B$13)),Eingaben!$B$13,"")))</f>
        <v>28.2744</v>
      </c>
      <c r="I2429" s="6">
        <f>INDEX(Netzzeiten!$C$6:$C$29,HOUR(B2429)+1)</f>
        <v>1.64</v>
      </c>
      <c r="J2429" t="str">
        <f>IF(C2429="","FEHLT",IF(NOT(ISNUMBER(C2429)),"MESSWERT UNGUELTIG",IF(C2429&lt;0,"MESSWERT UNGUELTIG",IF(H2429="","TARIFPREIS FEHLT","OK"))))</f>
        <v>FEHLT</v>
      </c>
      <c r="K2429" s="7">
        <f>IF(J2429&lt;&gt;"OK","",C2429*I2429/100)</f>
        <v/>
      </c>
    </row>
    <row r="2430" spans="1:11">
      <c r="A2430" s="14">
        <v>46168</v>
      </c>
      <c r="B2430" s="15">
        <v>0.25</v>
      </c>
      <c r="C2430" s="5">
        <f>IF('96 Werte'!Z31="","",'96 Werte'!Z31)</f>
        <v/>
      </c>
      <c r="D2430" t="str">
        <f>IF(IF(Eingaben!$B$21&lt;Eingaben!$B$22,AND(B2430&gt;=Eingaben!$B$21,B2430&lt;Eingaben!$B$22),OR(B2430&gt;=Eingaben!$B$21,B2430&lt;Eingaben!$B$22)),"GO",IF(AND(ISNUMBER(Eingaben!$B$23),ISNUMBER(Eingaben!$B$24),IF(Eingaben!$B$23&lt;Eingaben!$B$24,AND(B2430&gt;=Eingaben!$B$23,B2430&lt;Eingaben!$B$24),OR(B2430&gt;=Eingaben!$B$23,B2430&lt;Eingaben!$B$24))),"HEAT","STANDARD"))</f>
        <v>STANDARD</v>
      </c>
      <c r="E2430" s="9"/>
      <c r="F2430" t="str">
        <f>IF(E2430="",D2430,E2430)</f>
        <v>STANDARD</v>
      </c>
      <c r="G2430" t="str">
        <f>INDEX(Netzzeiten!$B$6:$B$29,HOUR(B2430)+1)</f>
        <v>ST</v>
      </c>
      <c r="H2430" s="6">
        <f>IF(F2430="GO",Eingaben!$B$11,IF(F2430="STANDARD",Eingaben!$B$12,IF(AND(F2430="HEAT",ISNUMBER(Eingaben!$B$13)),Eingaben!$B$13,"")))</f>
        <v>28.2744</v>
      </c>
      <c r="I2430" s="6">
        <f>INDEX(Netzzeiten!$C$6:$C$29,HOUR(B2430)+1)</f>
        <v>5.48</v>
      </c>
      <c r="J2430" t="str">
        <f>IF(C2430="","FEHLT",IF(NOT(ISNUMBER(C2430)),"MESSWERT UNGUELTIG",IF(C2430&lt;0,"MESSWERT UNGUELTIG",IF(H2430="","TARIFPREIS FEHLT","OK"))))</f>
        <v>FEHLT</v>
      </c>
      <c r="K2430" s="7">
        <f>IF(J2430&lt;&gt;"OK","",C2430*I2430/100)</f>
        <v/>
      </c>
    </row>
    <row r="2431" spans="1:11">
      <c r="A2431" s="14">
        <v>46168</v>
      </c>
      <c r="B2431" s="15">
        <v>0.2604166666666667</v>
      </c>
      <c r="C2431" s="5">
        <f>IF('96 Werte'!AA31="","",'96 Werte'!AA31)</f>
        <v/>
      </c>
      <c r="D2431" t="str">
        <f>IF(IF(Eingaben!$B$21&lt;Eingaben!$B$22,AND(B2431&gt;=Eingaben!$B$21,B2431&lt;Eingaben!$B$22),OR(B2431&gt;=Eingaben!$B$21,B2431&lt;Eingaben!$B$22)),"GO",IF(AND(ISNUMBER(Eingaben!$B$23),ISNUMBER(Eingaben!$B$24),IF(Eingaben!$B$23&lt;Eingaben!$B$24,AND(B2431&gt;=Eingaben!$B$23,B2431&lt;Eingaben!$B$24),OR(B2431&gt;=Eingaben!$B$23,B2431&lt;Eingaben!$B$24))),"HEAT","STANDARD"))</f>
        <v>STANDARD</v>
      </c>
      <c r="E2431" s="9"/>
      <c r="F2431" t="str">
        <f>IF(E2431="",D2431,E2431)</f>
        <v>STANDARD</v>
      </c>
      <c r="G2431" t="str">
        <f>INDEX(Netzzeiten!$B$6:$B$29,HOUR(B2431)+1)</f>
        <v>ST</v>
      </c>
      <c r="H2431" s="6">
        <f>IF(F2431="GO",Eingaben!$B$11,IF(F2431="STANDARD",Eingaben!$B$12,IF(AND(F2431="HEAT",ISNUMBER(Eingaben!$B$13)),Eingaben!$B$13,"")))</f>
        <v>28.2744</v>
      </c>
      <c r="I2431" s="6">
        <f>INDEX(Netzzeiten!$C$6:$C$29,HOUR(B2431)+1)</f>
        <v>5.48</v>
      </c>
      <c r="J2431" t="str">
        <f>IF(C2431="","FEHLT",IF(NOT(ISNUMBER(C2431)),"MESSWERT UNGUELTIG",IF(C2431&lt;0,"MESSWERT UNGUELTIG",IF(H2431="","TARIFPREIS FEHLT","OK"))))</f>
        <v>FEHLT</v>
      </c>
      <c r="K2431" s="7">
        <f>IF(J2431&lt;&gt;"OK","",C2431*I2431/100)</f>
        <v/>
      </c>
    </row>
    <row r="2432" spans="1:11">
      <c r="A2432" s="14">
        <v>46168</v>
      </c>
      <c r="B2432" s="15">
        <v>0.2708333333333333</v>
      </c>
      <c r="C2432" s="5">
        <f>IF('96 Werte'!AB31="","",'96 Werte'!AB31)</f>
        <v/>
      </c>
      <c r="D2432" t="str">
        <f>IF(IF(Eingaben!$B$21&lt;Eingaben!$B$22,AND(B2432&gt;=Eingaben!$B$21,B2432&lt;Eingaben!$B$22),OR(B2432&gt;=Eingaben!$B$21,B2432&lt;Eingaben!$B$22)),"GO",IF(AND(ISNUMBER(Eingaben!$B$23),ISNUMBER(Eingaben!$B$24),IF(Eingaben!$B$23&lt;Eingaben!$B$24,AND(B2432&gt;=Eingaben!$B$23,B2432&lt;Eingaben!$B$24),OR(B2432&gt;=Eingaben!$B$23,B2432&lt;Eingaben!$B$24))),"HEAT","STANDARD"))</f>
        <v>STANDARD</v>
      </c>
      <c r="E2432" s="9"/>
      <c r="F2432" t="str">
        <f>IF(E2432="",D2432,E2432)</f>
        <v>STANDARD</v>
      </c>
      <c r="G2432" t="str">
        <f>INDEX(Netzzeiten!$B$6:$B$29,HOUR(B2432)+1)</f>
        <v>ST</v>
      </c>
      <c r="H2432" s="6">
        <f>IF(F2432="GO",Eingaben!$B$11,IF(F2432="STANDARD",Eingaben!$B$12,IF(AND(F2432="HEAT",ISNUMBER(Eingaben!$B$13)),Eingaben!$B$13,"")))</f>
        <v>28.2744</v>
      </c>
      <c r="I2432" s="6">
        <f>INDEX(Netzzeiten!$C$6:$C$29,HOUR(B2432)+1)</f>
        <v>5.48</v>
      </c>
      <c r="J2432" t="str">
        <f>IF(C2432="","FEHLT",IF(NOT(ISNUMBER(C2432)),"MESSWERT UNGUELTIG",IF(C2432&lt;0,"MESSWERT UNGUELTIG",IF(H2432="","TARIFPREIS FEHLT","OK"))))</f>
        <v>FEHLT</v>
      </c>
      <c r="K2432" s="7">
        <f>IF(J2432&lt;&gt;"OK","",C2432*I2432/100)</f>
        <v/>
      </c>
    </row>
    <row r="2433" spans="1:11">
      <c r="A2433" s="14">
        <v>46168</v>
      </c>
      <c r="B2433" s="15">
        <v>0.28125</v>
      </c>
      <c r="C2433" s="5">
        <f>IF('96 Werte'!AC31="","",'96 Werte'!AC31)</f>
        <v/>
      </c>
      <c r="D2433" t="str">
        <f>IF(IF(Eingaben!$B$21&lt;Eingaben!$B$22,AND(B2433&gt;=Eingaben!$B$21,B2433&lt;Eingaben!$B$22),OR(B2433&gt;=Eingaben!$B$21,B2433&lt;Eingaben!$B$22)),"GO",IF(AND(ISNUMBER(Eingaben!$B$23),ISNUMBER(Eingaben!$B$24),IF(Eingaben!$B$23&lt;Eingaben!$B$24,AND(B2433&gt;=Eingaben!$B$23,B2433&lt;Eingaben!$B$24),OR(B2433&gt;=Eingaben!$B$23,B2433&lt;Eingaben!$B$24))),"HEAT","STANDARD"))</f>
        <v>STANDARD</v>
      </c>
      <c r="E2433" s="9"/>
      <c r="F2433" t="str">
        <f>IF(E2433="",D2433,E2433)</f>
        <v>STANDARD</v>
      </c>
      <c r="G2433" t="str">
        <f>INDEX(Netzzeiten!$B$6:$B$29,HOUR(B2433)+1)</f>
        <v>ST</v>
      </c>
      <c r="H2433" s="6">
        <f>IF(F2433="GO",Eingaben!$B$11,IF(F2433="STANDARD",Eingaben!$B$12,IF(AND(F2433="HEAT",ISNUMBER(Eingaben!$B$13)),Eingaben!$B$13,"")))</f>
        <v>28.2744</v>
      </c>
      <c r="I2433" s="6">
        <f>INDEX(Netzzeiten!$C$6:$C$29,HOUR(B2433)+1)</f>
        <v>5.48</v>
      </c>
      <c r="J2433" t="str">
        <f>IF(C2433="","FEHLT",IF(NOT(ISNUMBER(C2433)),"MESSWERT UNGUELTIG",IF(C2433&lt;0,"MESSWERT UNGUELTIG",IF(H2433="","TARIFPREIS FEHLT","OK"))))</f>
        <v>FEHLT</v>
      </c>
      <c r="K2433" s="7">
        <f>IF(J2433&lt;&gt;"OK","",C2433*I2433/100)</f>
        <v/>
      </c>
    </row>
    <row r="2434" spans="1:11">
      <c r="A2434" s="14">
        <v>46168</v>
      </c>
      <c r="B2434" s="15">
        <v>0.2916666666666667</v>
      </c>
      <c r="C2434" s="5">
        <f>IF('96 Werte'!AD31="","",'96 Werte'!AD31)</f>
        <v/>
      </c>
      <c r="D2434" t="str">
        <f>IF(IF(Eingaben!$B$21&lt;Eingaben!$B$22,AND(B2434&gt;=Eingaben!$B$21,B2434&lt;Eingaben!$B$22),OR(B2434&gt;=Eingaben!$B$21,B2434&lt;Eingaben!$B$22)),"GO",IF(AND(ISNUMBER(Eingaben!$B$23),ISNUMBER(Eingaben!$B$24),IF(Eingaben!$B$23&lt;Eingaben!$B$24,AND(B2434&gt;=Eingaben!$B$23,B2434&lt;Eingaben!$B$24),OR(B2434&gt;=Eingaben!$B$23,B2434&lt;Eingaben!$B$24))),"HEAT","STANDARD"))</f>
        <v>STANDARD</v>
      </c>
      <c r="E2434" s="9"/>
      <c r="F2434" t="str">
        <f>IF(E2434="",D2434,E2434)</f>
        <v>STANDARD</v>
      </c>
      <c r="G2434" t="str">
        <f>INDEX(Netzzeiten!$B$6:$B$29,HOUR(B2434)+1)</f>
        <v>ST</v>
      </c>
      <c r="H2434" s="6">
        <f>IF(F2434="GO",Eingaben!$B$11,IF(F2434="STANDARD",Eingaben!$B$12,IF(AND(F2434="HEAT",ISNUMBER(Eingaben!$B$13)),Eingaben!$B$13,"")))</f>
        <v>28.2744</v>
      </c>
      <c r="I2434" s="6">
        <f>INDEX(Netzzeiten!$C$6:$C$29,HOUR(B2434)+1)</f>
        <v>5.48</v>
      </c>
      <c r="J2434" t="str">
        <f>IF(C2434="","FEHLT",IF(NOT(ISNUMBER(C2434)),"MESSWERT UNGUELTIG",IF(C2434&lt;0,"MESSWERT UNGUELTIG",IF(H2434="","TARIFPREIS FEHLT","OK"))))</f>
        <v>FEHLT</v>
      </c>
      <c r="K2434" s="7">
        <f>IF(J2434&lt;&gt;"OK","",C2434*I2434/100)</f>
        <v/>
      </c>
    </row>
    <row r="2435" spans="1:11">
      <c r="A2435" s="14">
        <v>46168</v>
      </c>
      <c r="B2435" s="15">
        <v>0.3020833333333333</v>
      </c>
      <c r="C2435" s="5">
        <f>IF('96 Werte'!AE31="","",'96 Werte'!AE31)</f>
        <v/>
      </c>
      <c r="D2435" t="str">
        <f>IF(IF(Eingaben!$B$21&lt;Eingaben!$B$22,AND(B2435&gt;=Eingaben!$B$21,B2435&lt;Eingaben!$B$22),OR(B2435&gt;=Eingaben!$B$21,B2435&lt;Eingaben!$B$22)),"GO",IF(AND(ISNUMBER(Eingaben!$B$23),ISNUMBER(Eingaben!$B$24),IF(Eingaben!$B$23&lt;Eingaben!$B$24,AND(B2435&gt;=Eingaben!$B$23,B2435&lt;Eingaben!$B$24),OR(B2435&gt;=Eingaben!$B$23,B2435&lt;Eingaben!$B$24))),"HEAT","STANDARD"))</f>
        <v>STANDARD</v>
      </c>
      <c r="E2435" s="9"/>
      <c r="F2435" t="str">
        <f>IF(E2435="",D2435,E2435)</f>
        <v>STANDARD</v>
      </c>
      <c r="G2435" t="str">
        <f>INDEX(Netzzeiten!$B$6:$B$29,HOUR(B2435)+1)</f>
        <v>ST</v>
      </c>
      <c r="H2435" s="6">
        <f>IF(F2435="GO",Eingaben!$B$11,IF(F2435="STANDARD",Eingaben!$B$12,IF(AND(F2435="HEAT",ISNUMBER(Eingaben!$B$13)),Eingaben!$B$13,"")))</f>
        <v>28.2744</v>
      </c>
      <c r="I2435" s="6">
        <f>INDEX(Netzzeiten!$C$6:$C$29,HOUR(B2435)+1)</f>
        <v>5.48</v>
      </c>
      <c r="J2435" t="str">
        <f>IF(C2435="","FEHLT",IF(NOT(ISNUMBER(C2435)),"MESSWERT UNGUELTIG",IF(C2435&lt;0,"MESSWERT UNGUELTIG",IF(H2435="","TARIFPREIS FEHLT","OK"))))</f>
        <v>FEHLT</v>
      </c>
      <c r="K2435" s="7">
        <f>IF(J2435&lt;&gt;"OK","",C2435*I2435/100)</f>
        <v/>
      </c>
    </row>
    <row r="2436" spans="1:11">
      <c r="A2436" s="14">
        <v>46168</v>
      </c>
      <c r="B2436" s="15">
        <v>0.3125</v>
      </c>
      <c r="C2436" s="5">
        <f>IF('96 Werte'!AF31="","",'96 Werte'!AF31)</f>
        <v/>
      </c>
      <c r="D2436" t="str">
        <f>IF(IF(Eingaben!$B$21&lt;Eingaben!$B$22,AND(B2436&gt;=Eingaben!$B$21,B2436&lt;Eingaben!$B$22),OR(B2436&gt;=Eingaben!$B$21,B2436&lt;Eingaben!$B$22)),"GO",IF(AND(ISNUMBER(Eingaben!$B$23),ISNUMBER(Eingaben!$B$24),IF(Eingaben!$B$23&lt;Eingaben!$B$24,AND(B2436&gt;=Eingaben!$B$23,B2436&lt;Eingaben!$B$24),OR(B2436&gt;=Eingaben!$B$23,B2436&lt;Eingaben!$B$24))),"HEAT","STANDARD"))</f>
        <v>STANDARD</v>
      </c>
      <c r="E2436" s="9"/>
      <c r="F2436" t="str">
        <f>IF(E2436="",D2436,E2436)</f>
        <v>STANDARD</v>
      </c>
      <c r="G2436" t="str">
        <f>INDEX(Netzzeiten!$B$6:$B$29,HOUR(B2436)+1)</f>
        <v>ST</v>
      </c>
      <c r="H2436" s="6">
        <f>IF(F2436="GO",Eingaben!$B$11,IF(F2436="STANDARD",Eingaben!$B$12,IF(AND(F2436="HEAT",ISNUMBER(Eingaben!$B$13)),Eingaben!$B$13,"")))</f>
        <v>28.2744</v>
      </c>
      <c r="I2436" s="6">
        <f>INDEX(Netzzeiten!$C$6:$C$29,HOUR(B2436)+1)</f>
        <v>5.48</v>
      </c>
      <c r="J2436" t="str">
        <f>IF(C2436="","FEHLT",IF(NOT(ISNUMBER(C2436)),"MESSWERT UNGUELTIG",IF(C2436&lt;0,"MESSWERT UNGUELTIG",IF(H2436="","TARIFPREIS FEHLT","OK"))))</f>
        <v>FEHLT</v>
      </c>
      <c r="K2436" s="7">
        <f>IF(J2436&lt;&gt;"OK","",C2436*I2436/100)</f>
        <v/>
      </c>
    </row>
    <row r="2437" spans="1:11">
      <c r="A2437" s="14">
        <v>46168</v>
      </c>
      <c r="B2437" s="15">
        <v>0.3229166666666667</v>
      </c>
      <c r="C2437" s="5">
        <f>IF('96 Werte'!AG31="","",'96 Werte'!AG31)</f>
        <v/>
      </c>
      <c r="D2437" t="str">
        <f>IF(IF(Eingaben!$B$21&lt;Eingaben!$B$22,AND(B2437&gt;=Eingaben!$B$21,B2437&lt;Eingaben!$B$22),OR(B2437&gt;=Eingaben!$B$21,B2437&lt;Eingaben!$B$22)),"GO",IF(AND(ISNUMBER(Eingaben!$B$23),ISNUMBER(Eingaben!$B$24),IF(Eingaben!$B$23&lt;Eingaben!$B$24,AND(B2437&gt;=Eingaben!$B$23,B2437&lt;Eingaben!$B$24),OR(B2437&gt;=Eingaben!$B$23,B2437&lt;Eingaben!$B$24))),"HEAT","STANDARD"))</f>
        <v>STANDARD</v>
      </c>
      <c r="E2437" s="9"/>
      <c r="F2437" t="str">
        <f>IF(E2437="",D2437,E2437)</f>
        <v>STANDARD</v>
      </c>
      <c r="G2437" t="str">
        <f>INDEX(Netzzeiten!$B$6:$B$29,HOUR(B2437)+1)</f>
        <v>ST</v>
      </c>
      <c r="H2437" s="6">
        <f>IF(F2437="GO",Eingaben!$B$11,IF(F2437="STANDARD",Eingaben!$B$12,IF(AND(F2437="HEAT",ISNUMBER(Eingaben!$B$13)),Eingaben!$B$13,"")))</f>
        <v>28.2744</v>
      </c>
      <c r="I2437" s="6">
        <f>INDEX(Netzzeiten!$C$6:$C$29,HOUR(B2437)+1)</f>
        <v>5.48</v>
      </c>
      <c r="J2437" t="str">
        <f>IF(C2437="","FEHLT",IF(NOT(ISNUMBER(C2437)),"MESSWERT UNGUELTIG",IF(C2437&lt;0,"MESSWERT UNGUELTIG",IF(H2437="","TARIFPREIS FEHLT","OK"))))</f>
        <v>FEHLT</v>
      </c>
      <c r="K2437" s="7">
        <f>IF(J2437&lt;&gt;"OK","",C2437*I2437/100)</f>
        <v/>
      </c>
    </row>
    <row r="2438" spans="1:11">
      <c r="A2438" s="14">
        <v>46168</v>
      </c>
      <c r="B2438" s="15">
        <v>0.3333333333333333</v>
      </c>
      <c r="C2438" s="5">
        <f>IF('96 Werte'!AH31="","",'96 Werte'!AH31)</f>
        <v/>
      </c>
      <c r="D2438" t="str">
        <f>IF(IF(Eingaben!$B$21&lt;Eingaben!$B$22,AND(B2438&gt;=Eingaben!$B$21,B2438&lt;Eingaben!$B$22),OR(B2438&gt;=Eingaben!$B$21,B2438&lt;Eingaben!$B$22)),"GO",IF(AND(ISNUMBER(Eingaben!$B$23),ISNUMBER(Eingaben!$B$24),IF(Eingaben!$B$23&lt;Eingaben!$B$24,AND(B2438&gt;=Eingaben!$B$23,B2438&lt;Eingaben!$B$24),OR(B2438&gt;=Eingaben!$B$23,B2438&lt;Eingaben!$B$24))),"HEAT","STANDARD"))</f>
        <v>STANDARD</v>
      </c>
      <c r="E2438" s="9"/>
      <c r="F2438" t="str">
        <f>IF(E2438="",D2438,E2438)</f>
        <v>STANDARD</v>
      </c>
      <c r="G2438" t="str">
        <f>INDEX(Netzzeiten!$B$6:$B$29,HOUR(B2438)+1)</f>
        <v>ST</v>
      </c>
      <c r="H2438" s="6">
        <f>IF(F2438="GO",Eingaben!$B$11,IF(F2438="STANDARD",Eingaben!$B$12,IF(AND(F2438="HEAT",ISNUMBER(Eingaben!$B$13)),Eingaben!$B$13,"")))</f>
        <v>28.2744</v>
      </c>
      <c r="I2438" s="6">
        <f>INDEX(Netzzeiten!$C$6:$C$29,HOUR(B2438)+1)</f>
        <v>5.48</v>
      </c>
      <c r="J2438" t="str">
        <f>IF(C2438="","FEHLT",IF(NOT(ISNUMBER(C2438)),"MESSWERT UNGUELTIG",IF(C2438&lt;0,"MESSWERT UNGUELTIG",IF(H2438="","TARIFPREIS FEHLT","OK"))))</f>
        <v>FEHLT</v>
      </c>
      <c r="K2438" s="7">
        <f>IF(J2438&lt;&gt;"OK","",C2438*I2438/100)</f>
        <v/>
      </c>
    </row>
    <row r="2439" spans="1:11">
      <c r="A2439" s="14">
        <v>46168</v>
      </c>
      <c r="B2439" s="15">
        <v>0.34375</v>
      </c>
      <c r="C2439" s="5">
        <f>IF('96 Werte'!AI31="","",'96 Werte'!AI31)</f>
        <v/>
      </c>
      <c r="D2439" t="str">
        <f>IF(IF(Eingaben!$B$21&lt;Eingaben!$B$22,AND(B2439&gt;=Eingaben!$B$21,B2439&lt;Eingaben!$B$22),OR(B2439&gt;=Eingaben!$B$21,B2439&lt;Eingaben!$B$22)),"GO",IF(AND(ISNUMBER(Eingaben!$B$23),ISNUMBER(Eingaben!$B$24),IF(Eingaben!$B$23&lt;Eingaben!$B$24,AND(B2439&gt;=Eingaben!$B$23,B2439&lt;Eingaben!$B$24),OR(B2439&gt;=Eingaben!$B$23,B2439&lt;Eingaben!$B$24))),"HEAT","STANDARD"))</f>
        <v>STANDARD</v>
      </c>
      <c r="E2439" s="9"/>
      <c r="F2439" t="str">
        <f>IF(E2439="",D2439,E2439)</f>
        <v>STANDARD</v>
      </c>
      <c r="G2439" t="str">
        <f>INDEX(Netzzeiten!$B$6:$B$29,HOUR(B2439)+1)</f>
        <v>ST</v>
      </c>
      <c r="H2439" s="6">
        <f>IF(F2439="GO",Eingaben!$B$11,IF(F2439="STANDARD",Eingaben!$B$12,IF(AND(F2439="HEAT",ISNUMBER(Eingaben!$B$13)),Eingaben!$B$13,"")))</f>
        <v>28.2744</v>
      </c>
      <c r="I2439" s="6">
        <f>INDEX(Netzzeiten!$C$6:$C$29,HOUR(B2439)+1)</f>
        <v>5.48</v>
      </c>
      <c r="J2439" t="str">
        <f>IF(C2439="","FEHLT",IF(NOT(ISNUMBER(C2439)),"MESSWERT UNGUELTIG",IF(C2439&lt;0,"MESSWERT UNGUELTIG",IF(H2439="","TARIFPREIS FEHLT","OK"))))</f>
        <v>FEHLT</v>
      </c>
      <c r="K2439" s="7">
        <f>IF(J2439&lt;&gt;"OK","",C2439*I2439/100)</f>
        <v/>
      </c>
    </row>
    <row r="2440" spans="1:11">
      <c r="A2440" s="14">
        <v>46168</v>
      </c>
      <c r="B2440" s="15">
        <v>0.3541666666666667</v>
      </c>
      <c r="C2440" s="5">
        <f>IF('96 Werte'!AJ31="","",'96 Werte'!AJ31)</f>
        <v/>
      </c>
      <c r="D2440" t="str">
        <f>IF(IF(Eingaben!$B$21&lt;Eingaben!$B$22,AND(B2440&gt;=Eingaben!$B$21,B2440&lt;Eingaben!$B$22),OR(B2440&gt;=Eingaben!$B$21,B2440&lt;Eingaben!$B$22)),"GO",IF(AND(ISNUMBER(Eingaben!$B$23),ISNUMBER(Eingaben!$B$24),IF(Eingaben!$B$23&lt;Eingaben!$B$24,AND(B2440&gt;=Eingaben!$B$23,B2440&lt;Eingaben!$B$24),OR(B2440&gt;=Eingaben!$B$23,B2440&lt;Eingaben!$B$24))),"HEAT","STANDARD"))</f>
        <v>STANDARD</v>
      </c>
      <c r="E2440" s="9"/>
      <c r="F2440" t="str">
        <f>IF(E2440="",D2440,E2440)</f>
        <v>STANDARD</v>
      </c>
      <c r="G2440" t="str">
        <f>INDEX(Netzzeiten!$B$6:$B$29,HOUR(B2440)+1)</f>
        <v>ST</v>
      </c>
      <c r="H2440" s="6">
        <f>IF(F2440="GO",Eingaben!$B$11,IF(F2440="STANDARD",Eingaben!$B$12,IF(AND(F2440="HEAT",ISNUMBER(Eingaben!$B$13)),Eingaben!$B$13,"")))</f>
        <v>28.2744</v>
      </c>
      <c r="I2440" s="6">
        <f>INDEX(Netzzeiten!$C$6:$C$29,HOUR(B2440)+1)</f>
        <v>5.48</v>
      </c>
      <c r="J2440" t="str">
        <f>IF(C2440="","FEHLT",IF(NOT(ISNUMBER(C2440)),"MESSWERT UNGUELTIG",IF(C2440&lt;0,"MESSWERT UNGUELTIG",IF(H2440="","TARIFPREIS FEHLT","OK"))))</f>
        <v>FEHLT</v>
      </c>
      <c r="K2440" s="7">
        <f>IF(J2440&lt;&gt;"OK","",C2440*I2440/100)</f>
        <v/>
      </c>
    </row>
    <row r="2441" spans="1:11">
      <c r="A2441" s="14">
        <v>46168</v>
      </c>
      <c r="B2441" s="15">
        <v>0.3645833333333333</v>
      </c>
      <c r="C2441" s="5">
        <f>IF('96 Werte'!AK31="","",'96 Werte'!AK31)</f>
        <v/>
      </c>
      <c r="D2441" t="str">
        <f>IF(IF(Eingaben!$B$21&lt;Eingaben!$B$22,AND(B2441&gt;=Eingaben!$B$21,B2441&lt;Eingaben!$B$22),OR(B2441&gt;=Eingaben!$B$21,B2441&lt;Eingaben!$B$22)),"GO",IF(AND(ISNUMBER(Eingaben!$B$23),ISNUMBER(Eingaben!$B$24),IF(Eingaben!$B$23&lt;Eingaben!$B$24,AND(B2441&gt;=Eingaben!$B$23,B2441&lt;Eingaben!$B$24),OR(B2441&gt;=Eingaben!$B$23,B2441&lt;Eingaben!$B$24))),"HEAT","STANDARD"))</f>
        <v>STANDARD</v>
      </c>
      <c r="E2441" s="9"/>
      <c r="F2441" t="str">
        <f>IF(E2441="",D2441,E2441)</f>
        <v>STANDARD</v>
      </c>
      <c r="G2441" t="str">
        <f>INDEX(Netzzeiten!$B$6:$B$29,HOUR(B2441)+1)</f>
        <v>ST</v>
      </c>
      <c r="H2441" s="6">
        <f>IF(F2441="GO",Eingaben!$B$11,IF(F2441="STANDARD",Eingaben!$B$12,IF(AND(F2441="HEAT",ISNUMBER(Eingaben!$B$13)),Eingaben!$B$13,"")))</f>
        <v>28.2744</v>
      </c>
      <c r="I2441" s="6">
        <f>INDEX(Netzzeiten!$C$6:$C$29,HOUR(B2441)+1)</f>
        <v>5.48</v>
      </c>
      <c r="J2441" t="str">
        <f>IF(C2441="","FEHLT",IF(NOT(ISNUMBER(C2441)),"MESSWERT UNGUELTIG",IF(C2441&lt;0,"MESSWERT UNGUELTIG",IF(H2441="","TARIFPREIS FEHLT","OK"))))</f>
        <v>FEHLT</v>
      </c>
      <c r="K2441" s="7">
        <f>IF(J2441&lt;&gt;"OK","",C2441*I2441/100)</f>
        <v/>
      </c>
    </row>
    <row r="2442" spans="1:11">
      <c r="A2442" s="14">
        <v>46168</v>
      </c>
      <c r="B2442" s="15">
        <v>0.375</v>
      </c>
      <c r="C2442" s="5">
        <f>IF('96 Werte'!AL31="","",'96 Werte'!AL31)</f>
        <v/>
      </c>
      <c r="D2442" t="str">
        <f>IF(IF(Eingaben!$B$21&lt;Eingaben!$B$22,AND(B2442&gt;=Eingaben!$B$21,B2442&lt;Eingaben!$B$22),OR(B2442&gt;=Eingaben!$B$21,B2442&lt;Eingaben!$B$22)),"GO",IF(AND(ISNUMBER(Eingaben!$B$23),ISNUMBER(Eingaben!$B$24),IF(Eingaben!$B$23&lt;Eingaben!$B$24,AND(B2442&gt;=Eingaben!$B$23,B2442&lt;Eingaben!$B$24),OR(B2442&gt;=Eingaben!$B$23,B2442&lt;Eingaben!$B$24))),"HEAT","STANDARD"))</f>
        <v>STANDARD</v>
      </c>
      <c r="E2442" s="9"/>
      <c r="F2442" t="str">
        <f>IF(E2442="",D2442,E2442)</f>
        <v>STANDARD</v>
      </c>
      <c r="G2442" t="str">
        <f>INDEX(Netzzeiten!$B$6:$B$29,HOUR(B2442)+1)</f>
        <v>ST</v>
      </c>
      <c r="H2442" s="6">
        <f>IF(F2442="GO",Eingaben!$B$11,IF(F2442="STANDARD",Eingaben!$B$12,IF(AND(F2442="HEAT",ISNUMBER(Eingaben!$B$13)),Eingaben!$B$13,"")))</f>
        <v>28.2744</v>
      </c>
      <c r="I2442" s="6">
        <f>INDEX(Netzzeiten!$C$6:$C$29,HOUR(B2442)+1)</f>
        <v>5.48</v>
      </c>
      <c r="J2442" t="str">
        <f>IF(C2442="","FEHLT",IF(NOT(ISNUMBER(C2442)),"MESSWERT UNGUELTIG",IF(C2442&lt;0,"MESSWERT UNGUELTIG",IF(H2442="","TARIFPREIS FEHLT","OK"))))</f>
        <v>FEHLT</v>
      </c>
      <c r="K2442" s="7">
        <f>IF(J2442&lt;&gt;"OK","",C2442*I2442/100)</f>
        <v/>
      </c>
    </row>
    <row r="2443" spans="1:11">
      <c r="A2443" s="14">
        <v>46168</v>
      </c>
      <c r="B2443" s="15">
        <v>0.3854166666666667</v>
      </c>
      <c r="C2443" s="5">
        <f>IF('96 Werte'!AM31="","",'96 Werte'!AM31)</f>
        <v/>
      </c>
      <c r="D2443" t="str">
        <f>IF(IF(Eingaben!$B$21&lt;Eingaben!$B$22,AND(B2443&gt;=Eingaben!$B$21,B2443&lt;Eingaben!$B$22),OR(B2443&gt;=Eingaben!$B$21,B2443&lt;Eingaben!$B$22)),"GO",IF(AND(ISNUMBER(Eingaben!$B$23),ISNUMBER(Eingaben!$B$24),IF(Eingaben!$B$23&lt;Eingaben!$B$24,AND(B2443&gt;=Eingaben!$B$23,B2443&lt;Eingaben!$B$24),OR(B2443&gt;=Eingaben!$B$23,B2443&lt;Eingaben!$B$24))),"HEAT","STANDARD"))</f>
        <v>STANDARD</v>
      </c>
      <c r="E2443" s="9"/>
      <c r="F2443" t="str">
        <f>IF(E2443="",D2443,E2443)</f>
        <v>STANDARD</v>
      </c>
      <c r="G2443" t="str">
        <f>INDEX(Netzzeiten!$B$6:$B$29,HOUR(B2443)+1)</f>
        <v>ST</v>
      </c>
      <c r="H2443" s="6">
        <f>IF(F2443="GO",Eingaben!$B$11,IF(F2443="STANDARD",Eingaben!$B$12,IF(AND(F2443="HEAT",ISNUMBER(Eingaben!$B$13)),Eingaben!$B$13,"")))</f>
        <v>28.2744</v>
      </c>
      <c r="I2443" s="6">
        <f>INDEX(Netzzeiten!$C$6:$C$29,HOUR(B2443)+1)</f>
        <v>5.48</v>
      </c>
      <c r="J2443" t="str">
        <f>IF(C2443="","FEHLT",IF(NOT(ISNUMBER(C2443)),"MESSWERT UNGUELTIG",IF(C2443&lt;0,"MESSWERT UNGUELTIG",IF(H2443="","TARIFPREIS FEHLT","OK"))))</f>
        <v>FEHLT</v>
      </c>
      <c r="K2443" s="7">
        <f>IF(J2443&lt;&gt;"OK","",C2443*I2443/100)</f>
        <v/>
      </c>
    </row>
    <row r="2444" spans="1:11">
      <c r="A2444" s="14">
        <v>46168</v>
      </c>
      <c r="B2444" s="15">
        <v>0.3958333333333333</v>
      </c>
      <c r="C2444" s="5">
        <f>IF('96 Werte'!AN31="","",'96 Werte'!AN31)</f>
        <v/>
      </c>
      <c r="D2444" t="str">
        <f>IF(IF(Eingaben!$B$21&lt;Eingaben!$B$22,AND(B2444&gt;=Eingaben!$B$21,B2444&lt;Eingaben!$B$22),OR(B2444&gt;=Eingaben!$B$21,B2444&lt;Eingaben!$B$22)),"GO",IF(AND(ISNUMBER(Eingaben!$B$23),ISNUMBER(Eingaben!$B$24),IF(Eingaben!$B$23&lt;Eingaben!$B$24,AND(B2444&gt;=Eingaben!$B$23,B2444&lt;Eingaben!$B$24),OR(B2444&gt;=Eingaben!$B$23,B2444&lt;Eingaben!$B$24))),"HEAT","STANDARD"))</f>
        <v>STANDARD</v>
      </c>
      <c r="E2444" s="9"/>
      <c r="F2444" t="str">
        <f>IF(E2444="",D2444,E2444)</f>
        <v>STANDARD</v>
      </c>
      <c r="G2444" t="str">
        <f>INDEX(Netzzeiten!$B$6:$B$29,HOUR(B2444)+1)</f>
        <v>ST</v>
      </c>
      <c r="H2444" s="6">
        <f>IF(F2444="GO",Eingaben!$B$11,IF(F2444="STANDARD",Eingaben!$B$12,IF(AND(F2444="HEAT",ISNUMBER(Eingaben!$B$13)),Eingaben!$B$13,"")))</f>
        <v>28.2744</v>
      </c>
      <c r="I2444" s="6">
        <f>INDEX(Netzzeiten!$C$6:$C$29,HOUR(B2444)+1)</f>
        <v>5.48</v>
      </c>
      <c r="J2444" t="str">
        <f>IF(C2444="","FEHLT",IF(NOT(ISNUMBER(C2444)),"MESSWERT UNGUELTIG",IF(C2444&lt;0,"MESSWERT UNGUELTIG",IF(H2444="","TARIFPREIS FEHLT","OK"))))</f>
        <v>FEHLT</v>
      </c>
      <c r="K2444" s="7">
        <f>IF(J2444&lt;&gt;"OK","",C2444*I2444/100)</f>
        <v/>
      </c>
    </row>
    <row r="2445" spans="1:11">
      <c r="A2445" s="14">
        <v>46168</v>
      </c>
      <c r="B2445" s="15">
        <v>0.40625</v>
      </c>
      <c r="C2445" s="5">
        <f>IF('96 Werte'!AO31="","",'96 Werte'!AO31)</f>
        <v/>
      </c>
      <c r="D2445" t="str">
        <f>IF(IF(Eingaben!$B$21&lt;Eingaben!$B$22,AND(B2445&gt;=Eingaben!$B$21,B2445&lt;Eingaben!$B$22),OR(B2445&gt;=Eingaben!$B$21,B2445&lt;Eingaben!$B$22)),"GO",IF(AND(ISNUMBER(Eingaben!$B$23),ISNUMBER(Eingaben!$B$24),IF(Eingaben!$B$23&lt;Eingaben!$B$24,AND(B2445&gt;=Eingaben!$B$23,B2445&lt;Eingaben!$B$24),OR(B2445&gt;=Eingaben!$B$23,B2445&lt;Eingaben!$B$24))),"HEAT","STANDARD"))</f>
        <v>STANDARD</v>
      </c>
      <c r="E2445" s="9"/>
      <c r="F2445" t="str">
        <f>IF(E2445="",D2445,E2445)</f>
        <v>STANDARD</v>
      </c>
      <c r="G2445" t="str">
        <f>INDEX(Netzzeiten!$B$6:$B$29,HOUR(B2445)+1)</f>
        <v>ST</v>
      </c>
      <c r="H2445" s="6">
        <f>IF(F2445="GO",Eingaben!$B$11,IF(F2445="STANDARD",Eingaben!$B$12,IF(AND(F2445="HEAT",ISNUMBER(Eingaben!$B$13)),Eingaben!$B$13,"")))</f>
        <v>28.2744</v>
      </c>
      <c r="I2445" s="6">
        <f>INDEX(Netzzeiten!$C$6:$C$29,HOUR(B2445)+1)</f>
        <v>5.48</v>
      </c>
      <c r="J2445" t="str">
        <f>IF(C2445="","FEHLT",IF(NOT(ISNUMBER(C2445)),"MESSWERT UNGUELTIG",IF(C2445&lt;0,"MESSWERT UNGUELTIG",IF(H2445="","TARIFPREIS FEHLT","OK"))))</f>
        <v>FEHLT</v>
      </c>
      <c r="K2445" s="7">
        <f>IF(J2445&lt;&gt;"OK","",C2445*I2445/100)</f>
        <v/>
      </c>
    </row>
    <row r="2446" spans="1:11">
      <c r="A2446" s="14">
        <v>46168</v>
      </c>
      <c r="B2446" s="15">
        <v>0.4166666666666667</v>
      </c>
      <c r="C2446" s="5">
        <f>IF('96 Werte'!AP31="","",'96 Werte'!AP31)</f>
        <v/>
      </c>
      <c r="D2446" t="str">
        <f>IF(IF(Eingaben!$B$21&lt;Eingaben!$B$22,AND(B2446&gt;=Eingaben!$B$21,B2446&lt;Eingaben!$B$22),OR(B2446&gt;=Eingaben!$B$21,B2446&lt;Eingaben!$B$22)),"GO",IF(AND(ISNUMBER(Eingaben!$B$23),ISNUMBER(Eingaben!$B$24),IF(Eingaben!$B$23&lt;Eingaben!$B$24,AND(B2446&gt;=Eingaben!$B$23,B2446&lt;Eingaben!$B$24),OR(B2446&gt;=Eingaben!$B$23,B2446&lt;Eingaben!$B$24))),"HEAT","STANDARD"))</f>
        <v>STANDARD</v>
      </c>
      <c r="E2446" s="9"/>
      <c r="F2446" t="str">
        <f>IF(E2446="",D2446,E2446)</f>
        <v>STANDARD</v>
      </c>
      <c r="G2446" t="str">
        <f>INDEX(Netzzeiten!$B$6:$B$29,HOUR(B2446)+1)</f>
        <v>ST</v>
      </c>
      <c r="H2446" s="6">
        <f>IF(F2446="GO",Eingaben!$B$11,IF(F2446="STANDARD",Eingaben!$B$12,IF(AND(F2446="HEAT",ISNUMBER(Eingaben!$B$13)),Eingaben!$B$13,"")))</f>
        <v>28.2744</v>
      </c>
      <c r="I2446" s="6">
        <f>INDEX(Netzzeiten!$C$6:$C$29,HOUR(B2446)+1)</f>
        <v>5.48</v>
      </c>
      <c r="J2446" t="str">
        <f>IF(C2446="","FEHLT",IF(NOT(ISNUMBER(C2446)),"MESSWERT UNGUELTIG",IF(C2446&lt;0,"MESSWERT UNGUELTIG",IF(H2446="","TARIFPREIS FEHLT","OK"))))</f>
        <v>FEHLT</v>
      </c>
      <c r="K2446" s="7">
        <f>IF(J2446&lt;&gt;"OK","",C2446*I2446/100)</f>
        <v/>
      </c>
    </row>
    <row r="2447" spans="1:11">
      <c r="A2447" s="14">
        <v>46168</v>
      </c>
      <c r="B2447" s="15">
        <v>0.4270833333333333</v>
      </c>
      <c r="C2447" s="5">
        <f>IF('96 Werte'!AQ31="","",'96 Werte'!AQ31)</f>
        <v/>
      </c>
      <c r="D2447" t="str">
        <f>IF(IF(Eingaben!$B$21&lt;Eingaben!$B$22,AND(B2447&gt;=Eingaben!$B$21,B2447&lt;Eingaben!$B$22),OR(B2447&gt;=Eingaben!$B$21,B2447&lt;Eingaben!$B$22)),"GO",IF(AND(ISNUMBER(Eingaben!$B$23),ISNUMBER(Eingaben!$B$24),IF(Eingaben!$B$23&lt;Eingaben!$B$24,AND(B2447&gt;=Eingaben!$B$23,B2447&lt;Eingaben!$B$24),OR(B2447&gt;=Eingaben!$B$23,B2447&lt;Eingaben!$B$24))),"HEAT","STANDARD"))</f>
        <v>STANDARD</v>
      </c>
      <c r="E2447" s="9"/>
      <c r="F2447" t="str">
        <f>IF(E2447="",D2447,E2447)</f>
        <v>STANDARD</v>
      </c>
      <c r="G2447" t="str">
        <f>INDEX(Netzzeiten!$B$6:$B$29,HOUR(B2447)+1)</f>
        <v>ST</v>
      </c>
      <c r="H2447" s="6">
        <f>IF(F2447="GO",Eingaben!$B$11,IF(F2447="STANDARD",Eingaben!$B$12,IF(AND(F2447="HEAT",ISNUMBER(Eingaben!$B$13)),Eingaben!$B$13,"")))</f>
        <v>28.2744</v>
      </c>
      <c r="I2447" s="6">
        <f>INDEX(Netzzeiten!$C$6:$C$29,HOUR(B2447)+1)</f>
        <v>5.48</v>
      </c>
      <c r="J2447" t="str">
        <f>IF(C2447="","FEHLT",IF(NOT(ISNUMBER(C2447)),"MESSWERT UNGUELTIG",IF(C2447&lt;0,"MESSWERT UNGUELTIG",IF(H2447="","TARIFPREIS FEHLT","OK"))))</f>
        <v>FEHLT</v>
      </c>
      <c r="K2447" s="7">
        <f>IF(J2447&lt;&gt;"OK","",C2447*I2447/100)</f>
        <v/>
      </c>
    </row>
    <row r="2448" spans="1:11">
      <c r="A2448" s="14">
        <v>46168</v>
      </c>
      <c r="B2448" s="15">
        <v>0.4375</v>
      </c>
      <c r="C2448" s="5">
        <f>IF('96 Werte'!AR31="","",'96 Werte'!AR31)</f>
        <v/>
      </c>
      <c r="D2448" t="str">
        <f>IF(IF(Eingaben!$B$21&lt;Eingaben!$B$22,AND(B2448&gt;=Eingaben!$B$21,B2448&lt;Eingaben!$B$22),OR(B2448&gt;=Eingaben!$B$21,B2448&lt;Eingaben!$B$22)),"GO",IF(AND(ISNUMBER(Eingaben!$B$23),ISNUMBER(Eingaben!$B$24),IF(Eingaben!$B$23&lt;Eingaben!$B$24,AND(B2448&gt;=Eingaben!$B$23,B2448&lt;Eingaben!$B$24),OR(B2448&gt;=Eingaben!$B$23,B2448&lt;Eingaben!$B$24))),"HEAT","STANDARD"))</f>
        <v>STANDARD</v>
      </c>
      <c r="E2448" s="9"/>
      <c r="F2448" t="str">
        <f>IF(E2448="",D2448,E2448)</f>
        <v>STANDARD</v>
      </c>
      <c r="G2448" t="str">
        <f>INDEX(Netzzeiten!$B$6:$B$29,HOUR(B2448)+1)</f>
        <v>ST</v>
      </c>
      <c r="H2448" s="6">
        <f>IF(F2448="GO",Eingaben!$B$11,IF(F2448="STANDARD",Eingaben!$B$12,IF(AND(F2448="HEAT",ISNUMBER(Eingaben!$B$13)),Eingaben!$B$13,"")))</f>
        <v>28.2744</v>
      </c>
      <c r="I2448" s="6">
        <f>INDEX(Netzzeiten!$C$6:$C$29,HOUR(B2448)+1)</f>
        <v>5.48</v>
      </c>
      <c r="J2448" t="str">
        <f>IF(C2448="","FEHLT",IF(NOT(ISNUMBER(C2448)),"MESSWERT UNGUELTIG",IF(C2448&lt;0,"MESSWERT UNGUELTIG",IF(H2448="","TARIFPREIS FEHLT","OK"))))</f>
        <v>FEHLT</v>
      </c>
      <c r="K2448" s="7">
        <f>IF(J2448&lt;&gt;"OK","",C2448*I2448/100)</f>
        <v/>
      </c>
    </row>
    <row r="2449" spans="1:11">
      <c r="A2449" s="14">
        <v>46168</v>
      </c>
      <c r="B2449" s="15">
        <v>0.4479166666666667</v>
      </c>
      <c r="C2449" s="5">
        <f>IF('96 Werte'!AS31="","",'96 Werte'!AS31)</f>
        <v/>
      </c>
      <c r="D2449" t="str">
        <f>IF(IF(Eingaben!$B$21&lt;Eingaben!$B$22,AND(B2449&gt;=Eingaben!$B$21,B2449&lt;Eingaben!$B$22),OR(B2449&gt;=Eingaben!$B$21,B2449&lt;Eingaben!$B$22)),"GO",IF(AND(ISNUMBER(Eingaben!$B$23),ISNUMBER(Eingaben!$B$24),IF(Eingaben!$B$23&lt;Eingaben!$B$24,AND(B2449&gt;=Eingaben!$B$23,B2449&lt;Eingaben!$B$24),OR(B2449&gt;=Eingaben!$B$23,B2449&lt;Eingaben!$B$24))),"HEAT","STANDARD"))</f>
        <v>STANDARD</v>
      </c>
      <c r="E2449" s="9"/>
      <c r="F2449" t="str">
        <f>IF(E2449="",D2449,E2449)</f>
        <v>STANDARD</v>
      </c>
      <c r="G2449" t="str">
        <f>INDEX(Netzzeiten!$B$6:$B$29,HOUR(B2449)+1)</f>
        <v>ST</v>
      </c>
      <c r="H2449" s="6">
        <f>IF(F2449="GO",Eingaben!$B$11,IF(F2449="STANDARD",Eingaben!$B$12,IF(AND(F2449="HEAT",ISNUMBER(Eingaben!$B$13)),Eingaben!$B$13,"")))</f>
        <v>28.2744</v>
      </c>
      <c r="I2449" s="6">
        <f>INDEX(Netzzeiten!$C$6:$C$29,HOUR(B2449)+1)</f>
        <v>5.48</v>
      </c>
      <c r="J2449" t="str">
        <f>IF(C2449="","FEHLT",IF(NOT(ISNUMBER(C2449)),"MESSWERT UNGUELTIG",IF(C2449&lt;0,"MESSWERT UNGUELTIG",IF(H2449="","TARIFPREIS FEHLT","OK"))))</f>
        <v>FEHLT</v>
      </c>
      <c r="K2449" s="7">
        <f>IF(J2449&lt;&gt;"OK","",C2449*I2449/100)</f>
        <v/>
      </c>
    </row>
    <row r="2450" spans="1:11">
      <c r="A2450" s="14">
        <v>46168</v>
      </c>
      <c r="B2450" s="15">
        <v>0.4583333333333333</v>
      </c>
      <c r="C2450" s="5">
        <f>IF('96 Werte'!AT31="","",'96 Werte'!AT31)</f>
        <v/>
      </c>
      <c r="D2450" t="str">
        <f>IF(IF(Eingaben!$B$21&lt;Eingaben!$B$22,AND(B2450&gt;=Eingaben!$B$21,B2450&lt;Eingaben!$B$22),OR(B2450&gt;=Eingaben!$B$21,B2450&lt;Eingaben!$B$22)),"GO",IF(AND(ISNUMBER(Eingaben!$B$23),ISNUMBER(Eingaben!$B$24),IF(Eingaben!$B$23&lt;Eingaben!$B$24,AND(B2450&gt;=Eingaben!$B$23,B2450&lt;Eingaben!$B$24),OR(B2450&gt;=Eingaben!$B$23,B2450&lt;Eingaben!$B$24))),"HEAT","STANDARD"))</f>
        <v>STANDARD</v>
      </c>
      <c r="E2450" s="9"/>
      <c r="F2450" t="str">
        <f>IF(E2450="",D2450,E2450)</f>
        <v>STANDARD</v>
      </c>
      <c r="G2450" t="str">
        <f>INDEX(Netzzeiten!$B$6:$B$29,HOUR(B2450)+1)</f>
        <v>NT</v>
      </c>
      <c r="H2450" s="6">
        <f>IF(F2450="GO",Eingaben!$B$11,IF(F2450="STANDARD",Eingaben!$B$12,IF(AND(F2450="HEAT",ISNUMBER(Eingaben!$B$13)),Eingaben!$B$13,"")))</f>
        <v>28.2744</v>
      </c>
      <c r="I2450" s="6">
        <f>INDEX(Netzzeiten!$C$6:$C$29,HOUR(B2450)+1)</f>
        <v>1.64</v>
      </c>
      <c r="J2450" t="str">
        <f>IF(C2450="","FEHLT",IF(NOT(ISNUMBER(C2450)),"MESSWERT UNGUELTIG",IF(C2450&lt;0,"MESSWERT UNGUELTIG",IF(H2450="","TARIFPREIS FEHLT","OK"))))</f>
        <v>FEHLT</v>
      </c>
      <c r="K2450" s="7">
        <f>IF(J2450&lt;&gt;"OK","",C2450*I2450/100)</f>
        <v/>
      </c>
    </row>
    <row r="2451" spans="1:11">
      <c r="A2451" s="14">
        <v>46168</v>
      </c>
      <c r="B2451" s="15">
        <v>0.46875</v>
      </c>
      <c r="C2451" s="5">
        <f>IF('96 Werte'!AU31="","",'96 Werte'!AU31)</f>
        <v/>
      </c>
      <c r="D2451" t="str">
        <f>IF(IF(Eingaben!$B$21&lt;Eingaben!$B$22,AND(B2451&gt;=Eingaben!$B$21,B2451&lt;Eingaben!$B$22),OR(B2451&gt;=Eingaben!$B$21,B2451&lt;Eingaben!$B$22)),"GO",IF(AND(ISNUMBER(Eingaben!$B$23),ISNUMBER(Eingaben!$B$24),IF(Eingaben!$B$23&lt;Eingaben!$B$24,AND(B2451&gt;=Eingaben!$B$23,B2451&lt;Eingaben!$B$24),OR(B2451&gt;=Eingaben!$B$23,B2451&lt;Eingaben!$B$24))),"HEAT","STANDARD"))</f>
        <v>STANDARD</v>
      </c>
      <c r="E2451" s="9"/>
      <c r="F2451" t="str">
        <f>IF(E2451="",D2451,E2451)</f>
        <v>STANDARD</v>
      </c>
      <c r="G2451" t="str">
        <f>INDEX(Netzzeiten!$B$6:$B$29,HOUR(B2451)+1)</f>
        <v>NT</v>
      </c>
      <c r="H2451" s="6">
        <f>IF(F2451="GO",Eingaben!$B$11,IF(F2451="STANDARD",Eingaben!$B$12,IF(AND(F2451="HEAT",ISNUMBER(Eingaben!$B$13)),Eingaben!$B$13,"")))</f>
        <v>28.2744</v>
      </c>
      <c r="I2451" s="6">
        <f>INDEX(Netzzeiten!$C$6:$C$29,HOUR(B2451)+1)</f>
        <v>1.64</v>
      </c>
      <c r="J2451" t="str">
        <f>IF(C2451="","FEHLT",IF(NOT(ISNUMBER(C2451)),"MESSWERT UNGUELTIG",IF(C2451&lt;0,"MESSWERT UNGUELTIG",IF(H2451="","TARIFPREIS FEHLT","OK"))))</f>
        <v>FEHLT</v>
      </c>
      <c r="K2451" s="7">
        <f>IF(J2451&lt;&gt;"OK","",C2451*I2451/100)</f>
        <v/>
      </c>
    </row>
    <row r="2452" spans="1:11">
      <c r="A2452" s="14">
        <v>46168</v>
      </c>
      <c r="B2452" s="15">
        <v>0.4791666666666667</v>
      </c>
      <c r="C2452" s="5">
        <f>IF('96 Werte'!AV31="","",'96 Werte'!AV31)</f>
        <v/>
      </c>
      <c r="D2452" t="str">
        <f>IF(IF(Eingaben!$B$21&lt;Eingaben!$B$22,AND(B2452&gt;=Eingaben!$B$21,B2452&lt;Eingaben!$B$22),OR(B2452&gt;=Eingaben!$B$21,B2452&lt;Eingaben!$B$22)),"GO",IF(AND(ISNUMBER(Eingaben!$B$23),ISNUMBER(Eingaben!$B$24),IF(Eingaben!$B$23&lt;Eingaben!$B$24,AND(B2452&gt;=Eingaben!$B$23,B2452&lt;Eingaben!$B$24),OR(B2452&gt;=Eingaben!$B$23,B2452&lt;Eingaben!$B$24))),"HEAT","STANDARD"))</f>
        <v>STANDARD</v>
      </c>
      <c r="E2452" s="9"/>
      <c r="F2452" t="str">
        <f>IF(E2452="",D2452,E2452)</f>
        <v>STANDARD</v>
      </c>
      <c r="G2452" t="str">
        <f>INDEX(Netzzeiten!$B$6:$B$29,HOUR(B2452)+1)</f>
        <v>NT</v>
      </c>
      <c r="H2452" s="6">
        <f>IF(F2452="GO",Eingaben!$B$11,IF(F2452="STANDARD",Eingaben!$B$12,IF(AND(F2452="HEAT",ISNUMBER(Eingaben!$B$13)),Eingaben!$B$13,"")))</f>
        <v>28.2744</v>
      </c>
      <c r="I2452" s="6">
        <f>INDEX(Netzzeiten!$C$6:$C$29,HOUR(B2452)+1)</f>
        <v>1.64</v>
      </c>
      <c r="J2452" t="str">
        <f>IF(C2452="","FEHLT",IF(NOT(ISNUMBER(C2452)),"MESSWERT UNGUELTIG",IF(C2452&lt;0,"MESSWERT UNGUELTIG",IF(H2452="","TARIFPREIS FEHLT","OK"))))</f>
        <v>FEHLT</v>
      </c>
      <c r="K2452" s="7">
        <f>IF(J2452&lt;&gt;"OK","",C2452*I2452/100)</f>
        <v/>
      </c>
    </row>
    <row r="2453" spans="1:11">
      <c r="A2453" s="14">
        <v>46168</v>
      </c>
      <c r="B2453" s="15">
        <v>0.4895833333333333</v>
      </c>
      <c r="C2453" s="5">
        <f>IF('96 Werte'!AW31="","",'96 Werte'!AW31)</f>
        <v/>
      </c>
      <c r="D2453" t="str">
        <f>IF(IF(Eingaben!$B$21&lt;Eingaben!$B$22,AND(B2453&gt;=Eingaben!$B$21,B2453&lt;Eingaben!$B$22),OR(B2453&gt;=Eingaben!$B$21,B2453&lt;Eingaben!$B$22)),"GO",IF(AND(ISNUMBER(Eingaben!$B$23),ISNUMBER(Eingaben!$B$24),IF(Eingaben!$B$23&lt;Eingaben!$B$24,AND(B2453&gt;=Eingaben!$B$23,B2453&lt;Eingaben!$B$24),OR(B2453&gt;=Eingaben!$B$23,B2453&lt;Eingaben!$B$24))),"HEAT","STANDARD"))</f>
        <v>STANDARD</v>
      </c>
      <c r="E2453" s="9"/>
      <c r="F2453" t="str">
        <f>IF(E2453="",D2453,E2453)</f>
        <v>STANDARD</v>
      </c>
      <c r="G2453" t="str">
        <f>INDEX(Netzzeiten!$B$6:$B$29,HOUR(B2453)+1)</f>
        <v>NT</v>
      </c>
      <c r="H2453" s="6">
        <f>IF(F2453="GO",Eingaben!$B$11,IF(F2453="STANDARD",Eingaben!$B$12,IF(AND(F2453="HEAT",ISNUMBER(Eingaben!$B$13)),Eingaben!$B$13,"")))</f>
        <v>28.2744</v>
      </c>
      <c r="I2453" s="6">
        <f>INDEX(Netzzeiten!$C$6:$C$29,HOUR(B2453)+1)</f>
        <v>1.64</v>
      </c>
      <c r="J2453" t="str">
        <f>IF(C2453="","FEHLT",IF(NOT(ISNUMBER(C2453)),"MESSWERT UNGUELTIG",IF(C2453&lt;0,"MESSWERT UNGUELTIG",IF(H2453="","TARIFPREIS FEHLT","OK"))))</f>
        <v>FEHLT</v>
      </c>
      <c r="K2453" s="7">
        <f>IF(J2453&lt;&gt;"OK","",C2453*I2453/100)</f>
        <v/>
      </c>
    </row>
    <row r="2454" spans="1:11">
      <c r="A2454" s="14">
        <v>46168</v>
      </c>
      <c r="B2454" s="15">
        <v>0.5</v>
      </c>
      <c r="C2454" s="5">
        <f>IF('96 Werte'!AX31="","",'96 Werte'!AX31)</f>
        <v/>
      </c>
      <c r="D2454" t="str">
        <f>IF(IF(Eingaben!$B$21&lt;Eingaben!$B$22,AND(B2454&gt;=Eingaben!$B$21,B2454&lt;Eingaben!$B$22),OR(B2454&gt;=Eingaben!$B$21,B2454&lt;Eingaben!$B$22)),"GO",IF(AND(ISNUMBER(Eingaben!$B$23),ISNUMBER(Eingaben!$B$24),IF(Eingaben!$B$23&lt;Eingaben!$B$24,AND(B2454&gt;=Eingaben!$B$23,B2454&lt;Eingaben!$B$24),OR(B2454&gt;=Eingaben!$B$23,B2454&lt;Eingaben!$B$24))),"HEAT","STANDARD"))</f>
        <v>STANDARD</v>
      </c>
      <c r="E2454" s="9"/>
      <c r="F2454" t="str">
        <f>IF(E2454="",D2454,E2454)</f>
        <v>STANDARD</v>
      </c>
      <c r="G2454" t="str">
        <f>INDEX(Netzzeiten!$B$6:$B$29,HOUR(B2454)+1)</f>
        <v>NT</v>
      </c>
      <c r="H2454" s="6">
        <f>IF(F2454="GO",Eingaben!$B$11,IF(F2454="STANDARD",Eingaben!$B$12,IF(AND(F2454="HEAT",ISNUMBER(Eingaben!$B$13)),Eingaben!$B$13,"")))</f>
        <v>28.2744</v>
      </c>
      <c r="I2454" s="6">
        <f>INDEX(Netzzeiten!$C$6:$C$29,HOUR(B2454)+1)</f>
        <v>1.64</v>
      </c>
      <c r="J2454" t="str">
        <f>IF(C2454="","FEHLT",IF(NOT(ISNUMBER(C2454)),"MESSWERT UNGUELTIG",IF(C2454&lt;0,"MESSWERT UNGUELTIG",IF(H2454="","TARIFPREIS FEHLT","OK"))))</f>
        <v>FEHLT</v>
      </c>
      <c r="K2454" s="7">
        <f>IF(J2454&lt;&gt;"OK","",C2454*I2454/100)</f>
        <v/>
      </c>
    </row>
    <row r="2455" spans="1:11">
      <c r="A2455" s="14">
        <v>46168</v>
      </c>
      <c r="B2455" s="15">
        <v>0.5104166666666666</v>
      </c>
      <c r="C2455" s="5">
        <f>IF('96 Werte'!AY31="","",'96 Werte'!AY31)</f>
        <v/>
      </c>
      <c r="D2455" t="str">
        <f>IF(IF(Eingaben!$B$21&lt;Eingaben!$B$22,AND(B2455&gt;=Eingaben!$B$21,B2455&lt;Eingaben!$B$22),OR(B2455&gt;=Eingaben!$B$21,B2455&lt;Eingaben!$B$22)),"GO",IF(AND(ISNUMBER(Eingaben!$B$23),ISNUMBER(Eingaben!$B$24),IF(Eingaben!$B$23&lt;Eingaben!$B$24,AND(B2455&gt;=Eingaben!$B$23,B2455&lt;Eingaben!$B$24),OR(B2455&gt;=Eingaben!$B$23,B2455&lt;Eingaben!$B$24))),"HEAT","STANDARD"))</f>
        <v>STANDARD</v>
      </c>
      <c r="E2455" s="9"/>
      <c r="F2455" t="str">
        <f>IF(E2455="",D2455,E2455)</f>
        <v>STANDARD</v>
      </c>
      <c r="G2455" t="str">
        <f>INDEX(Netzzeiten!$B$6:$B$29,HOUR(B2455)+1)</f>
        <v>NT</v>
      </c>
      <c r="H2455" s="6">
        <f>IF(F2455="GO",Eingaben!$B$11,IF(F2455="STANDARD",Eingaben!$B$12,IF(AND(F2455="HEAT",ISNUMBER(Eingaben!$B$13)),Eingaben!$B$13,"")))</f>
        <v>28.2744</v>
      </c>
      <c r="I2455" s="6">
        <f>INDEX(Netzzeiten!$C$6:$C$29,HOUR(B2455)+1)</f>
        <v>1.64</v>
      </c>
      <c r="J2455" t="str">
        <f>IF(C2455="","FEHLT",IF(NOT(ISNUMBER(C2455)),"MESSWERT UNGUELTIG",IF(C2455&lt;0,"MESSWERT UNGUELTIG",IF(H2455="","TARIFPREIS FEHLT","OK"))))</f>
        <v>FEHLT</v>
      </c>
      <c r="K2455" s="7">
        <f>IF(J2455&lt;&gt;"OK","",C2455*I2455/100)</f>
        <v/>
      </c>
    </row>
    <row r="2456" spans="1:11">
      <c r="A2456" s="14">
        <v>46168</v>
      </c>
      <c r="B2456" s="15">
        <v>0.5208333333333334</v>
      </c>
      <c r="C2456" s="5">
        <f>IF('96 Werte'!AZ31="","",'96 Werte'!AZ31)</f>
        <v/>
      </c>
      <c r="D2456" t="str">
        <f>IF(IF(Eingaben!$B$21&lt;Eingaben!$B$22,AND(B2456&gt;=Eingaben!$B$21,B2456&lt;Eingaben!$B$22),OR(B2456&gt;=Eingaben!$B$21,B2456&lt;Eingaben!$B$22)),"GO",IF(AND(ISNUMBER(Eingaben!$B$23),ISNUMBER(Eingaben!$B$24),IF(Eingaben!$B$23&lt;Eingaben!$B$24,AND(B2456&gt;=Eingaben!$B$23,B2456&lt;Eingaben!$B$24),OR(B2456&gt;=Eingaben!$B$23,B2456&lt;Eingaben!$B$24))),"HEAT","STANDARD"))</f>
        <v>STANDARD</v>
      </c>
      <c r="E2456" s="9"/>
      <c r="F2456" t="str">
        <f>IF(E2456="",D2456,E2456)</f>
        <v>STANDARD</v>
      </c>
      <c r="G2456" t="str">
        <f>INDEX(Netzzeiten!$B$6:$B$29,HOUR(B2456)+1)</f>
        <v>NT</v>
      </c>
      <c r="H2456" s="6">
        <f>IF(F2456="GO",Eingaben!$B$11,IF(F2456="STANDARD",Eingaben!$B$12,IF(AND(F2456="HEAT",ISNUMBER(Eingaben!$B$13)),Eingaben!$B$13,"")))</f>
        <v>28.2744</v>
      </c>
      <c r="I2456" s="6">
        <f>INDEX(Netzzeiten!$C$6:$C$29,HOUR(B2456)+1)</f>
        <v>1.64</v>
      </c>
      <c r="J2456" t="str">
        <f>IF(C2456="","FEHLT",IF(NOT(ISNUMBER(C2456)),"MESSWERT UNGUELTIG",IF(C2456&lt;0,"MESSWERT UNGUELTIG",IF(H2456="","TARIFPREIS FEHLT","OK"))))</f>
        <v>FEHLT</v>
      </c>
      <c r="K2456" s="7">
        <f>IF(J2456&lt;&gt;"OK","",C2456*I2456/100)</f>
        <v/>
      </c>
    </row>
    <row r="2457" spans="1:11">
      <c r="A2457" s="14">
        <v>46168</v>
      </c>
      <c r="B2457" s="15">
        <v>0.53125</v>
      </c>
      <c r="C2457" s="5">
        <f>IF('96 Werte'!BA31="","",'96 Werte'!BA31)</f>
        <v/>
      </c>
      <c r="D2457" t="str">
        <f>IF(IF(Eingaben!$B$21&lt;Eingaben!$B$22,AND(B2457&gt;=Eingaben!$B$21,B2457&lt;Eingaben!$B$22),OR(B2457&gt;=Eingaben!$B$21,B2457&lt;Eingaben!$B$22)),"GO",IF(AND(ISNUMBER(Eingaben!$B$23),ISNUMBER(Eingaben!$B$24),IF(Eingaben!$B$23&lt;Eingaben!$B$24,AND(B2457&gt;=Eingaben!$B$23,B2457&lt;Eingaben!$B$24),OR(B2457&gt;=Eingaben!$B$23,B2457&lt;Eingaben!$B$24))),"HEAT","STANDARD"))</f>
        <v>STANDARD</v>
      </c>
      <c r="E2457" s="9"/>
      <c r="F2457" t="str">
        <f>IF(E2457="",D2457,E2457)</f>
        <v>STANDARD</v>
      </c>
      <c r="G2457" t="str">
        <f>INDEX(Netzzeiten!$B$6:$B$29,HOUR(B2457)+1)</f>
        <v>NT</v>
      </c>
      <c r="H2457" s="6">
        <f>IF(F2457="GO",Eingaben!$B$11,IF(F2457="STANDARD",Eingaben!$B$12,IF(AND(F2457="HEAT",ISNUMBER(Eingaben!$B$13)),Eingaben!$B$13,"")))</f>
        <v>28.2744</v>
      </c>
      <c r="I2457" s="6">
        <f>INDEX(Netzzeiten!$C$6:$C$29,HOUR(B2457)+1)</f>
        <v>1.64</v>
      </c>
      <c r="J2457" t="str">
        <f>IF(C2457="","FEHLT",IF(NOT(ISNUMBER(C2457)),"MESSWERT UNGUELTIG",IF(C2457&lt;0,"MESSWERT UNGUELTIG",IF(H2457="","TARIFPREIS FEHLT","OK"))))</f>
        <v>FEHLT</v>
      </c>
      <c r="K2457" s="7">
        <f>IF(J2457&lt;&gt;"OK","",C2457*I2457/100)</f>
        <v/>
      </c>
    </row>
    <row r="2458" spans="1:11">
      <c r="A2458" s="14">
        <v>46168</v>
      </c>
      <c r="B2458" s="15">
        <v>0.5416666666666666</v>
      </c>
      <c r="C2458" s="5">
        <f>IF('96 Werte'!BB31="","",'96 Werte'!BB31)</f>
        <v/>
      </c>
      <c r="D2458" t="str">
        <f>IF(IF(Eingaben!$B$21&lt;Eingaben!$B$22,AND(B2458&gt;=Eingaben!$B$21,B2458&lt;Eingaben!$B$22),OR(B2458&gt;=Eingaben!$B$21,B2458&lt;Eingaben!$B$22)),"GO",IF(AND(ISNUMBER(Eingaben!$B$23),ISNUMBER(Eingaben!$B$24),IF(Eingaben!$B$23&lt;Eingaben!$B$24,AND(B2458&gt;=Eingaben!$B$23,B2458&lt;Eingaben!$B$24),OR(B2458&gt;=Eingaben!$B$23,B2458&lt;Eingaben!$B$24))),"HEAT","STANDARD"))</f>
        <v>STANDARD</v>
      </c>
      <c r="E2458" s="9"/>
      <c r="F2458" t="str">
        <f>IF(E2458="",D2458,E2458)</f>
        <v>STANDARD</v>
      </c>
      <c r="G2458" t="str">
        <f>INDEX(Netzzeiten!$B$6:$B$29,HOUR(B2458)+1)</f>
        <v>NT</v>
      </c>
      <c r="H2458" s="6">
        <f>IF(F2458="GO",Eingaben!$B$11,IF(F2458="STANDARD",Eingaben!$B$12,IF(AND(F2458="HEAT",ISNUMBER(Eingaben!$B$13)),Eingaben!$B$13,"")))</f>
        <v>28.2744</v>
      </c>
      <c r="I2458" s="6">
        <f>INDEX(Netzzeiten!$C$6:$C$29,HOUR(B2458)+1)</f>
        <v>1.64</v>
      </c>
      <c r="J2458" t="str">
        <f>IF(C2458="","FEHLT",IF(NOT(ISNUMBER(C2458)),"MESSWERT UNGUELTIG",IF(C2458&lt;0,"MESSWERT UNGUELTIG",IF(H2458="","TARIFPREIS FEHLT","OK"))))</f>
        <v>FEHLT</v>
      </c>
      <c r="K2458" s="7">
        <f>IF(J2458&lt;&gt;"OK","",C2458*I2458/100)</f>
        <v/>
      </c>
    </row>
    <row r="2459" spans="1:11">
      <c r="A2459" s="14">
        <v>46168</v>
      </c>
      <c r="B2459" s="15">
        <v>0.5520833333333334</v>
      </c>
      <c r="C2459" s="5">
        <f>IF('96 Werte'!BC31="","",'96 Werte'!BC31)</f>
        <v/>
      </c>
      <c r="D2459" t="str">
        <f>IF(IF(Eingaben!$B$21&lt;Eingaben!$B$22,AND(B2459&gt;=Eingaben!$B$21,B2459&lt;Eingaben!$B$22),OR(B2459&gt;=Eingaben!$B$21,B2459&lt;Eingaben!$B$22)),"GO",IF(AND(ISNUMBER(Eingaben!$B$23),ISNUMBER(Eingaben!$B$24),IF(Eingaben!$B$23&lt;Eingaben!$B$24,AND(B2459&gt;=Eingaben!$B$23,B2459&lt;Eingaben!$B$24),OR(B2459&gt;=Eingaben!$B$23,B2459&lt;Eingaben!$B$24))),"HEAT","STANDARD"))</f>
        <v>STANDARD</v>
      </c>
      <c r="E2459" s="9"/>
      <c r="F2459" t="str">
        <f>IF(E2459="",D2459,E2459)</f>
        <v>STANDARD</v>
      </c>
      <c r="G2459" t="str">
        <f>INDEX(Netzzeiten!$B$6:$B$29,HOUR(B2459)+1)</f>
        <v>NT</v>
      </c>
      <c r="H2459" s="6">
        <f>IF(F2459="GO",Eingaben!$B$11,IF(F2459="STANDARD",Eingaben!$B$12,IF(AND(F2459="HEAT",ISNUMBER(Eingaben!$B$13)),Eingaben!$B$13,"")))</f>
        <v>28.2744</v>
      </c>
      <c r="I2459" s="6">
        <f>INDEX(Netzzeiten!$C$6:$C$29,HOUR(B2459)+1)</f>
        <v>1.64</v>
      </c>
      <c r="J2459" t="str">
        <f>IF(C2459="","FEHLT",IF(NOT(ISNUMBER(C2459)),"MESSWERT UNGUELTIG",IF(C2459&lt;0,"MESSWERT UNGUELTIG",IF(H2459="","TARIFPREIS FEHLT","OK"))))</f>
        <v>FEHLT</v>
      </c>
      <c r="K2459" s="7">
        <f>IF(J2459&lt;&gt;"OK","",C2459*I2459/100)</f>
        <v/>
      </c>
    </row>
    <row r="2460" spans="1:11">
      <c r="A2460" s="14">
        <v>46168</v>
      </c>
      <c r="B2460" s="15">
        <v>0.5625</v>
      </c>
      <c r="C2460" s="5">
        <f>IF('96 Werte'!BD31="","",'96 Werte'!BD31)</f>
        <v/>
      </c>
      <c r="D2460" t="str">
        <f>IF(IF(Eingaben!$B$21&lt;Eingaben!$B$22,AND(B2460&gt;=Eingaben!$B$21,B2460&lt;Eingaben!$B$22),OR(B2460&gt;=Eingaben!$B$21,B2460&lt;Eingaben!$B$22)),"GO",IF(AND(ISNUMBER(Eingaben!$B$23),ISNUMBER(Eingaben!$B$24),IF(Eingaben!$B$23&lt;Eingaben!$B$24,AND(B2460&gt;=Eingaben!$B$23,B2460&lt;Eingaben!$B$24),OR(B2460&gt;=Eingaben!$B$23,B2460&lt;Eingaben!$B$24))),"HEAT","STANDARD"))</f>
        <v>STANDARD</v>
      </c>
      <c r="E2460" s="9"/>
      <c r="F2460" t="str">
        <f>IF(E2460="",D2460,E2460)</f>
        <v>STANDARD</v>
      </c>
      <c r="G2460" t="str">
        <f>INDEX(Netzzeiten!$B$6:$B$29,HOUR(B2460)+1)</f>
        <v>NT</v>
      </c>
      <c r="H2460" s="6">
        <f>IF(F2460="GO",Eingaben!$B$11,IF(F2460="STANDARD",Eingaben!$B$12,IF(AND(F2460="HEAT",ISNUMBER(Eingaben!$B$13)),Eingaben!$B$13,"")))</f>
        <v>28.2744</v>
      </c>
      <c r="I2460" s="6">
        <f>INDEX(Netzzeiten!$C$6:$C$29,HOUR(B2460)+1)</f>
        <v>1.64</v>
      </c>
      <c r="J2460" t="str">
        <f>IF(C2460="","FEHLT",IF(NOT(ISNUMBER(C2460)),"MESSWERT UNGUELTIG",IF(C2460&lt;0,"MESSWERT UNGUELTIG",IF(H2460="","TARIFPREIS FEHLT","OK"))))</f>
        <v>FEHLT</v>
      </c>
      <c r="K2460" s="7">
        <f>IF(J2460&lt;&gt;"OK","",C2460*I2460/100)</f>
        <v/>
      </c>
    </row>
    <row r="2461" spans="1:11">
      <c r="A2461" s="14">
        <v>46168</v>
      </c>
      <c r="B2461" s="15">
        <v>0.5729166666666666</v>
      </c>
      <c r="C2461" s="5">
        <f>IF('96 Werte'!BE31="","",'96 Werte'!BE31)</f>
        <v/>
      </c>
      <c r="D2461" t="str">
        <f>IF(IF(Eingaben!$B$21&lt;Eingaben!$B$22,AND(B2461&gt;=Eingaben!$B$21,B2461&lt;Eingaben!$B$22),OR(B2461&gt;=Eingaben!$B$21,B2461&lt;Eingaben!$B$22)),"GO",IF(AND(ISNUMBER(Eingaben!$B$23),ISNUMBER(Eingaben!$B$24),IF(Eingaben!$B$23&lt;Eingaben!$B$24,AND(B2461&gt;=Eingaben!$B$23,B2461&lt;Eingaben!$B$24),OR(B2461&gt;=Eingaben!$B$23,B2461&lt;Eingaben!$B$24))),"HEAT","STANDARD"))</f>
        <v>STANDARD</v>
      </c>
      <c r="E2461" s="9"/>
      <c r="F2461" t="str">
        <f>IF(E2461="",D2461,E2461)</f>
        <v>STANDARD</v>
      </c>
      <c r="G2461" t="str">
        <f>INDEX(Netzzeiten!$B$6:$B$29,HOUR(B2461)+1)</f>
        <v>NT</v>
      </c>
      <c r="H2461" s="6">
        <f>IF(F2461="GO",Eingaben!$B$11,IF(F2461="STANDARD",Eingaben!$B$12,IF(AND(F2461="HEAT",ISNUMBER(Eingaben!$B$13)),Eingaben!$B$13,"")))</f>
        <v>28.2744</v>
      </c>
      <c r="I2461" s="6">
        <f>INDEX(Netzzeiten!$C$6:$C$29,HOUR(B2461)+1)</f>
        <v>1.64</v>
      </c>
      <c r="J2461" t="str">
        <f>IF(C2461="","FEHLT",IF(NOT(ISNUMBER(C2461)),"MESSWERT UNGUELTIG",IF(C2461&lt;0,"MESSWERT UNGUELTIG",IF(H2461="","TARIFPREIS FEHLT","OK"))))</f>
        <v>FEHLT</v>
      </c>
      <c r="K2461" s="7">
        <f>IF(J2461&lt;&gt;"OK","",C2461*I2461/100)</f>
        <v/>
      </c>
    </row>
    <row r="2462" spans="1:11">
      <c r="A2462" s="14">
        <v>46168</v>
      </c>
      <c r="B2462" s="15">
        <v>0.5833333333333334</v>
      </c>
      <c r="C2462" s="5">
        <f>IF('96 Werte'!BF31="","",'96 Werte'!BF31)</f>
        <v/>
      </c>
      <c r="D2462" t="str">
        <f>IF(IF(Eingaben!$B$21&lt;Eingaben!$B$22,AND(B2462&gt;=Eingaben!$B$21,B2462&lt;Eingaben!$B$22),OR(B2462&gt;=Eingaben!$B$21,B2462&lt;Eingaben!$B$22)),"GO",IF(AND(ISNUMBER(Eingaben!$B$23),ISNUMBER(Eingaben!$B$24),IF(Eingaben!$B$23&lt;Eingaben!$B$24,AND(B2462&gt;=Eingaben!$B$23,B2462&lt;Eingaben!$B$24),OR(B2462&gt;=Eingaben!$B$23,B2462&lt;Eingaben!$B$24))),"HEAT","STANDARD"))</f>
        <v>STANDARD</v>
      </c>
      <c r="E2462" s="9"/>
      <c r="F2462" t="str">
        <f>IF(E2462="",D2462,E2462)</f>
        <v>STANDARD</v>
      </c>
      <c r="G2462" t="str">
        <f>INDEX(Netzzeiten!$B$6:$B$29,HOUR(B2462)+1)</f>
        <v>NT</v>
      </c>
      <c r="H2462" s="6">
        <f>IF(F2462="GO",Eingaben!$B$11,IF(F2462="STANDARD",Eingaben!$B$12,IF(AND(F2462="HEAT",ISNUMBER(Eingaben!$B$13)),Eingaben!$B$13,"")))</f>
        <v>28.2744</v>
      </c>
      <c r="I2462" s="6">
        <f>INDEX(Netzzeiten!$C$6:$C$29,HOUR(B2462)+1)</f>
        <v>1.64</v>
      </c>
      <c r="J2462" t="str">
        <f>IF(C2462="","FEHLT",IF(NOT(ISNUMBER(C2462)),"MESSWERT UNGUELTIG",IF(C2462&lt;0,"MESSWERT UNGUELTIG",IF(H2462="","TARIFPREIS FEHLT","OK"))))</f>
        <v>FEHLT</v>
      </c>
      <c r="K2462" s="7">
        <f>IF(J2462&lt;&gt;"OK","",C2462*I2462/100)</f>
        <v/>
      </c>
    </row>
    <row r="2463" spans="1:11">
      <c r="A2463" s="14">
        <v>46168</v>
      </c>
      <c r="B2463" s="15">
        <v>0.59375</v>
      </c>
      <c r="C2463" s="5">
        <f>IF('96 Werte'!BG31="","",'96 Werte'!BG31)</f>
        <v/>
      </c>
      <c r="D2463" t="str">
        <f>IF(IF(Eingaben!$B$21&lt;Eingaben!$B$22,AND(B2463&gt;=Eingaben!$B$21,B2463&lt;Eingaben!$B$22),OR(B2463&gt;=Eingaben!$B$21,B2463&lt;Eingaben!$B$22)),"GO",IF(AND(ISNUMBER(Eingaben!$B$23),ISNUMBER(Eingaben!$B$24),IF(Eingaben!$B$23&lt;Eingaben!$B$24,AND(B2463&gt;=Eingaben!$B$23,B2463&lt;Eingaben!$B$24),OR(B2463&gt;=Eingaben!$B$23,B2463&lt;Eingaben!$B$24))),"HEAT","STANDARD"))</f>
        <v>STANDARD</v>
      </c>
      <c r="E2463" s="9"/>
      <c r="F2463" t="str">
        <f>IF(E2463="",D2463,E2463)</f>
        <v>STANDARD</v>
      </c>
      <c r="G2463" t="str">
        <f>INDEX(Netzzeiten!$B$6:$B$29,HOUR(B2463)+1)</f>
        <v>NT</v>
      </c>
      <c r="H2463" s="6">
        <f>IF(F2463="GO",Eingaben!$B$11,IF(F2463="STANDARD",Eingaben!$B$12,IF(AND(F2463="HEAT",ISNUMBER(Eingaben!$B$13)),Eingaben!$B$13,"")))</f>
        <v>28.2744</v>
      </c>
      <c r="I2463" s="6">
        <f>INDEX(Netzzeiten!$C$6:$C$29,HOUR(B2463)+1)</f>
        <v>1.64</v>
      </c>
      <c r="J2463" t="str">
        <f>IF(C2463="","FEHLT",IF(NOT(ISNUMBER(C2463)),"MESSWERT UNGUELTIG",IF(C2463&lt;0,"MESSWERT UNGUELTIG",IF(H2463="","TARIFPREIS FEHLT","OK"))))</f>
        <v>FEHLT</v>
      </c>
      <c r="K2463" s="7">
        <f>IF(J2463&lt;&gt;"OK","",C2463*I2463/100)</f>
        <v/>
      </c>
    </row>
    <row r="2464" spans="1:11">
      <c r="A2464" s="14">
        <v>46168</v>
      </c>
      <c r="B2464" s="15">
        <v>0.6041666666666666</v>
      </c>
      <c r="C2464" s="5">
        <f>IF('96 Werte'!BH31="","",'96 Werte'!BH31)</f>
        <v/>
      </c>
      <c r="D2464" t="str">
        <f>IF(IF(Eingaben!$B$21&lt;Eingaben!$B$22,AND(B2464&gt;=Eingaben!$B$21,B2464&lt;Eingaben!$B$22),OR(B2464&gt;=Eingaben!$B$21,B2464&lt;Eingaben!$B$22)),"GO",IF(AND(ISNUMBER(Eingaben!$B$23),ISNUMBER(Eingaben!$B$24),IF(Eingaben!$B$23&lt;Eingaben!$B$24,AND(B2464&gt;=Eingaben!$B$23,B2464&lt;Eingaben!$B$24),OR(B2464&gt;=Eingaben!$B$23,B2464&lt;Eingaben!$B$24))),"HEAT","STANDARD"))</f>
        <v>STANDARD</v>
      </c>
      <c r="E2464" s="9"/>
      <c r="F2464" t="str">
        <f>IF(E2464="",D2464,E2464)</f>
        <v>STANDARD</v>
      </c>
      <c r="G2464" t="str">
        <f>INDEX(Netzzeiten!$B$6:$B$29,HOUR(B2464)+1)</f>
        <v>NT</v>
      </c>
      <c r="H2464" s="6">
        <f>IF(F2464="GO",Eingaben!$B$11,IF(F2464="STANDARD",Eingaben!$B$12,IF(AND(F2464="HEAT",ISNUMBER(Eingaben!$B$13)),Eingaben!$B$13,"")))</f>
        <v>28.2744</v>
      </c>
      <c r="I2464" s="6">
        <f>INDEX(Netzzeiten!$C$6:$C$29,HOUR(B2464)+1)</f>
        <v>1.64</v>
      </c>
      <c r="J2464" t="str">
        <f>IF(C2464="","FEHLT",IF(NOT(ISNUMBER(C2464)),"MESSWERT UNGUELTIG",IF(C2464&lt;0,"MESSWERT UNGUELTIG",IF(H2464="","TARIFPREIS FEHLT","OK"))))</f>
        <v>FEHLT</v>
      </c>
      <c r="K2464" s="7">
        <f>IF(J2464&lt;&gt;"OK","",C2464*I2464/100)</f>
        <v/>
      </c>
    </row>
    <row r="2465" spans="1:11">
      <c r="A2465" s="14">
        <v>46168</v>
      </c>
      <c r="B2465" s="15">
        <v>0.6145833333333334</v>
      </c>
      <c r="C2465" s="5">
        <f>IF('96 Werte'!BI31="","",'96 Werte'!BI31)</f>
        <v/>
      </c>
      <c r="D2465" t="str">
        <f>IF(IF(Eingaben!$B$21&lt;Eingaben!$B$22,AND(B2465&gt;=Eingaben!$B$21,B2465&lt;Eingaben!$B$22),OR(B2465&gt;=Eingaben!$B$21,B2465&lt;Eingaben!$B$22)),"GO",IF(AND(ISNUMBER(Eingaben!$B$23),ISNUMBER(Eingaben!$B$24),IF(Eingaben!$B$23&lt;Eingaben!$B$24,AND(B2465&gt;=Eingaben!$B$23,B2465&lt;Eingaben!$B$24),OR(B2465&gt;=Eingaben!$B$23,B2465&lt;Eingaben!$B$24))),"HEAT","STANDARD"))</f>
        <v>STANDARD</v>
      </c>
      <c r="E2465" s="9"/>
      <c r="F2465" t="str">
        <f>IF(E2465="",D2465,E2465)</f>
        <v>STANDARD</v>
      </c>
      <c r="G2465" t="str">
        <f>INDEX(Netzzeiten!$B$6:$B$29,HOUR(B2465)+1)</f>
        <v>NT</v>
      </c>
      <c r="H2465" s="6">
        <f>IF(F2465="GO",Eingaben!$B$11,IF(F2465="STANDARD",Eingaben!$B$12,IF(AND(F2465="HEAT",ISNUMBER(Eingaben!$B$13)),Eingaben!$B$13,"")))</f>
        <v>28.2744</v>
      </c>
      <c r="I2465" s="6">
        <f>INDEX(Netzzeiten!$C$6:$C$29,HOUR(B2465)+1)</f>
        <v>1.64</v>
      </c>
      <c r="J2465" t="str">
        <f>IF(C2465="","FEHLT",IF(NOT(ISNUMBER(C2465)),"MESSWERT UNGUELTIG",IF(C2465&lt;0,"MESSWERT UNGUELTIG",IF(H2465="","TARIFPREIS FEHLT","OK"))))</f>
        <v>FEHLT</v>
      </c>
      <c r="K2465" s="7">
        <f>IF(J2465&lt;&gt;"OK","",C2465*I2465/100)</f>
        <v/>
      </c>
    </row>
    <row r="2466" spans="1:11">
      <c r="A2466" s="14">
        <v>46168</v>
      </c>
      <c r="B2466" s="15">
        <v>0.625</v>
      </c>
      <c r="C2466" s="5">
        <f>IF('96 Werte'!BJ31="","",'96 Werte'!BJ31)</f>
        <v/>
      </c>
      <c r="D2466" t="str">
        <f>IF(IF(Eingaben!$B$21&lt;Eingaben!$B$22,AND(B2466&gt;=Eingaben!$B$21,B2466&lt;Eingaben!$B$22),OR(B2466&gt;=Eingaben!$B$21,B2466&lt;Eingaben!$B$22)),"GO",IF(AND(ISNUMBER(Eingaben!$B$23),ISNUMBER(Eingaben!$B$24),IF(Eingaben!$B$23&lt;Eingaben!$B$24,AND(B2466&gt;=Eingaben!$B$23,B2466&lt;Eingaben!$B$24),OR(B2466&gt;=Eingaben!$B$23,B2466&lt;Eingaben!$B$24))),"HEAT","STANDARD"))</f>
        <v>STANDARD</v>
      </c>
      <c r="E2466" s="9"/>
      <c r="F2466" t="str">
        <f>IF(E2466="",D2466,E2466)</f>
        <v>STANDARD</v>
      </c>
      <c r="G2466" t="str">
        <f>INDEX(Netzzeiten!$B$6:$B$29,HOUR(B2466)+1)</f>
        <v>ST</v>
      </c>
      <c r="H2466" s="6">
        <f>IF(F2466="GO",Eingaben!$B$11,IF(F2466="STANDARD",Eingaben!$B$12,IF(AND(F2466="HEAT",ISNUMBER(Eingaben!$B$13)),Eingaben!$B$13,"")))</f>
        <v>28.2744</v>
      </c>
      <c r="I2466" s="6">
        <f>INDEX(Netzzeiten!$C$6:$C$29,HOUR(B2466)+1)</f>
        <v>5.48</v>
      </c>
      <c r="J2466" t="str">
        <f>IF(C2466="","FEHLT",IF(NOT(ISNUMBER(C2466)),"MESSWERT UNGUELTIG",IF(C2466&lt;0,"MESSWERT UNGUELTIG",IF(H2466="","TARIFPREIS FEHLT","OK"))))</f>
        <v>FEHLT</v>
      </c>
      <c r="K2466" s="7">
        <f>IF(J2466&lt;&gt;"OK","",C2466*I2466/100)</f>
        <v/>
      </c>
    </row>
    <row r="2467" spans="1:11">
      <c r="A2467" s="14">
        <v>46168</v>
      </c>
      <c r="B2467" s="15">
        <v>0.6354166666666666</v>
      </c>
      <c r="C2467" s="5">
        <f>IF('96 Werte'!BK31="","",'96 Werte'!BK31)</f>
        <v/>
      </c>
      <c r="D2467" t="str">
        <f>IF(IF(Eingaben!$B$21&lt;Eingaben!$B$22,AND(B2467&gt;=Eingaben!$B$21,B2467&lt;Eingaben!$B$22),OR(B2467&gt;=Eingaben!$B$21,B2467&lt;Eingaben!$B$22)),"GO",IF(AND(ISNUMBER(Eingaben!$B$23),ISNUMBER(Eingaben!$B$24),IF(Eingaben!$B$23&lt;Eingaben!$B$24,AND(B2467&gt;=Eingaben!$B$23,B2467&lt;Eingaben!$B$24),OR(B2467&gt;=Eingaben!$B$23,B2467&lt;Eingaben!$B$24))),"HEAT","STANDARD"))</f>
        <v>STANDARD</v>
      </c>
      <c r="E2467" s="9"/>
      <c r="F2467" t="str">
        <f>IF(E2467="",D2467,E2467)</f>
        <v>STANDARD</v>
      </c>
      <c r="G2467" t="str">
        <f>INDEX(Netzzeiten!$B$6:$B$29,HOUR(B2467)+1)</f>
        <v>ST</v>
      </c>
      <c r="H2467" s="6">
        <f>IF(F2467="GO",Eingaben!$B$11,IF(F2467="STANDARD",Eingaben!$B$12,IF(AND(F2467="HEAT",ISNUMBER(Eingaben!$B$13)),Eingaben!$B$13,"")))</f>
        <v>28.2744</v>
      </c>
      <c r="I2467" s="6">
        <f>INDEX(Netzzeiten!$C$6:$C$29,HOUR(B2467)+1)</f>
        <v>5.48</v>
      </c>
      <c r="J2467" t="str">
        <f>IF(C2467="","FEHLT",IF(NOT(ISNUMBER(C2467)),"MESSWERT UNGUELTIG",IF(C2467&lt;0,"MESSWERT UNGUELTIG",IF(H2467="","TARIFPREIS FEHLT","OK"))))</f>
        <v>FEHLT</v>
      </c>
      <c r="K2467" s="7">
        <f>IF(J2467&lt;&gt;"OK","",C2467*I2467/100)</f>
        <v/>
      </c>
    </row>
    <row r="2468" spans="1:11">
      <c r="A2468" s="14">
        <v>46168</v>
      </c>
      <c r="B2468" s="15">
        <v>0.6458333333333334</v>
      </c>
      <c r="C2468" s="5">
        <f>IF('96 Werte'!BL31="","",'96 Werte'!BL31)</f>
        <v/>
      </c>
      <c r="D2468" t="str">
        <f>IF(IF(Eingaben!$B$21&lt;Eingaben!$B$22,AND(B2468&gt;=Eingaben!$B$21,B2468&lt;Eingaben!$B$22),OR(B2468&gt;=Eingaben!$B$21,B2468&lt;Eingaben!$B$22)),"GO",IF(AND(ISNUMBER(Eingaben!$B$23),ISNUMBER(Eingaben!$B$24),IF(Eingaben!$B$23&lt;Eingaben!$B$24,AND(B2468&gt;=Eingaben!$B$23,B2468&lt;Eingaben!$B$24),OR(B2468&gt;=Eingaben!$B$23,B2468&lt;Eingaben!$B$24))),"HEAT","STANDARD"))</f>
        <v>STANDARD</v>
      </c>
      <c r="E2468" s="9"/>
      <c r="F2468" t="str">
        <f>IF(E2468="",D2468,E2468)</f>
        <v>STANDARD</v>
      </c>
      <c r="G2468" t="str">
        <f>INDEX(Netzzeiten!$B$6:$B$29,HOUR(B2468)+1)</f>
        <v>ST</v>
      </c>
      <c r="H2468" s="6">
        <f>IF(F2468="GO",Eingaben!$B$11,IF(F2468="STANDARD",Eingaben!$B$12,IF(AND(F2468="HEAT",ISNUMBER(Eingaben!$B$13)),Eingaben!$B$13,"")))</f>
        <v>28.2744</v>
      </c>
      <c r="I2468" s="6">
        <f>INDEX(Netzzeiten!$C$6:$C$29,HOUR(B2468)+1)</f>
        <v>5.48</v>
      </c>
      <c r="J2468" t="str">
        <f>IF(C2468="","FEHLT",IF(NOT(ISNUMBER(C2468)),"MESSWERT UNGUELTIG",IF(C2468&lt;0,"MESSWERT UNGUELTIG",IF(H2468="","TARIFPREIS FEHLT","OK"))))</f>
        <v>FEHLT</v>
      </c>
      <c r="K2468" s="7">
        <f>IF(J2468&lt;&gt;"OK","",C2468*I2468/100)</f>
        <v/>
      </c>
    </row>
    <row r="2469" spans="1:11">
      <c r="A2469" s="14">
        <v>46168</v>
      </c>
      <c r="B2469" s="15">
        <v>0.65625</v>
      </c>
      <c r="C2469" s="5">
        <f>IF('96 Werte'!BM31="","",'96 Werte'!BM31)</f>
        <v/>
      </c>
      <c r="D2469" t="str">
        <f>IF(IF(Eingaben!$B$21&lt;Eingaben!$B$22,AND(B2469&gt;=Eingaben!$B$21,B2469&lt;Eingaben!$B$22),OR(B2469&gt;=Eingaben!$B$21,B2469&lt;Eingaben!$B$22)),"GO",IF(AND(ISNUMBER(Eingaben!$B$23),ISNUMBER(Eingaben!$B$24),IF(Eingaben!$B$23&lt;Eingaben!$B$24,AND(B2469&gt;=Eingaben!$B$23,B2469&lt;Eingaben!$B$24),OR(B2469&gt;=Eingaben!$B$23,B2469&lt;Eingaben!$B$24))),"HEAT","STANDARD"))</f>
        <v>STANDARD</v>
      </c>
      <c r="E2469" s="9"/>
      <c r="F2469" t="str">
        <f>IF(E2469="",D2469,E2469)</f>
        <v>STANDARD</v>
      </c>
      <c r="G2469" t="str">
        <f>INDEX(Netzzeiten!$B$6:$B$29,HOUR(B2469)+1)</f>
        <v>ST</v>
      </c>
      <c r="H2469" s="6">
        <f>IF(F2469="GO",Eingaben!$B$11,IF(F2469="STANDARD",Eingaben!$B$12,IF(AND(F2469="HEAT",ISNUMBER(Eingaben!$B$13)),Eingaben!$B$13,"")))</f>
        <v>28.2744</v>
      </c>
      <c r="I2469" s="6">
        <f>INDEX(Netzzeiten!$C$6:$C$29,HOUR(B2469)+1)</f>
        <v>5.48</v>
      </c>
      <c r="J2469" t="str">
        <f>IF(C2469="","FEHLT",IF(NOT(ISNUMBER(C2469)),"MESSWERT UNGUELTIG",IF(C2469&lt;0,"MESSWERT UNGUELTIG",IF(H2469="","TARIFPREIS FEHLT","OK"))))</f>
        <v>FEHLT</v>
      </c>
      <c r="K2469" s="7">
        <f>IF(J2469&lt;&gt;"OK","",C2469*I2469/100)</f>
        <v/>
      </c>
    </row>
    <row r="2470" spans="1:11">
      <c r="A2470" s="14">
        <v>46168</v>
      </c>
      <c r="B2470" s="15">
        <v>0.6666666666666666</v>
      </c>
      <c r="C2470" s="5">
        <f>IF('96 Werte'!BN31="","",'96 Werte'!BN31)</f>
        <v/>
      </c>
      <c r="D2470" t="str">
        <f>IF(IF(Eingaben!$B$21&lt;Eingaben!$B$22,AND(B2470&gt;=Eingaben!$B$21,B2470&lt;Eingaben!$B$22),OR(B2470&gt;=Eingaben!$B$21,B2470&lt;Eingaben!$B$22)),"GO",IF(AND(ISNUMBER(Eingaben!$B$23),ISNUMBER(Eingaben!$B$24),IF(Eingaben!$B$23&lt;Eingaben!$B$24,AND(B2470&gt;=Eingaben!$B$23,B2470&lt;Eingaben!$B$24),OR(B2470&gt;=Eingaben!$B$23,B2470&lt;Eingaben!$B$24))),"HEAT","STANDARD"))</f>
        <v>STANDARD</v>
      </c>
      <c r="E2470" s="9"/>
      <c r="F2470" t="str">
        <f>IF(E2470="",D2470,E2470)</f>
        <v>STANDARD</v>
      </c>
      <c r="G2470" t="str">
        <f>INDEX(Netzzeiten!$B$6:$B$29,HOUR(B2470)+1)</f>
        <v>ST</v>
      </c>
      <c r="H2470" s="6">
        <f>IF(F2470="GO",Eingaben!$B$11,IF(F2470="STANDARD",Eingaben!$B$12,IF(AND(F2470="HEAT",ISNUMBER(Eingaben!$B$13)),Eingaben!$B$13,"")))</f>
        <v>28.2744</v>
      </c>
      <c r="I2470" s="6">
        <f>INDEX(Netzzeiten!$C$6:$C$29,HOUR(B2470)+1)</f>
        <v>5.48</v>
      </c>
      <c r="J2470" t="str">
        <f>IF(C2470="","FEHLT",IF(NOT(ISNUMBER(C2470)),"MESSWERT UNGUELTIG",IF(C2470&lt;0,"MESSWERT UNGUELTIG",IF(H2470="","TARIFPREIS FEHLT","OK"))))</f>
        <v>FEHLT</v>
      </c>
      <c r="K2470" s="7">
        <f>IF(J2470&lt;&gt;"OK","",C2470*I2470/100)</f>
        <v/>
      </c>
    </row>
    <row r="2471" spans="1:11">
      <c r="A2471" s="14">
        <v>46168</v>
      </c>
      <c r="B2471" s="15">
        <v>0.6770833333333334</v>
      </c>
      <c r="C2471" s="5">
        <f>IF('96 Werte'!BO31="","",'96 Werte'!BO31)</f>
        <v/>
      </c>
      <c r="D2471" t="str">
        <f>IF(IF(Eingaben!$B$21&lt;Eingaben!$B$22,AND(B2471&gt;=Eingaben!$B$21,B2471&lt;Eingaben!$B$22),OR(B2471&gt;=Eingaben!$B$21,B2471&lt;Eingaben!$B$22)),"GO",IF(AND(ISNUMBER(Eingaben!$B$23),ISNUMBER(Eingaben!$B$24),IF(Eingaben!$B$23&lt;Eingaben!$B$24,AND(B2471&gt;=Eingaben!$B$23,B2471&lt;Eingaben!$B$24),OR(B2471&gt;=Eingaben!$B$23,B2471&lt;Eingaben!$B$24))),"HEAT","STANDARD"))</f>
        <v>STANDARD</v>
      </c>
      <c r="E2471" s="9"/>
      <c r="F2471" t="str">
        <f>IF(E2471="",D2471,E2471)</f>
        <v>STANDARD</v>
      </c>
      <c r="G2471" t="str">
        <f>INDEX(Netzzeiten!$B$6:$B$29,HOUR(B2471)+1)</f>
        <v>ST</v>
      </c>
      <c r="H2471" s="6">
        <f>IF(F2471="GO",Eingaben!$B$11,IF(F2471="STANDARD",Eingaben!$B$12,IF(AND(F2471="HEAT",ISNUMBER(Eingaben!$B$13)),Eingaben!$B$13,"")))</f>
        <v>28.2744</v>
      </c>
      <c r="I2471" s="6">
        <f>INDEX(Netzzeiten!$C$6:$C$29,HOUR(B2471)+1)</f>
        <v>5.48</v>
      </c>
      <c r="J2471" t="str">
        <f>IF(C2471="","FEHLT",IF(NOT(ISNUMBER(C2471)),"MESSWERT UNGUELTIG",IF(C2471&lt;0,"MESSWERT UNGUELTIG",IF(H2471="","TARIFPREIS FEHLT","OK"))))</f>
        <v>FEHLT</v>
      </c>
      <c r="K2471" s="7">
        <f>IF(J2471&lt;&gt;"OK","",C2471*I2471/100)</f>
        <v/>
      </c>
    </row>
    <row r="2472" spans="1:11">
      <c r="A2472" s="14">
        <v>46168</v>
      </c>
      <c r="B2472" s="15">
        <v>0.6875</v>
      </c>
      <c r="C2472" s="5">
        <f>IF('96 Werte'!BP31="","",'96 Werte'!BP31)</f>
        <v/>
      </c>
      <c r="D2472" t="str">
        <f>IF(IF(Eingaben!$B$21&lt;Eingaben!$B$22,AND(B2472&gt;=Eingaben!$B$21,B2472&lt;Eingaben!$B$22),OR(B2472&gt;=Eingaben!$B$21,B2472&lt;Eingaben!$B$22)),"GO",IF(AND(ISNUMBER(Eingaben!$B$23),ISNUMBER(Eingaben!$B$24),IF(Eingaben!$B$23&lt;Eingaben!$B$24,AND(B2472&gt;=Eingaben!$B$23,B2472&lt;Eingaben!$B$24),OR(B2472&gt;=Eingaben!$B$23,B2472&lt;Eingaben!$B$24))),"HEAT","STANDARD"))</f>
        <v>STANDARD</v>
      </c>
      <c r="E2472" s="9"/>
      <c r="F2472" t="str">
        <f>IF(E2472="",D2472,E2472)</f>
        <v>STANDARD</v>
      </c>
      <c r="G2472" t="str">
        <f>INDEX(Netzzeiten!$B$6:$B$29,HOUR(B2472)+1)</f>
        <v>ST</v>
      </c>
      <c r="H2472" s="6">
        <f>IF(F2472="GO",Eingaben!$B$11,IF(F2472="STANDARD",Eingaben!$B$12,IF(AND(F2472="HEAT",ISNUMBER(Eingaben!$B$13)),Eingaben!$B$13,"")))</f>
        <v>28.2744</v>
      </c>
      <c r="I2472" s="6">
        <f>INDEX(Netzzeiten!$C$6:$C$29,HOUR(B2472)+1)</f>
        <v>5.48</v>
      </c>
      <c r="J2472" t="str">
        <f>IF(C2472="","FEHLT",IF(NOT(ISNUMBER(C2472)),"MESSWERT UNGUELTIG",IF(C2472&lt;0,"MESSWERT UNGUELTIG",IF(H2472="","TARIFPREIS FEHLT","OK"))))</f>
        <v>FEHLT</v>
      </c>
      <c r="K2472" s="7">
        <f>IF(J2472&lt;&gt;"OK","",C2472*I2472/100)</f>
        <v/>
      </c>
    </row>
    <row r="2473" spans="1:11">
      <c r="A2473" s="14">
        <v>46168</v>
      </c>
      <c r="B2473" s="15">
        <v>0.6979166666666666</v>
      </c>
      <c r="C2473" s="5">
        <f>IF('96 Werte'!BQ31="","",'96 Werte'!BQ31)</f>
        <v/>
      </c>
      <c r="D2473" t="str">
        <f>IF(IF(Eingaben!$B$21&lt;Eingaben!$B$22,AND(B2473&gt;=Eingaben!$B$21,B2473&lt;Eingaben!$B$22),OR(B2473&gt;=Eingaben!$B$21,B2473&lt;Eingaben!$B$22)),"GO",IF(AND(ISNUMBER(Eingaben!$B$23),ISNUMBER(Eingaben!$B$24),IF(Eingaben!$B$23&lt;Eingaben!$B$24,AND(B2473&gt;=Eingaben!$B$23,B2473&lt;Eingaben!$B$24),OR(B2473&gt;=Eingaben!$B$23,B2473&lt;Eingaben!$B$24))),"HEAT","STANDARD"))</f>
        <v>STANDARD</v>
      </c>
      <c r="E2473" s="9"/>
      <c r="F2473" t="str">
        <f>IF(E2473="",D2473,E2473)</f>
        <v>STANDARD</v>
      </c>
      <c r="G2473" t="str">
        <f>INDEX(Netzzeiten!$B$6:$B$29,HOUR(B2473)+1)</f>
        <v>ST</v>
      </c>
      <c r="H2473" s="6">
        <f>IF(F2473="GO",Eingaben!$B$11,IF(F2473="STANDARD",Eingaben!$B$12,IF(AND(F2473="HEAT",ISNUMBER(Eingaben!$B$13)),Eingaben!$B$13,"")))</f>
        <v>28.2744</v>
      </c>
      <c r="I2473" s="6">
        <f>INDEX(Netzzeiten!$C$6:$C$29,HOUR(B2473)+1)</f>
        <v>5.48</v>
      </c>
      <c r="J2473" t="str">
        <f>IF(C2473="","FEHLT",IF(NOT(ISNUMBER(C2473)),"MESSWERT UNGUELTIG",IF(C2473&lt;0,"MESSWERT UNGUELTIG",IF(H2473="","TARIFPREIS FEHLT","OK"))))</f>
        <v>FEHLT</v>
      </c>
      <c r="K2473" s="7">
        <f>IF(J2473&lt;&gt;"OK","",C2473*I2473/100)</f>
        <v/>
      </c>
    </row>
    <row r="2474" spans="1:11">
      <c r="A2474" s="14">
        <v>46168</v>
      </c>
      <c r="B2474" s="15">
        <v>0.7083333333333334</v>
      </c>
      <c r="C2474" s="5">
        <f>IF('96 Werte'!BR31="","",'96 Werte'!BR31)</f>
        <v/>
      </c>
      <c r="D2474" t="str">
        <f>IF(IF(Eingaben!$B$21&lt;Eingaben!$B$22,AND(B2474&gt;=Eingaben!$B$21,B2474&lt;Eingaben!$B$22),OR(B2474&gt;=Eingaben!$B$21,B2474&lt;Eingaben!$B$22)),"GO",IF(AND(ISNUMBER(Eingaben!$B$23),ISNUMBER(Eingaben!$B$24),IF(Eingaben!$B$23&lt;Eingaben!$B$24,AND(B2474&gt;=Eingaben!$B$23,B2474&lt;Eingaben!$B$24),OR(B2474&gt;=Eingaben!$B$23,B2474&lt;Eingaben!$B$24))),"HEAT","STANDARD"))</f>
        <v>STANDARD</v>
      </c>
      <c r="E2474" s="9"/>
      <c r="F2474" t="str">
        <f>IF(E2474="",D2474,E2474)</f>
        <v>STANDARD</v>
      </c>
      <c r="G2474" t="str">
        <f>INDEX(Netzzeiten!$B$6:$B$29,HOUR(B2474)+1)</f>
        <v>HT</v>
      </c>
      <c r="H2474" s="6">
        <f>IF(F2474="GO",Eingaben!$B$11,IF(F2474="STANDARD",Eingaben!$B$12,IF(AND(F2474="HEAT",ISNUMBER(Eingaben!$B$13)),Eingaben!$B$13,"")))</f>
        <v>28.2744</v>
      </c>
      <c r="I2474" s="6">
        <f>INDEX(Netzzeiten!$C$6:$C$29,HOUR(B2474)+1)</f>
        <v>10.52</v>
      </c>
      <c r="J2474" t="str">
        <f>IF(C2474="","FEHLT",IF(NOT(ISNUMBER(C2474)),"MESSWERT UNGUELTIG",IF(C2474&lt;0,"MESSWERT UNGUELTIG",IF(H2474="","TARIFPREIS FEHLT","OK"))))</f>
        <v>FEHLT</v>
      </c>
      <c r="K2474" s="7">
        <f>IF(J2474&lt;&gt;"OK","",C2474*I2474/100)</f>
        <v/>
      </c>
    </row>
    <row r="2475" spans="1:11">
      <c r="A2475" s="14">
        <v>46168</v>
      </c>
      <c r="B2475" s="15">
        <v>0.71875</v>
      </c>
      <c r="C2475" s="5">
        <f>IF('96 Werte'!BS31="","",'96 Werte'!BS31)</f>
        <v/>
      </c>
      <c r="D2475" t="str">
        <f>IF(IF(Eingaben!$B$21&lt;Eingaben!$B$22,AND(B2475&gt;=Eingaben!$B$21,B2475&lt;Eingaben!$B$22),OR(B2475&gt;=Eingaben!$B$21,B2475&lt;Eingaben!$B$22)),"GO",IF(AND(ISNUMBER(Eingaben!$B$23),ISNUMBER(Eingaben!$B$24),IF(Eingaben!$B$23&lt;Eingaben!$B$24,AND(B2475&gt;=Eingaben!$B$23,B2475&lt;Eingaben!$B$24),OR(B2475&gt;=Eingaben!$B$23,B2475&lt;Eingaben!$B$24))),"HEAT","STANDARD"))</f>
        <v>STANDARD</v>
      </c>
      <c r="E2475" s="9"/>
      <c r="F2475" t="str">
        <f>IF(E2475="",D2475,E2475)</f>
        <v>STANDARD</v>
      </c>
      <c r="G2475" t="str">
        <f>INDEX(Netzzeiten!$B$6:$B$29,HOUR(B2475)+1)</f>
        <v>HT</v>
      </c>
      <c r="H2475" s="6">
        <f>IF(F2475="GO",Eingaben!$B$11,IF(F2475="STANDARD",Eingaben!$B$12,IF(AND(F2475="HEAT",ISNUMBER(Eingaben!$B$13)),Eingaben!$B$13,"")))</f>
        <v>28.2744</v>
      </c>
      <c r="I2475" s="6">
        <f>INDEX(Netzzeiten!$C$6:$C$29,HOUR(B2475)+1)</f>
        <v>10.52</v>
      </c>
      <c r="J2475" t="str">
        <f>IF(C2475="","FEHLT",IF(NOT(ISNUMBER(C2475)),"MESSWERT UNGUELTIG",IF(C2475&lt;0,"MESSWERT UNGUELTIG",IF(H2475="","TARIFPREIS FEHLT","OK"))))</f>
        <v>FEHLT</v>
      </c>
      <c r="K2475" s="7">
        <f>IF(J2475&lt;&gt;"OK","",C2475*I2475/100)</f>
        <v/>
      </c>
    </row>
    <row r="2476" spans="1:11">
      <c r="A2476" s="14">
        <v>46168</v>
      </c>
      <c r="B2476" s="15">
        <v>0.7291666666666666</v>
      </c>
      <c r="C2476" s="5">
        <f>IF('96 Werte'!BT31="","",'96 Werte'!BT31)</f>
        <v/>
      </c>
      <c r="D2476" t="str">
        <f>IF(IF(Eingaben!$B$21&lt;Eingaben!$B$22,AND(B2476&gt;=Eingaben!$B$21,B2476&lt;Eingaben!$B$22),OR(B2476&gt;=Eingaben!$B$21,B2476&lt;Eingaben!$B$22)),"GO",IF(AND(ISNUMBER(Eingaben!$B$23),ISNUMBER(Eingaben!$B$24),IF(Eingaben!$B$23&lt;Eingaben!$B$24,AND(B2476&gt;=Eingaben!$B$23,B2476&lt;Eingaben!$B$24),OR(B2476&gt;=Eingaben!$B$23,B2476&lt;Eingaben!$B$24))),"HEAT","STANDARD"))</f>
        <v>STANDARD</v>
      </c>
      <c r="E2476" s="9"/>
      <c r="F2476" t="str">
        <f>IF(E2476="",D2476,E2476)</f>
        <v>STANDARD</v>
      </c>
      <c r="G2476" t="str">
        <f>INDEX(Netzzeiten!$B$6:$B$29,HOUR(B2476)+1)</f>
        <v>HT</v>
      </c>
      <c r="H2476" s="6">
        <f>IF(F2476="GO",Eingaben!$B$11,IF(F2476="STANDARD",Eingaben!$B$12,IF(AND(F2476="HEAT",ISNUMBER(Eingaben!$B$13)),Eingaben!$B$13,"")))</f>
        <v>28.2744</v>
      </c>
      <c r="I2476" s="6">
        <f>INDEX(Netzzeiten!$C$6:$C$29,HOUR(B2476)+1)</f>
        <v>10.52</v>
      </c>
      <c r="J2476" t="str">
        <f>IF(C2476="","FEHLT",IF(NOT(ISNUMBER(C2476)),"MESSWERT UNGUELTIG",IF(C2476&lt;0,"MESSWERT UNGUELTIG",IF(H2476="","TARIFPREIS FEHLT","OK"))))</f>
        <v>FEHLT</v>
      </c>
      <c r="K2476" s="7">
        <f>IF(J2476&lt;&gt;"OK","",C2476*I2476/100)</f>
        <v/>
      </c>
    </row>
    <row r="2477" spans="1:11">
      <c r="A2477" s="14">
        <v>46168</v>
      </c>
      <c r="B2477" s="15">
        <v>0.7395833333333334</v>
      </c>
      <c r="C2477" s="5">
        <f>IF('96 Werte'!BU31="","",'96 Werte'!BU31)</f>
        <v/>
      </c>
      <c r="D2477" t="str">
        <f>IF(IF(Eingaben!$B$21&lt;Eingaben!$B$22,AND(B2477&gt;=Eingaben!$B$21,B2477&lt;Eingaben!$B$22),OR(B2477&gt;=Eingaben!$B$21,B2477&lt;Eingaben!$B$22)),"GO",IF(AND(ISNUMBER(Eingaben!$B$23),ISNUMBER(Eingaben!$B$24),IF(Eingaben!$B$23&lt;Eingaben!$B$24,AND(B2477&gt;=Eingaben!$B$23,B2477&lt;Eingaben!$B$24),OR(B2477&gt;=Eingaben!$B$23,B2477&lt;Eingaben!$B$24))),"HEAT","STANDARD"))</f>
        <v>STANDARD</v>
      </c>
      <c r="E2477" s="9"/>
      <c r="F2477" t="str">
        <f>IF(E2477="",D2477,E2477)</f>
        <v>STANDARD</v>
      </c>
      <c r="G2477" t="str">
        <f>INDEX(Netzzeiten!$B$6:$B$29,HOUR(B2477)+1)</f>
        <v>HT</v>
      </c>
      <c r="H2477" s="6">
        <f>IF(F2477="GO",Eingaben!$B$11,IF(F2477="STANDARD",Eingaben!$B$12,IF(AND(F2477="HEAT",ISNUMBER(Eingaben!$B$13)),Eingaben!$B$13,"")))</f>
        <v>28.2744</v>
      </c>
      <c r="I2477" s="6">
        <f>INDEX(Netzzeiten!$C$6:$C$29,HOUR(B2477)+1)</f>
        <v>10.52</v>
      </c>
      <c r="J2477" t="str">
        <f>IF(C2477="","FEHLT",IF(NOT(ISNUMBER(C2477)),"MESSWERT UNGUELTIG",IF(C2477&lt;0,"MESSWERT UNGUELTIG",IF(H2477="","TARIFPREIS FEHLT","OK"))))</f>
        <v>FEHLT</v>
      </c>
      <c r="K2477" s="7">
        <f>IF(J2477&lt;&gt;"OK","",C2477*I2477/100)</f>
        <v/>
      </c>
    </row>
    <row r="2478" spans="1:11">
      <c r="A2478" s="14">
        <v>46168</v>
      </c>
      <c r="B2478" s="15">
        <v>0.75</v>
      </c>
      <c r="C2478" s="5">
        <f>IF('96 Werte'!BV31="","",'96 Werte'!BV31)</f>
        <v/>
      </c>
      <c r="D2478" t="str">
        <f>IF(IF(Eingaben!$B$21&lt;Eingaben!$B$22,AND(B2478&gt;=Eingaben!$B$21,B2478&lt;Eingaben!$B$22),OR(B2478&gt;=Eingaben!$B$21,B2478&lt;Eingaben!$B$22)),"GO",IF(AND(ISNUMBER(Eingaben!$B$23),ISNUMBER(Eingaben!$B$24),IF(Eingaben!$B$23&lt;Eingaben!$B$24,AND(B2478&gt;=Eingaben!$B$23,B2478&lt;Eingaben!$B$24),OR(B2478&gt;=Eingaben!$B$23,B2478&lt;Eingaben!$B$24))),"HEAT","STANDARD"))</f>
        <v>STANDARD</v>
      </c>
      <c r="E2478" s="9"/>
      <c r="F2478" t="str">
        <f>IF(E2478="",D2478,E2478)</f>
        <v>STANDARD</v>
      </c>
      <c r="G2478" t="str">
        <f>INDEX(Netzzeiten!$B$6:$B$29,HOUR(B2478)+1)</f>
        <v>HT</v>
      </c>
      <c r="H2478" s="6">
        <f>IF(F2478="GO",Eingaben!$B$11,IF(F2478="STANDARD",Eingaben!$B$12,IF(AND(F2478="HEAT",ISNUMBER(Eingaben!$B$13)),Eingaben!$B$13,"")))</f>
        <v>28.2744</v>
      </c>
      <c r="I2478" s="6">
        <f>INDEX(Netzzeiten!$C$6:$C$29,HOUR(B2478)+1)</f>
        <v>10.52</v>
      </c>
      <c r="J2478" t="str">
        <f>IF(C2478="","FEHLT",IF(NOT(ISNUMBER(C2478)),"MESSWERT UNGUELTIG",IF(C2478&lt;0,"MESSWERT UNGUELTIG",IF(H2478="","TARIFPREIS FEHLT","OK"))))</f>
        <v>FEHLT</v>
      </c>
      <c r="K2478" s="7">
        <f>IF(J2478&lt;&gt;"OK","",C2478*I2478/100)</f>
        <v/>
      </c>
    </row>
    <row r="2479" spans="1:11">
      <c r="A2479" s="14">
        <v>46168</v>
      </c>
      <c r="B2479" s="15">
        <v>0.7604166666666666</v>
      </c>
      <c r="C2479" s="5">
        <f>IF('96 Werte'!BW31="","",'96 Werte'!BW31)</f>
        <v/>
      </c>
      <c r="D2479" t="str">
        <f>IF(IF(Eingaben!$B$21&lt;Eingaben!$B$22,AND(B2479&gt;=Eingaben!$B$21,B2479&lt;Eingaben!$B$22),OR(B2479&gt;=Eingaben!$B$21,B2479&lt;Eingaben!$B$22)),"GO",IF(AND(ISNUMBER(Eingaben!$B$23),ISNUMBER(Eingaben!$B$24),IF(Eingaben!$B$23&lt;Eingaben!$B$24,AND(B2479&gt;=Eingaben!$B$23,B2479&lt;Eingaben!$B$24),OR(B2479&gt;=Eingaben!$B$23,B2479&lt;Eingaben!$B$24))),"HEAT","STANDARD"))</f>
        <v>STANDARD</v>
      </c>
      <c r="E2479" s="9"/>
      <c r="F2479" t="str">
        <f>IF(E2479="",D2479,E2479)</f>
        <v>STANDARD</v>
      </c>
      <c r="G2479" t="str">
        <f>INDEX(Netzzeiten!$B$6:$B$29,HOUR(B2479)+1)</f>
        <v>HT</v>
      </c>
      <c r="H2479" s="6">
        <f>IF(F2479="GO",Eingaben!$B$11,IF(F2479="STANDARD",Eingaben!$B$12,IF(AND(F2479="HEAT",ISNUMBER(Eingaben!$B$13)),Eingaben!$B$13,"")))</f>
        <v>28.2744</v>
      </c>
      <c r="I2479" s="6">
        <f>INDEX(Netzzeiten!$C$6:$C$29,HOUR(B2479)+1)</f>
        <v>10.52</v>
      </c>
      <c r="J2479" t="str">
        <f>IF(C2479="","FEHLT",IF(NOT(ISNUMBER(C2479)),"MESSWERT UNGUELTIG",IF(C2479&lt;0,"MESSWERT UNGUELTIG",IF(H2479="","TARIFPREIS FEHLT","OK"))))</f>
        <v>FEHLT</v>
      </c>
      <c r="K2479" s="7">
        <f>IF(J2479&lt;&gt;"OK","",C2479*I2479/100)</f>
        <v/>
      </c>
    </row>
    <row r="2480" spans="1:11">
      <c r="A2480" s="14">
        <v>46168</v>
      </c>
      <c r="B2480" s="15">
        <v>0.7708333333333334</v>
      </c>
      <c r="C2480" s="5">
        <f>IF('96 Werte'!BX31="","",'96 Werte'!BX31)</f>
        <v/>
      </c>
      <c r="D2480" t="str">
        <f>IF(IF(Eingaben!$B$21&lt;Eingaben!$B$22,AND(B2480&gt;=Eingaben!$B$21,B2480&lt;Eingaben!$B$22),OR(B2480&gt;=Eingaben!$B$21,B2480&lt;Eingaben!$B$22)),"GO",IF(AND(ISNUMBER(Eingaben!$B$23),ISNUMBER(Eingaben!$B$24),IF(Eingaben!$B$23&lt;Eingaben!$B$24,AND(B2480&gt;=Eingaben!$B$23,B2480&lt;Eingaben!$B$24),OR(B2480&gt;=Eingaben!$B$23,B2480&lt;Eingaben!$B$24))),"HEAT","STANDARD"))</f>
        <v>STANDARD</v>
      </c>
      <c r="E2480" s="9"/>
      <c r="F2480" t="str">
        <f>IF(E2480="",D2480,E2480)</f>
        <v>STANDARD</v>
      </c>
      <c r="G2480" t="str">
        <f>INDEX(Netzzeiten!$B$6:$B$29,HOUR(B2480)+1)</f>
        <v>HT</v>
      </c>
      <c r="H2480" s="6">
        <f>IF(F2480="GO",Eingaben!$B$11,IF(F2480="STANDARD",Eingaben!$B$12,IF(AND(F2480="HEAT",ISNUMBER(Eingaben!$B$13)),Eingaben!$B$13,"")))</f>
        <v>28.2744</v>
      </c>
      <c r="I2480" s="6">
        <f>INDEX(Netzzeiten!$C$6:$C$29,HOUR(B2480)+1)</f>
        <v>10.52</v>
      </c>
      <c r="J2480" t="str">
        <f>IF(C2480="","FEHLT",IF(NOT(ISNUMBER(C2480)),"MESSWERT UNGUELTIG",IF(C2480&lt;0,"MESSWERT UNGUELTIG",IF(H2480="","TARIFPREIS FEHLT","OK"))))</f>
        <v>FEHLT</v>
      </c>
      <c r="K2480" s="7">
        <f>IF(J2480&lt;&gt;"OK","",C2480*I2480/100)</f>
        <v/>
      </c>
    </row>
    <row r="2481" spans="1:11">
      <c r="A2481" s="14">
        <v>46168</v>
      </c>
      <c r="B2481" s="15">
        <v>0.78125</v>
      </c>
      <c r="C2481" s="5">
        <f>IF('96 Werte'!BY31="","",'96 Werte'!BY31)</f>
        <v/>
      </c>
      <c r="D2481" t="str">
        <f>IF(IF(Eingaben!$B$21&lt;Eingaben!$B$22,AND(B2481&gt;=Eingaben!$B$21,B2481&lt;Eingaben!$B$22),OR(B2481&gt;=Eingaben!$B$21,B2481&lt;Eingaben!$B$22)),"GO",IF(AND(ISNUMBER(Eingaben!$B$23),ISNUMBER(Eingaben!$B$24),IF(Eingaben!$B$23&lt;Eingaben!$B$24,AND(B2481&gt;=Eingaben!$B$23,B2481&lt;Eingaben!$B$24),OR(B2481&gt;=Eingaben!$B$23,B2481&lt;Eingaben!$B$24))),"HEAT","STANDARD"))</f>
        <v>STANDARD</v>
      </c>
      <c r="E2481" s="9"/>
      <c r="F2481" t="str">
        <f>IF(E2481="",D2481,E2481)</f>
        <v>STANDARD</v>
      </c>
      <c r="G2481" t="str">
        <f>INDEX(Netzzeiten!$B$6:$B$29,HOUR(B2481)+1)</f>
        <v>HT</v>
      </c>
      <c r="H2481" s="6">
        <f>IF(F2481="GO",Eingaben!$B$11,IF(F2481="STANDARD",Eingaben!$B$12,IF(AND(F2481="HEAT",ISNUMBER(Eingaben!$B$13)),Eingaben!$B$13,"")))</f>
        <v>28.2744</v>
      </c>
      <c r="I2481" s="6">
        <f>INDEX(Netzzeiten!$C$6:$C$29,HOUR(B2481)+1)</f>
        <v>10.52</v>
      </c>
      <c r="J2481" t="str">
        <f>IF(C2481="","FEHLT",IF(NOT(ISNUMBER(C2481)),"MESSWERT UNGUELTIG",IF(C2481&lt;0,"MESSWERT UNGUELTIG",IF(H2481="","TARIFPREIS FEHLT","OK"))))</f>
        <v>FEHLT</v>
      </c>
      <c r="K2481" s="7">
        <f>IF(J2481&lt;&gt;"OK","",C2481*I2481/100)</f>
        <v/>
      </c>
    </row>
    <row r="2482" spans="1:11">
      <c r="A2482" s="14">
        <v>46168</v>
      </c>
      <c r="B2482" s="15">
        <v>0.7916666666666666</v>
      </c>
      <c r="C2482" s="5">
        <f>IF('96 Werte'!BZ31="","",'96 Werte'!BZ31)</f>
        <v/>
      </c>
      <c r="D2482" t="str">
        <f>IF(IF(Eingaben!$B$21&lt;Eingaben!$B$22,AND(B2482&gt;=Eingaben!$B$21,B2482&lt;Eingaben!$B$22),OR(B2482&gt;=Eingaben!$B$21,B2482&lt;Eingaben!$B$22)),"GO",IF(AND(ISNUMBER(Eingaben!$B$23),ISNUMBER(Eingaben!$B$24),IF(Eingaben!$B$23&lt;Eingaben!$B$24,AND(B2482&gt;=Eingaben!$B$23,B2482&lt;Eingaben!$B$24),OR(B2482&gt;=Eingaben!$B$23,B2482&lt;Eingaben!$B$24))),"HEAT","STANDARD"))</f>
        <v>STANDARD</v>
      </c>
      <c r="E2482" s="9"/>
      <c r="F2482" t="str">
        <f>IF(E2482="",D2482,E2482)</f>
        <v>STANDARD</v>
      </c>
      <c r="G2482" t="str">
        <f>INDEX(Netzzeiten!$B$6:$B$29,HOUR(B2482)+1)</f>
        <v>HT</v>
      </c>
      <c r="H2482" s="6">
        <f>IF(F2482="GO",Eingaben!$B$11,IF(F2482="STANDARD",Eingaben!$B$12,IF(AND(F2482="HEAT",ISNUMBER(Eingaben!$B$13)),Eingaben!$B$13,"")))</f>
        <v>28.2744</v>
      </c>
      <c r="I2482" s="6">
        <f>INDEX(Netzzeiten!$C$6:$C$29,HOUR(B2482)+1)</f>
        <v>10.52</v>
      </c>
      <c r="J2482" t="str">
        <f>IF(C2482="","FEHLT",IF(NOT(ISNUMBER(C2482)),"MESSWERT UNGUELTIG",IF(C2482&lt;0,"MESSWERT UNGUELTIG",IF(H2482="","TARIFPREIS FEHLT","OK"))))</f>
        <v>FEHLT</v>
      </c>
      <c r="K2482" s="7">
        <f>IF(J2482&lt;&gt;"OK","",C2482*I2482/100)</f>
        <v/>
      </c>
    </row>
    <row r="2483" spans="1:11">
      <c r="A2483" s="14">
        <v>46168</v>
      </c>
      <c r="B2483" s="15">
        <v>0.8020833333333334</v>
      </c>
      <c r="C2483" s="5">
        <f>IF('96 Werte'!CA31="","",'96 Werte'!CA31)</f>
        <v/>
      </c>
      <c r="D2483" t="str">
        <f>IF(IF(Eingaben!$B$21&lt;Eingaben!$B$22,AND(B2483&gt;=Eingaben!$B$21,B2483&lt;Eingaben!$B$22),OR(B2483&gt;=Eingaben!$B$21,B2483&lt;Eingaben!$B$22)),"GO",IF(AND(ISNUMBER(Eingaben!$B$23),ISNUMBER(Eingaben!$B$24),IF(Eingaben!$B$23&lt;Eingaben!$B$24,AND(B2483&gt;=Eingaben!$B$23,B2483&lt;Eingaben!$B$24),OR(B2483&gt;=Eingaben!$B$23,B2483&lt;Eingaben!$B$24))),"HEAT","STANDARD"))</f>
        <v>STANDARD</v>
      </c>
      <c r="E2483" s="9"/>
      <c r="F2483" t="str">
        <f>IF(E2483="",D2483,E2483)</f>
        <v>STANDARD</v>
      </c>
      <c r="G2483" t="str">
        <f>INDEX(Netzzeiten!$B$6:$B$29,HOUR(B2483)+1)</f>
        <v>HT</v>
      </c>
      <c r="H2483" s="6">
        <f>IF(F2483="GO",Eingaben!$B$11,IF(F2483="STANDARD",Eingaben!$B$12,IF(AND(F2483="HEAT",ISNUMBER(Eingaben!$B$13)),Eingaben!$B$13,"")))</f>
        <v>28.2744</v>
      </c>
      <c r="I2483" s="6">
        <f>INDEX(Netzzeiten!$C$6:$C$29,HOUR(B2483)+1)</f>
        <v>10.52</v>
      </c>
      <c r="J2483" t="str">
        <f>IF(C2483="","FEHLT",IF(NOT(ISNUMBER(C2483)),"MESSWERT UNGUELTIG",IF(C2483&lt;0,"MESSWERT UNGUELTIG",IF(H2483="","TARIFPREIS FEHLT","OK"))))</f>
        <v>FEHLT</v>
      </c>
      <c r="K2483" s="7">
        <f>IF(J2483&lt;&gt;"OK","",C2483*I2483/100)</f>
        <v/>
      </c>
    </row>
    <row r="2484" spans="1:11">
      <c r="A2484" s="14">
        <v>46168</v>
      </c>
      <c r="B2484" s="15">
        <v>0.8125</v>
      </c>
      <c r="C2484" s="5">
        <f>IF('96 Werte'!CB31="","",'96 Werte'!CB31)</f>
        <v/>
      </c>
      <c r="D2484" t="str">
        <f>IF(IF(Eingaben!$B$21&lt;Eingaben!$B$22,AND(B2484&gt;=Eingaben!$B$21,B2484&lt;Eingaben!$B$22),OR(B2484&gt;=Eingaben!$B$21,B2484&lt;Eingaben!$B$22)),"GO",IF(AND(ISNUMBER(Eingaben!$B$23),ISNUMBER(Eingaben!$B$24),IF(Eingaben!$B$23&lt;Eingaben!$B$24,AND(B2484&gt;=Eingaben!$B$23,B2484&lt;Eingaben!$B$24),OR(B2484&gt;=Eingaben!$B$23,B2484&lt;Eingaben!$B$24))),"HEAT","STANDARD"))</f>
        <v>STANDARD</v>
      </c>
      <c r="E2484" s="9"/>
      <c r="F2484" t="str">
        <f>IF(E2484="",D2484,E2484)</f>
        <v>STANDARD</v>
      </c>
      <c r="G2484" t="str">
        <f>INDEX(Netzzeiten!$B$6:$B$29,HOUR(B2484)+1)</f>
        <v>HT</v>
      </c>
      <c r="H2484" s="6">
        <f>IF(F2484="GO",Eingaben!$B$11,IF(F2484="STANDARD",Eingaben!$B$12,IF(AND(F2484="HEAT",ISNUMBER(Eingaben!$B$13)),Eingaben!$B$13,"")))</f>
        <v>28.2744</v>
      </c>
      <c r="I2484" s="6">
        <f>INDEX(Netzzeiten!$C$6:$C$29,HOUR(B2484)+1)</f>
        <v>10.52</v>
      </c>
      <c r="J2484" t="str">
        <f>IF(C2484="","FEHLT",IF(NOT(ISNUMBER(C2484)),"MESSWERT UNGUELTIG",IF(C2484&lt;0,"MESSWERT UNGUELTIG",IF(H2484="","TARIFPREIS FEHLT","OK"))))</f>
        <v>FEHLT</v>
      </c>
      <c r="K2484" s="7">
        <f>IF(J2484&lt;&gt;"OK","",C2484*I2484/100)</f>
        <v/>
      </c>
    </row>
    <row r="2485" spans="1:11">
      <c r="A2485" s="14">
        <v>46168</v>
      </c>
      <c r="B2485" s="15">
        <v>0.8229166666666666</v>
      </c>
      <c r="C2485" s="5">
        <f>IF('96 Werte'!CC31="","",'96 Werte'!CC31)</f>
        <v/>
      </c>
      <c r="D2485" t="str">
        <f>IF(IF(Eingaben!$B$21&lt;Eingaben!$B$22,AND(B2485&gt;=Eingaben!$B$21,B2485&lt;Eingaben!$B$22),OR(B2485&gt;=Eingaben!$B$21,B2485&lt;Eingaben!$B$22)),"GO",IF(AND(ISNUMBER(Eingaben!$B$23),ISNUMBER(Eingaben!$B$24),IF(Eingaben!$B$23&lt;Eingaben!$B$24,AND(B2485&gt;=Eingaben!$B$23,B2485&lt;Eingaben!$B$24),OR(B2485&gt;=Eingaben!$B$23,B2485&lt;Eingaben!$B$24))),"HEAT","STANDARD"))</f>
        <v>STANDARD</v>
      </c>
      <c r="E2485" s="9"/>
      <c r="F2485" t="str">
        <f>IF(E2485="",D2485,E2485)</f>
        <v>STANDARD</v>
      </c>
      <c r="G2485" t="str">
        <f>INDEX(Netzzeiten!$B$6:$B$29,HOUR(B2485)+1)</f>
        <v>HT</v>
      </c>
      <c r="H2485" s="6">
        <f>IF(F2485="GO",Eingaben!$B$11,IF(F2485="STANDARD",Eingaben!$B$12,IF(AND(F2485="HEAT",ISNUMBER(Eingaben!$B$13)),Eingaben!$B$13,"")))</f>
        <v>28.2744</v>
      </c>
      <c r="I2485" s="6">
        <f>INDEX(Netzzeiten!$C$6:$C$29,HOUR(B2485)+1)</f>
        <v>10.52</v>
      </c>
      <c r="J2485" t="str">
        <f>IF(C2485="","FEHLT",IF(NOT(ISNUMBER(C2485)),"MESSWERT UNGUELTIG",IF(C2485&lt;0,"MESSWERT UNGUELTIG",IF(H2485="","TARIFPREIS FEHLT","OK"))))</f>
        <v>FEHLT</v>
      </c>
      <c r="K2485" s="7">
        <f>IF(J2485&lt;&gt;"OK","",C2485*I2485/100)</f>
        <v/>
      </c>
    </row>
    <row r="2486" spans="1:11">
      <c r="A2486" s="14">
        <v>46168</v>
      </c>
      <c r="B2486" s="15">
        <v>0.8333333333333334</v>
      </c>
      <c r="C2486" s="5">
        <f>IF('96 Werte'!CD31="","",'96 Werte'!CD31)</f>
        <v/>
      </c>
      <c r="D2486" t="str">
        <f>IF(IF(Eingaben!$B$21&lt;Eingaben!$B$22,AND(B2486&gt;=Eingaben!$B$21,B2486&lt;Eingaben!$B$22),OR(B2486&gt;=Eingaben!$B$21,B2486&lt;Eingaben!$B$22)),"GO",IF(AND(ISNUMBER(Eingaben!$B$23),ISNUMBER(Eingaben!$B$24),IF(Eingaben!$B$23&lt;Eingaben!$B$24,AND(B2486&gt;=Eingaben!$B$23,B2486&lt;Eingaben!$B$24),OR(B2486&gt;=Eingaben!$B$23,B2486&lt;Eingaben!$B$24))),"HEAT","STANDARD"))</f>
        <v>STANDARD</v>
      </c>
      <c r="E2486" s="9"/>
      <c r="F2486" t="str">
        <f>IF(E2486="",D2486,E2486)</f>
        <v>STANDARD</v>
      </c>
      <c r="G2486" t="str">
        <f>INDEX(Netzzeiten!$B$6:$B$29,HOUR(B2486)+1)</f>
        <v>HT</v>
      </c>
      <c r="H2486" s="6">
        <f>IF(F2486="GO",Eingaben!$B$11,IF(F2486="STANDARD",Eingaben!$B$12,IF(AND(F2486="HEAT",ISNUMBER(Eingaben!$B$13)),Eingaben!$B$13,"")))</f>
        <v>28.2744</v>
      </c>
      <c r="I2486" s="6">
        <f>INDEX(Netzzeiten!$C$6:$C$29,HOUR(B2486)+1)</f>
        <v>10.52</v>
      </c>
      <c r="J2486" t="str">
        <f>IF(C2486="","FEHLT",IF(NOT(ISNUMBER(C2486)),"MESSWERT UNGUELTIG",IF(C2486&lt;0,"MESSWERT UNGUELTIG",IF(H2486="","TARIFPREIS FEHLT","OK"))))</f>
        <v>FEHLT</v>
      </c>
      <c r="K2486" s="7">
        <f>IF(J2486&lt;&gt;"OK","",C2486*I2486/100)</f>
        <v/>
      </c>
    </row>
    <row r="2487" spans="1:11">
      <c r="A2487" s="14">
        <v>46168</v>
      </c>
      <c r="B2487" s="15">
        <v>0.84375</v>
      </c>
      <c r="C2487" s="5">
        <f>IF('96 Werte'!CE31="","",'96 Werte'!CE31)</f>
        <v/>
      </c>
      <c r="D2487" t="str">
        <f>IF(IF(Eingaben!$B$21&lt;Eingaben!$B$22,AND(B2487&gt;=Eingaben!$B$21,B2487&lt;Eingaben!$B$22),OR(B2487&gt;=Eingaben!$B$21,B2487&lt;Eingaben!$B$22)),"GO",IF(AND(ISNUMBER(Eingaben!$B$23),ISNUMBER(Eingaben!$B$24),IF(Eingaben!$B$23&lt;Eingaben!$B$24,AND(B2487&gt;=Eingaben!$B$23,B2487&lt;Eingaben!$B$24),OR(B2487&gt;=Eingaben!$B$23,B2487&lt;Eingaben!$B$24))),"HEAT","STANDARD"))</f>
        <v>STANDARD</v>
      </c>
      <c r="E2487" s="9"/>
      <c r="F2487" t="str">
        <f>IF(E2487="",D2487,E2487)</f>
        <v>STANDARD</v>
      </c>
      <c r="G2487" t="str">
        <f>INDEX(Netzzeiten!$B$6:$B$29,HOUR(B2487)+1)</f>
        <v>HT</v>
      </c>
      <c r="H2487" s="6">
        <f>IF(F2487="GO",Eingaben!$B$11,IF(F2487="STANDARD",Eingaben!$B$12,IF(AND(F2487="HEAT",ISNUMBER(Eingaben!$B$13)),Eingaben!$B$13,"")))</f>
        <v>28.2744</v>
      </c>
      <c r="I2487" s="6">
        <f>INDEX(Netzzeiten!$C$6:$C$29,HOUR(B2487)+1)</f>
        <v>10.52</v>
      </c>
      <c r="J2487" t="str">
        <f>IF(C2487="","FEHLT",IF(NOT(ISNUMBER(C2487)),"MESSWERT UNGUELTIG",IF(C2487&lt;0,"MESSWERT UNGUELTIG",IF(H2487="","TARIFPREIS FEHLT","OK"))))</f>
        <v>FEHLT</v>
      </c>
      <c r="K2487" s="7">
        <f>IF(J2487&lt;&gt;"OK","",C2487*I2487/100)</f>
        <v/>
      </c>
    </row>
    <row r="2488" spans="1:11">
      <c r="A2488" s="14">
        <v>46168</v>
      </c>
      <c r="B2488" s="15">
        <v>0.8541666666666666</v>
      </c>
      <c r="C2488" s="5">
        <f>IF('96 Werte'!CF31="","",'96 Werte'!CF31)</f>
        <v/>
      </c>
      <c r="D2488" t="str">
        <f>IF(IF(Eingaben!$B$21&lt;Eingaben!$B$22,AND(B2488&gt;=Eingaben!$B$21,B2488&lt;Eingaben!$B$22),OR(B2488&gt;=Eingaben!$B$21,B2488&lt;Eingaben!$B$22)),"GO",IF(AND(ISNUMBER(Eingaben!$B$23),ISNUMBER(Eingaben!$B$24),IF(Eingaben!$B$23&lt;Eingaben!$B$24,AND(B2488&gt;=Eingaben!$B$23,B2488&lt;Eingaben!$B$24),OR(B2488&gt;=Eingaben!$B$23,B2488&lt;Eingaben!$B$24))),"HEAT","STANDARD"))</f>
        <v>STANDARD</v>
      </c>
      <c r="E2488" s="9"/>
      <c r="F2488" t="str">
        <f>IF(E2488="",D2488,E2488)</f>
        <v>STANDARD</v>
      </c>
      <c r="G2488" t="str">
        <f>INDEX(Netzzeiten!$B$6:$B$29,HOUR(B2488)+1)</f>
        <v>HT</v>
      </c>
      <c r="H2488" s="6">
        <f>IF(F2488="GO",Eingaben!$B$11,IF(F2488="STANDARD",Eingaben!$B$12,IF(AND(F2488="HEAT",ISNUMBER(Eingaben!$B$13)),Eingaben!$B$13,"")))</f>
        <v>28.2744</v>
      </c>
      <c r="I2488" s="6">
        <f>INDEX(Netzzeiten!$C$6:$C$29,HOUR(B2488)+1)</f>
        <v>10.52</v>
      </c>
      <c r="J2488" t="str">
        <f>IF(C2488="","FEHLT",IF(NOT(ISNUMBER(C2488)),"MESSWERT UNGUELTIG",IF(C2488&lt;0,"MESSWERT UNGUELTIG",IF(H2488="","TARIFPREIS FEHLT","OK"))))</f>
        <v>FEHLT</v>
      </c>
      <c r="K2488" s="7">
        <f>IF(J2488&lt;&gt;"OK","",C2488*I2488/100)</f>
        <v/>
      </c>
    </row>
    <row r="2489" spans="1:11">
      <c r="A2489" s="14">
        <v>46168</v>
      </c>
      <c r="B2489" s="15">
        <v>0.8645833333333334</v>
      </c>
      <c r="C2489" s="5">
        <f>IF('96 Werte'!CG31="","",'96 Werte'!CG31)</f>
        <v/>
      </c>
      <c r="D2489" t="str">
        <f>IF(IF(Eingaben!$B$21&lt;Eingaben!$B$22,AND(B2489&gt;=Eingaben!$B$21,B2489&lt;Eingaben!$B$22),OR(B2489&gt;=Eingaben!$B$21,B2489&lt;Eingaben!$B$22)),"GO",IF(AND(ISNUMBER(Eingaben!$B$23),ISNUMBER(Eingaben!$B$24),IF(Eingaben!$B$23&lt;Eingaben!$B$24,AND(B2489&gt;=Eingaben!$B$23,B2489&lt;Eingaben!$B$24),OR(B2489&gt;=Eingaben!$B$23,B2489&lt;Eingaben!$B$24))),"HEAT","STANDARD"))</f>
        <v>STANDARD</v>
      </c>
      <c r="E2489" s="9"/>
      <c r="F2489" t="str">
        <f>IF(E2489="",D2489,E2489)</f>
        <v>STANDARD</v>
      </c>
      <c r="G2489" t="str">
        <f>INDEX(Netzzeiten!$B$6:$B$29,HOUR(B2489)+1)</f>
        <v>HT</v>
      </c>
      <c r="H2489" s="6">
        <f>IF(F2489="GO",Eingaben!$B$11,IF(F2489="STANDARD",Eingaben!$B$12,IF(AND(F2489="HEAT",ISNUMBER(Eingaben!$B$13)),Eingaben!$B$13,"")))</f>
        <v>28.2744</v>
      </c>
      <c r="I2489" s="6">
        <f>INDEX(Netzzeiten!$C$6:$C$29,HOUR(B2489)+1)</f>
        <v>10.52</v>
      </c>
      <c r="J2489" t="str">
        <f>IF(C2489="","FEHLT",IF(NOT(ISNUMBER(C2489)),"MESSWERT UNGUELTIG",IF(C2489&lt;0,"MESSWERT UNGUELTIG",IF(H2489="","TARIFPREIS FEHLT","OK"))))</f>
        <v>FEHLT</v>
      </c>
      <c r="K2489" s="7">
        <f>IF(J2489&lt;&gt;"OK","",C2489*I2489/100)</f>
        <v/>
      </c>
    </row>
    <row r="2490" spans="1:11">
      <c r="A2490" s="14">
        <v>46168</v>
      </c>
      <c r="B2490" s="15">
        <v>0.875</v>
      </c>
      <c r="C2490" s="5">
        <f>IF('96 Werte'!CH31="","",'96 Werte'!CH31)</f>
        <v/>
      </c>
      <c r="D2490" t="str">
        <f>IF(IF(Eingaben!$B$21&lt;Eingaben!$B$22,AND(B2490&gt;=Eingaben!$B$21,B2490&lt;Eingaben!$B$22),OR(B2490&gt;=Eingaben!$B$21,B2490&lt;Eingaben!$B$22)),"GO",IF(AND(ISNUMBER(Eingaben!$B$23),ISNUMBER(Eingaben!$B$24),IF(Eingaben!$B$23&lt;Eingaben!$B$24,AND(B2490&gt;=Eingaben!$B$23,B2490&lt;Eingaben!$B$24),OR(B2490&gt;=Eingaben!$B$23,B2490&lt;Eingaben!$B$24))),"HEAT","STANDARD"))</f>
        <v>STANDARD</v>
      </c>
      <c r="E2490" s="9"/>
      <c r="F2490" t="str">
        <f>IF(E2490="",D2490,E2490)</f>
        <v>STANDARD</v>
      </c>
      <c r="G2490" t="str">
        <f>INDEX(Netzzeiten!$B$6:$B$29,HOUR(B2490)+1)</f>
        <v>HT</v>
      </c>
      <c r="H2490" s="6">
        <f>IF(F2490="GO",Eingaben!$B$11,IF(F2490="STANDARD",Eingaben!$B$12,IF(AND(F2490="HEAT",ISNUMBER(Eingaben!$B$13)),Eingaben!$B$13,"")))</f>
        <v>28.2744</v>
      </c>
      <c r="I2490" s="6">
        <f>INDEX(Netzzeiten!$C$6:$C$29,HOUR(B2490)+1)</f>
        <v>10.52</v>
      </c>
      <c r="J2490" t="str">
        <f>IF(C2490="","FEHLT",IF(NOT(ISNUMBER(C2490)),"MESSWERT UNGUELTIG",IF(C2490&lt;0,"MESSWERT UNGUELTIG",IF(H2490="","TARIFPREIS FEHLT","OK"))))</f>
        <v>FEHLT</v>
      </c>
      <c r="K2490" s="7">
        <f>IF(J2490&lt;&gt;"OK","",C2490*I2490/100)</f>
        <v/>
      </c>
    </row>
    <row r="2491" spans="1:11">
      <c r="A2491" s="14">
        <v>46168</v>
      </c>
      <c r="B2491" s="15">
        <v>0.8854166666666666</v>
      </c>
      <c r="C2491" s="5">
        <f>IF('96 Werte'!CI31="","",'96 Werte'!CI31)</f>
        <v/>
      </c>
      <c r="D2491" t="str">
        <f>IF(IF(Eingaben!$B$21&lt;Eingaben!$B$22,AND(B2491&gt;=Eingaben!$B$21,B2491&lt;Eingaben!$B$22),OR(B2491&gt;=Eingaben!$B$21,B2491&lt;Eingaben!$B$22)),"GO",IF(AND(ISNUMBER(Eingaben!$B$23),ISNUMBER(Eingaben!$B$24),IF(Eingaben!$B$23&lt;Eingaben!$B$24,AND(B2491&gt;=Eingaben!$B$23,B2491&lt;Eingaben!$B$24),OR(B2491&gt;=Eingaben!$B$23,B2491&lt;Eingaben!$B$24))),"HEAT","STANDARD"))</f>
        <v>STANDARD</v>
      </c>
      <c r="E2491" s="9"/>
      <c r="F2491" t="str">
        <f>IF(E2491="",D2491,E2491)</f>
        <v>STANDARD</v>
      </c>
      <c r="G2491" t="str">
        <f>INDEX(Netzzeiten!$B$6:$B$29,HOUR(B2491)+1)</f>
        <v>HT</v>
      </c>
      <c r="H2491" s="6">
        <f>IF(F2491="GO",Eingaben!$B$11,IF(F2491="STANDARD",Eingaben!$B$12,IF(AND(F2491="HEAT",ISNUMBER(Eingaben!$B$13)),Eingaben!$B$13,"")))</f>
        <v>28.2744</v>
      </c>
      <c r="I2491" s="6">
        <f>INDEX(Netzzeiten!$C$6:$C$29,HOUR(B2491)+1)</f>
        <v>10.52</v>
      </c>
      <c r="J2491" t="str">
        <f>IF(C2491="","FEHLT",IF(NOT(ISNUMBER(C2491)),"MESSWERT UNGUELTIG",IF(C2491&lt;0,"MESSWERT UNGUELTIG",IF(H2491="","TARIFPREIS FEHLT","OK"))))</f>
        <v>FEHLT</v>
      </c>
      <c r="K2491" s="7">
        <f>IF(J2491&lt;&gt;"OK","",C2491*I2491/100)</f>
        <v/>
      </c>
    </row>
    <row r="2492" spans="1:11">
      <c r="A2492" s="14">
        <v>46168</v>
      </c>
      <c r="B2492" s="15">
        <v>0.8958333333333334</v>
      </c>
      <c r="C2492" s="5">
        <f>IF('96 Werte'!CJ31="","",'96 Werte'!CJ31)</f>
        <v/>
      </c>
      <c r="D2492" t="str">
        <f>IF(IF(Eingaben!$B$21&lt;Eingaben!$B$22,AND(B2492&gt;=Eingaben!$B$21,B2492&lt;Eingaben!$B$22),OR(B2492&gt;=Eingaben!$B$21,B2492&lt;Eingaben!$B$22)),"GO",IF(AND(ISNUMBER(Eingaben!$B$23),ISNUMBER(Eingaben!$B$24),IF(Eingaben!$B$23&lt;Eingaben!$B$24,AND(B2492&gt;=Eingaben!$B$23,B2492&lt;Eingaben!$B$24),OR(B2492&gt;=Eingaben!$B$23,B2492&lt;Eingaben!$B$24))),"HEAT","STANDARD"))</f>
        <v>STANDARD</v>
      </c>
      <c r="E2492" s="9"/>
      <c r="F2492" t="str">
        <f>IF(E2492="",D2492,E2492)</f>
        <v>STANDARD</v>
      </c>
      <c r="G2492" t="str">
        <f>INDEX(Netzzeiten!$B$6:$B$29,HOUR(B2492)+1)</f>
        <v>HT</v>
      </c>
      <c r="H2492" s="6">
        <f>IF(F2492="GO",Eingaben!$B$11,IF(F2492="STANDARD",Eingaben!$B$12,IF(AND(F2492="HEAT",ISNUMBER(Eingaben!$B$13)),Eingaben!$B$13,"")))</f>
        <v>28.2744</v>
      </c>
      <c r="I2492" s="6">
        <f>INDEX(Netzzeiten!$C$6:$C$29,HOUR(B2492)+1)</f>
        <v>10.52</v>
      </c>
      <c r="J2492" t="str">
        <f>IF(C2492="","FEHLT",IF(NOT(ISNUMBER(C2492)),"MESSWERT UNGUELTIG",IF(C2492&lt;0,"MESSWERT UNGUELTIG",IF(H2492="","TARIFPREIS FEHLT","OK"))))</f>
        <v>FEHLT</v>
      </c>
      <c r="K2492" s="7">
        <f>IF(J2492&lt;&gt;"OK","",C2492*I2492/100)</f>
        <v/>
      </c>
    </row>
    <row r="2493" spans="1:11">
      <c r="A2493" s="14">
        <v>46168</v>
      </c>
      <c r="B2493" s="15">
        <v>0.90625</v>
      </c>
      <c r="C2493" s="5">
        <f>IF('96 Werte'!CK31="","",'96 Werte'!CK31)</f>
        <v/>
      </c>
      <c r="D2493" t="str">
        <f>IF(IF(Eingaben!$B$21&lt;Eingaben!$B$22,AND(B2493&gt;=Eingaben!$B$21,B2493&lt;Eingaben!$B$22),OR(B2493&gt;=Eingaben!$B$21,B2493&lt;Eingaben!$B$22)),"GO",IF(AND(ISNUMBER(Eingaben!$B$23),ISNUMBER(Eingaben!$B$24),IF(Eingaben!$B$23&lt;Eingaben!$B$24,AND(B2493&gt;=Eingaben!$B$23,B2493&lt;Eingaben!$B$24),OR(B2493&gt;=Eingaben!$B$23,B2493&lt;Eingaben!$B$24))),"HEAT","STANDARD"))</f>
        <v>STANDARD</v>
      </c>
      <c r="E2493" s="9"/>
      <c r="F2493" t="str">
        <f>IF(E2493="",D2493,E2493)</f>
        <v>STANDARD</v>
      </c>
      <c r="G2493" t="str">
        <f>INDEX(Netzzeiten!$B$6:$B$29,HOUR(B2493)+1)</f>
        <v>HT</v>
      </c>
      <c r="H2493" s="6">
        <f>IF(F2493="GO",Eingaben!$B$11,IF(F2493="STANDARD",Eingaben!$B$12,IF(AND(F2493="HEAT",ISNUMBER(Eingaben!$B$13)),Eingaben!$B$13,"")))</f>
        <v>28.2744</v>
      </c>
      <c r="I2493" s="6">
        <f>INDEX(Netzzeiten!$C$6:$C$29,HOUR(B2493)+1)</f>
        <v>10.52</v>
      </c>
      <c r="J2493" t="str">
        <f>IF(C2493="","FEHLT",IF(NOT(ISNUMBER(C2493)),"MESSWERT UNGUELTIG",IF(C2493&lt;0,"MESSWERT UNGUELTIG",IF(H2493="","TARIFPREIS FEHLT","OK"))))</f>
        <v>FEHLT</v>
      </c>
      <c r="K2493" s="7">
        <f>IF(J2493&lt;&gt;"OK","",C2493*I2493/100)</f>
        <v/>
      </c>
    </row>
    <row r="2494" spans="1:11">
      <c r="A2494" s="14">
        <v>46168</v>
      </c>
      <c r="B2494" s="15">
        <v>0.9166666666666666</v>
      </c>
      <c r="C2494" s="5">
        <f>IF('96 Werte'!CL31="","",'96 Werte'!CL31)</f>
        <v/>
      </c>
      <c r="D2494" t="str">
        <f>IF(IF(Eingaben!$B$21&lt;Eingaben!$B$22,AND(B2494&gt;=Eingaben!$B$21,B2494&lt;Eingaben!$B$22),OR(B2494&gt;=Eingaben!$B$21,B2494&lt;Eingaben!$B$22)),"GO",IF(AND(ISNUMBER(Eingaben!$B$23),ISNUMBER(Eingaben!$B$24),IF(Eingaben!$B$23&lt;Eingaben!$B$24,AND(B2494&gt;=Eingaben!$B$23,B2494&lt;Eingaben!$B$24),OR(B2494&gt;=Eingaben!$B$23,B2494&lt;Eingaben!$B$24))),"HEAT","STANDARD"))</f>
        <v>STANDARD</v>
      </c>
      <c r="E2494" s="9"/>
      <c r="F2494" t="str">
        <f>IF(E2494="",D2494,E2494)</f>
        <v>STANDARD</v>
      </c>
      <c r="G2494" t="str">
        <f>INDEX(Netzzeiten!$B$6:$B$29,HOUR(B2494)+1)</f>
        <v>ST</v>
      </c>
      <c r="H2494" s="6">
        <f>IF(F2494="GO",Eingaben!$B$11,IF(F2494="STANDARD",Eingaben!$B$12,IF(AND(F2494="HEAT",ISNUMBER(Eingaben!$B$13)),Eingaben!$B$13,"")))</f>
        <v>28.2744</v>
      </c>
      <c r="I2494" s="6">
        <f>INDEX(Netzzeiten!$C$6:$C$29,HOUR(B2494)+1)</f>
        <v>5.48</v>
      </c>
      <c r="J2494" t="str">
        <f>IF(C2494="","FEHLT",IF(NOT(ISNUMBER(C2494)),"MESSWERT UNGUELTIG",IF(C2494&lt;0,"MESSWERT UNGUELTIG",IF(H2494="","TARIFPREIS FEHLT","OK"))))</f>
        <v>FEHLT</v>
      </c>
      <c r="K2494" s="7">
        <f>IF(J2494&lt;&gt;"OK","",C2494*I2494/100)</f>
        <v/>
      </c>
    </row>
    <row r="2495" spans="1:11">
      <c r="A2495" s="14">
        <v>46168</v>
      </c>
      <c r="B2495" s="15">
        <v>0.9270833333333334</v>
      </c>
      <c r="C2495" s="5">
        <f>IF('96 Werte'!CM31="","",'96 Werte'!CM31)</f>
        <v/>
      </c>
      <c r="D2495" t="str">
        <f>IF(IF(Eingaben!$B$21&lt;Eingaben!$B$22,AND(B2495&gt;=Eingaben!$B$21,B2495&lt;Eingaben!$B$22),OR(B2495&gt;=Eingaben!$B$21,B2495&lt;Eingaben!$B$22)),"GO",IF(AND(ISNUMBER(Eingaben!$B$23),ISNUMBER(Eingaben!$B$24),IF(Eingaben!$B$23&lt;Eingaben!$B$24,AND(B2495&gt;=Eingaben!$B$23,B2495&lt;Eingaben!$B$24),OR(B2495&gt;=Eingaben!$B$23,B2495&lt;Eingaben!$B$24))),"HEAT","STANDARD"))</f>
        <v>STANDARD</v>
      </c>
      <c r="E2495" s="9"/>
      <c r="F2495" t="str">
        <f>IF(E2495="",D2495,E2495)</f>
        <v>STANDARD</v>
      </c>
      <c r="G2495" t="str">
        <f>INDEX(Netzzeiten!$B$6:$B$29,HOUR(B2495)+1)</f>
        <v>ST</v>
      </c>
      <c r="H2495" s="6">
        <f>IF(F2495="GO",Eingaben!$B$11,IF(F2495="STANDARD",Eingaben!$B$12,IF(AND(F2495="HEAT",ISNUMBER(Eingaben!$B$13)),Eingaben!$B$13,"")))</f>
        <v>28.2744</v>
      </c>
      <c r="I2495" s="6">
        <f>INDEX(Netzzeiten!$C$6:$C$29,HOUR(B2495)+1)</f>
        <v>5.48</v>
      </c>
      <c r="J2495" t="str">
        <f>IF(C2495="","FEHLT",IF(NOT(ISNUMBER(C2495)),"MESSWERT UNGUELTIG",IF(C2495&lt;0,"MESSWERT UNGUELTIG",IF(H2495="","TARIFPREIS FEHLT","OK"))))</f>
        <v>FEHLT</v>
      </c>
      <c r="K2495" s="7">
        <f>IF(J2495&lt;&gt;"OK","",C2495*I2495/100)</f>
        <v/>
      </c>
    </row>
    <row r="2496" spans="1:11">
      <c r="A2496" s="14">
        <v>46168</v>
      </c>
      <c r="B2496" s="15">
        <v>0.9375</v>
      </c>
      <c r="C2496" s="5">
        <f>IF('96 Werte'!CN31="","",'96 Werte'!CN31)</f>
        <v/>
      </c>
      <c r="D2496" t="str">
        <f>IF(IF(Eingaben!$B$21&lt;Eingaben!$B$22,AND(B2496&gt;=Eingaben!$B$21,B2496&lt;Eingaben!$B$22),OR(B2496&gt;=Eingaben!$B$21,B2496&lt;Eingaben!$B$22)),"GO",IF(AND(ISNUMBER(Eingaben!$B$23),ISNUMBER(Eingaben!$B$24),IF(Eingaben!$B$23&lt;Eingaben!$B$24,AND(B2496&gt;=Eingaben!$B$23,B2496&lt;Eingaben!$B$24),OR(B2496&gt;=Eingaben!$B$23,B2496&lt;Eingaben!$B$24))),"HEAT","STANDARD"))</f>
        <v>STANDARD</v>
      </c>
      <c r="E2496" s="9"/>
      <c r="F2496" t="str">
        <f>IF(E2496="",D2496,E2496)</f>
        <v>STANDARD</v>
      </c>
      <c r="G2496" t="str">
        <f>INDEX(Netzzeiten!$B$6:$B$29,HOUR(B2496)+1)</f>
        <v>ST</v>
      </c>
      <c r="H2496" s="6">
        <f>IF(F2496="GO",Eingaben!$B$11,IF(F2496="STANDARD",Eingaben!$B$12,IF(AND(F2496="HEAT",ISNUMBER(Eingaben!$B$13)),Eingaben!$B$13,"")))</f>
        <v>28.2744</v>
      </c>
      <c r="I2496" s="6">
        <f>INDEX(Netzzeiten!$C$6:$C$29,HOUR(B2496)+1)</f>
        <v>5.48</v>
      </c>
      <c r="J2496" t="str">
        <f>IF(C2496="","FEHLT",IF(NOT(ISNUMBER(C2496)),"MESSWERT UNGUELTIG",IF(C2496&lt;0,"MESSWERT UNGUELTIG",IF(H2496="","TARIFPREIS FEHLT","OK"))))</f>
        <v>FEHLT</v>
      </c>
      <c r="K2496" s="7">
        <f>IF(J2496&lt;&gt;"OK","",C2496*I2496/100)</f>
        <v/>
      </c>
    </row>
    <row r="2497" spans="1:11">
      <c r="A2497" s="14">
        <v>46168</v>
      </c>
      <c r="B2497" s="15">
        <v>0.9479166666666666</v>
      </c>
      <c r="C2497" s="5">
        <f>IF('96 Werte'!CO31="","",'96 Werte'!CO31)</f>
        <v/>
      </c>
      <c r="D2497" t="str">
        <f>IF(IF(Eingaben!$B$21&lt;Eingaben!$B$22,AND(B2497&gt;=Eingaben!$B$21,B2497&lt;Eingaben!$B$22),OR(B2497&gt;=Eingaben!$B$21,B2497&lt;Eingaben!$B$22)),"GO",IF(AND(ISNUMBER(Eingaben!$B$23),ISNUMBER(Eingaben!$B$24),IF(Eingaben!$B$23&lt;Eingaben!$B$24,AND(B2497&gt;=Eingaben!$B$23,B2497&lt;Eingaben!$B$24),OR(B2497&gt;=Eingaben!$B$23,B2497&lt;Eingaben!$B$24))),"HEAT","STANDARD"))</f>
        <v>STANDARD</v>
      </c>
      <c r="E2497" s="9"/>
      <c r="F2497" t="str">
        <f>IF(E2497="",D2497,E2497)</f>
        <v>STANDARD</v>
      </c>
      <c r="G2497" t="str">
        <f>INDEX(Netzzeiten!$B$6:$B$29,HOUR(B2497)+1)</f>
        <v>ST</v>
      </c>
      <c r="H2497" s="6">
        <f>IF(F2497="GO",Eingaben!$B$11,IF(F2497="STANDARD",Eingaben!$B$12,IF(AND(F2497="HEAT",ISNUMBER(Eingaben!$B$13)),Eingaben!$B$13,"")))</f>
        <v>28.2744</v>
      </c>
      <c r="I2497" s="6">
        <f>INDEX(Netzzeiten!$C$6:$C$29,HOUR(B2497)+1)</f>
        <v>5.48</v>
      </c>
      <c r="J2497" t="str">
        <f>IF(C2497="","FEHLT",IF(NOT(ISNUMBER(C2497)),"MESSWERT UNGUELTIG",IF(C2497&lt;0,"MESSWERT UNGUELTIG",IF(H2497="","TARIFPREIS FEHLT","OK"))))</f>
        <v>FEHLT</v>
      </c>
      <c r="K2497" s="7">
        <f>IF(J2497&lt;&gt;"OK","",C2497*I2497/100)</f>
        <v/>
      </c>
    </row>
    <row r="2498" spans="1:11">
      <c r="A2498" s="14">
        <v>46168</v>
      </c>
      <c r="B2498" s="15">
        <v>0.9583333333333334</v>
      </c>
      <c r="C2498" s="5">
        <f>IF('96 Werte'!CP31="","",'96 Werte'!CP31)</f>
        <v/>
      </c>
      <c r="D2498" t="str">
        <f>IF(IF(Eingaben!$B$21&lt;Eingaben!$B$22,AND(B2498&gt;=Eingaben!$B$21,B2498&lt;Eingaben!$B$22),OR(B2498&gt;=Eingaben!$B$21,B2498&lt;Eingaben!$B$22)),"GO",IF(AND(ISNUMBER(Eingaben!$B$23),ISNUMBER(Eingaben!$B$24),IF(Eingaben!$B$23&lt;Eingaben!$B$24,AND(B2498&gt;=Eingaben!$B$23,B2498&lt;Eingaben!$B$24),OR(B2498&gt;=Eingaben!$B$23,B2498&lt;Eingaben!$B$24))),"HEAT","STANDARD"))</f>
        <v>STANDARD</v>
      </c>
      <c r="E2498" s="9"/>
      <c r="F2498" t="str">
        <f>IF(E2498="",D2498,E2498)</f>
        <v>STANDARD</v>
      </c>
      <c r="G2498" t="str">
        <f>INDEX(Netzzeiten!$B$6:$B$29,HOUR(B2498)+1)</f>
        <v>NT</v>
      </c>
      <c r="H2498" s="6">
        <f>IF(F2498="GO",Eingaben!$B$11,IF(F2498="STANDARD",Eingaben!$B$12,IF(AND(F2498="HEAT",ISNUMBER(Eingaben!$B$13)),Eingaben!$B$13,"")))</f>
        <v>28.2744</v>
      </c>
      <c r="I2498" s="6">
        <f>INDEX(Netzzeiten!$C$6:$C$29,HOUR(B2498)+1)</f>
        <v>1.64</v>
      </c>
      <c r="J2498" t="str">
        <f>IF(C2498="","FEHLT",IF(NOT(ISNUMBER(C2498)),"MESSWERT UNGUELTIG",IF(C2498&lt;0,"MESSWERT UNGUELTIG",IF(H2498="","TARIFPREIS FEHLT","OK"))))</f>
        <v>FEHLT</v>
      </c>
      <c r="K2498" s="7">
        <f>IF(J2498&lt;&gt;"OK","",C2498*I2498/100)</f>
        <v/>
      </c>
    </row>
    <row r="2499" spans="1:11">
      <c r="A2499" s="14">
        <v>46168</v>
      </c>
      <c r="B2499" s="15">
        <v>0.96875</v>
      </c>
      <c r="C2499" s="5">
        <f>IF('96 Werte'!CQ31="","",'96 Werte'!CQ31)</f>
        <v/>
      </c>
      <c r="D2499" t="str">
        <f>IF(IF(Eingaben!$B$21&lt;Eingaben!$B$22,AND(B2499&gt;=Eingaben!$B$21,B2499&lt;Eingaben!$B$22),OR(B2499&gt;=Eingaben!$B$21,B2499&lt;Eingaben!$B$22)),"GO",IF(AND(ISNUMBER(Eingaben!$B$23),ISNUMBER(Eingaben!$B$24),IF(Eingaben!$B$23&lt;Eingaben!$B$24,AND(B2499&gt;=Eingaben!$B$23,B2499&lt;Eingaben!$B$24),OR(B2499&gt;=Eingaben!$B$23,B2499&lt;Eingaben!$B$24))),"HEAT","STANDARD"))</f>
        <v>STANDARD</v>
      </c>
      <c r="E2499" s="9"/>
      <c r="F2499" t="str">
        <f>IF(E2499="",D2499,E2499)</f>
        <v>STANDARD</v>
      </c>
      <c r="G2499" t="str">
        <f>INDEX(Netzzeiten!$B$6:$B$29,HOUR(B2499)+1)</f>
        <v>NT</v>
      </c>
      <c r="H2499" s="6">
        <f>IF(F2499="GO",Eingaben!$B$11,IF(F2499="STANDARD",Eingaben!$B$12,IF(AND(F2499="HEAT",ISNUMBER(Eingaben!$B$13)),Eingaben!$B$13,"")))</f>
        <v>28.2744</v>
      </c>
      <c r="I2499" s="6">
        <f>INDEX(Netzzeiten!$C$6:$C$29,HOUR(B2499)+1)</f>
        <v>1.64</v>
      </c>
      <c r="J2499" t="str">
        <f>IF(C2499="","FEHLT",IF(NOT(ISNUMBER(C2499)),"MESSWERT UNGUELTIG",IF(C2499&lt;0,"MESSWERT UNGUELTIG",IF(H2499="","TARIFPREIS FEHLT","OK"))))</f>
        <v>FEHLT</v>
      </c>
      <c r="K2499" s="7">
        <f>IF(J2499&lt;&gt;"OK","",C2499*I2499/100)</f>
        <v/>
      </c>
    </row>
    <row r="2500" spans="1:11">
      <c r="A2500" s="14">
        <v>46168</v>
      </c>
      <c r="B2500" s="15">
        <v>0.9791666666666666</v>
      </c>
      <c r="C2500" s="5">
        <f>IF('96 Werte'!CR31="","",'96 Werte'!CR31)</f>
        <v/>
      </c>
      <c r="D2500" t="str">
        <f>IF(IF(Eingaben!$B$21&lt;Eingaben!$B$22,AND(B2500&gt;=Eingaben!$B$21,B2500&lt;Eingaben!$B$22),OR(B2500&gt;=Eingaben!$B$21,B2500&lt;Eingaben!$B$22)),"GO",IF(AND(ISNUMBER(Eingaben!$B$23),ISNUMBER(Eingaben!$B$24),IF(Eingaben!$B$23&lt;Eingaben!$B$24,AND(B2500&gt;=Eingaben!$B$23,B2500&lt;Eingaben!$B$24),OR(B2500&gt;=Eingaben!$B$23,B2500&lt;Eingaben!$B$24))),"HEAT","STANDARD"))</f>
        <v>STANDARD</v>
      </c>
      <c r="E2500" s="9"/>
      <c r="F2500" t="str">
        <f>IF(E2500="",D2500,E2500)</f>
        <v>STANDARD</v>
      </c>
      <c r="G2500" t="str">
        <f>INDEX(Netzzeiten!$B$6:$B$29,HOUR(B2500)+1)</f>
        <v>NT</v>
      </c>
      <c r="H2500" s="6">
        <f>IF(F2500="GO",Eingaben!$B$11,IF(F2500="STANDARD",Eingaben!$B$12,IF(AND(F2500="HEAT",ISNUMBER(Eingaben!$B$13)),Eingaben!$B$13,"")))</f>
        <v>28.2744</v>
      </c>
      <c r="I2500" s="6">
        <f>INDEX(Netzzeiten!$C$6:$C$29,HOUR(B2500)+1)</f>
        <v>1.64</v>
      </c>
      <c r="J2500" t="str">
        <f>IF(C2500="","FEHLT",IF(NOT(ISNUMBER(C2500)),"MESSWERT UNGUELTIG",IF(C2500&lt;0,"MESSWERT UNGUELTIG",IF(H2500="","TARIFPREIS FEHLT","OK"))))</f>
        <v>FEHLT</v>
      </c>
      <c r="K2500" s="7">
        <f>IF(J2500&lt;&gt;"OK","",C2500*I2500/100)</f>
        <v/>
      </c>
    </row>
    <row r="2501" spans="1:11">
      <c r="A2501" s="14">
        <v>46168</v>
      </c>
      <c r="B2501" s="15">
        <v>0.9895833333333334</v>
      </c>
      <c r="C2501" s="5">
        <f>IF('96 Werte'!CS31="","",'96 Werte'!CS31)</f>
        <v/>
      </c>
      <c r="D2501" t="str">
        <f>IF(IF(Eingaben!$B$21&lt;Eingaben!$B$22,AND(B2501&gt;=Eingaben!$B$21,B2501&lt;Eingaben!$B$22),OR(B2501&gt;=Eingaben!$B$21,B2501&lt;Eingaben!$B$22)),"GO",IF(AND(ISNUMBER(Eingaben!$B$23),ISNUMBER(Eingaben!$B$24),IF(Eingaben!$B$23&lt;Eingaben!$B$24,AND(B2501&gt;=Eingaben!$B$23,B2501&lt;Eingaben!$B$24),OR(B2501&gt;=Eingaben!$B$23,B2501&lt;Eingaben!$B$24))),"HEAT","STANDARD"))</f>
        <v>STANDARD</v>
      </c>
      <c r="E2501" s="9"/>
      <c r="F2501" t="str">
        <f>IF(E2501="",D2501,E2501)</f>
        <v>STANDARD</v>
      </c>
      <c r="G2501" t="str">
        <f>INDEX(Netzzeiten!$B$6:$B$29,HOUR(B2501)+1)</f>
        <v>NT</v>
      </c>
      <c r="H2501" s="6">
        <f>IF(F2501="GO",Eingaben!$B$11,IF(F2501="STANDARD",Eingaben!$B$12,IF(AND(F2501="HEAT",ISNUMBER(Eingaben!$B$13)),Eingaben!$B$13,"")))</f>
        <v>28.2744</v>
      </c>
      <c r="I2501" s="6">
        <f>INDEX(Netzzeiten!$C$6:$C$29,HOUR(B2501)+1)</f>
        <v>1.64</v>
      </c>
      <c r="J2501" t="str">
        <f>IF(C2501="","FEHLT",IF(NOT(ISNUMBER(C2501)),"MESSWERT UNGUELTIG",IF(C2501&lt;0,"MESSWERT UNGUELTIG",IF(H2501="","TARIFPREIS FEHLT","OK"))))</f>
        <v>FEHLT</v>
      </c>
      <c r="K2501" s="7">
        <f>IF(J2501&lt;&gt;"OK","",C2501*I2501/100)</f>
        <v/>
      </c>
    </row>
    <row r="2502" spans="1:11">
      <c r="A2502" s="14">
        <v>46169</v>
      </c>
      <c r="B2502" s="15">
        <v>0</v>
      </c>
      <c r="C2502" s="5">
        <f>IF('96 Werte'!B32="","",'96 Werte'!B32)</f>
        <v/>
      </c>
      <c r="D2502" t="str">
        <f>IF(IF(Eingaben!$B$21&lt;Eingaben!$B$22,AND(B2502&gt;=Eingaben!$B$21,B2502&lt;Eingaben!$B$22),OR(B2502&gt;=Eingaben!$B$21,B2502&lt;Eingaben!$B$22)),"GO",IF(AND(ISNUMBER(Eingaben!$B$23),ISNUMBER(Eingaben!$B$24),IF(Eingaben!$B$23&lt;Eingaben!$B$24,AND(B2502&gt;=Eingaben!$B$23,B2502&lt;Eingaben!$B$24),OR(B2502&gt;=Eingaben!$B$23,B2502&lt;Eingaben!$B$24))),"HEAT","STANDARD"))</f>
        <v>GO</v>
      </c>
      <c r="E2502" s="9"/>
      <c r="F2502" t="str">
        <f>IF(E2502="",D2502,E2502)</f>
        <v>GO</v>
      </c>
      <c r="G2502" t="str">
        <f>INDEX(Netzzeiten!$B$6:$B$29,HOUR(B2502)+1)</f>
        <v>NT</v>
      </c>
      <c r="H2502" s="6">
        <f>IF(F2502="GO",Eingaben!$B$11,IF(F2502="STANDARD",Eingaben!$B$12,IF(AND(F2502="HEAT",ISNUMBER(Eingaben!$B$13)),Eingaben!$B$13,"")))</f>
        <v>15.0654</v>
      </c>
      <c r="I2502" s="6">
        <f>INDEX(Netzzeiten!$C$6:$C$29,HOUR(B2502)+1)</f>
        <v>1.64</v>
      </c>
      <c r="J2502" t="str">
        <f>IF(C2502="","FEHLT",IF(NOT(ISNUMBER(C2502)),"MESSWERT UNGUELTIG",IF(C2502&lt;0,"MESSWERT UNGUELTIG",IF(H2502="","TARIFPREIS FEHLT","OK"))))</f>
        <v>FEHLT</v>
      </c>
      <c r="K2502" s="7">
        <f>IF(J2502&lt;&gt;"OK","",C2502*I2502/100)</f>
        <v/>
      </c>
    </row>
    <row r="2503" spans="1:11">
      <c r="A2503" s="14">
        <v>46169</v>
      </c>
      <c r="B2503" s="15">
        <v>0.01041666666666667</v>
      </c>
      <c r="C2503" s="5">
        <f>IF('96 Werte'!C32="","",'96 Werte'!C32)</f>
        <v/>
      </c>
      <c r="D2503" t="str">
        <f>IF(IF(Eingaben!$B$21&lt;Eingaben!$B$22,AND(B2503&gt;=Eingaben!$B$21,B2503&lt;Eingaben!$B$22),OR(B2503&gt;=Eingaben!$B$21,B2503&lt;Eingaben!$B$22)),"GO",IF(AND(ISNUMBER(Eingaben!$B$23),ISNUMBER(Eingaben!$B$24),IF(Eingaben!$B$23&lt;Eingaben!$B$24,AND(B2503&gt;=Eingaben!$B$23,B2503&lt;Eingaben!$B$24),OR(B2503&gt;=Eingaben!$B$23,B2503&lt;Eingaben!$B$24))),"HEAT","STANDARD"))</f>
        <v>GO</v>
      </c>
      <c r="E2503" s="9"/>
      <c r="F2503" t="str">
        <f>IF(E2503="",D2503,E2503)</f>
        <v>GO</v>
      </c>
      <c r="G2503" t="str">
        <f>INDEX(Netzzeiten!$B$6:$B$29,HOUR(B2503)+1)</f>
        <v>NT</v>
      </c>
      <c r="H2503" s="6">
        <f>IF(F2503="GO",Eingaben!$B$11,IF(F2503="STANDARD",Eingaben!$B$12,IF(AND(F2503="HEAT",ISNUMBER(Eingaben!$B$13)),Eingaben!$B$13,"")))</f>
        <v>15.0654</v>
      </c>
      <c r="I2503" s="6">
        <f>INDEX(Netzzeiten!$C$6:$C$29,HOUR(B2503)+1)</f>
        <v>1.64</v>
      </c>
      <c r="J2503" t="str">
        <f>IF(C2503="","FEHLT",IF(NOT(ISNUMBER(C2503)),"MESSWERT UNGUELTIG",IF(C2503&lt;0,"MESSWERT UNGUELTIG",IF(H2503="","TARIFPREIS FEHLT","OK"))))</f>
        <v>FEHLT</v>
      </c>
      <c r="K2503" s="7">
        <f>IF(J2503&lt;&gt;"OK","",C2503*I2503/100)</f>
        <v/>
      </c>
    </row>
    <row r="2504" spans="1:11">
      <c r="A2504" s="14">
        <v>46169</v>
      </c>
      <c r="B2504" s="15">
        <v>0.02083333333333333</v>
      </c>
      <c r="C2504" s="5">
        <f>IF('96 Werte'!D32="","",'96 Werte'!D32)</f>
        <v/>
      </c>
      <c r="D2504" t="str">
        <f>IF(IF(Eingaben!$B$21&lt;Eingaben!$B$22,AND(B2504&gt;=Eingaben!$B$21,B2504&lt;Eingaben!$B$22),OR(B2504&gt;=Eingaben!$B$21,B2504&lt;Eingaben!$B$22)),"GO",IF(AND(ISNUMBER(Eingaben!$B$23),ISNUMBER(Eingaben!$B$24),IF(Eingaben!$B$23&lt;Eingaben!$B$24,AND(B2504&gt;=Eingaben!$B$23,B2504&lt;Eingaben!$B$24),OR(B2504&gt;=Eingaben!$B$23,B2504&lt;Eingaben!$B$24))),"HEAT","STANDARD"))</f>
        <v>GO</v>
      </c>
      <c r="E2504" s="9"/>
      <c r="F2504" t="str">
        <f>IF(E2504="",D2504,E2504)</f>
        <v>GO</v>
      </c>
      <c r="G2504" t="str">
        <f>INDEX(Netzzeiten!$B$6:$B$29,HOUR(B2504)+1)</f>
        <v>NT</v>
      </c>
      <c r="H2504" s="6">
        <f>IF(F2504="GO",Eingaben!$B$11,IF(F2504="STANDARD",Eingaben!$B$12,IF(AND(F2504="HEAT",ISNUMBER(Eingaben!$B$13)),Eingaben!$B$13,"")))</f>
        <v>15.0654</v>
      </c>
      <c r="I2504" s="6">
        <f>INDEX(Netzzeiten!$C$6:$C$29,HOUR(B2504)+1)</f>
        <v>1.64</v>
      </c>
      <c r="J2504" t="str">
        <f>IF(C2504="","FEHLT",IF(NOT(ISNUMBER(C2504)),"MESSWERT UNGUELTIG",IF(C2504&lt;0,"MESSWERT UNGUELTIG",IF(H2504="","TARIFPREIS FEHLT","OK"))))</f>
        <v>FEHLT</v>
      </c>
      <c r="K2504" s="7">
        <f>IF(J2504&lt;&gt;"OK","",C2504*I2504/100)</f>
        <v/>
      </c>
    </row>
    <row r="2505" spans="1:11">
      <c r="A2505" s="14">
        <v>46169</v>
      </c>
      <c r="B2505" s="15">
        <v>0.03125</v>
      </c>
      <c r="C2505" s="5">
        <f>IF('96 Werte'!E32="","",'96 Werte'!E32)</f>
        <v/>
      </c>
      <c r="D2505" t="str">
        <f>IF(IF(Eingaben!$B$21&lt;Eingaben!$B$22,AND(B2505&gt;=Eingaben!$B$21,B2505&lt;Eingaben!$B$22),OR(B2505&gt;=Eingaben!$B$21,B2505&lt;Eingaben!$B$22)),"GO",IF(AND(ISNUMBER(Eingaben!$B$23),ISNUMBER(Eingaben!$B$24),IF(Eingaben!$B$23&lt;Eingaben!$B$24,AND(B2505&gt;=Eingaben!$B$23,B2505&lt;Eingaben!$B$24),OR(B2505&gt;=Eingaben!$B$23,B2505&lt;Eingaben!$B$24))),"HEAT","STANDARD"))</f>
        <v>GO</v>
      </c>
      <c r="E2505" s="9"/>
      <c r="F2505" t="str">
        <f>IF(E2505="",D2505,E2505)</f>
        <v>GO</v>
      </c>
      <c r="G2505" t="str">
        <f>INDEX(Netzzeiten!$B$6:$B$29,HOUR(B2505)+1)</f>
        <v>NT</v>
      </c>
      <c r="H2505" s="6">
        <f>IF(F2505="GO",Eingaben!$B$11,IF(F2505="STANDARD",Eingaben!$B$12,IF(AND(F2505="HEAT",ISNUMBER(Eingaben!$B$13)),Eingaben!$B$13,"")))</f>
        <v>15.0654</v>
      </c>
      <c r="I2505" s="6">
        <f>INDEX(Netzzeiten!$C$6:$C$29,HOUR(B2505)+1)</f>
        <v>1.64</v>
      </c>
      <c r="J2505" t="str">
        <f>IF(C2505="","FEHLT",IF(NOT(ISNUMBER(C2505)),"MESSWERT UNGUELTIG",IF(C2505&lt;0,"MESSWERT UNGUELTIG",IF(H2505="","TARIFPREIS FEHLT","OK"))))</f>
        <v>FEHLT</v>
      </c>
      <c r="K2505" s="7">
        <f>IF(J2505&lt;&gt;"OK","",C2505*I2505/100)</f>
        <v/>
      </c>
    </row>
    <row r="2506" spans="1:11">
      <c r="A2506" s="14">
        <v>46169</v>
      </c>
      <c r="B2506" s="15">
        <v>0.04166666666666666</v>
      </c>
      <c r="C2506" s="5">
        <f>IF('96 Werte'!F32="","",'96 Werte'!F32)</f>
        <v/>
      </c>
      <c r="D2506" t="str">
        <f>IF(IF(Eingaben!$B$21&lt;Eingaben!$B$22,AND(B2506&gt;=Eingaben!$B$21,B2506&lt;Eingaben!$B$22),OR(B2506&gt;=Eingaben!$B$21,B2506&lt;Eingaben!$B$22)),"GO",IF(AND(ISNUMBER(Eingaben!$B$23),ISNUMBER(Eingaben!$B$24),IF(Eingaben!$B$23&lt;Eingaben!$B$24,AND(B2506&gt;=Eingaben!$B$23,B2506&lt;Eingaben!$B$24),OR(B2506&gt;=Eingaben!$B$23,B2506&lt;Eingaben!$B$24))),"HEAT","STANDARD"))</f>
        <v>GO</v>
      </c>
      <c r="E2506" s="9"/>
      <c r="F2506" t="str">
        <f>IF(E2506="",D2506,E2506)</f>
        <v>GO</v>
      </c>
      <c r="G2506" t="str">
        <f>INDEX(Netzzeiten!$B$6:$B$29,HOUR(B2506)+1)</f>
        <v>NT</v>
      </c>
      <c r="H2506" s="6">
        <f>IF(F2506="GO",Eingaben!$B$11,IF(F2506="STANDARD",Eingaben!$B$12,IF(AND(F2506="HEAT",ISNUMBER(Eingaben!$B$13)),Eingaben!$B$13,"")))</f>
        <v>15.0654</v>
      </c>
      <c r="I2506" s="6">
        <f>INDEX(Netzzeiten!$C$6:$C$29,HOUR(B2506)+1)</f>
        <v>1.64</v>
      </c>
      <c r="J2506" t="str">
        <f>IF(C2506="","FEHLT",IF(NOT(ISNUMBER(C2506)),"MESSWERT UNGUELTIG",IF(C2506&lt;0,"MESSWERT UNGUELTIG",IF(H2506="","TARIFPREIS FEHLT","OK"))))</f>
        <v>FEHLT</v>
      </c>
      <c r="K2506" s="7">
        <f>IF(J2506&lt;&gt;"OK","",C2506*I2506/100)</f>
        <v/>
      </c>
    </row>
    <row r="2507" spans="1:11">
      <c r="A2507" s="14">
        <v>46169</v>
      </c>
      <c r="B2507" s="15">
        <v>0.05208333333333334</v>
      </c>
      <c r="C2507" s="5">
        <f>IF('96 Werte'!G32="","",'96 Werte'!G32)</f>
        <v/>
      </c>
      <c r="D2507" t="str">
        <f>IF(IF(Eingaben!$B$21&lt;Eingaben!$B$22,AND(B2507&gt;=Eingaben!$B$21,B2507&lt;Eingaben!$B$22),OR(B2507&gt;=Eingaben!$B$21,B2507&lt;Eingaben!$B$22)),"GO",IF(AND(ISNUMBER(Eingaben!$B$23),ISNUMBER(Eingaben!$B$24),IF(Eingaben!$B$23&lt;Eingaben!$B$24,AND(B2507&gt;=Eingaben!$B$23,B2507&lt;Eingaben!$B$24),OR(B2507&gt;=Eingaben!$B$23,B2507&lt;Eingaben!$B$24))),"HEAT","STANDARD"))</f>
        <v>GO</v>
      </c>
      <c r="E2507" s="9"/>
      <c r="F2507" t="str">
        <f>IF(E2507="",D2507,E2507)</f>
        <v>GO</v>
      </c>
      <c r="G2507" t="str">
        <f>INDEX(Netzzeiten!$B$6:$B$29,HOUR(B2507)+1)</f>
        <v>NT</v>
      </c>
      <c r="H2507" s="6">
        <f>IF(F2507="GO",Eingaben!$B$11,IF(F2507="STANDARD",Eingaben!$B$12,IF(AND(F2507="HEAT",ISNUMBER(Eingaben!$B$13)),Eingaben!$B$13,"")))</f>
        <v>15.0654</v>
      </c>
      <c r="I2507" s="6">
        <f>INDEX(Netzzeiten!$C$6:$C$29,HOUR(B2507)+1)</f>
        <v>1.64</v>
      </c>
      <c r="J2507" t="str">
        <f>IF(C2507="","FEHLT",IF(NOT(ISNUMBER(C2507)),"MESSWERT UNGUELTIG",IF(C2507&lt;0,"MESSWERT UNGUELTIG",IF(H2507="","TARIFPREIS FEHLT","OK"))))</f>
        <v>FEHLT</v>
      </c>
      <c r="K2507" s="7">
        <f>IF(J2507&lt;&gt;"OK","",C2507*I2507/100)</f>
        <v/>
      </c>
    </row>
    <row r="2508" spans="1:11">
      <c r="A2508" s="14">
        <v>46169</v>
      </c>
      <c r="B2508" s="15">
        <v>0.0625</v>
      </c>
      <c r="C2508" s="5">
        <f>IF('96 Werte'!H32="","",'96 Werte'!H32)</f>
        <v/>
      </c>
      <c r="D2508" t="str">
        <f>IF(IF(Eingaben!$B$21&lt;Eingaben!$B$22,AND(B2508&gt;=Eingaben!$B$21,B2508&lt;Eingaben!$B$22),OR(B2508&gt;=Eingaben!$B$21,B2508&lt;Eingaben!$B$22)),"GO",IF(AND(ISNUMBER(Eingaben!$B$23),ISNUMBER(Eingaben!$B$24),IF(Eingaben!$B$23&lt;Eingaben!$B$24,AND(B2508&gt;=Eingaben!$B$23,B2508&lt;Eingaben!$B$24),OR(B2508&gt;=Eingaben!$B$23,B2508&lt;Eingaben!$B$24))),"HEAT","STANDARD"))</f>
        <v>GO</v>
      </c>
      <c r="E2508" s="9"/>
      <c r="F2508" t="str">
        <f>IF(E2508="",D2508,E2508)</f>
        <v>GO</v>
      </c>
      <c r="G2508" t="str">
        <f>INDEX(Netzzeiten!$B$6:$B$29,HOUR(B2508)+1)</f>
        <v>NT</v>
      </c>
      <c r="H2508" s="6">
        <f>IF(F2508="GO",Eingaben!$B$11,IF(F2508="STANDARD",Eingaben!$B$12,IF(AND(F2508="HEAT",ISNUMBER(Eingaben!$B$13)),Eingaben!$B$13,"")))</f>
        <v>15.0654</v>
      </c>
      <c r="I2508" s="6">
        <f>INDEX(Netzzeiten!$C$6:$C$29,HOUR(B2508)+1)</f>
        <v>1.64</v>
      </c>
      <c r="J2508" t="str">
        <f>IF(C2508="","FEHLT",IF(NOT(ISNUMBER(C2508)),"MESSWERT UNGUELTIG",IF(C2508&lt;0,"MESSWERT UNGUELTIG",IF(H2508="","TARIFPREIS FEHLT","OK"))))</f>
        <v>FEHLT</v>
      </c>
      <c r="K2508" s="7">
        <f>IF(J2508&lt;&gt;"OK","",C2508*I2508/100)</f>
        <v/>
      </c>
    </row>
    <row r="2509" spans="1:11">
      <c r="A2509" s="14">
        <v>46169</v>
      </c>
      <c r="B2509" s="15">
        <v>0.07291666666666667</v>
      </c>
      <c r="C2509" s="5">
        <f>IF('96 Werte'!I32="","",'96 Werte'!I32)</f>
        <v/>
      </c>
      <c r="D2509" t="str">
        <f>IF(IF(Eingaben!$B$21&lt;Eingaben!$B$22,AND(B2509&gt;=Eingaben!$B$21,B2509&lt;Eingaben!$B$22),OR(B2509&gt;=Eingaben!$B$21,B2509&lt;Eingaben!$B$22)),"GO",IF(AND(ISNUMBER(Eingaben!$B$23),ISNUMBER(Eingaben!$B$24),IF(Eingaben!$B$23&lt;Eingaben!$B$24,AND(B2509&gt;=Eingaben!$B$23,B2509&lt;Eingaben!$B$24),OR(B2509&gt;=Eingaben!$B$23,B2509&lt;Eingaben!$B$24))),"HEAT","STANDARD"))</f>
        <v>GO</v>
      </c>
      <c r="E2509" s="9"/>
      <c r="F2509" t="str">
        <f>IF(E2509="",D2509,E2509)</f>
        <v>GO</v>
      </c>
      <c r="G2509" t="str">
        <f>INDEX(Netzzeiten!$B$6:$B$29,HOUR(B2509)+1)</f>
        <v>NT</v>
      </c>
      <c r="H2509" s="6">
        <f>IF(F2509="GO",Eingaben!$B$11,IF(F2509="STANDARD",Eingaben!$B$12,IF(AND(F2509="HEAT",ISNUMBER(Eingaben!$B$13)),Eingaben!$B$13,"")))</f>
        <v>15.0654</v>
      </c>
      <c r="I2509" s="6">
        <f>INDEX(Netzzeiten!$C$6:$C$29,HOUR(B2509)+1)</f>
        <v>1.64</v>
      </c>
      <c r="J2509" t="str">
        <f>IF(C2509="","FEHLT",IF(NOT(ISNUMBER(C2509)),"MESSWERT UNGUELTIG",IF(C2509&lt;0,"MESSWERT UNGUELTIG",IF(H2509="","TARIFPREIS FEHLT","OK"))))</f>
        <v>FEHLT</v>
      </c>
      <c r="K2509" s="7">
        <f>IF(J2509&lt;&gt;"OK","",C2509*I2509/100)</f>
        <v/>
      </c>
    </row>
    <row r="2510" spans="1:11">
      <c r="A2510" s="14">
        <v>46169</v>
      </c>
      <c r="B2510" s="15">
        <v>0.08333333333333333</v>
      </c>
      <c r="C2510" s="5">
        <f>IF('96 Werte'!J32="","",'96 Werte'!J32)</f>
        <v/>
      </c>
      <c r="D2510" t="str">
        <f>IF(IF(Eingaben!$B$21&lt;Eingaben!$B$22,AND(B2510&gt;=Eingaben!$B$21,B2510&lt;Eingaben!$B$22),OR(B2510&gt;=Eingaben!$B$21,B2510&lt;Eingaben!$B$22)),"GO",IF(AND(ISNUMBER(Eingaben!$B$23),ISNUMBER(Eingaben!$B$24),IF(Eingaben!$B$23&lt;Eingaben!$B$24,AND(B2510&gt;=Eingaben!$B$23,B2510&lt;Eingaben!$B$24),OR(B2510&gt;=Eingaben!$B$23,B2510&lt;Eingaben!$B$24))),"HEAT","STANDARD"))</f>
        <v>GO</v>
      </c>
      <c r="E2510" s="9"/>
      <c r="F2510" t="str">
        <f>IF(E2510="",D2510,E2510)</f>
        <v>GO</v>
      </c>
      <c r="G2510" t="str">
        <f>INDEX(Netzzeiten!$B$6:$B$29,HOUR(B2510)+1)</f>
        <v>NT</v>
      </c>
      <c r="H2510" s="6">
        <f>IF(F2510="GO",Eingaben!$B$11,IF(F2510="STANDARD",Eingaben!$B$12,IF(AND(F2510="HEAT",ISNUMBER(Eingaben!$B$13)),Eingaben!$B$13,"")))</f>
        <v>15.0654</v>
      </c>
      <c r="I2510" s="6">
        <f>INDEX(Netzzeiten!$C$6:$C$29,HOUR(B2510)+1)</f>
        <v>1.64</v>
      </c>
      <c r="J2510" t="str">
        <f>IF(C2510="","FEHLT",IF(NOT(ISNUMBER(C2510)),"MESSWERT UNGUELTIG",IF(C2510&lt;0,"MESSWERT UNGUELTIG",IF(H2510="","TARIFPREIS FEHLT","OK"))))</f>
        <v>FEHLT</v>
      </c>
      <c r="K2510" s="7">
        <f>IF(J2510&lt;&gt;"OK","",C2510*I2510/100)</f>
        <v/>
      </c>
    </row>
    <row r="2511" spans="1:11">
      <c r="A2511" s="14">
        <v>46169</v>
      </c>
      <c r="B2511" s="15">
        <v>0.09375</v>
      </c>
      <c r="C2511" s="5">
        <f>IF('96 Werte'!K32="","",'96 Werte'!K32)</f>
        <v/>
      </c>
      <c r="D2511" t="str">
        <f>IF(IF(Eingaben!$B$21&lt;Eingaben!$B$22,AND(B2511&gt;=Eingaben!$B$21,B2511&lt;Eingaben!$B$22),OR(B2511&gt;=Eingaben!$B$21,B2511&lt;Eingaben!$B$22)),"GO",IF(AND(ISNUMBER(Eingaben!$B$23),ISNUMBER(Eingaben!$B$24),IF(Eingaben!$B$23&lt;Eingaben!$B$24,AND(B2511&gt;=Eingaben!$B$23,B2511&lt;Eingaben!$B$24),OR(B2511&gt;=Eingaben!$B$23,B2511&lt;Eingaben!$B$24))),"HEAT","STANDARD"))</f>
        <v>GO</v>
      </c>
      <c r="E2511" s="9"/>
      <c r="F2511" t="str">
        <f>IF(E2511="",D2511,E2511)</f>
        <v>GO</v>
      </c>
      <c r="G2511" t="str">
        <f>INDEX(Netzzeiten!$B$6:$B$29,HOUR(B2511)+1)</f>
        <v>NT</v>
      </c>
      <c r="H2511" s="6">
        <f>IF(F2511="GO",Eingaben!$B$11,IF(F2511="STANDARD",Eingaben!$B$12,IF(AND(F2511="HEAT",ISNUMBER(Eingaben!$B$13)),Eingaben!$B$13,"")))</f>
        <v>15.0654</v>
      </c>
      <c r="I2511" s="6">
        <f>INDEX(Netzzeiten!$C$6:$C$29,HOUR(B2511)+1)</f>
        <v>1.64</v>
      </c>
      <c r="J2511" t="str">
        <f>IF(C2511="","FEHLT",IF(NOT(ISNUMBER(C2511)),"MESSWERT UNGUELTIG",IF(C2511&lt;0,"MESSWERT UNGUELTIG",IF(H2511="","TARIFPREIS FEHLT","OK"))))</f>
        <v>FEHLT</v>
      </c>
      <c r="K2511" s="7">
        <f>IF(J2511&lt;&gt;"OK","",C2511*I2511/100)</f>
        <v/>
      </c>
    </row>
    <row r="2512" spans="1:11">
      <c r="A2512" s="14">
        <v>46169</v>
      </c>
      <c r="B2512" s="15">
        <v>0.1041666666666667</v>
      </c>
      <c r="C2512" s="5">
        <f>IF('96 Werte'!L32="","",'96 Werte'!L32)</f>
        <v/>
      </c>
      <c r="D2512" t="str">
        <f>IF(IF(Eingaben!$B$21&lt;Eingaben!$B$22,AND(B2512&gt;=Eingaben!$B$21,B2512&lt;Eingaben!$B$22),OR(B2512&gt;=Eingaben!$B$21,B2512&lt;Eingaben!$B$22)),"GO",IF(AND(ISNUMBER(Eingaben!$B$23),ISNUMBER(Eingaben!$B$24),IF(Eingaben!$B$23&lt;Eingaben!$B$24,AND(B2512&gt;=Eingaben!$B$23,B2512&lt;Eingaben!$B$24),OR(B2512&gt;=Eingaben!$B$23,B2512&lt;Eingaben!$B$24))),"HEAT","STANDARD"))</f>
        <v>GO</v>
      </c>
      <c r="E2512" s="9"/>
      <c r="F2512" t="str">
        <f>IF(E2512="",D2512,E2512)</f>
        <v>GO</v>
      </c>
      <c r="G2512" t="str">
        <f>INDEX(Netzzeiten!$B$6:$B$29,HOUR(B2512)+1)</f>
        <v>NT</v>
      </c>
      <c r="H2512" s="6">
        <f>IF(F2512="GO",Eingaben!$B$11,IF(F2512="STANDARD",Eingaben!$B$12,IF(AND(F2512="HEAT",ISNUMBER(Eingaben!$B$13)),Eingaben!$B$13,"")))</f>
        <v>15.0654</v>
      </c>
      <c r="I2512" s="6">
        <f>INDEX(Netzzeiten!$C$6:$C$29,HOUR(B2512)+1)</f>
        <v>1.64</v>
      </c>
      <c r="J2512" t="str">
        <f>IF(C2512="","FEHLT",IF(NOT(ISNUMBER(C2512)),"MESSWERT UNGUELTIG",IF(C2512&lt;0,"MESSWERT UNGUELTIG",IF(H2512="","TARIFPREIS FEHLT","OK"))))</f>
        <v>FEHLT</v>
      </c>
      <c r="K2512" s="7">
        <f>IF(J2512&lt;&gt;"OK","",C2512*I2512/100)</f>
        <v/>
      </c>
    </row>
    <row r="2513" spans="1:11">
      <c r="A2513" s="14">
        <v>46169</v>
      </c>
      <c r="B2513" s="15">
        <v>0.1145833333333333</v>
      </c>
      <c r="C2513" s="5">
        <f>IF('96 Werte'!M32="","",'96 Werte'!M32)</f>
        <v/>
      </c>
      <c r="D2513" t="str">
        <f>IF(IF(Eingaben!$B$21&lt;Eingaben!$B$22,AND(B2513&gt;=Eingaben!$B$21,B2513&lt;Eingaben!$B$22),OR(B2513&gt;=Eingaben!$B$21,B2513&lt;Eingaben!$B$22)),"GO",IF(AND(ISNUMBER(Eingaben!$B$23),ISNUMBER(Eingaben!$B$24),IF(Eingaben!$B$23&lt;Eingaben!$B$24,AND(B2513&gt;=Eingaben!$B$23,B2513&lt;Eingaben!$B$24),OR(B2513&gt;=Eingaben!$B$23,B2513&lt;Eingaben!$B$24))),"HEAT","STANDARD"))</f>
        <v>GO</v>
      </c>
      <c r="E2513" s="9"/>
      <c r="F2513" t="str">
        <f>IF(E2513="",D2513,E2513)</f>
        <v>GO</v>
      </c>
      <c r="G2513" t="str">
        <f>INDEX(Netzzeiten!$B$6:$B$29,HOUR(B2513)+1)</f>
        <v>NT</v>
      </c>
      <c r="H2513" s="6">
        <f>IF(F2513="GO",Eingaben!$B$11,IF(F2513="STANDARD",Eingaben!$B$12,IF(AND(F2513="HEAT",ISNUMBER(Eingaben!$B$13)),Eingaben!$B$13,"")))</f>
        <v>15.0654</v>
      </c>
      <c r="I2513" s="6">
        <f>INDEX(Netzzeiten!$C$6:$C$29,HOUR(B2513)+1)</f>
        <v>1.64</v>
      </c>
      <c r="J2513" t="str">
        <f>IF(C2513="","FEHLT",IF(NOT(ISNUMBER(C2513)),"MESSWERT UNGUELTIG",IF(C2513&lt;0,"MESSWERT UNGUELTIG",IF(H2513="","TARIFPREIS FEHLT","OK"))))</f>
        <v>FEHLT</v>
      </c>
      <c r="K2513" s="7">
        <f>IF(J2513&lt;&gt;"OK","",C2513*I2513/100)</f>
        <v/>
      </c>
    </row>
    <row r="2514" spans="1:11">
      <c r="A2514" s="14">
        <v>46169</v>
      </c>
      <c r="B2514" s="15">
        <v>0.125</v>
      </c>
      <c r="C2514" s="5">
        <f>IF('96 Werte'!N32="","",'96 Werte'!N32)</f>
        <v/>
      </c>
      <c r="D2514" t="str">
        <f>IF(IF(Eingaben!$B$21&lt;Eingaben!$B$22,AND(B2514&gt;=Eingaben!$B$21,B2514&lt;Eingaben!$B$22),OR(B2514&gt;=Eingaben!$B$21,B2514&lt;Eingaben!$B$22)),"GO",IF(AND(ISNUMBER(Eingaben!$B$23),ISNUMBER(Eingaben!$B$24),IF(Eingaben!$B$23&lt;Eingaben!$B$24,AND(B2514&gt;=Eingaben!$B$23,B2514&lt;Eingaben!$B$24),OR(B2514&gt;=Eingaben!$B$23,B2514&lt;Eingaben!$B$24))),"HEAT","STANDARD"))</f>
        <v>GO</v>
      </c>
      <c r="E2514" s="9"/>
      <c r="F2514" t="str">
        <f>IF(E2514="",D2514,E2514)</f>
        <v>GO</v>
      </c>
      <c r="G2514" t="str">
        <f>INDEX(Netzzeiten!$B$6:$B$29,HOUR(B2514)+1)</f>
        <v>NT</v>
      </c>
      <c r="H2514" s="6">
        <f>IF(F2514="GO",Eingaben!$B$11,IF(F2514="STANDARD",Eingaben!$B$12,IF(AND(F2514="HEAT",ISNUMBER(Eingaben!$B$13)),Eingaben!$B$13,"")))</f>
        <v>15.0654</v>
      </c>
      <c r="I2514" s="6">
        <f>INDEX(Netzzeiten!$C$6:$C$29,HOUR(B2514)+1)</f>
        <v>1.64</v>
      </c>
      <c r="J2514" t="str">
        <f>IF(C2514="","FEHLT",IF(NOT(ISNUMBER(C2514)),"MESSWERT UNGUELTIG",IF(C2514&lt;0,"MESSWERT UNGUELTIG",IF(H2514="","TARIFPREIS FEHLT","OK"))))</f>
        <v>FEHLT</v>
      </c>
      <c r="K2514" s="7">
        <f>IF(J2514&lt;&gt;"OK","",C2514*I2514/100)</f>
        <v/>
      </c>
    </row>
    <row r="2515" spans="1:11">
      <c r="A2515" s="14">
        <v>46169</v>
      </c>
      <c r="B2515" s="15">
        <v>0.1354166666666667</v>
      </c>
      <c r="C2515" s="5">
        <f>IF('96 Werte'!O32="","",'96 Werte'!O32)</f>
        <v/>
      </c>
      <c r="D2515" t="str">
        <f>IF(IF(Eingaben!$B$21&lt;Eingaben!$B$22,AND(B2515&gt;=Eingaben!$B$21,B2515&lt;Eingaben!$B$22),OR(B2515&gt;=Eingaben!$B$21,B2515&lt;Eingaben!$B$22)),"GO",IF(AND(ISNUMBER(Eingaben!$B$23),ISNUMBER(Eingaben!$B$24),IF(Eingaben!$B$23&lt;Eingaben!$B$24,AND(B2515&gt;=Eingaben!$B$23,B2515&lt;Eingaben!$B$24),OR(B2515&gt;=Eingaben!$B$23,B2515&lt;Eingaben!$B$24))),"HEAT","STANDARD"))</f>
        <v>GO</v>
      </c>
      <c r="E2515" s="9"/>
      <c r="F2515" t="str">
        <f>IF(E2515="",D2515,E2515)</f>
        <v>GO</v>
      </c>
      <c r="G2515" t="str">
        <f>INDEX(Netzzeiten!$B$6:$B$29,HOUR(B2515)+1)</f>
        <v>NT</v>
      </c>
      <c r="H2515" s="6">
        <f>IF(F2515="GO",Eingaben!$B$11,IF(F2515="STANDARD",Eingaben!$B$12,IF(AND(F2515="HEAT",ISNUMBER(Eingaben!$B$13)),Eingaben!$B$13,"")))</f>
        <v>15.0654</v>
      </c>
      <c r="I2515" s="6">
        <f>INDEX(Netzzeiten!$C$6:$C$29,HOUR(B2515)+1)</f>
        <v>1.64</v>
      </c>
      <c r="J2515" t="str">
        <f>IF(C2515="","FEHLT",IF(NOT(ISNUMBER(C2515)),"MESSWERT UNGUELTIG",IF(C2515&lt;0,"MESSWERT UNGUELTIG",IF(H2515="","TARIFPREIS FEHLT","OK"))))</f>
        <v>FEHLT</v>
      </c>
      <c r="K2515" s="7">
        <f>IF(J2515&lt;&gt;"OK","",C2515*I2515/100)</f>
        <v/>
      </c>
    </row>
    <row r="2516" spans="1:11">
      <c r="A2516" s="14">
        <v>46169</v>
      </c>
      <c r="B2516" s="15">
        <v>0.1458333333333333</v>
      </c>
      <c r="C2516" s="5">
        <f>IF('96 Werte'!P32="","",'96 Werte'!P32)</f>
        <v/>
      </c>
      <c r="D2516" t="str">
        <f>IF(IF(Eingaben!$B$21&lt;Eingaben!$B$22,AND(B2516&gt;=Eingaben!$B$21,B2516&lt;Eingaben!$B$22),OR(B2516&gt;=Eingaben!$B$21,B2516&lt;Eingaben!$B$22)),"GO",IF(AND(ISNUMBER(Eingaben!$B$23),ISNUMBER(Eingaben!$B$24),IF(Eingaben!$B$23&lt;Eingaben!$B$24,AND(B2516&gt;=Eingaben!$B$23,B2516&lt;Eingaben!$B$24),OR(B2516&gt;=Eingaben!$B$23,B2516&lt;Eingaben!$B$24))),"HEAT","STANDARD"))</f>
        <v>GO</v>
      </c>
      <c r="E2516" s="9"/>
      <c r="F2516" t="str">
        <f>IF(E2516="",D2516,E2516)</f>
        <v>GO</v>
      </c>
      <c r="G2516" t="str">
        <f>INDEX(Netzzeiten!$B$6:$B$29,HOUR(B2516)+1)</f>
        <v>NT</v>
      </c>
      <c r="H2516" s="6">
        <f>IF(F2516="GO",Eingaben!$B$11,IF(F2516="STANDARD",Eingaben!$B$12,IF(AND(F2516="HEAT",ISNUMBER(Eingaben!$B$13)),Eingaben!$B$13,"")))</f>
        <v>15.0654</v>
      </c>
      <c r="I2516" s="6">
        <f>INDEX(Netzzeiten!$C$6:$C$29,HOUR(B2516)+1)</f>
        <v>1.64</v>
      </c>
      <c r="J2516" t="str">
        <f>IF(C2516="","FEHLT",IF(NOT(ISNUMBER(C2516)),"MESSWERT UNGUELTIG",IF(C2516&lt;0,"MESSWERT UNGUELTIG",IF(H2516="","TARIFPREIS FEHLT","OK"))))</f>
        <v>FEHLT</v>
      </c>
      <c r="K2516" s="7">
        <f>IF(J2516&lt;&gt;"OK","",C2516*I2516/100)</f>
        <v/>
      </c>
    </row>
    <row r="2517" spans="1:11">
      <c r="A2517" s="14">
        <v>46169</v>
      </c>
      <c r="B2517" s="15">
        <v>0.15625</v>
      </c>
      <c r="C2517" s="5">
        <f>IF('96 Werte'!Q32="","",'96 Werte'!Q32)</f>
        <v/>
      </c>
      <c r="D2517" t="str">
        <f>IF(IF(Eingaben!$B$21&lt;Eingaben!$B$22,AND(B2517&gt;=Eingaben!$B$21,B2517&lt;Eingaben!$B$22),OR(B2517&gt;=Eingaben!$B$21,B2517&lt;Eingaben!$B$22)),"GO",IF(AND(ISNUMBER(Eingaben!$B$23),ISNUMBER(Eingaben!$B$24),IF(Eingaben!$B$23&lt;Eingaben!$B$24,AND(B2517&gt;=Eingaben!$B$23,B2517&lt;Eingaben!$B$24),OR(B2517&gt;=Eingaben!$B$23,B2517&lt;Eingaben!$B$24))),"HEAT","STANDARD"))</f>
        <v>GO</v>
      </c>
      <c r="E2517" s="9"/>
      <c r="F2517" t="str">
        <f>IF(E2517="",D2517,E2517)</f>
        <v>GO</v>
      </c>
      <c r="G2517" t="str">
        <f>INDEX(Netzzeiten!$B$6:$B$29,HOUR(B2517)+1)</f>
        <v>NT</v>
      </c>
      <c r="H2517" s="6">
        <f>IF(F2517="GO",Eingaben!$B$11,IF(F2517="STANDARD",Eingaben!$B$12,IF(AND(F2517="HEAT",ISNUMBER(Eingaben!$B$13)),Eingaben!$B$13,"")))</f>
        <v>15.0654</v>
      </c>
      <c r="I2517" s="6">
        <f>INDEX(Netzzeiten!$C$6:$C$29,HOUR(B2517)+1)</f>
        <v>1.64</v>
      </c>
      <c r="J2517" t="str">
        <f>IF(C2517="","FEHLT",IF(NOT(ISNUMBER(C2517)),"MESSWERT UNGUELTIG",IF(C2517&lt;0,"MESSWERT UNGUELTIG",IF(H2517="","TARIFPREIS FEHLT","OK"))))</f>
        <v>FEHLT</v>
      </c>
      <c r="K2517" s="7">
        <f>IF(J2517&lt;&gt;"OK","",C2517*I2517/100)</f>
        <v/>
      </c>
    </row>
    <row r="2518" spans="1:11">
      <c r="A2518" s="14">
        <v>46169</v>
      </c>
      <c r="B2518" s="15">
        <v>0.1666666666666667</v>
      </c>
      <c r="C2518" s="5">
        <f>IF('96 Werte'!R32="","",'96 Werte'!R32)</f>
        <v/>
      </c>
      <c r="D2518" t="str">
        <f>IF(IF(Eingaben!$B$21&lt;Eingaben!$B$22,AND(B2518&gt;=Eingaben!$B$21,B2518&lt;Eingaben!$B$22),OR(B2518&gt;=Eingaben!$B$21,B2518&lt;Eingaben!$B$22)),"GO",IF(AND(ISNUMBER(Eingaben!$B$23),ISNUMBER(Eingaben!$B$24),IF(Eingaben!$B$23&lt;Eingaben!$B$24,AND(B2518&gt;=Eingaben!$B$23,B2518&lt;Eingaben!$B$24),OR(B2518&gt;=Eingaben!$B$23,B2518&lt;Eingaben!$B$24))),"HEAT","STANDARD"))</f>
        <v>GO</v>
      </c>
      <c r="E2518" s="9"/>
      <c r="F2518" t="str">
        <f>IF(E2518="",D2518,E2518)</f>
        <v>GO</v>
      </c>
      <c r="G2518" t="str">
        <f>INDEX(Netzzeiten!$B$6:$B$29,HOUR(B2518)+1)</f>
        <v>NT</v>
      </c>
      <c r="H2518" s="6">
        <f>IF(F2518="GO",Eingaben!$B$11,IF(F2518="STANDARD",Eingaben!$B$12,IF(AND(F2518="HEAT",ISNUMBER(Eingaben!$B$13)),Eingaben!$B$13,"")))</f>
        <v>15.0654</v>
      </c>
      <c r="I2518" s="6">
        <f>INDEX(Netzzeiten!$C$6:$C$29,HOUR(B2518)+1)</f>
        <v>1.64</v>
      </c>
      <c r="J2518" t="str">
        <f>IF(C2518="","FEHLT",IF(NOT(ISNUMBER(C2518)),"MESSWERT UNGUELTIG",IF(C2518&lt;0,"MESSWERT UNGUELTIG",IF(H2518="","TARIFPREIS FEHLT","OK"))))</f>
        <v>FEHLT</v>
      </c>
      <c r="K2518" s="7">
        <f>IF(J2518&lt;&gt;"OK","",C2518*I2518/100)</f>
        <v/>
      </c>
    </row>
    <row r="2519" spans="1:11">
      <c r="A2519" s="14">
        <v>46169</v>
      </c>
      <c r="B2519" s="15">
        <v>0.1770833333333333</v>
      </c>
      <c r="C2519" s="5">
        <f>IF('96 Werte'!S32="","",'96 Werte'!S32)</f>
        <v/>
      </c>
      <c r="D2519" t="str">
        <f>IF(IF(Eingaben!$B$21&lt;Eingaben!$B$22,AND(B2519&gt;=Eingaben!$B$21,B2519&lt;Eingaben!$B$22),OR(B2519&gt;=Eingaben!$B$21,B2519&lt;Eingaben!$B$22)),"GO",IF(AND(ISNUMBER(Eingaben!$B$23),ISNUMBER(Eingaben!$B$24),IF(Eingaben!$B$23&lt;Eingaben!$B$24,AND(B2519&gt;=Eingaben!$B$23,B2519&lt;Eingaben!$B$24),OR(B2519&gt;=Eingaben!$B$23,B2519&lt;Eingaben!$B$24))),"HEAT","STANDARD"))</f>
        <v>GO</v>
      </c>
      <c r="E2519" s="9"/>
      <c r="F2519" t="str">
        <f>IF(E2519="",D2519,E2519)</f>
        <v>GO</v>
      </c>
      <c r="G2519" t="str">
        <f>INDEX(Netzzeiten!$B$6:$B$29,HOUR(B2519)+1)</f>
        <v>NT</v>
      </c>
      <c r="H2519" s="6">
        <f>IF(F2519="GO",Eingaben!$B$11,IF(F2519="STANDARD",Eingaben!$B$12,IF(AND(F2519="HEAT",ISNUMBER(Eingaben!$B$13)),Eingaben!$B$13,"")))</f>
        <v>15.0654</v>
      </c>
      <c r="I2519" s="6">
        <f>INDEX(Netzzeiten!$C$6:$C$29,HOUR(B2519)+1)</f>
        <v>1.64</v>
      </c>
      <c r="J2519" t="str">
        <f>IF(C2519="","FEHLT",IF(NOT(ISNUMBER(C2519)),"MESSWERT UNGUELTIG",IF(C2519&lt;0,"MESSWERT UNGUELTIG",IF(H2519="","TARIFPREIS FEHLT","OK"))))</f>
        <v>FEHLT</v>
      </c>
      <c r="K2519" s="7">
        <f>IF(J2519&lt;&gt;"OK","",C2519*I2519/100)</f>
        <v/>
      </c>
    </row>
    <row r="2520" spans="1:11">
      <c r="A2520" s="14">
        <v>46169</v>
      </c>
      <c r="B2520" s="15">
        <v>0.1875</v>
      </c>
      <c r="C2520" s="5">
        <f>IF('96 Werte'!T32="","",'96 Werte'!T32)</f>
        <v/>
      </c>
      <c r="D2520" t="str">
        <f>IF(IF(Eingaben!$B$21&lt;Eingaben!$B$22,AND(B2520&gt;=Eingaben!$B$21,B2520&lt;Eingaben!$B$22),OR(B2520&gt;=Eingaben!$B$21,B2520&lt;Eingaben!$B$22)),"GO",IF(AND(ISNUMBER(Eingaben!$B$23),ISNUMBER(Eingaben!$B$24),IF(Eingaben!$B$23&lt;Eingaben!$B$24,AND(B2520&gt;=Eingaben!$B$23,B2520&lt;Eingaben!$B$24),OR(B2520&gt;=Eingaben!$B$23,B2520&lt;Eingaben!$B$24))),"HEAT","STANDARD"))</f>
        <v>GO</v>
      </c>
      <c r="E2520" s="9"/>
      <c r="F2520" t="str">
        <f>IF(E2520="",D2520,E2520)</f>
        <v>GO</v>
      </c>
      <c r="G2520" t="str">
        <f>INDEX(Netzzeiten!$B$6:$B$29,HOUR(B2520)+1)</f>
        <v>NT</v>
      </c>
      <c r="H2520" s="6">
        <f>IF(F2520="GO",Eingaben!$B$11,IF(F2520="STANDARD",Eingaben!$B$12,IF(AND(F2520="HEAT",ISNUMBER(Eingaben!$B$13)),Eingaben!$B$13,"")))</f>
        <v>15.0654</v>
      </c>
      <c r="I2520" s="6">
        <f>INDEX(Netzzeiten!$C$6:$C$29,HOUR(B2520)+1)</f>
        <v>1.64</v>
      </c>
      <c r="J2520" t="str">
        <f>IF(C2520="","FEHLT",IF(NOT(ISNUMBER(C2520)),"MESSWERT UNGUELTIG",IF(C2520&lt;0,"MESSWERT UNGUELTIG",IF(H2520="","TARIFPREIS FEHLT","OK"))))</f>
        <v>FEHLT</v>
      </c>
      <c r="K2520" s="7">
        <f>IF(J2520&lt;&gt;"OK","",C2520*I2520/100)</f>
        <v/>
      </c>
    </row>
    <row r="2521" spans="1:11">
      <c r="A2521" s="14">
        <v>46169</v>
      </c>
      <c r="B2521" s="15">
        <v>0.1979166666666667</v>
      </c>
      <c r="C2521" s="5">
        <f>IF('96 Werte'!U32="","",'96 Werte'!U32)</f>
        <v/>
      </c>
      <c r="D2521" t="str">
        <f>IF(IF(Eingaben!$B$21&lt;Eingaben!$B$22,AND(B2521&gt;=Eingaben!$B$21,B2521&lt;Eingaben!$B$22),OR(B2521&gt;=Eingaben!$B$21,B2521&lt;Eingaben!$B$22)),"GO",IF(AND(ISNUMBER(Eingaben!$B$23),ISNUMBER(Eingaben!$B$24),IF(Eingaben!$B$23&lt;Eingaben!$B$24,AND(B2521&gt;=Eingaben!$B$23,B2521&lt;Eingaben!$B$24),OR(B2521&gt;=Eingaben!$B$23,B2521&lt;Eingaben!$B$24))),"HEAT","STANDARD"))</f>
        <v>GO</v>
      </c>
      <c r="E2521" s="9"/>
      <c r="F2521" t="str">
        <f>IF(E2521="",D2521,E2521)</f>
        <v>GO</v>
      </c>
      <c r="G2521" t="str">
        <f>INDEX(Netzzeiten!$B$6:$B$29,HOUR(B2521)+1)</f>
        <v>NT</v>
      </c>
      <c r="H2521" s="6">
        <f>IF(F2521="GO",Eingaben!$B$11,IF(F2521="STANDARD",Eingaben!$B$12,IF(AND(F2521="HEAT",ISNUMBER(Eingaben!$B$13)),Eingaben!$B$13,"")))</f>
        <v>15.0654</v>
      </c>
      <c r="I2521" s="6">
        <f>INDEX(Netzzeiten!$C$6:$C$29,HOUR(B2521)+1)</f>
        <v>1.64</v>
      </c>
      <c r="J2521" t="str">
        <f>IF(C2521="","FEHLT",IF(NOT(ISNUMBER(C2521)),"MESSWERT UNGUELTIG",IF(C2521&lt;0,"MESSWERT UNGUELTIG",IF(H2521="","TARIFPREIS FEHLT","OK"))))</f>
        <v>FEHLT</v>
      </c>
      <c r="K2521" s="7">
        <f>IF(J2521&lt;&gt;"OK","",C2521*I2521/100)</f>
        <v/>
      </c>
    </row>
    <row r="2522" spans="1:11">
      <c r="A2522" s="14">
        <v>46169</v>
      </c>
      <c r="B2522" s="15">
        <v>0.2083333333333333</v>
      </c>
      <c r="C2522" s="5">
        <f>IF('96 Werte'!V32="","",'96 Werte'!V32)</f>
        <v/>
      </c>
      <c r="D2522" t="str">
        <f>IF(IF(Eingaben!$B$21&lt;Eingaben!$B$22,AND(B2522&gt;=Eingaben!$B$21,B2522&lt;Eingaben!$B$22),OR(B2522&gt;=Eingaben!$B$21,B2522&lt;Eingaben!$B$22)),"GO",IF(AND(ISNUMBER(Eingaben!$B$23),ISNUMBER(Eingaben!$B$24),IF(Eingaben!$B$23&lt;Eingaben!$B$24,AND(B2522&gt;=Eingaben!$B$23,B2522&lt;Eingaben!$B$24),OR(B2522&gt;=Eingaben!$B$23,B2522&lt;Eingaben!$B$24))),"HEAT","STANDARD"))</f>
        <v>STANDARD</v>
      </c>
      <c r="E2522" s="9"/>
      <c r="F2522" t="str">
        <f>IF(E2522="",D2522,E2522)</f>
        <v>STANDARD</v>
      </c>
      <c r="G2522" t="str">
        <f>INDEX(Netzzeiten!$B$6:$B$29,HOUR(B2522)+1)</f>
        <v>NT</v>
      </c>
      <c r="H2522" s="6">
        <f>IF(F2522="GO",Eingaben!$B$11,IF(F2522="STANDARD",Eingaben!$B$12,IF(AND(F2522="HEAT",ISNUMBER(Eingaben!$B$13)),Eingaben!$B$13,"")))</f>
        <v>28.2744</v>
      </c>
      <c r="I2522" s="6">
        <f>INDEX(Netzzeiten!$C$6:$C$29,HOUR(B2522)+1)</f>
        <v>1.64</v>
      </c>
      <c r="J2522" t="str">
        <f>IF(C2522="","FEHLT",IF(NOT(ISNUMBER(C2522)),"MESSWERT UNGUELTIG",IF(C2522&lt;0,"MESSWERT UNGUELTIG",IF(H2522="","TARIFPREIS FEHLT","OK"))))</f>
        <v>FEHLT</v>
      </c>
      <c r="K2522" s="7">
        <f>IF(J2522&lt;&gt;"OK","",C2522*I2522/100)</f>
        <v/>
      </c>
    </row>
    <row r="2523" spans="1:11">
      <c r="A2523" s="14">
        <v>46169</v>
      </c>
      <c r="B2523" s="15">
        <v>0.21875</v>
      </c>
      <c r="C2523" s="5">
        <f>IF('96 Werte'!W32="","",'96 Werte'!W32)</f>
        <v/>
      </c>
      <c r="D2523" t="str">
        <f>IF(IF(Eingaben!$B$21&lt;Eingaben!$B$22,AND(B2523&gt;=Eingaben!$B$21,B2523&lt;Eingaben!$B$22),OR(B2523&gt;=Eingaben!$B$21,B2523&lt;Eingaben!$B$22)),"GO",IF(AND(ISNUMBER(Eingaben!$B$23),ISNUMBER(Eingaben!$B$24),IF(Eingaben!$B$23&lt;Eingaben!$B$24,AND(B2523&gt;=Eingaben!$B$23,B2523&lt;Eingaben!$B$24),OR(B2523&gt;=Eingaben!$B$23,B2523&lt;Eingaben!$B$24))),"HEAT","STANDARD"))</f>
        <v>STANDARD</v>
      </c>
      <c r="E2523" s="9"/>
      <c r="F2523" t="str">
        <f>IF(E2523="",D2523,E2523)</f>
        <v>STANDARD</v>
      </c>
      <c r="G2523" t="str">
        <f>INDEX(Netzzeiten!$B$6:$B$29,HOUR(B2523)+1)</f>
        <v>NT</v>
      </c>
      <c r="H2523" s="6">
        <f>IF(F2523="GO",Eingaben!$B$11,IF(F2523="STANDARD",Eingaben!$B$12,IF(AND(F2523="HEAT",ISNUMBER(Eingaben!$B$13)),Eingaben!$B$13,"")))</f>
        <v>28.2744</v>
      </c>
      <c r="I2523" s="6">
        <f>INDEX(Netzzeiten!$C$6:$C$29,HOUR(B2523)+1)</f>
        <v>1.64</v>
      </c>
      <c r="J2523" t="str">
        <f>IF(C2523="","FEHLT",IF(NOT(ISNUMBER(C2523)),"MESSWERT UNGUELTIG",IF(C2523&lt;0,"MESSWERT UNGUELTIG",IF(H2523="","TARIFPREIS FEHLT","OK"))))</f>
        <v>FEHLT</v>
      </c>
      <c r="K2523" s="7">
        <f>IF(J2523&lt;&gt;"OK","",C2523*I2523/100)</f>
        <v/>
      </c>
    </row>
    <row r="2524" spans="1:11">
      <c r="A2524" s="14">
        <v>46169</v>
      </c>
      <c r="B2524" s="15">
        <v>0.2291666666666667</v>
      </c>
      <c r="C2524" s="5">
        <f>IF('96 Werte'!X32="","",'96 Werte'!X32)</f>
        <v/>
      </c>
      <c r="D2524" t="str">
        <f>IF(IF(Eingaben!$B$21&lt;Eingaben!$B$22,AND(B2524&gt;=Eingaben!$B$21,B2524&lt;Eingaben!$B$22),OR(B2524&gt;=Eingaben!$B$21,B2524&lt;Eingaben!$B$22)),"GO",IF(AND(ISNUMBER(Eingaben!$B$23),ISNUMBER(Eingaben!$B$24),IF(Eingaben!$B$23&lt;Eingaben!$B$24,AND(B2524&gt;=Eingaben!$B$23,B2524&lt;Eingaben!$B$24),OR(B2524&gt;=Eingaben!$B$23,B2524&lt;Eingaben!$B$24))),"HEAT","STANDARD"))</f>
        <v>STANDARD</v>
      </c>
      <c r="E2524" s="9"/>
      <c r="F2524" t="str">
        <f>IF(E2524="",D2524,E2524)</f>
        <v>STANDARD</v>
      </c>
      <c r="G2524" t="str">
        <f>INDEX(Netzzeiten!$B$6:$B$29,HOUR(B2524)+1)</f>
        <v>NT</v>
      </c>
      <c r="H2524" s="6">
        <f>IF(F2524="GO",Eingaben!$B$11,IF(F2524="STANDARD",Eingaben!$B$12,IF(AND(F2524="HEAT",ISNUMBER(Eingaben!$B$13)),Eingaben!$B$13,"")))</f>
        <v>28.2744</v>
      </c>
      <c r="I2524" s="6">
        <f>INDEX(Netzzeiten!$C$6:$C$29,HOUR(B2524)+1)</f>
        <v>1.64</v>
      </c>
      <c r="J2524" t="str">
        <f>IF(C2524="","FEHLT",IF(NOT(ISNUMBER(C2524)),"MESSWERT UNGUELTIG",IF(C2524&lt;0,"MESSWERT UNGUELTIG",IF(H2524="","TARIFPREIS FEHLT","OK"))))</f>
        <v>FEHLT</v>
      </c>
      <c r="K2524" s="7">
        <f>IF(J2524&lt;&gt;"OK","",C2524*I2524/100)</f>
        <v/>
      </c>
    </row>
    <row r="2525" spans="1:11">
      <c r="A2525" s="14">
        <v>46169</v>
      </c>
      <c r="B2525" s="15">
        <v>0.2395833333333333</v>
      </c>
      <c r="C2525" s="5">
        <f>IF('96 Werte'!Y32="","",'96 Werte'!Y32)</f>
        <v/>
      </c>
      <c r="D2525" t="str">
        <f>IF(IF(Eingaben!$B$21&lt;Eingaben!$B$22,AND(B2525&gt;=Eingaben!$B$21,B2525&lt;Eingaben!$B$22),OR(B2525&gt;=Eingaben!$B$21,B2525&lt;Eingaben!$B$22)),"GO",IF(AND(ISNUMBER(Eingaben!$B$23),ISNUMBER(Eingaben!$B$24),IF(Eingaben!$B$23&lt;Eingaben!$B$24,AND(B2525&gt;=Eingaben!$B$23,B2525&lt;Eingaben!$B$24),OR(B2525&gt;=Eingaben!$B$23,B2525&lt;Eingaben!$B$24))),"HEAT","STANDARD"))</f>
        <v>STANDARD</v>
      </c>
      <c r="E2525" s="9"/>
      <c r="F2525" t="str">
        <f>IF(E2525="",D2525,E2525)</f>
        <v>STANDARD</v>
      </c>
      <c r="G2525" t="str">
        <f>INDEX(Netzzeiten!$B$6:$B$29,HOUR(B2525)+1)</f>
        <v>NT</v>
      </c>
      <c r="H2525" s="6">
        <f>IF(F2525="GO",Eingaben!$B$11,IF(F2525="STANDARD",Eingaben!$B$12,IF(AND(F2525="HEAT",ISNUMBER(Eingaben!$B$13)),Eingaben!$B$13,"")))</f>
        <v>28.2744</v>
      </c>
      <c r="I2525" s="6">
        <f>INDEX(Netzzeiten!$C$6:$C$29,HOUR(B2525)+1)</f>
        <v>1.64</v>
      </c>
      <c r="J2525" t="str">
        <f>IF(C2525="","FEHLT",IF(NOT(ISNUMBER(C2525)),"MESSWERT UNGUELTIG",IF(C2525&lt;0,"MESSWERT UNGUELTIG",IF(H2525="","TARIFPREIS FEHLT","OK"))))</f>
        <v>FEHLT</v>
      </c>
      <c r="K2525" s="7">
        <f>IF(J2525&lt;&gt;"OK","",C2525*I2525/100)</f>
        <v/>
      </c>
    </row>
    <row r="2526" spans="1:11">
      <c r="A2526" s="14">
        <v>46169</v>
      </c>
      <c r="B2526" s="15">
        <v>0.25</v>
      </c>
      <c r="C2526" s="5">
        <f>IF('96 Werte'!Z32="","",'96 Werte'!Z32)</f>
        <v/>
      </c>
      <c r="D2526" t="str">
        <f>IF(IF(Eingaben!$B$21&lt;Eingaben!$B$22,AND(B2526&gt;=Eingaben!$B$21,B2526&lt;Eingaben!$B$22),OR(B2526&gt;=Eingaben!$B$21,B2526&lt;Eingaben!$B$22)),"GO",IF(AND(ISNUMBER(Eingaben!$B$23),ISNUMBER(Eingaben!$B$24),IF(Eingaben!$B$23&lt;Eingaben!$B$24,AND(B2526&gt;=Eingaben!$B$23,B2526&lt;Eingaben!$B$24),OR(B2526&gt;=Eingaben!$B$23,B2526&lt;Eingaben!$B$24))),"HEAT","STANDARD"))</f>
        <v>STANDARD</v>
      </c>
      <c r="E2526" s="9"/>
      <c r="F2526" t="str">
        <f>IF(E2526="",D2526,E2526)</f>
        <v>STANDARD</v>
      </c>
      <c r="G2526" t="str">
        <f>INDEX(Netzzeiten!$B$6:$B$29,HOUR(B2526)+1)</f>
        <v>ST</v>
      </c>
      <c r="H2526" s="6">
        <f>IF(F2526="GO",Eingaben!$B$11,IF(F2526="STANDARD",Eingaben!$B$12,IF(AND(F2526="HEAT",ISNUMBER(Eingaben!$B$13)),Eingaben!$B$13,"")))</f>
        <v>28.2744</v>
      </c>
      <c r="I2526" s="6">
        <f>INDEX(Netzzeiten!$C$6:$C$29,HOUR(B2526)+1)</f>
        <v>5.48</v>
      </c>
      <c r="J2526" t="str">
        <f>IF(C2526="","FEHLT",IF(NOT(ISNUMBER(C2526)),"MESSWERT UNGUELTIG",IF(C2526&lt;0,"MESSWERT UNGUELTIG",IF(H2526="","TARIFPREIS FEHLT","OK"))))</f>
        <v>FEHLT</v>
      </c>
      <c r="K2526" s="7">
        <f>IF(J2526&lt;&gt;"OK","",C2526*I2526/100)</f>
        <v/>
      </c>
    </row>
    <row r="2527" spans="1:11">
      <c r="A2527" s="14">
        <v>46169</v>
      </c>
      <c r="B2527" s="15">
        <v>0.2604166666666667</v>
      </c>
      <c r="C2527" s="5">
        <f>IF('96 Werte'!AA32="","",'96 Werte'!AA32)</f>
        <v/>
      </c>
      <c r="D2527" t="str">
        <f>IF(IF(Eingaben!$B$21&lt;Eingaben!$B$22,AND(B2527&gt;=Eingaben!$B$21,B2527&lt;Eingaben!$B$22),OR(B2527&gt;=Eingaben!$B$21,B2527&lt;Eingaben!$B$22)),"GO",IF(AND(ISNUMBER(Eingaben!$B$23),ISNUMBER(Eingaben!$B$24),IF(Eingaben!$B$23&lt;Eingaben!$B$24,AND(B2527&gt;=Eingaben!$B$23,B2527&lt;Eingaben!$B$24),OR(B2527&gt;=Eingaben!$B$23,B2527&lt;Eingaben!$B$24))),"HEAT","STANDARD"))</f>
        <v>STANDARD</v>
      </c>
      <c r="E2527" s="9"/>
      <c r="F2527" t="str">
        <f>IF(E2527="",D2527,E2527)</f>
        <v>STANDARD</v>
      </c>
      <c r="G2527" t="str">
        <f>INDEX(Netzzeiten!$B$6:$B$29,HOUR(B2527)+1)</f>
        <v>ST</v>
      </c>
      <c r="H2527" s="6">
        <f>IF(F2527="GO",Eingaben!$B$11,IF(F2527="STANDARD",Eingaben!$B$12,IF(AND(F2527="HEAT",ISNUMBER(Eingaben!$B$13)),Eingaben!$B$13,"")))</f>
        <v>28.2744</v>
      </c>
      <c r="I2527" s="6">
        <f>INDEX(Netzzeiten!$C$6:$C$29,HOUR(B2527)+1)</f>
        <v>5.48</v>
      </c>
      <c r="J2527" t="str">
        <f>IF(C2527="","FEHLT",IF(NOT(ISNUMBER(C2527)),"MESSWERT UNGUELTIG",IF(C2527&lt;0,"MESSWERT UNGUELTIG",IF(H2527="","TARIFPREIS FEHLT","OK"))))</f>
        <v>FEHLT</v>
      </c>
      <c r="K2527" s="7">
        <f>IF(J2527&lt;&gt;"OK","",C2527*I2527/100)</f>
        <v/>
      </c>
    </row>
    <row r="2528" spans="1:11">
      <c r="A2528" s="14">
        <v>46169</v>
      </c>
      <c r="B2528" s="15">
        <v>0.2708333333333333</v>
      </c>
      <c r="C2528" s="5">
        <f>IF('96 Werte'!AB32="","",'96 Werte'!AB32)</f>
        <v/>
      </c>
      <c r="D2528" t="str">
        <f>IF(IF(Eingaben!$B$21&lt;Eingaben!$B$22,AND(B2528&gt;=Eingaben!$B$21,B2528&lt;Eingaben!$B$22),OR(B2528&gt;=Eingaben!$B$21,B2528&lt;Eingaben!$B$22)),"GO",IF(AND(ISNUMBER(Eingaben!$B$23),ISNUMBER(Eingaben!$B$24),IF(Eingaben!$B$23&lt;Eingaben!$B$24,AND(B2528&gt;=Eingaben!$B$23,B2528&lt;Eingaben!$B$24),OR(B2528&gt;=Eingaben!$B$23,B2528&lt;Eingaben!$B$24))),"HEAT","STANDARD"))</f>
        <v>STANDARD</v>
      </c>
      <c r="E2528" s="9"/>
      <c r="F2528" t="str">
        <f>IF(E2528="",D2528,E2528)</f>
        <v>STANDARD</v>
      </c>
      <c r="G2528" t="str">
        <f>INDEX(Netzzeiten!$B$6:$B$29,HOUR(B2528)+1)</f>
        <v>ST</v>
      </c>
      <c r="H2528" s="6">
        <f>IF(F2528="GO",Eingaben!$B$11,IF(F2528="STANDARD",Eingaben!$B$12,IF(AND(F2528="HEAT",ISNUMBER(Eingaben!$B$13)),Eingaben!$B$13,"")))</f>
        <v>28.2744</v>
      </c>
      <c r="I2528" s="6">
        <f>INDEX(Netzzeiten!$C$6:$C$29,HOUR(B2528)+1)</f>
        <v>5.48</v>
      </c>
      <c r="J2528" t="str">
        <f>IF(C2528="","FEHLT",IF(NOT(ISNUMBER(C2528)),"MESSWERT UNGUELTIG",IF(C2528&lt;0,"MESSWERT UNGUELTIG",IF(H2528="","TARIFPREIS FEHLT","OK"))))</f>
        <v>FEHLT</v>
      </c>
      <c r="K2528" s="7">
        <f>IF(J2528&lt;&gt;"OK","",C2528*I2528/100)</f>
        <v/>
      </c>
    </row>
    <row r="2529" spans="1:11">
      <c r="A2529" s="14">
        <v>46169</v>
      </c>
      <c r="B2529" s="15">
        <v>0.28125</v>
      </c>
      <c r="C2529" s="5">
        <f>IF('96 Werte'!AC32="","",'96 Werte'!AC32)</f>
        <v/>
      </c>
      <c r="D2529" t="str">
        <f>IF(IF(Eingaben!$B$21&lt;Eingaben!$B$22,AND(B2529&gt;=Eingaben!$B$21,B2529&lt;Eingaben!$B$22),OR(B2529&gt;=Eingaben!$B$21,B2529&lt;Eingaben!$B$22)),"GO",IF(AND(ISNUMBER(Eingaben!$B$23),ISNUMBER(Eingaben!$B$24),IF(Eingaben!$B$23&lt;Eingaben!$B$24,AND(B2529&gt;=Eingaben!$B$23,B2529&lt;Eingaben!$B$24),OR(B2529&gt;=Eingaben!$B$23,B2529&lt;Eingaben!$B$24))),"HEAT","STANDARD"))</f>
        <v>STANDARD</v>
      </c>
      <c r="E2529" s="9"/>
      <c r="F2529" t="str">
        <f>IF(E2529="",D2529,E2529)</f>
        <v>STANDARD</v>
      </c>
      <c r="G2529" t="str">
        <f>INDEX(Netzzeiten!$B$6:$B$29,HOUR(B2529)+1)</f>
        <v>ST</v>
      </c>
      <c r="H2529" s="6">
        <f>IF(F2529="GO",Eingaben!$B$11,IF(F2529="STANDARD",Eingaben!$B$12,IF(AND(F2529="HEAT",ISNUMBER(Eingaben!$B$13)),Eingaben!$B$13,"")))</f>
        <v>28.2744</v>
      </c>
      <c r="I2529" s="6">
        <f>INDEX(Netzzeiten!$C$6:$C$29,HOUR(B2529)+1)</f>
        <v>5.48</v>
      </c>
      <c r="J2529" t="str">
        <f>IF(C2529="","FEHLT",IF(NOT(ISNUMBER(C2529)),"MESSWERT UNGUELTIG",IF(C2529&lt;0,"MESSWERT UNGUELTIG",IF(H2529="","TARIFPREIS FEHLT","OK"))))</f>
        <v>FEHLT</v>
      </c>
      <c r="K2529" s="7">
        <f>IF(J2529&lt;&gt;"OK","",C2529*I2529/100)</f>
        <v/>
      </c>
    </row>
    <row r="2530" spans="1:11">
      <c r="A2530" s="14">
        <v>46169</v>
      </c>
      <c r="B2530" s="15">
        <v>0.2916666666666667</v>
      </c>
      <c r="C2530" s="5">
        <f>IF('96 Werte'!AD32="","",'96 Werte'!AD32)</f>
        <v/>
      </c>
      <c r="D2530" t="str">
        <f>IF(IF(Eingaben!$B$21&lt;Eingaben!$B$22,AND(B2530&gt;=Eingaben!$B$21,B2530&lt;Eingaben!$B$22),OR(B2530&gt;=Eingaben!$B$21,B2530&lt;Eingaben!$B$22)),"GO",IF(AND(ISNUMBER(Eingaben!$B$23),ISNUMBER(Eingaben!$B$24),IF(Eingaben!$B$23&lt;Eingaben!$B$24,AND(B2530&gt;=Eingaben!$B$23,B2530&lt;Eingaben!$B$24),OR(B2530&gt;=Eingaben!$B$23,B2530&lt;Eingaben!$B$24))),"HEAT","STANDARD"))</f>
        <v>STANDARD</v>
      </c>
      <c r="E2530" s="9"/>
      <c r="F2530" t="str">
        <f>IF(E2530="",D2530,E2530)</f>
        <v>STANDARD</v>
      </c>
      <c r="G2530" t="str">
        <f>INDEX(Netzzeiten!$B$6:$B$29,HOUR(B2530)+1)</f>
        <v>ST</v>
      </c>
      <c r="H2530" s="6">
        <f>IF(F2530="GO",Eingaben!$B$11,IF(F2530="STANDARD",Eingaben!$B$12,IF(AND(F2530="HEAT",ISNUMBER(Eingaben!$B$13)),Eingaben!$B$13,"")))</f>
        <v>28.2744</v>
      </c>
      <c r="I2530" s="6">
        <f>INDEX(Netzzeiten!$C$6:$C$29,HOUR(B2530)+1)</f>
        <v>5.48</v>
      </c>
      <c r="J2530" t="str">
        <f>IF(C2530="","FEHLT",IF(NOT(ISNUMBER(C2530)),"MESSWERT UNGUELTIG",IF(C2530&lt;0,"MESSWERT UNGUELTIG",IF(H2530="","TARIFPREIS FEHLT","OK"))))</f>
        <v>FEHLT</v>
      </c>
      <c r="K2530" s="7">
        <f>IF(J2530&lt;&gt;"OK","",C2530*I2530/100)</f>
        <v/>
      </c>
    </row>
    <row r="2531" spans="1:11">
      <c r="A2531" s="14">
        <v>46169</v>
      </c>
      <c r="B2531" s="15">
        <v>0.3020833333333333</v>
      </c>
      <c r="C2531" s="5">
        <f>IF('96 Werte'!AE32="","",'96 Werte'!AE32)</f>
        <v/>
      </c>
      <c r="D2531" t="str">
        <f>IF(IF(Eingaben!$B$21&lt;Eingaben!$B$22,AND(B2531&gt;=Eingaben!$B$21,B2531&lt;Eingaben!$B$22),OR(B2531&gt;=Eingaben!$B$21,B2531&lt;Eingaben!$B$22)),"GO",IF(AND(ISNUMBER(Eingaben!$B$23),ISNUMBER(Eingaben!$B$24),IF(Eingaben!$B$23&lt;Eingaben!$B$24,AND(B2531&gt;=Eingaben!$B$23,B2531&lt;Eingaben!$B$24),OR(B2531&gt;=Eingaben!$B$23,B2531&lt;Eingaben!$B$24))),"HEAT","STANDARD"))</f>
        <v>STANDARD</v>
      </c>
      <c r="E2531" s="9"/>
      <c r="F2531" t="str">
        <f>IF(E2531="",D2531,E2531)</f>
        <v>STANDARD</v>
      </c>
      <c r="G2531" t="str">
        <f>INDEX(Netzzeiten!$B$6:$B$29,HOUR(B2531)+1)</f>
        <v>ST</v>
      </c>
      <c r="H2531" s="6">
        <f>IF(F2531="GO",Eingaben!$B$11,IF(F2531="STANDARD",Eingaben!$B$12,IF(AND(F2531="HEAT",ISNUMBER(Eingaben!$B$13)),Eingaben!$B$13,"")))</f>
        <v>28.2744</v>
      </c>
      <c r="I2531" s="6">
        <f>INDEX(Netzzeiten!$C$6:$C$29,HOUR(B2531)+1)</f>
        <v>5.48</v>
      </c>
      <c r="J2531" t="str">
        <f>IF(C2531="","FEHLT",IF(NOT(ISNUMBER(C2531)),"MESSWERT UNGUELTIG",IF(C2531&lt;0,"MESSWERT UNGUELTIG",IF(H2531="","TARIFPREIS FEHLT","OK"))))</f>
        <v>FEHLT</v>
      </c>
      <c r="K2531" s="7">
        <f>IF(J2531&lt;&gt;"OK","",C2531*I2531/100)</f>
        <v/>
      </c>
    </row>
    <row r="2532" spans="1:11">
      <c r="A2532" s="14">
        <v>46169</v>
      </c>
      <c r="B2532" s="15">
        <v>0.3125</v>
      </c>
      <c r="C2532" s="5">
        <f>IF('96 Werte'!AF32="","",'96 Werte'!AF32)</f>
        <v/>
      </c>
      <c r="D2532" t="str">
        <f>IF(IF(Eingaben!$B$21&lt;Eingaben!$B$22,AND(B2532&gt;=Eingaben!$B$21,B2532&lt;Eingaben!$B$22),OR(B2532&gt;=Eingaben!$B$21,B2532&lt;Eingaben!$B$22)),"GO",IF(AND(ISNUMBER(Eingaben!$B$23),ISNUMBER(Eingaben!$B$24),IF(Eingaben!$B$23&lt;Eingaben!$B$24,AND(B2532&gt;=Eingaben!$B$23,B2532&lt;Eingaben!$B$24),OR(B2532&gt;=Eingaben!$B$23,B2532&lt;Eingaben!$B$24))),"HEAT","STANDARD"))</f>
        <v>STANDARD</v>
      </c>
      <c r="E2532" s="9"/>
      <c r="F2532" t="str">
        <f>IF(E2532="",D2532,E2532)</f>
        <v>STANDARD</v>
      </c>
      <c r="G2532" t="str">
        <f>INDEX(Netzzeiten!$B$6:$B$29,HOUR(B2532)+1)</f>
        <v>ST</v>
      </c>
      <c r="H2532" s="6">
        <f>IF(F2532="GO",Eingaben!$B$11,IF(F2532="STANDARD",Eingaben!$B$12,IF(AND(F2532="HEAT",ISNUMBER(Eingaben!$B$13)),Eingaben!$B$13,"")))</f>
        <v>28.2744</v>
      </c>
      <c r="I2532" s="6">
        <f>INDEX(Netzzeiten!$C$6:$C$29,HOUR(B2532)+1)</f>
        <v>5.48</v>
      </c>
      <c r="J2532" t="str">
        <f>IF(C2532="","FEHLT",IF(NOT(ISNUMBER(C2532)),"MESSWERT UNGUELTIG",IF(C2532&lt;0,"MESSWERT UNGUELTIG",IF(H2532="","TARIFPREIS FEHLT","OK"))))</f>
        <v>FEHLT</v>
      </c>
      <c r="K2532" s="7">
        <f>IF(J2532&lt;&gt;"OK","",C2532*I2532/100)</f>
        <v/>
      </c>
    </row>
    <row r="2533" spans="1:11">
      <c r="A2533" s="14">
        <v>46169</v>
      </c>
      <c r="B2533" s="15">
        <v>0.3229166666666667</v>
      </c>
      <c r="C2533" s="5">
        <f>IF('96 Werte'!AG32="","",'96 Werte'!AG32)</f>
        <v/>
      </c>
      <c r="D2533" t="str">
        <f>IF(IF(Eingaben!$B$21&lt;Eingaben!$B$22,AND(B2533&gt;=Eingaben!$B$21,B2533&lt;Eingaben!$B$22),OR(B2533&gt;=Eingaben!$B$21,B2533&lt;Eingaben!$B$22)),"GO",IF(AND(ISNUMBER(Eingaben!$B$23),ISNUMBER(Eingaben!$B$24),IF(Eingaben!$B$23&lt;Eingaben!$B$24,AND(B2533&gt;=Eingaben!$B$23,B2533&lt;Eingaben!$B$24),OR(B2533&gt;=Eingaben!$B$23,B2533&lt;Eingaben!$B$24))),"HEAT","STANDARD"))</f>
        <v>STANDARD</v>
      </c>
      <c r="E2533" s="9"/>
      <c r="F2533" t="str">
        <f>IF(E2533="",D2533,E2533)</f>
        <v>STANDARD</v>
      </c>
      <c r="G2533" t="str">
        <f>INDEX(Netzzeiten!$B$6:$B$29,HOUR(B2533)+1)</f>
        <v>ST</v>
      </c>
      <c r="H2533" s="6">
        <f>IF(F2533="GO",Eingaben!$B$11,IF(F2533="STANDARD",Eingaben!$B$12,IF(AND(F2533="HEAT",ISNUMBER(Eingaben!$B$13)),Eingaben!$B$13,"")))</f>
        <v>28.2744</v>
      </c>
      <c r="I2533" s="6">
        <f>INDEX(Netzzeiten!$C$6:$C$29,HOUR(B2533)+1)</f>
        <v>5.48</v>
      </c>
      <c r="J2533" t="str">
        <f>IF(C2533="","FEHLT",IF(NOT(ISNUMBER(C2533)),"MESSWERT UNGUELTIG",IF(C2533&lt;0,"MESSWERT UNGUELTIG",IF(H2533="","TARIFPREIS FEHLT","OK"))))</f>
        <v>FEHLT</v>
      </c>
      <c r="K2533" s="7">
        <f>IF(J2533&lt;&gt;"OK","",C2533*I2533/100)</f>
        <v/>
      </c>
    </row>
    <row r="2534" spans="1:11">
      <c r="A2534" s="14">
        <v>46169</v>
      </c>
      <c r="B2534" s="15">
        <v>0.3333333333333333</v>
      </c>
      <c r="C2534" s="5">
        <f>IF('96 Werte'!AH32="","",'96 Werte'!AH32)</f>
        <v/>
      </c>
      <c r="D2534" t="str">
        <f>IF(IF(Eingaben!$B$21&lt;Eingaben!$B$22,AND(B2534&gt;=Eingaben!$B$21,B2534&lt;Eingaben!$B$22),OR(B2534&gt;=Eingaben!$B$21,B2534&lt;Eingaben!$B$22)),"GO",IF(AND(ISNUMBER(Eingaben!$B$23),ISNUMBER(Eingaben!$B$24),IF(Eingaben!$B$23&lt;Eingaben!$B$24,AND(B2534&gt;=Eingaben!$B$23,B2534&lt;Eingaben!$B$24),OR(B2534&gt;=Eingaben!$B$23,B2534&lt;Eingaben!$B$24))),"HEAT","STANDARD"))</f>
        <v>STANDARD</v>
      </c>
      <c r="E2534" s="9"/>
      <c r="F2534" t="str">
        <f>IF(E2534="",D2534,E2534)</f>
        <v>STANDARD</v>
      </c>
      <c r="G2534" t="str">
        <f>INDEX(Netzzeiten!$B$6:$B$29,HOUR(B2534)+1)</f>
        <v>ST</v>
      </c>
      <c r="H2534" s="6">
        <f>IF(F2534="GO",Eingaben!$B$11,IF(F2534="STANDARD",Eingaben!$B$12,IF(AND(F2534="HEAT",ISNUMBER(Eingaben!$B$13)),Eingaben!$B$13,"")))</f>
        <v>28.2744</v>
      </c>
      <c r="I2534" s="6">
        <f>INDEX(Netzzeiten!$C$6:$C$29,HOUR(B2534)+1)</f>
        <v>5.48</v>
      </c>
      <c r="J2534" t="str">
        <f>IF(C2534="","FEHLT",IF(NOT(ISNUMBER(C2534)),"MESSWERT UNGUELTIG",IF(C2534&lt;0,"MESSWERT UNGUELTIG",IF(H2534="","TARIFPREIS FEHLT","OK"))))</f>
        <v>FEHLT</v>
      </c>
      <c r="K2534" s="7">
        <f>IF(J2534&lt;&gt;"OK","",C2534*I2534/100)</f>
        <v/>
      </c>
    </row>
    <row r="2535" spans="1:11">
      <c r="A2535" s="14">
        <v>46169</v>
      </c>
      <c r="B2535" s="15">
        <v>0.34375</v>
      </c>
      <c r="C2535" s="5">
        <f>IF('96 Werte'!AI32="","",'96 Werte'!AI32)</f>
        <v/>
      </c>
      <c r="D2535" t="str">
        <f>IF(IF(Eingaben!$B$21&lt;Eingaben!$B$22,AND(B2535&gt;=Eingaben!$B$21,B2535&lt;Eingaben!$B$22),OR(B2535&gt;=Eingaben!$B$21,B2535&lt;Eingaben!$B$22)),"GO",IF(AND(ISNUMBER(Eingaben!$B$23),ISNUMBER(Eingaben!$B$24),IF(Eingaben!$B$23&lt;Eingaben!$B$24,AND(B2535&gt;=Eingaben!$B$23,B2535&lt;Eingaben!$B$24),OR(B2535&gt;=Eingaben!$B$23,B2535&lt;Eingaben!$B$24))),"HEAT","STANDARD"))</f>
        <v>STANDARD</v>
      </c>
      <c r="E2535" s="9"/>
      <c r="F2535" t="str">
        <f>IF(E2535="",D2535,E2535)</f>
        <v>STANDARD</v>
      </c>
      <c r="G2535" t="str">
        <f>INDEX(Netzzeiten!$B$6:$B$29,HOUR(B2535)+1)</f>
        <v>ST</v>
      </c>
      <c r="H2535" s="6">
        <f>IF(F2535="GO",Eingaben!$B$11,IF(F2535="STANDARD",Eingaben!$B$12,IF(AND(F2535="HEAT",ISNUMBER(Eingaben!$B$13)),Eingaben!$B$13,"")))</f>
        <v>28.2744</v>
      </c>
      <c r="I2535" s="6">
        <f>INDEX(Netzzeiten!$C$6:$C$29,HOUR(B2535)+1)</f>
        <v>5.48</v>
      </c>
      <c r="J2535" t="str">
        <f>IF(C2535="","FEHLT",IF(NOT(ISNUMBER(C2535)),"MESSWERT UNGUELTIG",IF(C2535&lt;0,"MESSWERT UNGUELTIG",IF(H2535="","TARIFPREIS FEHLT","OK"))))</f>
        <v>FEHLT</v>
      </c>
      <c r="K2535" s="7">
        <f>IF(J2535&lt;&gt;"OK","",C2535*I2535/100)</f>
        <v/>
      </c>
    </row>
    <row r="2536" spans="1:11">
      <c r="A2536" s="14">
        <v>46169</v>
      </c>
      <c r="B2536" s="15">
        <v>0.3541666666666667</v>
      </c>
      <c r="C2536" s="5">
        <f>IF('96 Werte'!AJ32="","",'96 Werte'!AJ32)</f>
        <v/>
      </c>
      <c r="D2536" t="str">
        <f>IF(IF(Eingaben!$B$21&lt;Eingaben!$B$22,AND(B2536&gt;=Eingaben!$B$21,B2536&lt;Eingaben!$B$22),OR(B2536&gt;=Eingaben!$B$21,B2536&lt;Eingaben!$B$22)),"GO",IF(AND(ISNUMBER(Eingaben!$B$23),ISNUMBER(Eingaben!$B$24),IF(Eingaben!$B$23&lt;Eingaben!$B$24,AND(B2536&gt;=Eingaben!$B$23,B2536&lt;Eingaben!$B$24),OR(B2536&gt;=Eingaben!$B$23,B2536&lt;Eingaben!$B$24))),"HEAT","STANDARD"))</f>
        <v>STANDARD</v>
      </c>
      <c r="E2536" s="9"/>
      <c r="F2536" t="str">
        <f>IF(E2536="",D2536,E2536)</f>
        <v>STANDARD</v>
      </c>
      <c r="G2536" t="str">
        <f>INDEX(Netzzeiten!$B$6:$B$29,HOUR(B2536)+1)</f>
        <v>ST</v>
      </c>
      <c r="H2536" s="6">
        <f>IF(F2536="GO",Eingaben!$B$11,IF(F2536="STANDARD",Eingaben!$B$12,IF(AND(F2536="HEAT",ISNUMBER(Eingaben!$B$13)),Eingaben!$B$13,"")))</f>
        <v>28.2744</v>
      </c>
      <c r="I2536" s="6">
        <f>INDEX(Netzzeiten!$C$6:$C$29,HOUR(B2536)+1)</f>
        <v>5.48</v>
      </c>
      <c r="J2536" t="str">
        <f>IF(C2536="","FEHLT",IF(NOT(ISNUMBER(C2536)),"MESSWERT UNGUELTIG",IF(C2536&lt;0,"MESSWERT UNGUELTIG",IF(H2536="","TARIFPREIS FEHLT","OK"))))</f>
        <v>FEHLT</v>
      </c>
      <c r="K2536" s="7">
        <f>IF(J2536&lt;&gt;"OK","",C2536*I2536/100)</f>
        <v/>
      </c>
    </row>
    <row r="2537" spans="1:11">
      <c r="A2537" s="14">
        <v>46169</v>
      </c>
      <c r="B2537" s="15">
        <v>0.3645833333333333</v>
      </c>
      <c r="C2537" s="5">
        <f>IF('96 Werte'!AK32="","",'96 Werte'!AK32)</f>
        <v/>
      </c>
      <c r="D2537" t="str">
        <f>IF(IF(Eingaben!$B$21&lt;Eingaben!$B$22,AND(B2537&gt;=Eingaben!$B$21,B2537&lt;Eingaben!$B$22),OR(B2537&gt;=Eingaben!$B$21,B2537&lt;Eingaben!$B$22)),"GO",IF(AND(ISNUMBER(Eingaben!$B$23),ISNUMBER(Eingaben!$B$24),IF(Eingaben!$B$23&lt;Eingaben!$B$24,AND(B2537&gt;=Eingaben!$B$23,B2537&lt;Eingaben!$B$24),OR(B2537&gt;=Eingaben!$B$23,B2537&lt;Eingaben!$B$24))),"HEAT","STANDARD"))</f>
        <v>STANDARD</v>
      </c>
      <c r="E2537" s="9"/>
      <c r="F2537" t="str">
        <f>IF(E2537="",D2537,E2537)</f>
        <v>STANDARD</v>
      </c>
      <c r="G2537" t="str">
        <f>INDEX(Netzzeiten!$B$6:$B$29,HOUR(B2537)+1)</f>
        <v>ST</v>
      </c>
      <c r="H2537" s="6">
        <f>IF(F2537="GO",Eingaben!$B$11,IF(F2537="STANDARD",Eingaben!$B$12,IF(AND(F2537="HEAT",ISNUMBER(Eingaben!$B$13)),Eingaben!$B$13,"")))</f>
        <v>28.2744</v>
      </c>
      <c r="I2537" s="6">
        <f>INDEX(Netzzeiten!$C$6:$C$29,HOUR(B2537)+1)</f>
        <v>5.48</v>
      </c>
      <c r="J2537" t="str">
        <f>IF(C2537="","FEHLT",IF(NOT(ISNUMBER(C2537)),"MESSWERT UNGUELTIG",IF(C2537&lt;0,"MESSWERT UNGUELTIG",IF(H2537="","TARIFPREIS FEHLT","OK"))))</f>
        <v>FEHLT</v>
      </c>
      <c r="K2537" s="7">
        <f>IF(J2537&lt;&gt;"OK","",C2537*I2537/100)</f>
        <v/>
      </c>
    </row>
    <row r="2538" spans="1:11">
      <c r="A2538" s="14">
        <v>46169</v>
      </c>
      <c r="B2538" s="15">
        <v>0.375</v>
      </c>
      <c r="C2538" s="5">
        <f>IF('96 Werte'!AL32="","",'96 Werte'!AL32)</f>
        <v/>
      </c>
      <c r="D2538" t="str">
        <f>IF(IF(Eingaben!$B$21&lt;Eingaben!$B$22,AND(B2538&gt;=Eingaben!$B$21,B2538&lt;Eingaben!$B$22),OR(B2538&gt;=Eingaben!$B$21,B2538&lt;Eingaben!$B$22)),"GO",IF(AND(ISNUMBER(Eingaben!$B$23),ISNUMBER(Eingaben!$B$24),IF(Eingaben!$B$23&lt;Eingaben!$B$24,AND(B2538&gt;=Eingaben!$B$23,B2538&lt;Eingaben!$B$24),OR(B2538&gt;=Eingaben!$B$23,B2538&lt;Eingaben!$B$24))),"HEAT","STANDARD"))</f>
        <v>STANDARD</v>
      </c>
      <c r="E2538" s="9"/>
      <c r="F2538" t="str">
        <f>IF(E2538="",D2538,E2538)</f>
        <v>STANDARD</v>
      </c>
      <c r="G2538" t="str">
        <f>INDEX(Netzzeiten!$B$6:$B$29,HOUR(B2538)+1)</f>
        <v>ST</v>
      </c>
      <c r="H2538" s="6">
        <f>IF(F2538="GO",Eingaben!$B$11,IF(F2538="STANDARD",Eingaben!$B$12,IF(AND(F2538="HEAT",ISNUMBER(Eingaben!$B$13)),Eingaben!$B$13,"")))</f>
        <v>28.2744</v>
      </c>
      <c r="I2538" s="6">
        <f>INDEX(Netzzeiten!$C$6:$C$29,HOUR(B2538)+1)</f>
        <v>5.48</v>
      </c>
      <c r="J2538" t="str">
        <f>IF(C2538="","FEHLT",IF(NOT(ISNUMBER(C2538)),"MESSWERT UNGUELTIG",IF(C2538&lt;0,"MESSWERT UNGUELTIG",IF(H2538="","TARIFPREIS FEHLT","OK"))))</f>
        <v>FEHLT</v>
      </c>
      <c r="K2538" s="7">
        <f>IF(J2538&lt;&gt;"OK","",C2538*I2538/100)</f>
        <v/>
      </c>
    </row>
    <row r="2539" spans="1:11">
      <c r="A2539" s="14">
        <v>46169</v>
      </c>
      <c r="B2539" s="15">
        <v>0.3854166666666667</v>
      </c>
      <c r="C2539" s="5">
        <f>IF('96 Werte'!AM32="","",'96 Werte'!AM32)</f>
        <v/>
      </c>
      <c r="D2539" t="str">
        <f>IF(IF(Eingaben!$B$21&lt;Eingaben!$B$22,AND(B2539&gt;=Eingaben!$B$21,B2539&lt;Eingaben!$B$22),OR(B2539&gt;=Eingaben!$B$21,B2539&lt;Eingaben!$B$22)),"GO",IF(AND(ISNUMBER(Eingaben!$B$23),ISNUMBER(Eingaben!$B$24),IF(Eingaben!$B$23&lt;Eingaben!$B$24,AND(B2539&gt;=Eingaben!$B$23,B2539&lt;Eingaben!$B$24),OR(B2539&gt;=Eingaben!$B$23,B2539&lt;Eingaben!$B$24))),"HEAT","STANDARD"))</f>
        <v>STANDARD</v>
      </c>
      <c r="E2539" s="9"/>
      <c r="F2539" t="str">
        <f>IF(E2539="",D2539,E2539)</f>
        <v>STANDARD</v>
      </c>
      <c r="G2539" t="str">
        <f>INDEX(Netzzeiten!$B$6:$B$29,HOUR(B2539)+1)</f>
        <v>ST</v>
      </c>
      <c r="H2539" s="6">
        <f>IF(F2539="GO",Eingaben!$B$11,IF(F2539="STANDARD",Eingaben!$B$12,IF(AND(F2539="HEAT",ISNUMBER(Eingaben!$B$13)),Eingaben!$B$13,"")))</f>
        <v>28.2744</v>
      </c>
      <c r="I2539" s="6">
        <f>INDEX(Netzzeiten!$C$6:$C$29,HOUR(B2539)+1)</f>
        <v>5.48</v>
      </c>
      <c r="J2539" t="str">
        <f>IF(C2539="","FEHLT",IF(NOT(ISNUMBER(C2539)),"MESSWERT UNGUELTIG",IF(C2539&lt;0,"MESSWERT UNGUELTIG",IF(H2539="","TARIFPREIS FEHLT","OK"))))</f>
        <v>FEHLT</v>
      </c>
      <c r="K2539" s="7">
        <f>IF(J2539&lt;&gt;"OK","",C2539*I2539/100)</f>
        <v/>
      </c>
    </row>
    <row r="2540" spans="1:11">
      <c r="A2540" s="14">
        <v>46169</v>
      </c>
      <c r="B2540" s="15">
        <v>0.3958333333333333</v>
      </c>
      <c r="C2540" s="5">
        <f>IF('96 Werte'!AN32="","",'96 Werte'!AN32)</f>
        <v/>
      </c>
      <c r="D2540" t="str">
        <f>IF(IF(Eingaben!$B$21&lt;Eingaben!$B$22,AND(B2540&gt;=Eingaben!$B$21,B2540&lt;Eingaben!$B$22),OR(B2540&gt;=Eingaben!$B$21,B2540&lt;Eingaben!$B$22)),"GO",IF(AND(ISNUMBER(Eingaben!$B$23),ISNUMBER(Eingaben!$B$24),IF(Eingaben!$B$23&lt;Eingaben!$B$24,AND(B2540&gt;=Eingaben!$B$23,B2540&lt;Eingaben!$B$24),OR(B2540&gt;=Eingaben!$B$23,B2540&lt;Eingaben!$B$24))),"HEAT","STANDARD"))</f>
        <v>STANDARD</v>
      </c>
      <c r="E2540" s="9"/>
      <c r="F2540" t="str">
        <f>IF(E2540="",D2540,E2540)</f>
        <v>STANDARD</v>
      </c>
      <c r="G2540" t="str">
        <f>INDEX(Netzzeiten!$B$6:$B$29,HOUR(B2540)+1)</f>
        <v>ST</v>
      </c>
      <c r="H2540" s="6">
        <f>IF(F2540="GO",Eingaben!$B$11,IF(F2540="STANDARD",Eingaben!$B$12,IF(AND(F2540="HEAT",ISNUMBER(Eingaben!$B$13)),Eingaben!$B$13,"")))</f>
        <v>28.2744</v>
      </c>
      <c r="I2540" s="6">
        <f>INDEX(Netzzeiten!$C$6:$C$29,HOUR(B2540)+1)</f>
        <v>5.48</v>
      </c>
      <c r="J2540" t="str">
        <f>IF(C2540="","FEHLT",IF(NOT(ISNUMBER(C2540)),"MESSWERT UNGUELTIG",IF(C2540&lt;0,"MESSWERT UNGUELTIG",IF(H2540="","TARIFPREIS FEHLT","OK"))))</f>
        <v>FEHLT</v>
      </c>
      <c r="K2540" s="7">
        <f>IF(J2540&lt;&gt;"OK","",C2540*I2540/100)</f>
        <v/>
      </c>
    </row>
    <row r="2541" spans="1:11">
      <c r="A2541" s="14">
        <v>46169</v>
      </c>
      <c r="B2541" s="15">
        <v>0.40625</v>
      </c>
      <c r="C2541" s="5">
        <f>IF('96 Werte'!AO32="","",'96 Werte'!AO32)</f>
        <v/>
      </c>
      <c r="D2541" t="str">
        <f>IF(IF(Eingaben!$B$21&lt;Eingaben!$B$22,AND(B2541&gt;=Eingaben!$B$21,B2541&lt;Eingaben!$B$22),OR(B2541&gt;=Eingaben!$B$21,B2541&lt;Eingaben!$B$22)),"GO",IF(AND(ISNUMBER(Eingaben!$B$23),ISNUMBER(Eingaben!$B$24),IF(Eingaben!$B$23&lt;Eingaben!$B$24,AND(B2541&gt;=Eingaben!$B$23,B2541&lt;Eingaben!$B$24),OR(B2541&gt;=Eingaben!$B$23,B2541&lt;Eingaben!$B$24))),"HEAT","STANDARD"))</f>
        <v>STANDARD</v>
      </c>
      <c r="E2541" s="9"/>
      <c r="F2541" t="str">
        <f>IF(E2541="",D2541,E2541)</f>
        <v>STANDARD</v>
      </c>
      <c r="G2541" t="str">
        <f>INDEX(Netzzeiten!$B$6:$B$29,HOUR(B2541)+1)</f>
        <v>ST</v>
      </c>
      <c r="H2541" s="6">
        <f>IF(F2541="GO",Eingaben!$B$11,IF(F2541="STANDARD",Eingaben!$B$12,IF(AND(F2541="HEAT",ISNUMBER(Eingaben!$B$13)),Eingaben!$B$13,"")))</f>
        <v>28.2744</v>
      </c>
      <c r="I2541" s="6">
        <f>INDEX(Netzzeiten!$C$6:$C$29,HOUR(B2541)+1)</f>
        <v>5.48</v>
      </c>
      <c r="J2541" t="str">
        <f>IF(C2541="","FEHLT",IF(NOT(ISNUMBER(C2541)),"MESSWERT UNGUELTIG",IF(C2541&lt;0,"MESSWERT UNGUELTIG",IF(H2541="","TARIFPREIS FEHLT","OK"))))</f>
        <v>FEHLT</v>
      </c>
      <c r="K2541" s="7">
        <f>IF(J2541&lt;&gt;"OK","",C2541*I2541/100)</f>
        <v/>
      </c>
    </row>
    <row r="2542" spans="1:11">
      <c r="A2542" s="14">
        <v>46169</v>
      </c>
      <c r="B2542" s="15">
        <v>0.4166666666666667</v>
      </c>
      <c r="C2542" s="5">
        <f>IF('96 Werte'!AP32="","",'96 Werte'!AP32)</f>
        <v/>
      </c>
      <c r="D2542" t="str">
        <f>IF(IF(Eingaben!$B$21&lt;Eingaben!$B$22,AND(B2542&gt;=Eingaben!$B$21,B2542&lt;Eingaben!$B$22),OR(B2542&gt;=Eingaben!$B$21,B2542&lt;Eingaben!$B$22)),"GO",IF(AND(ISNUMBER(Eingaben!$B$23),ISNUMBER(Eingaben!$B$24),IF(Eingaben!$B$23&lt;Eingaben!$B$24,AND(B2542&gt;=Eingaben!$B$23,B2542&lt;Eingaben!$B$24),OR(B2542&gt;=Eingaben!$B$23,B2542&lt;Eingaben!$B$24))),"HEAT","STANDARD"))</f>
        <v>STANDARD</v>
      </c>
      <c r="E2542" s="9"/>
      <c r="F2542" t="str">
        <f>IF(E2542="",D2542,E2542)</f>
        <v>STANDARD</v>
      </c>
      <c r="G2542" t="str">
        <f>INDEX(Netzzeiten!$B$6:$B$29,HOUR(B2542)+1)</f>
        <v>ST</v>
      </c>
      <c r="H2542" s="6">
        <f>IF(F2542="GO",Eingaben!$B$11,IF(F2542="STANDARD",Eingaben!$B$12,IF(AND(F2542="HEAT",ISNUMBER(Eingaben!$B$13)),Eingaben!$B$13,"")))</f>
        <v>28.2744</v>
      </c>
      <c r="I2542" s="6">
        <f>INDEX(Netzzeiten!$C$6:$C$29,HOUR(B2542)+1)</f>
        <v>5.48</v>
      </c>
      <c r="J2542" t="str">
        <f>IF(C2542="","FEHLT",IF(NOT(ISNUMBER(C2542)),"MESSWERT UNGUELTIG",IF(C2542&lt;0,"MESSWERT UNGUELTIG",IF(H2542="","TARIFPREIS FEHLT","OK"))))</f>
        <v>FEHLT</v>
      </c>
      <c r="K2542" s="7">
        <f>IF(J2542&lt;&gt;"OK","",C2542*I2542/100)</f>
        <v/>
      </c>
    </row>
    <row r="2543" spans="1:11">
      <c r="A2543" s="14">
        <v>46169</v>
      </c>
      <c r="B2543" s="15">
        <v>0.4270833333333333</v>
      </c>
      <c r="C2543" s="5">
        <f>IF('96 Werte'!AQ32="","",'96 Werte'!AQ32)</f>
        <v/>
      </c>
      <c r="D2543" t="str">
        <f>IF(IF(Eingaben!$B$21&lt;Eingaben!$B$22,AND(B2543&gt;=Eingaben!$B$21,B2543&lt;Eingaben!$B$22),OR(B2543&gt;=Eingaben!$B$21,B2543&lt;Eingaben!$B$22)),"GO",IF(AND(ISNUMBER(Eingaben!$B$23),ISNUMBER(Eingaben!$B$24),IF(Eingaben!$B$23&lt;Eingaben!$B$24,AND(B2543&gt;=Eingaben!$B$23,B2543&lt;Eingaben!$B$24),OR(B2543&gt;=Eingaben!$B$23,B2543&lt;Eingaben!$B$24))),"HEAT","STANDARD"))</f>
        <v>STANDARD</v>
      </c>
      <c r="E2543" s="9"/>
      <c r="F2543" t="str">
        <f>IF(E2543="",D2543,E2543)</f>
        <v>STANDARD</v>
      </c>
      <c r="G2543" t="str">
        <f>INDEX(Netzzeiten!$B$6:$B$29,HOUR(B2543)+1)</f>
        <v>ST</v>
      </c>
      <c r="H2543" s="6">
        <f>IF(F2543="GO",Eingaben!$B$11,IF(F2543="STANDARD",Eingaben!$B$12,IF(AND(F2543="HEAT",ISNUMBER(Eingaben!$B$13)),Eingaben!$B$13,"")))</f>
        <v>28.2744</v>
      </c>
      <c r="I2543" s="6">
        <f>INDEX(Netzzeiten!$C$6:$C$29,HOUR(B2543)+1)</f>
        <v>5.48</v>
      </c>
      <c r="J2543" t="str">
        <f>IF(C2543="","FEHLT",IF(NOT(ISNUMBER(C2543)),"MESSWERT UNGUELTIG",IF(C2543&lt;0,"MESSWERT UNGUELTIG",IF(H2543="","TARIFPREIS FEHLT","OK"))))</f>
        <v>FEHLT</v>
      </c>
      <c r="K2543" s="7">
        <f>IF(J2543&lt;&gt;"OK","",C2543*I2543/100)</f>
        <v/>
      </c>
    </row>
    <row r="2544" spans="1:11">
      <c r="A2544" s="14">
        <v>46169</v>
      </c>
      <c r="B2544" s="15">
        <v>0.4375</v>
      </c>
      <c r="C2544" s="5">
        <f>IF('96 Werte'!AR32="","",'96 Werte'!AR32)</f>
        <v/>
      </c>
      <c r="D2544" t="str">
        <f>IF(IF(Eingaben!$B$21&lt;Eingaben!$B$22,AND(B2544&gt;=Eingaben!$B$21,B2544&lt;Eingaben!$B$22),OR(B2544&gt;=Eingaben!$B$21,B2544&lt;Eingaben!$B$22)),"GO",IF(AND(ISNUMBER(Eingaben!$B$23),ISNUMBER(Eingaben!$B$24),IF(Eingaben!$B$23&lt;Eingaben!$B$24,AND(B2544&gt;=Eingaben!$B$23,B2544&lt;Eingaben!$B$24),OR(B2544&gt;=Eingaben!$B$23,B2544&lt;Eingaben!$B$24))),"HEAT","STANDARD"))</f>
        <v>STANDARD</v>
      </c>
      <c r="E2544" s="9"/>
      <c r="F2544" t="str">
        <f>IF(E2544="",D2544,E2544)</f>
        <v>STANDARD</v>
      </c>
      <c r="G2544" t="str">
        <f>INDEX(Netzzeiten!$B$6:$B$29,HOUR(B2544)+1)</f>
        <v>ST</v>
      </c>
      <c r="H2544" s="6">
        <f>IF(F2544="GO",Eingaben!$B$11,IF(F2544="STANDARD",Eingaben!$B$12,IF(AND(F2544="HEAT",ISNUMBER(Eingaben!$B$13)),Eingaben!$B$13,"")))</f>
        <v>28.2744</v>
      </c>
      <c r="I2544" s="6">
        <f>INDEX(Netzzeiten!$C$6:$C$29,HOUR(B2544)+1)</f>
        <v>5.48</v>
      </c>
      <c r="J2544" t="str">
        <f>IF(C2544="","FEHLT",IF(NOT(ISNUMBER(C2544)),"MESSWERT UNGUELTIG",IF(C2544&lt;0,"MESSWERT UNGUELTIG",IF(H2544="","TARIFPREIS FEHLT","OK"))))</f>
        <v>FEHLT</v>
      </c>
      <c r="K2544" s="7">
        <f>IF(J2544&lt;&gt;"OK","",C2544*I2544/100)</f>
        <v/>
      </c>
    </row>
    <row r="2545" spans="1:11">
      <c r="A2545" s="14">
        <v>46169</v>
      </c>
      <c r="B2545" s="15">
        <v>0.4479166666666667</v>
      </c>
      <c r="C2545" s="5">
        <f>IF('96 Werte'!AS32="","",'96 Werte'!AS32)</f>
        <v/>
      </c>
      <c r="D2545" t="str">
        <f>IF(IF(Eingaben!$B$21&lt;Eingaben!$B$22,AND(B2545&gt;=Eingaben!$B$21,B2545&lt;Eingaben!$B$22),OR(B2545&gt;=Eingaben!$B$21,B2545&lt;Eingaben!$B$22)),"GO",IF(AND(ISNUMBER(Eingaben!$B$23),ISNUMBER(Eingaben!$B$24),IF(Eingaben!$B$23&lt;Eingaben!$B$24,AND(B2545&gt;=Eingaben!$B$23,B2545&lt;Eingaben!$B$24),OR(B2545&gt;=Eingaben!$B$23,B2545&lt;Eingaben!$B$24))),"HEAT","STANDARD"))</f>
        <v>STANDARD</v>
      </c>
      <c r="E2545" s="9"/>
      <c r="F2545" t="str">
        <f>IF(E2545="",D2545,E2545)</f>
        <v>STANDARD</v>
      </c>
      <c r="G2545" t="str">
        <f>INDEX(Netzzeiten!$B$6:$B$29,HOUR(B2545)+1)</f>
        <v>ST</v>
      </c>
      <c r="H2545" s="6">
        <f>IF(F2545="GO",Eingaben!$B$11,IF(F2545="STANDARD",Eingaben!$B$12,IF(AND(F2545="HEAT",ISNUMBER(Eingaben!$B$13)),Eingaben!$B$13,"")))</f>
        <v>28.2744</v>
      </c>
      <c r="I2545" s="6">
        <f>INDEX(Netzzeiten!$C$6:$C$29,HOUR(B2545)+1)</f>
        <v>5.48</v>
      </c>
      <c r="J2545" t="str">
        <f>IF(C2545="","FEHLT",IF(NOT(ISNUMBER(C2545)),"MESSWERT UNGUELTIG",IF(C2545&lt;0,"MESSWERT UNGUELTIG",IF(H2545="","TARIFPREIS FEHLT","OK"))))</f>
        <v>FEHLT</v>
      </c>
      <c r="K2545" s="7">
        <f>IF(J2545&lt;&gt;"OK","",C2545*I2545/100)</f>
        <v/>
      </c>
    </row>
    <row r="2546" spans="1:11">
      <c r="A2546" s="14">
        <v>46169</v>
      </c>
      <c r="B2546" s="15">
        <v>0.4583333333333333</v>
      </c>
      <c r="C2546" s="5">
        <f>IF('96 Werte'!AT32="","",'96 Werte'!AT32)</f>
        <v/>
      </c>
      <c r="D2546" t="str">
        <f>IF(IF(Eingaben!$B$21&lt;Eingaben!$B$22,AND(B2546&gt;=Eingaben!$B$21,B2546&lt;Eingaben!$B$22),OR(B2546&gt;=Eingaben!$B$21,B2546&lt;Eingaben!$B$22)),"GO",IF(AND(ISNUMBER(Eingaben!$B$23),ISNUMBER(Eingaben!$B$24),IF(Eingaben!$B$23&lt;Eingaben!$B$24,AND(B2546&gt;=Eingaben!$B$23,B2546&lt;Eingaben!$B$24),OR(B2546&gt;=Eingaben!$B$23,B2546&lt;Eingaben!$B$24))),"HEAT","STANDARD"))</f>
        <v>STANDARD</v>
      </c>
      <c r="E2546" s="9"/>
      <c r="F2546" t="str">
        <f>IF(E2546="",D2546,E2546)</f>
        <v>STANDARD</v>
      </c>
      <c r="G2546" t="str">
        <f>INDEX(Netzzeiten!$B$6:$B$29,HOUR(B2546)+1)</f>
        <v>NT</v>
      </c>
      <c r="H2546" s="6">
        <f>IF(F2546="GO",Eingaben!$B$11,IF(F2546="STANDARD",Eingaben!$B$12,IF(AND(F2546="HEAT",ISNUMBER(Eingaben!$B$13)),Eingaben!$B$13,"")))</f>
        <v>28.2744</v>
      </c>
      <c r="I2546" s="6">
        <f>INDEX(Netzzeiten!$C$6:$C$29,HOUR(B2546)+1)</f>
        <v>1.64</v>
      </c>
      <c r="J2546" t="str">
        <f>IF(C2546="","FEHLT",IF(NOT(ISNUMBER(C2546)),"MESSWERT UNGUELTIG",IF(C2546&lt;0,"MESSWERT UNGUELTIG",IF(H2546="","TARIFPREIS FEHLT","OK"))))</f>
        <v>FEHLT</v>
      </c>
      <c r="K2546" s="7">
        <f>IF(J2546&lt;&gt;"OK","",C2546*I2546/100)</f>
        <v/>
      </c>
    </row>
    <row r="2547" spans="1:11">
      <c r="A2547" s="14">
        <v>46169</v>
      </c>
      <c r="B2547" s="15">
        <v>0.46875</v>
      </c>
      <c r="C2547" s="5">
        <f>IF('96 Werte'!AU32="","",'96 Werte'!AU32)</f>
        <v/>
      </c>
      <c r="D2547" t="str">
        <f>IF(IF(Eingaben!$B$21&lt;Eingaben!$B$22,AND(B2547&gt;=Eingaben!$B$21,B2547&lt;Eingaben!$B$22),OR(B2547&gt;=Eingaben!$B$21,B2547&lt;Eingaben!$B$22)),"GO",IF(AND(ISNUMBER(Eingaben!$B$23),ISNUMBER(Eingaben!$B$24),IF(Eingaben!$B$23&lt;Eingaben!$B$24,AND(B2547&gt;=Eingaben!$B$23,B2547&lt;Eingaben!$B$24),OR(B2547&gt;=Eingaben!$B$23,B2547&lt;Eingaben!$B$24))),"HEAT","STANDARD"))</f>
        <v>STANDARD</v>
      </c>
      <c r="E2547" s="9"/>
      <c r="F2547" t="str">
        <f>IF(E2547="",D2547,E2547)</f>
        <v>STANDARD</v>
      </c>
      <c r="G2547" t="str">
        <f>INDEX(Netzzeiten!$B$6:$B$29,HOUR(B2547)+1)</f>
        <v>NT</v>
      </c>
      <c r="H2547" s="6">
        <f>IF(F2547="GO",Eingaben!$B$11,IF(F2547="STANDARD",Eingaben!$B$12,IF(AND(F2547="HEAT",ISNUMBER(Eingaben!$B$13)),Eingaben!$B$13,"")))</f>
        <v>28.2744</v>
      </c>
      <c r="I2547" s="6">
        <f>INDEX(Netzzeiten!$C$6:$C$29,HOUR(B2547)+1)</f>
        <v>1.64</v>
      </c>
      <c r="J2547" t="str">
        <f>IF(C2547="","FEHLT",IF(NOT(ISNUMBER(C2547)),"MESSWERT UNGUELTIG",IF(C2547&lt;0,"MESSWERT UNGUELTIG",IF(H2547="","TARIFPREIS FEHLT","OK"))))</f>
        <v>FEHLT</v>
      </c>
      <c r="K2547" s="7">
        <f>IF(J2547&lt;&gt;"OK","",C2547*I2547/100)</f>
        <v/>
      </c>
    </row>
    <row r="2548" spans="1:11">
      <c r="A2548" s="14">
        <v>46169</v>
      </c>
      <c r="B2548" s="15">
        <v>0.4791666666666667</v>
      </c>
      <c r="C2548" s="5">
        <f>IF('96 Werte'!AV32="","",'96 Werte'!AV32)</f>
        <v/>
      </c>
      <c r="D2548" t="str">
        <f>IF(IF(Eingaben!$B$21&lt;Eingaben!$B$22,AND(B2548&gt;=Eingaben!$B$21,B2548&lt;Eingaben!$B$22),OR(B2548&gt;=Eingaben!$B$21,B2548&lt;Eingaben!$B$22)),"GO",IF(AND(ISNUMBER(Eingaben!$B$23),ISNUMBER(Eingaben!$B$24),IF(Eingaben!$B$23&lt;Eingaben!$B$24,AND(B2548&gt;=Eingaben!$B$23,B2548&lt;Eingaben!$B$24),OR(B2548&gt;=Eingaben!$B$23,B2548&lt;Eingaben!$B$24))),"HEAT","STANDARD"))</f>
        <v>STANDARD</v>
      </c>
      <c r="E2548" s="9"/>
      <c r="F2548" t="str">
        <f>IF(E2548="",D2548,E2548)</f>
        <v>STANDARD</v>
      </c>
      <c r="G2548" t="str">
        <f>INDEX(Netzzeiten!$B$6:$B$29,HOUR(B2548)+1)</f>
        <v>NT</v>
      </c>
      <c r="H2548" s="6">
        <f>IF(F2548="GO",Eingaben!$B$11,IF(F2548="STANDARD",Eingaben!$B$12,IF(AND(F2548="HEAT",ISNUMBER(Eingaben!$B$13)),Eingaben!$B$13,"")))</f>
        <v>28.2744</v>
      </c>
      <c r="I2548" s="6">
        <f>INDEX(Netzzeiten!$C$6:$C$29,HOUR(B2548)+1)</f>
        <v>1.64</v>
      </c>
      <c r="J2548" t="str">
        <f>IF(C2548="","FEHLT",IF(NOT(ISNUMBER(C2548)),"MESSWERT UNGUELTIG",IF(C2548&lt;0,"MESSWERT UNGUELTIG",IF(H2548="","TARIFPREIS FEHLT","OK"))))</f>
        <v>FEHLT</v>
      </c>
      <c r="K2548" s="7">
        <f>IF(J2548&lt;&gt;"OK","",C2548*I2548/100)</f>
        <v/>
      </c>
    </row>
    <row r="2549" spans="1:11">
      <c r="A2549" s="14">
        <v>46169</v>
      </c>
      <c r="B2549" s="15">
        <v>0.4895833333333333</v>
      </c>
      <c r="C2549" s="5">
        <f>IF('96 Werte'!AW32="","",'96 Werte'!AW32)</f>
        <v/>
      </c>
      <c r="D2549" t="str">
        <f>IF(IF(Eingaben!$B$21&lt;Eingaben!$B$22,AND(B2549&gt;=Eingaben!$B$21,B2549&lt;Eingaben!$B$22),OR(B2549&gt;=Eingaben!$B$21,B2549&lt;Eingaben!$B$22)),"GO",IF(AND(ISNUMBER(Eingaben!$B$23),ISNUMBER(Eingaben!$B$24),IF(Eingaben!$B$23&lt;Eingaben!$B$24,AND(B2549&gt;=Eingaben!$B$23,B2549&lt;Eingaben!$B$24),OR(B2549&gt;=Eingaben!$B$23,B2549&lt;Eingaben!$B$24))),"HEAT","STANDARD"))</f>
        <v>STANDARD</v>
      </c>
      <c r="E2549" s="9"/>
      <c r="F2549" t="str">
        <f>IF(E2549="",D2549,E2549)</f>
        <v>STANDARD</v>
      </c>
      <c r="G2549" t="str">
        <f>INDEX(Netzzeiten!$B$6:$B$29,HOUR(B2549)+1)</f>
        <v>NT</v>
      </c>
      <c r="H2549" s="6">
        <f>IF(F2549="GO",Eingaben!$B$11,IF(F2549="STANDARD",Eingaben!$B$12,IF(AND(F2549="HEAT",ISNUMBER(Eingaben!$B$13)),Eingaben!$B$13,"")))</f>
        <v>28.2744</v>
      </c>
      <c r="I2549" s="6">
        <f>INDEX(Netzzeiten!$C$6:$C$29,HOUR(B2549)+1)</f>
        <v>1.64</v>
      </c>
      <c r="J2549" t="str">
        <f>IF(C2549="","FEHLT",IF(NOT(ISNUMBER(C2549)),"MESSWERT UNGUELTIG",IF(C2549&lt;0,"MESSWERT UNGUELTIG",IF(H2549="","TARIFPREIS FEHLT","OK"))))</f>
        <v>FEHLT</v>
      </c>
      <c r="K2549" s="7">
        <f>IF(J2549&lt;&gt;"OK","",C2549*I2549/100)</f>
        <v/>
      </c>
    </row>
    <row r="2550" spans="1:11">
      <c r="A2550" s="14">
        <v>46169</v>
      </c>
      <c r="B2550" s="15">
        <v>0.5</v>
      </c>
      <c r="C2550" s="5">
        <f>IF('96 Werte'!AX32="","",'96 Werte'!AX32)</f>
        <v/>
      </c>
      <c r="D2550" t="str">
        <f>IF(IF(Eingaben!$B$21&lt;Eingaben!$B$22,AND(B2550&gt;=Eingaben!$B$21,B2550&lt;Eingaben!$B$22),OR(B2550&gt;=Eingaben!$B$21,B2550&lt;Eingaben!$B$22)),"GO",IF(AND(ISNUMBER(Eingaben!$B$23),ISNUMBER(Eingaben!$B$24),IF(Eingaben!$B$23&lt;Eingaben!$B$24,AND(B2550&gt;=Eingaben!$B$23,B2550&lt;Eingaben!$B$24),OR(B2550&gt;=Eingaben!$B$23,B2550&lt;Eingaben!$B$24))),"HEAT","STANDARD"))</f>
        <v>STANDARD</v>
      </c>
      <c r="E2550" s="9"/>
      <c r="F2550" t="str">
        <f>IF(E2550="",D2550,E2550)</f>
        <v>STANDARD</v>
      </c>
      <c r="G2550" t="str">
        <f>INDEX(Netzzeiten!$B$6:$B$29,HOUR(B2550)+1)</f>
        <v>NT</v>
      </c>
      <c r="H2550" s="6">
        <f>IF(F2550="GO",Eingaben!$B$11,IF(F2550="STANDARD",Eingaben!$B$12,IF(AND(F2550="HEAT",ISNUMBER(Eingaben!$B$13)),Eingaben!$B$13,"")))</f>
        <v>28.2744</v>
      </c>
      <c r="I2550" s="6">
        <f>INDEX(Netzzeiten!$C$6:$C$29,HOUR(B2550)+1)</f>
        <v>1.64</v>
      </c>
      <c r="J2550" t="str">
        <f>IF(C2550="","FEHLT",IF(NOT(ISNUMBER(C2550)),"MESSWERT UNGUELTIG",IF(C2550&lt;0,"MESSWERT UNGUELTIG",IF(H2550="","TARIFPREIS FEHLT","OK"))))</f>
        <v>FEHLT</v>
      </c>
      <c r="K2550" s="7">
        <f>IF(J2550&lt;&gt;"OK","",C2550*I2550/100)</f>
        <v/>
      </c>
    </row>
    <row r="2551" spans="1:11">
      <c r="A2551" s="14">
        <v>46169</v>
      </c>
      <c r="B2551" s="15">
        <v>0.5104166666666666</v>
      </c>
      <c r="C2551" s="5">
        <f>IF('96 Werte'!AY32="","",'96 Werte'!AY32)</f>
        <v/>
      </c>
      <c r="D2551" t="str">
        <f>IF(IF(Eingaben!$B$21&lt;Eingaben!$B$22,AND(B2551&gt;=Eingaben!$B$21,B2551&lt;Eingaben!$B$22),OR(B2551&gt;=Eingaben!$B$21,B2551&lt;Eingaben!$B$22)),"GO",IF(AND(ISNUMBER(Eingaben!$B$23),ISNUMBER(Eingaben!$B$24),IF(Eingaben!$B$23&lt;Eingaben!$B$24,AND(B2551&gt;=Eingaben!$B$23,B2551&lt;Eingaben!$B$24),OR(B2551&gt;=Eingaben!$B$23,B2551&lt;Eingaben!$B$24))),"HEAT","STANDARD"))</f>
        <v>STANDARD</v>
      </c>
      <c r="E2551" s="9"/>
      <c r="F2551" t="str">
        <f>IF(E2551="",D2551,E2551)</f>
        <v>STANDARD</v>
      </c>
      <c r="G2551" t="str">
        <f>INDEX(Netzzeiten!$B$6:$B$29,HOUR(B2551)+1)</f>
        <v>NT</v>
      </c>
      <c r="H2551" s="6">
        <f>IF(F2551="GO",Eingaben!$B$11,IF(F2551="STANDARD",Eingaben!$B$12,IF(AND(F2551="HEAT",ISNUMBER(Eingaben!$B$13)),Eingaben!$B$13,"")))</f>
        <v>28.2744</v>
      </c>
      <c r="I2551" s="6">
        <f>INDEX(Netzzeiten!$C$6:$C$29,HOUR(B2551)+1)</f>
        <v>1.64</v>
      </c>
      <c r="J2551" t="str">
        <f>IF(C2551="","FEHLT",IF(NOT(ISNUMBER(C2551)),"MESSWERT UNGUELTIG",IF(C2551&lt;0,"MESSWERT UNGUELTIG",IF(H2551="","TARIFPREIS FEHLT","OK"))))</f>
        <v>FEHLT</v>
      </c>
      <c r="K2551" s="7">
        <f>IF(J2551&lt;&gt;"OK","",C2551*I2551/100)</f>
        <v/>
      </c>
    </row>
    <row r="2552" spans="1:11">
      <c r="A2552" s="14">
        <v>46169</v>
      </c>
      <c r="B2552" s="15">
        <v>0.5208333333333334</v>
      </c>
      <c r="C2552" s="5">
        <f>IF('96 Werte'!AZ32="","",'96 Werte'!AZ32)</f>
        <v/>
      </c>
      <c r="D2552" t="str">
        <f>IF(IF(Eingaben!$B$21&lt;Eingaben!$B$22,AND(B2552&gt;=Eingaben!$B$21,B2552&lt;Eingaben!$B$22),OR(B2552&gt;=Eingaben!$B$21,B2552&lt;Eingaben!$B$22)),"GO",IF(AND(ISNUMBER(Eingaben!$B$23),ISNUMBER(Eingaben!$B$24),IF(Eingaben!$B$23&lt;Eingaben!$B$24,AND(B2552&gt;=Eingaben!$B$23,B2552&lt;Eingaben!$B$24),OR(B2552&gt;=Eingaben!$B$23,B2552&lt;Eingaben!$B$24))),"HEAT","STANDARD"))</f>
        <v>STANDARD</v>
      </c>
      <c r="E2552" s="9"/>
      <c r="F2552" t="str">
        <f>IF(E2552="",D2552,E2552)</f>
        <v>STANDARD</v>
      </c>
      <c r="G2552" t="str">
        <f>INDEX(Netzzeiten!$B$6:$B$29,HOUR(B2552)+1)</f>
        <v>NT</v>
      </c>
      <c r="H2552" s="6">
        <f>IF(F2552="GO",Eingaben!$B$11,IF(F2552="STANDARD",Eingaben!$B$12,IF(AND(F2552="HEAT",ISNUMBER(Eingaben!$B$13)),Eingaben!$B$13,"")))</f>
        <v>28.2744</v>
      </c>
      <c r="I2552" s="6">
        <f>INDEX(Netzzeiten!$C$6:$C$29,HOUR(B2552)+1)</f>
        <v>1.64</v>
      </c>
      <c r="J2552" t="str">
        <f>IF(C2552="","FEHLT",IF(NOT(ISNUMBER(C2552)),"MESSWERT UNGUELTIG",IF(C2552&lt;0,"MESSWERT UNGUELTIG",IF(H2552="","TARIFPREIS FEHLT","OK"))))</f>
        <v>FEHLT</v>
      </c>
      <c r="K2552" s="7">
        <f>IF(J2552&lt;&gt;"OK","",C2552*I2552/100)</f>
        <v/>
      </c>
    </row>
    <row r="2553" spans="1:11">
      <c r="A2553" s="14">
        <v>46169</v>
      </c>
      <c r="B2553" s="15">
        <v>0.53125</v>
      </c>
      <c r="C2553" s="5">
        <f>IF('96 Werte'!BA32="","",'96 Werte'!BA32)</f>
        <v/>
      </c>
      <c r="D2553" t="str">
        <f>IF(IF(Eingaben!$B$21&lt;Eingaben!$B$22,AND(B2553&gt;=Eingaben!$B$21,B2553&lt;Eingaben!$B$22),OR(B2553&gt;=Eingaben!$B$21,B2553&lt;Eingaben!$B$22)),"GO",IF(AND(ISNUMBER(Eingaben!$B$23),ISNUMBER(Eingaben!$B$24),IF(Eingaben!$B$23&lt;Eingaben!$B$24,AND(B2553&gt;=Eingaben!$B$23,B2553&lt;Eingaben!$B$24),OR(B2553&gt;=Eingaben!$B$23,B2553&lt;Eingaben!$B$24))),"HEAT","STANDARD"))</f>
        <v>STANDARD</v>
      </c>
      <c r="E2553" s="9"/>
      <c r="F2553" t="str">
        <f>IF(E2553="",D2553,E2553)</f>
        <v>STANDARD</v>
      </c>
      <c r="G2553" t="str">
        <f>INDEX(Netzzeiten!$B$6:$B$29,HOUR(B2553)+1)</f>
        <v>NT</v>
      </c>
      <c r="H2553" s="6">
        <f>IF(F2553="GO",Eingaben!$B$11,IF(F2553="STANDARD",Eingaben!$B$12,IF(AND(F2553="HEAT",ISNUMBER(Eingaben!$B$13)),Eingaben!$B$13,"")))</f>
        <v>28.2744</v>
      </c>
      <c r="I2553" s="6">
        <f>INDEX(Netzzeiten!$C$6:$C$29,HOUR(B2553)+1)</f>
        <v>1.64</v>
      </c>
      <c r="J2553" t="str">
        <f>IF(C2553="","FEHLT",IF(NOT(ISNUMBER(C2553)),"MESSWERT UNGUELTIG",IF(C2553&lt;0,"MESSWERT UNGUELTIG",IF(H2553="","TARIFPREIS FEHLT","OK"))))</f>
        <v>FEHLT</v>
      </c>
      <c r="K2553" s="7">
        <f>IF(J2553&lt;&gt;"OK","",C2553*I2553/100)</f>
        <v/>
      </c>
    </row>
    <row r="2554" spans="1:11">
      <c r="A2554" s="14">
        <v>46169</v>
      </c>
      <c r="B2554" s="15">
        <v>0.5416666666666666</v>
      </c>
      <c r="C2554" s="5">
        <f>IF('96 Werte'!BB32="","",'96 Werte'!BB32)</f>
        <v/>
      </c>
      <c r="D2554" t="str">
        <f>IF(IF(Eingaben!$B$21&lt;Eingaben!$B$22,AND(B2554&gt;=Eingaben!$B$21,B2554&lt;Eingaben!$B$22),OR(B2554&gt;=Eingaben!$B$21,B2554&lt;Eingaben!$B$22)),"GO",IF(AND(ISNUMBER(Eingaben!$B$23),ISNUMBER(Eingaben!$B$24),IF(Eingaben!$B$23&lt;Eingaben!$B$24,AND(B2554&gt;=Eingaben!$B$23,B2554&lt;Eingaben!$B$24),OR(B2554&gt;=Eingaben!$B$23,B2554&lt;Eingaben!$B$24))),"HEAT","STANDARD"))</f>
        <v>STANDARD</v>
      </c>
      <c r="E2554" s="9"/>
      <c r="F2554" t="str">
        <f>IF(E2554="",D2554,E2554)</f>
        <v>STANDARD</v>
      </c>
      <c r="G2554" t="str">
        <f>INDEX(Netzzeiten!$B$6:$B$29,HOUR(B2554)+1)</f>
        <v>NT</v>
      </c>
      <c r="H2554" s="6">
        <f>IF(F2554="GO",Eingaben!$B$11,IF(F2554="STANDARD",Eingaben!$B$12,IF(AND(F2554="HEAT",ISNUMBER(Eingaben!$B$13)),Eingaben!$B$13,"")))</f>
        <v>28.2744</v>
      </c>
      <c r="I2554" s="6">
        <f>INDEX(Netzzeiten!$C$6:$C$29,HOUR(B2554)+1)</f>
        <v>1.64</v>
      </c>
      <c r="J2554" t="str">
        <f>IF(C2554="","FEHLT",IF(NOT(ISNUMBER(C2554)),"MESSWERT UNGUELTIG",IF(C2554&lt;0,"MESSWERT UNGUELTIG",IF(H2554="","TARIFPREIS FEHLT","OK"))))</f>
        <v>FEHLT</v>
      </c>
      <c r="K2554" s="7">
        <f>IF(J2554&lt;&gt;"OK","",C2554*I2554/100)</f>
        <v/>
      </c>
    </row>
    <row r="2555" spans="1:11">
      <c r="A2555" s="14">
        <v>46169</v>
      </c>
      <c r="B2555" s="15">
        <v>0.5520833333333334</v>
      </c>
      <c r="C2555" s="5">
        <f>IF('96 Werte'!BC32="","",'96 Werte'!BC32)</f>
        <v/>
      </c>
      <c r="D2555" t="str">
        <f>IF(IF(Eingaben!$B$21&lt;Eingaben!$B$22,AND(B2555&gt;=Eingaben!$B$21,B2555&lt;Eingaben!$B$22),OR(B2555&gt;=Eingaben!$B$21,B2555&lt;Eingaben!$B$22)),"GO",IF(AND(ISNUMBER(Eingaben!$B$23),ISNUMBER(Eingaben!$B$24),IF(Eingaben!$B$23&lt;Eingaben!$B$24,AND(B2555&gt;=Eingaben!$B$23,B2555&lt;Eingaben!$B$24),OR(B2555&gt;=Eingaben!$B$23,B2555&lt;Eingaben!$B$24))),"HEAT","STANDARD"))</f>
        <v>STANDARD</v>
      </c>
      <c r="E2555" s="9"/>
      <c r="F2555" t="str">
        <f>IF(E2555="",D2555,E2555)</f>
        <v>STANDARD</v>
      </c>
      <c r="G2555" t="str">
        <f>INDEX(Netzzeiten!$B$6:$B$29,HOUR(B2555)+1)</f>
        <v>NT</v>
      </c>
      <c r="H2555" s="6">
        <f>IF(F2555="GO",Eingaben!$B$11,IF(F2555="STANDARD",Eingaben!$B$12,IF(AND(F2555="HEAT",ISNUMBER(Eingaben!$B$13)),Eingaben!$B$13,"")))</f>
        <v>28.2744</v>
      </c>
      <c r="I2555" s="6">
        <f>INDEX(Netzzeiten!$C$6:$C$29,HOUR(B2555)+1)</f>
        <v>1.64</v>
      </c>
      <c r="J2555" t="str">
        <f>IF(C2555="","FEHLT",IF(NOT(ISNUMBER(C2555)),"MESSWERT UNGUELTIG",IF(C2555&lt;0,"MESSWERT UNGUELTIG",IF(H2555="","TARIFPREIS FEHLT","OK"))))</f>
        <v>FEHLT</v>
      </c>
      <c r="K2555" s="7">
        <f>IF(J2555&lt;&gt;"OK","",C2555*I2555/100)</f>
        <v/>
      </c>
    </row>
    <row r="2556" spans="1:11">
      <c r="A2556" s="14">
        <v>46169</v>
      </c>
      <c r="B2556" s="15">
        <v>0.5625</v>
      </c>
      <c r="C2556" s="5">
        <f>IF('96 Werte'!BD32="","",'96 Werte'!BD32)</f>
        <v/>
      </c>
      <c r="D2556" t="str">
        <f>IF(IF(Eingaben!$B$21&lt;Eingaben!$B$22,AND(B2556&gt;=Eingaben!$B$21,B2556&lt;Eingaben!$B$22),OR(B2556&gt;=Eingaben!$B$21,B2556&lt;Eingaben!$B$22)),"GO",IF(AND(ISNUMBER(Eingaben!$B$23),ISNUMBER(Eingaben!$B$24),IF(Eingaben!$B$23&lt;Eingaben!$B$24,AND(B2556&gt;=Eingaben!$B$23,B2556&lt;Eingaben!$B$24),OR(B2556&gt;=Eingaben!$B$23,B2556&lt;Eingaben!$B$24))),"HEAT","STANDARD"))</f>
        <v>STANDARD</v>
      </c>
      <c r="E2556" s="9"/>
      <c r="F2556" t="str">
        <f>IF(E2556="",D2556,E2556)</f>
        <v>STANDARD</v>
      </c>
      <c r="G2556" t="str">
        <f>INDEX(Netzzeiten!$B$6:$B$29,HOUR(B2556)+1)</f>
        <v>NT</v>
      </c>
      <c r="H2556" s="6">
        <f>IF(F2556="GO",Eingaben!$B$11,IF(F2556="STANDARD",Eingaben!$B$12,IF(AND(F2556="HEAT",ISNUMBER(Eingaben!$B$13)),Eingaben!$B$13,"")))</f>
        <v>28.2744</v>
      </c>
      <c r="I2556" s="6">
        <f>INDEX(Netzzeiten!$C$6:$C$29,HOUR(B2556)+1)</f>
        <v>1.64</v>
      </c>
      <c r="J2556" t="str">
        <f>IF(C2556="","FEHLT",IF(NOT(ISNUMBER(C2556)),"MESSWERT UNGUELTIG",IF(C2556&lt;0,"MESSWERT UNGUELTIG",IF(H2556="","TARIFPREIS FEHLT","OK"))))</f>
        <v>FEHLT</v>
      </c>
      <c r="K2556" s="7">
        <f>IF(J2556&lt;&gt;"OK","",C2556*I2556/100)</f>
        <v/>
      </c>
    </row>
    <row r="2557" spans="1:11">
      <c r="A2557" s="14">
        <v>46169</v>
      </c>
      <c r="B2557" s="15">
        <v>0.5729166666666666</v>
      </c>
      <c r="C2557" s="5">
        <f>IF('96 Werte'!BE32="","",'96 Werte'!BE32)</f>
        <v/>
      </c>
      <c r="D2557" t="str">
        <f>IF(IF(Eingaben!$B$21&lt;Eingaben!$B$22,AND(B2557&gt;=Eingaben!$B$21,B2557&lt;Eingaben!$B$22),OR(B2557&gt;=Eingaben!$B$21,B2557&lt;Eingaben!$B$22)),"GO",IF(AND(ISNUMBER(Eingaben!$B$23),ISNUMBER(Eingaben!$B$24),IF(Eingaben!$B$23&lt;Eingaben!$B$24,AND(B2557&gt;=Eingaben!$B$23,B2557&lt;Eingaben!$B$24),OR(B2557&gt;=Eingaben!$B$23,B2557&lt;Eingaben!$B$24))),"HEAT","STANDARD"))</f>
        <v>STANDARD</v>
      </c>
      <c r="E2557" s="9"/>
      <c r="F2557" t="str">
        <f>IF(E2557="",D2557,E2557)</f>
        <v>STANDARD</v>
      </c>
      <c r="G2557" t="str">
        <f>INDEX(Netzzeiten!$B$6:$B$29,HOUR(B2557)+1)</f>
        <v>NT</v>
      </c>
      <c r="H2557" s="6">
        <f>IF(F2557="GO",Eingaben!$B$11,IF(F2557="STANDARD",Eingaben!$B$12,IF(AND(F2557="HEAT",ISNUMBER(Eingaben!$B$13)),Eingaben!$B$13,"")))</f>
        <v>28.2744</v>
      </c>
      <c r="I2557" s="6">
        <f>INDEX(Netzzeiten!$C$6:$C$29,HOUR(B2557)+1)</f>
        <v>1.64</v>
      </c>
      <c r="J2557" t="str">
        <f>IF(C2557="","FEHLT",IF(NOT(ISNUMBER(C2557)),"MESSWERT UNGUELTIG",IF(C2557&lt;0,"MESSWERT UNGUELTIG",IF(H2557="","TARIFPREIS FEHLT","OK"))))</f>
        <v>FEHLT</v>
      </c>
      <c r="K2557" s="7">
        <f>IF(J2557&lt;&gt;"OK","",C2557*I2557/100)</f>
        <v/>
      </c>
    </row>
    <row r="2558" spans="1:11">
      <c r="A2558" s="14">
        <v>46169</v>
      </c>
      <c r="B2558" s="15">
        <v>0.5833333333333334</v>
      </c>
      <c r="C2558" s="5">
        <f>IF('96 Werte'!BF32="","",'96 Werte'!BF32)</f>
        <v/>
      </c>
      <c r="D2558" t="str">
        <f>IF(IF(Eingaben!$B$21&lt;Eingaben!$B$22,AND(B2558&gt;=Eingaben!$B$21,B2558&lt;Eingaben!$B$22),OR(B2558&gt;=Eingaben!$B$21,B2558&lt;Eingaben!$B$22)),"GO",IF(AND(ISNUMBER(Eingaben!$B$23),ISNUMBER(Eingaben!$B$24),IF(Eingaben!$B$23&lt;Eingaben!$B$24,AND(B2558&gt;=Eingaben!$B$23,B2558&lt;Eingaben!$B$24),OR(B2558&gt;=Eingaben!$B$23,B2558&lt;Eingaben!$B$24))),"HEAT","STANDARD"))</f>
        <v>STANDARD</v>
      </c>
      <c r="E2558" s="9"/>
      <c r="F2558" t="str">
        <f>IF(E2558="",D2558,E2558)</f>
        <v>STANDARD</v>
      </c>
      <c r="G2558" t="str">
        <f>INDEX(Netzzeiten!$B$6:$B$29,HOUR(B2558)+1)</f>
        <v>NT</v>
      </c>
      <c r="H2558" s="6">
        <f>IF(F2558="GO",Eingaben!$B$11,IF(F2558="STANDARD",Eingaben!$B$12,IF(AND(F2558="HEAT",ISNUMBER(Eingaben!$B$13)),Eingaben!$B$13,"")))</f>
        <v>28.2744</v>
      </c>
      <c r="I2558" s="6">
        <f>INDEX(Netzzeiten!$C$6:$C$29,HOUR(B2558)+1)</f>
        <v>1.64</v>
      </c>
      <c r="J2558" t="str">
        <f>IF(C2558="","FEHLT",IF(NOT(ISNUMBER(C2558)),"MESSWERT UNGUELTIG",IF(C2558&lt;0,"MESSWERT UNGUELTIG",IF(H2558="","TARIFPREIS FEHLT","OK"))))</f>
        <v>FEHLT</v>
      </c>
      <c r="K2558" s="7">
        <f>IF(J2558&lt;&gt;"OK","",C2558*I2558/100)</f>
        <v/>
      </c>
    </row>
    <row r="2559" spans="1:11">
      <c r="A2559" s="14">
        <v>46169</v>
      </c>
      <c r="B2559" s="15">
        <v>0.59375</v>
      </c>
      <c r="C2559" s="5">
        <f>IF('96 Werte'!BG32="","",'96 Werte'!BG32)</f>
        <v/>
      </c>
      <c r="D2559" t="str">
        <f>IF(IF(Eingaben!$B$21&lt;Eingaben!$B$22,AND(B2559&gt;=Eingaben!$B$21,B2559&lt;Eingaben!$B$22),OR(B2559&gt;=Eingaben!$B$21,B2559&lt;Eingaben!$B$22)),"GO",IF(AND(ISNUMBER(Eingaben!$B$23),ISNUMBER(Eingaben!$B$24),IF(Eingaben!$B$23&lt;Eingaben!$B$24,AND(B2559&gt;=Eingaben!$B$23,B2559&lt;Eingaben!$B$24),OR(B2559&gt;=Eingaben!$B$23,B2559&lt;Eingaben!$B$24))),"HEAT","STANDARD"))</f>
        <v>STANDARD</v>
      </c>
      <c r="E2559" s="9"/>
      <c r="F2559" t="str">
        <f>IF(E2559="",D2559,E2559)</f>
        <v>STANDARD</v>
      </c>
      <c r="G2559" t="str">
        <f>INDEX(Netzzeiten!$B$6:$B$29,HOUR(B2559)+1)</f>
        <v>NT</v>
      </c>
      <c r="H2559" s="6">
        <f>IF(F2559="GO",Eingaben!$B$11,IF(F2559="STANDARD",Eingaben!$B$12,IF(AND(F2559="HEAT",ISNUMBER(Eingaben!$B$13)),Eingaben!$B$13,"")))</f>
        <v>28.2744</v>
      </c>
      <c r="I2559" s="6">
        <f>INDEX(Netzzeiten!$C$6:$C$29,HOUR(B2559)+1)</f>
        <v>1.64</v>
      </c>
      <c r="J2559" t="str">
        <f>IF(C2559="","FEHLT",IF(NOT(ISNUMBER(C2559)),"MESSWERT UNGUELTIG",IF(C2559&lt;0,"MESSWERT UNGUELTIG",IF(H2559="","TARIFPREIS FEHLT","OK"))))</f>
        <v>FEHLT</v>
      </c>
      <c r="K2559" s="7">
        <f>IF(J2559&lt;&gt;"OK","",C2559*I2559/100)</f>
        <v/>
      </c>
    </row>
    <row r="2560" spans="1:11">
      <c r="A2560" s="14">
        <v>46169</v>
      </c>
      <c r="B2560" s="15">
        <v>0.6041666666666666</v>
      </c>
      <c r="C2560" s="5">
        <f>IF('96 Werte'!BH32="","",'96 Werte'!BH32)</f>
        <v/>
      </c>
      <c r="D2560" t="str">
        <f>IF(IF(Eingaben!$B$21&lt;Eingaben!$B$22,AND(B2560&gt;=Eingaben!$B$21,B2560&lt;Eingaben!$B$22),OR(B2560&gt;=Eingaben!$B$21,B2560&lt;Eingaben!$B$22)),"GO",IF(AND(ISNUMBER(Eingaben!$B$23),ISNUMBER(Eingaben!$B$24),IF(Eingaben!$B$23&lt;Eingaben!$B$24,AND(B2560&gt;=Eingaben!$B$23,B2560&lt;Eingaben!$B$24),OR(B2560&gt;=Eingaben!$B$23,B2560&lt;Eingaben!$B$24))),"HEAT","STANDARD"))</f>
        <v>STANDARD</v>
      </c>
      <c r="E2560" s="9"/>
      <c r="F2560" t="str">
        <f>IF(E2560="",D2560,E2560)</f>
        <v>STANDARD</v>
      </c>
      <c r="G2560" t="str">
        <f>INDEX(Netzzeiten!$B$6:$B$29,HOUR(B2560)+1)</f>
        <v>NT</v>
      </c>
      <c r="H2560" s="6">
        <f>IF(F2560="GO",Eingaben!$B$11,IF(F2560="STANDARD",Eingaben!$B$12,IF(AND(F2560="HEAT",ISNUMBER(Eingaben!$B$13)),Eingaben!$B$13,"")))</f>
        <v>28.2744</v>
      </c>
      <c r="I2560" s="6">
        <f>INDEX(Netzzeiten!$C$6:$C$29,HOUR(B2560)+1)</f>
        <v>1.64</v>
      </c>
      <c r="J2560" t="str">
        <f>IF(C2560="","FEHLT",IF(NOT(ISNUMBER(C2560)),"MESSWERT UNGUELTIG",IF(C2560&lt;0,"MESSWERT UNGUELTIG",IF(H2560="","TARIFPREIS FEHLT","OK"))))</f>
        <v>FEHLT</v>
      </c>
      <c r="K2560" s="7">
        <f>IF(J2560&lt;&gt;"OK","",C2560*I2560/100)</f>
        <v/>
      </c>
    </row>
    <row r="2561" spans="1:11">
      <c r="A2561" s="14">
        <v>46169</v>
      </c>
      <c r="B2561" s="15">
        <v>0.6145833333333334</v>
      </c>
      <c r="C2561" s="5">
        <f>IF('96 Werte'!BI32="","",'96 Werte'!BI32)</f>
        <v/>
      </c>
      <c r="D2561" t="str">
        <f>IF(IF(Eingaben!$B$21&lt;Eingaben!$B$22,AND(B2561&gt;=Eingaben!$B$21,B2561&lt;Eingaben!$B$22),OR(B2561&gt;=Eingaben!$B$21,B2561&lt;Eingaben!$B$22)),"GO",IF(AND(ISNUMBER(Eingaben!$B$23),ISNUMBER(Eingaben!$B$24),IF(Eingaben!$B$23&lt;Eingaben!$B$24,AND(B2561&gt;=Eingaben!$B$23,B2561&lt;Eingaben!$B$24),OR(B2561&gt;=Eingaben!$B$23,B2561&lt;Eingaben!$B$24))),"HEAT","STANDARD"))</f>
        <v>STANDARD</v>
      </c>
      <c r="E2561" s="9"/>
      <c r="F2561" t="str">
        <f>IF(E2561="",D2561,E2561)</f>
        <v>STANDARD</v>
      </c>
      <c r="G2561" t="str">
        <f>INDEX(Netzzeiten!$B$6:$B$29,HOUR(B2561)+1)</f>
        <v>NT</v>
      </c>
      <c r="H2561" s="6">
        <f>IF(F2561="GO",Eingaben!$B$11,IF(F2561="STANDARD",Eingaben!$B$12,IF(AND(F2561="HEAT",ISNUMBER(Eingaben!$B$13)),Eingaben!$B$13,"")))</f>
        <v>28.2744</v>
      </c>
      <c r="I2561" s="6">
        <f>INDEX(Netzzeiten!$C$6:$C$29,HOUR(B2561)+1)</f>
        <v>1.64</v>
      </c>
      <c r="J2561" t="str">
        <f>IF(C2561="","FEHLT",IF(NOT(ISNUMBER(C2561)),"MESSWERT UNGUELTIG",IF(C2561&lt;0,"MESSWERT UNGUELTIG",IF(H2561="","TARIFPREIS FEHLT","OK"))))</f>
        <v>FEHLT</v>
      </c>
      <c r="K2561" s="7">
        <f>IF(J2561&lt;&gt;"OK","",C2561*I2561/100)</f>
        <v/>
      </c>
    </row>
    <row r="2562" spans="1:11">
      <c r="A2562" s="14">
        <v>46169</v>
      </c>
      <c r="B2562" s="15">
        <v>0.625</v>
      </c>
      <c r="C2562" s="5">
        <f>IF('96 Werte'!BJ32="","",'96 Werte'!BJ32)</f>
        <v/>
      </c>
      <c r="D2562" t="str">
        <f>IF(IF(Eingaben!$B$21&lt;Eingaben!$B$22,AND(B2562&gt;=Eingaben!$B$21,B2562&lt;Eingaben!$B$22),OR(B2562&gt;=Eingaben!$B$21,B2562&lt;Eingaben!$B$22)),"GO",IF(AND(ISNUMBER(Eingaben!$B$23),ISNUMBER(Eingaben!$B$24),IF(Eingaben!$B$23&lt;Eingaben!$B$24,AND(B2562&gt;=Eingaben!$B$23,B2562&lt;Eingaben!$B$24),OR(B2562&gt;=Eingaben!$B$23,B2562&lt;Eingaben!$B$24))),"HEAT","STANDARD"))</f>
        <v>STANDARD</v>
      </c>
      <c r="E2562" s="9"/>
      <c r="F2562" t="str">
        <f>IF(E2562="",D2562,E2562)</f>
        <v>STANDARD</v>
      </c>
      <c r="G2562" t="str">
        <f>INDEX(Netzzeiten!$B$6:$B$29,HOUR(B2562)+1)</f>
        <v>ST</v>
      </c>
      <c r="H2562" s="6">
        <f>IF(F2562="GO",Eingaben!$B$11,IF(F2562="STANDARD",Eingaben!$B$12,IF(AND(F2562="HEAT",ISNUMBER(Eingaben!$B$13)),Eingaben!$B$13,"")))</f>
        <v>28.2744</v>
      </c>
      <c r="I2562" s="6">
        <f>INDEX(Netzzeiten!$C$6:$C$29,HOUR(B2562)+1)</f>
        <v>5.48</v>
      </c>
      <c r="J2562" t="str">
        <f>IF(C2562="","FEHLT",IF(NOT(ISNUMBER(C2562)),"MESSWERT UNGUELTIG",IF(C2562&lt;0,"MESSWERT UNGUELTIG",IF(H2562="","TARIFPREIS FEHLT","OK"))))</f>
        <v>FEHLT</v>
      </c>
      <c r="K2562" s="7">
        <f>IF(J2562&lt;&gt;"OK","",C2562*I2562/100)</f>
        <v/>
      </c>
    </row>
    <row r="2563" spans="1:11">
      <c r="A2563" s="14">
        <v>46169</v>
      </c>
      <c r="B2563" s="15">
        <v>0.6354166666666666</v>
      </c>
      <c r="C2563" s="5">
        <f>IF('96 Werte'!BK32="","",'96 Werte'!BK32)</f>
        <v/>
      </c>
      <c r="D2563" t="str">
        <f>IF(IF(Eingaben!$B$21&lt;Eingaben!$B$22,AND(B2563&gt;=Eingaben!$B$21,B2563&lt;Eingaben!$B$22),OR(B2563&gt;=Eingaben!$B$21,B2563&lt;Eingaben!$B$22)),"GO",IF(AND(ISNUMBER(Eingaben!$B$23),ISNUMBER(Eingaben!$B$24),IF(Eingaben!$B$23&lt;Eingaben!$B$24,AND(B2563&gt;=Eingaben!$B$23,B2563&lt;Eingaben!$B$24),OR(B2563&gt;=Eingaben!$B$23,B2563&lt;Eingaben!$B$24))),"HEAT","STANDARD"))</f>
        <v>STANDARD</v>
      </c>
      <c r="E2563" s="9"/>
      <c r="F2563" t="str">
        <f>IF(E2563="",D2563,E2563)</f>
        <v>STANDARD</v>
      </c>
      <c r="G2563" t="str">
        <f>INDEX(Netzzeiten!$B$6:$B$29,HOUR(B2563)+1)</f>
        <v>ST</v>
      </c>
      <c r="H2563" s="6">
        <f>IF(F2563="GO",Eingaben!$B$11,IF(F2563="STANDARD",Eingaben!$B$12,IF(AND(F2563="HEAT",ISNUMBER(Eingaben!$B$13)),Eingaben!$B$13,"")))</f>
        <v>28.2744</v>
      </c>
      <c r="I2563" s="6">
        <f>INDEX(Netzzeiten!$C$6:$C$29,HOUR(B2563)+1)</f>
        <v>5.48</v>
      </c>
      <c r="J2563" t="str">
        <f>IF(C2563="","FEHLT",IF(NOT(ISNUMBER(C2563)),"MESSWERT UNGUELTIG",IF(C2563&lt;0,"MESSWERT UNGUELTIG",IF(H2563="","TARIFPREIS FEHLT","OK"))))</f>
        <v>FEHLT</v>
      </c>
      <c r="K2563" s="7">
        <f>IF(J2563&lt;&gt;"OK","",C2563*I2563/100)</f>
        <v/>
      </c>
    </row>
    <row r="2564" spans="1:11">
      <c r="A2564" s="14">
        <v>46169</v>
      </c>
      <c r="B2564" s="15">
        <v>0.6458333333333334</v>
      </c>
      <c r="C2564" s="5">
        <f>IF('96 Werte'!BL32="","",'96 Werte'!BL32)</f>
        <v/>
      </c>
      <c r="D2564" t="str">
        <f>IF(IF(Eingaben!$B$21&lt;Eingaben!$B$22,AND(B2564&gt;=Eingaben!$B$21,B2564&lt;Eingaben!$B$22),OR(B2564&gt;=Eingaben!$B$21,B2564&lt;Eingaben!$B$22)),"GO",IF(AND(ISNUMBER(Eingaben!$B$23),ISNUMBER(Eingaben!$B$24),IF(Eingaben!$B$23&lt;Eingaben!$B$24,AND(B2564&gt;=Eingaben!$B$23,B2564&lt;Eingaben!$B$24),OR(B2564&gt;=Eingaben!$B$23,B2564&lt;Eingaben!$B$24))),"HEAT","STANDARD"))</f>
        <v>STANDARD</v>
      </c>
      <c r="E2564" s="9"/>
      <c r="F2564" t="str">
        <f>IF(E2564="",D2564,E2564)</f>
        <v>STANDARD</v>
      </c>
      <c r="G2564" t="str">
        <f>INDEX(Netzzeiten!$B$6:$B$29,HOUR(B2564)+1)</f>
        <v>ST</v>
      </c>
      <c r="H2564" s="6">
        <f>IF(F2564="GO",Eingaben!$B$11,IF(F2564="STANDARD",Eingaben!$B$12,IF(AND(F2564="HEAT",ISNUMBER(Eingaben!$B$13)),Eingaben!$B$13,"")))</f>
        <v>28.2744</v>
      </c>
      <c r="I2564" s="6">
        <f>INDEX(Netzzeiten!$C$6:$C$29,HOUR(B2564)+1)</f>
        <v>5.48</v>
      </c>
      <c r="J2564" t="str">
        <f>IF(C2564="","FEHLT",IF(NOT(ISNUMBER(C2564)),"MESSWERT UNGUELTIG",IF(C2564&lt;0,"MESSWERT UNGUELTIG",IF(H2564="","TARIFPREIS FEHLT","OK"))))</f>
        <v>FEHLT</v>
      </c>
      <c r="K2564" s="7">
        <f>IF(J2564&lt;&gt;"OK","",C2564*I2564/100)</f>
        <v/>
      </c>
    </row>
    <row r="2565" spans="1:11">
      <c r="A2565" s="14">
        <v>46169</v>
      </c>
      <c r="B2565" s="15">
        <v>0.65625</v>
      </c>
      <c r="C2565" s="5">
        <f>IF('96 Werte'!BM32="","",'96 Werte'!BM32)</f>
        <v/>
      </c>
      <c r="D2565" t="str">
        <f>IF(IF(Eingaben!$B$21&lt;Eingaben!$B$22,AND(B2565&gt;=Eingaben!$B$21,B2565&lt;Eingaben!$B$22),OR(B2565&gt;=Eingaben!$B$21,B2565&lt;Eingaben!$B$22)),"GO",IF(AND(ISNUMBER(Eingaben!$B$23),ISNUMBER(Eingaben!$B$24),IF(Eingaben!$B$23&lt;Eingaben!$B$24,AND(B2565&gt;=Eingaben!$B$23,B2565&lt;Eingaben!$B$24),OR(B2565&gt;=Eingaben!$B$23,B2565&lt;Eingaben!$B$24))),"HEAT","STANDARD"))</f>
        <v>STANDARD</v>
      </c>
      <c r="E2565" s="9"/>
      <c r="F2565" t="str">
        <f>IF(E2565="",D2565,E2565)</f>
        <v>STANDARD</v>
      </c>
      <c r="G2565" t="str">
        <f>INDEX(Netzzeiten!$B$6:$B$29,HOUR(B2565)+1)</f>
        <v>ST</v>
      </c>
      <c r="H2565" s="6">
        <f>IF(F2565="GO",Eingaben!$B$11,IF(F2565="STANDARD",Eingaben!$B$12,IF(AND(F2565="HEAT",ISNUMBER(Eingaben!$B$13)),Eingaben!$B$13,"")))</f>
        <v>28.2744</v>
      </c>
      <c r="I2565" s="6">
        <f>INDEX(Netzzeiten!$C$6:$C$29,HOUR(B2565)+1)</f>
        <v>5.48</v>
      </c>
      <c r="J2565" t="str">
        <f>IF(C2565="","FEHLT",IF(NOT(ISNUMBER(C2565)),"MESSWERT UNGUELTIG",IF(C2565&lt;0,"MESSWERT UNGUELTIG",IF(H2565="","TARIFPREIS FEHLT","OK"))))</f>
        <v>FEHLT</v>
      </c>
      <c r="K2565" s="7">
        <f>IF(J2565&lt;&gt;"OK","",C2565*I2565/100)</f>
        <v/>
      </c>
    </row>
    <row r="2566" spans="1:11">
      <c r="A2566" s="14">
        <v>46169</v>
      </c>
      <c r="B2566" s="15">
        <v>0.6666666666666666</v>
      </c>
      <c r="C2566" s="5">
        <f>IF('96 Werte'!BN32="","",'96 Werte'!BN32)</f>
        <v/>
      </c>
      <c r="D2566" t="str">
        <f>IF(IF(Eingaben!$B$21&lt;Eingaben!$B$22,AND(B2566&gt;=Eingaben!$B$21,B2566&lt;Eingaben!$B$22),OR(B2566&gt;=Eingaben!$B$21,B2566&lt;Eingaben!$B$22)),"GO",IF(AND(ISNUMBER(Eingaben!$B$23),ISNUMBER(Eingaben!$B$24),IF(Eingaben!$B$23&lt;Eingaben!$B$24,AND(B2566&gt;=Eingaben!$B$23,B2566&lt;Eingaben!$B$24),OR(B2566&gt;=Eingaben!$B$23,B2566&lt;Eingaben!$B$24))),"HEAT","STANDARD"))</f>
        <v>STANDARD</v>
      </c>
      <c r="E2566" s="9"/>
      <c r="F2566" t="str">
        <f>IF(E2566="",D2566,E2566)</f>
        <v>STANDARD</v>
      </c>
      <c r="G2566" t="str">
        <f>INDEX(Netzzeiten!$B$6:$B$29,HOUR(B2566)+1)</f>
        <v>ST</v>
      </c>
      <c r="H2566" s="6">
        <f>IF(F2566="GO",Eingaben!$B$11,IF(F2566="STANDARD",Eingaben!$B$12,IF(AND(F2566="HEAT",ISNUMBER(Eingaben!$B$13)),Eingaben!$B$13,"")))</f>
        <v>28.2744</v>
      </c>
      <c r="I2566" s="6">
        <f>INDEX(Netzzeiten!$C$6:$C$29,HOUR(B2566)+1)</f>
        <v>5.48</v>
      </c>
      <c r="J2566" t="str">
        <f>IF(C2566="","FEHLT",IF(NOT(ISNUMBER(C2566)),"MESSWERT UNGUELTIG",IF(C2566&lt;0,"MESSWERT UNGUELTIG",IF(H2566="","TARIFPREIS FEHLT","OK"))))</f>
        <v>FEHLT</v>
      </c>
      <c r="K2566" s="7">
        <f>IF(J2566&lt;&gt;"OK","",C2566*I2566/100)</f>
        <v/>
      </c>
    </row>
    <row r="2567" spans="1:11">
      <c r="A2567" s="14">
        <v>46169</v>
      </c>
      <c r="B2567" s="15">
        <v>0.6770833333333334</v>
      </c>
      <c r="C2567" s="5">
        <f>IF('96 Werte'!BO32="","",'96 Werte'!BO32)</f>
        <v/>
      </c>
      <c r="D2567" t="str">
        <f>IF(IF(Eingaben!$B$21&lt;Eingaben!$B$22,AND(B2567&gt;=Eingaben!$B$21,B2567&lt;Eingaben!$B$22),OR(B2567&gt;=Eingaben!$B$21,B2567&lt;Eingaben!$B$22)),"GO",IF(AND(ISNUMBER(Eingaben!$B$23),ISNUMBER(Eingaben!$B$24),IF(Eingaben!$B$23&lt;Eingaben!$B$24,AND(B2567&gt;=Eingaben!$B$23,B2567&lt;Eingaben!$B$24),OR(B2567&gt;=Eingaben!$B$23,B2567&lt;Eingaben!$B$24))),"HEAT","STANDARD"))</f>
        <v>STANDARD</v>
      </c>
      <c r="E2567" s="9"/>
      <c r="F2567" t="str">
        <f>IF(E2567="",D2567,E2567)</f>
        <v>STANDARD</v>
      </c>
      <c r="G2567" t="str">
        <f>INDEX(Netzzeiten!$B$6:$B$29,HOUR(B2567)+1)</f>
        <v>ST</v>
      </c>
      <c r="H2567" s="6">
        <f>IF(F2567="GO",Eingaben!$B$11,IF(F2567="STANDARD",Eingaben!$B$12,IF(AND(F2567="HEAT",ISNUMBER(Eingaben!$B$13)),Eingaben!$B$13,"")))</f>
        <v>28.2744</v>
      </c>
      <c r="I2567" s="6">
        <f>INDEX(Netzzeiten!$C$6:$C$29,HOUR(B2567)+1)</f>
        <v>5.48</v>
      </c>
      <c r="J2567" t="str">
        <f>IF(C2567="","FEHLT",IF(NOT(ISNUMBER(C2567)),"MESSWERT UNGUELTIG",IF(C2567&lt;0,"MESSWERT UNGUELTIG",IF(H2567="","TARIFPREIS FEHLT","OK"))))</f>
        <v>FEHLT</v>
      </c>
      <c r="K2567" s="7">
        <f>IF(J2567&lt;&gt;"OK","",C2567*I2567/100)</f>
        <v/>
      </c>
    </row>
    <row r="2568" spans="1:11">
      <c r="A2568" s="14">
        <v>46169</v>
      </c>
      <c r="B2568" s="15">
        <v>0.6875</v>
      </c>
      <c r="C2568" s="5">
        <f>IF('96 Werte'!BP32="","",'96 Werte'!BP32)</f>
        <v/>
      </c>
      <c r="D2568" t="str">
        <f>IF(IF(Eingaben!$B$21&lt;Eingaben!$B$22,AND(B2568&gt;=Eingaben!$B$21,B2568&lt;Eingaben!$B$22),OR(B2568&gt;=Eingaben!$B$21,B2568&lt;Eingaben!$B$22)),"GO",IF(AND(ISNUMBER(Eingaben!$B$23),ISNUMBER(Eingaben!$B$24),IF(Eingaben!$B$23&lt;Eingaben!$B$24,AND(B2568&gt;=Eingaben!$B$23,B2568&lt;Eingaben!$B$24),OR(B2568&gt;=Eingaben!$B$23,B2568&lt;Eingaben!$B$24))),"HEAT","STANDARD"))</f>
        <v>STANDARD</v>
      </c>
      <c r="E2568" s="9"/>
      <c r="F2568" t="str">
        <f>IF(E2568="",D2568,E2568)</f>
        <v>STANDARD</v>
      </c>
      <c r="G2568" t="str">
        <f>INDEX(Netzzeiten!$B$6:$B$29,HOUR(B2568)+1)</f>
        <v>ST</v>
      </c>
      <c r="H2568" s="6">
        <f>IF(F2568="GO",Eingaben!$B$11,IF(F2568="STANDARD",Eingaben!$B$12,IF(AND(F2568="HEAT",ISNUMBER(Eingaben!$B$13)),Eingaben!$B$13,"")))</f>
        <v>28.2744</v>
      </c>
      <c r="I2568" s="6">
        <f>INDEX(Netzzeiten!$C$6:$C$29,HOUR(B2568)+1)</f>
        <v>5.48</v>
      </c>
      <c r="J2568" t="str">
        <f>IF(C2568="","FEHLT",IF(NOT(ISNUMBER(C2568)),"MESSWERT UNGUELTIG",IF(C2568&lt;0,"MESSWERT UNGUELTIG",IF(H2568="","TARIFPREIS FEHLT","OK"))))</f>
        <v>FEHLT</v>
      </c>
      <c r="K2568" s="7">
        <f>IF(J2568&lt;&gt;"OK","",C2568*I2568/100)</f>
        <v/>
      </c>
    </row>
    <row r="2569" spans="1:11">
      <c r="A2569" s="14">
        <v>46169</v>
      </c>
      <c r="B2569" s="15">
        <v>0.6979166666666666</v>
      </c>
      <c r="C2569" s="5">
        <f>IF('96 Werte'!BQ32="","",'96 Werte'!BQ32)</f>
        <v/>
      </c>
      <c r="D2569" t="str">
        <f>IF(IF(Eingaben!$B$21&lt;Eingaben!$B$22,AND(B2569&gt;=Eingaben!$B$21,B2569&lt;Eingaben!$B$22),OR(B2569&gt;=Eingaben!$B$21,B2569&lt;Eingaben!$B$22)),"GO",IF(AND(ISNUMBER(Eingaben!$B$23),ISNUMBER(Eingaben!$B$24),IF(Eingaben!$B$23&lt;Eingaben!$B$24,AND(B2569&gt;=Eingaben!$B$23,B2569&lt;Eingaben!$B$24),OR(B2569&gt;=Eingaben!$B$23,B2569&lt;Eingaben!$B$24))),"HEAT","STANDARD"))</f>
        <v>STANDARD</v>
      </c>
      <c r="E2569" s="9"/>
      <c r="F2569" t="str">
        <f>IF(E2569="",D2569,E2569)</f>
        <v>STANDARD</v>
      </c>
      <c r="G2569" t="str">
        <f>INDEX(Netzzeiten!$B$6:$B$29,HOUR(B2569)+1)</f>
        <v>ST</v>
      </c>
      <c r="H2569" s="6">
        <f>IF(F2569="GO",Eingaben!$B$11,IF(F2569="STANDARD",Eingaben!$B$12,IF(AND(F2569="HEAT",ISNUMBER(Eingaben!$B$13)),Eingaben!$B$13,"")))</f>
        <v>28.2744</v>
      </c>
      <c r="I2569" s="6">
        <f>INDEX(Netzzeiten!$C$6:$C$29,HOUR(B2569)+1)</f>
        <v>5.48</v>
      </c>
      <c r="J2569" t="str">
        <f>IF(C2569="","FEHLT",IF(NOT(ISNUMBER(C2569)),"MESSWERT UNGUELTIG",IF(C2569&lt;0,"MESSWERT UNGUELTIG",IF(H2569="","TARIFPREIS FEHLT","OK"))))</f>
        <v>FEHLT</v>
      </c>
      <c r="K2569" s="7">
        <f>IF(J2569&lt;&gt;"OK","",C2569*I2569/100)</f>
        <v/>
      </c>
    </row>
    <row r="2570" spans="1:11">
      <c r="A2570" s="14">
        <v>46169</v>
      </c>
      <c r="B2570" s="15">
        <v>0.7083333333333334</v>
      </c>
      <c r="C2570" s="5">
        <f>IF('96 Werte'!BR32="","",'96 Werte'!BR32)</f>
        <v/>
      </c>
      <c r="D2570" t="str">
        <f>IF(IF(Eingaben!$B$21&lt;Eingaben!$B$22,AND(B2570&gt;=Eingaben!$B$21,B2570&lt;Eingaben!$B$22),OR(B2570&gt;=Eingaben!$B$21,B2570&lt;Eingaben!$B$22)),"GO",IF(AND(ISNUMBER(Eingaben!$B$23),ISNUMBER(Eingaben!$B$24),IF(Eingaben!$B$23&lt;Eingaben!$B$24,AND(B2570&gt;=Eingaben!$B$23,B2570&lt;Eingaben!$B$24),OR(B2570&gt;=Eingaben!$B$23,B2570&lt;Eingaben!$B$24))),"HEAT","STANDARD"))</f>
        <v>STANDARD</v>
      </c>
      <c r="E2570" s="9"/>
      <c r="F2570" t="str">
        <f>IF(E2570="",D2570,E2570)</f>
        <v>STANDARD</v>
      </c>
      <c r="G2570" t="str">
        <f>INDEX(Netzzeiten!$B$6:$B$29,HOUR(B2570)+1)</f>
        <v>HT</v>
      </c>
      <c r="H2570" s="6">
        <f>IF(F2570="GO",Eingaben!$B$11,IF(F2570="STANDARD",Eingaben!$B$12,IF(AND(F2570="HEAT",ISNUMBER(Eingaben!$B$13)),Eingaben!$B$13,"")))</f>
        <v>28.2744</v>
      </c>
      <c r="I2570" s="6">
        <f>INDEX(Netzzeiten!$C$6:$C$29,HOUR(B2570)+1)</f>
        <v>10.52</v>
      </c>
      <c r="J2570" t="str">
        <f>IF(C2570="","FEHLT",IF(NOT(ISNUMBER(C2570)),"MESSWERT UNGUELTIG",IF(C2570&lt;0,"MESSWERT UNGUELTIG",IF(H2570="","TARIFPREIS FEHLT","OK"))))</f>
        <v>FEHLT</v>
      </c>
      <c r="K2570" s="7">
        <f>IF(J2570&lt;&gt;"OK","",C2570*I2570/100)</f>
        <v/>
      </c>
    </row>
    <row r="2571" spans="1:11">
      <c r="A2571" s="14">
        <v>46169</v>
      </c>
      <c r="B2571" s="15">
        <v>0.71875</v>
      </c>
      <c r="C2571" s="5">
        <f>IF('96 Werte'!BS32="","",'96 Werte'!BS32)</f>
        <v/>
      </c>
      <c r="D2571" t="str">
        <f>IF(IF(Eingaben!$B$21&lt;Eingaben!$B$22,AND(B2571&gt;=Eingaben!$B$21,B2571&lt;Eingaben!$B$22),OR(B2571&gt;=Eingaben!$B$21,B2571&lt;Eingaben!$B$22)),"GO",IF(AND(ISNUMBER(Eingaben!$B$23),ISNUMBER(Eingaben!$B$24),IF(Eingaben!$B$23&lt;Eingaben!$B$24,AND(B2571&gt;=Eingaben!$B$23,B2571&lt;Eingaben!$B$24),OR(B2571&gt;=Eingaben!$B$23,B2571&lt;Eingaben!$B$24))),"HEAT","STANDARD"))</f>
        <v>STANDARD</v>
      </c>
      <c r="E2571" s="9"/>
      <c r="F2571" t="str">
        <f>IF(E2571="",D2571,E2571)</f>
        <v>STANDARD</v>
      </c>
      <c r="G2571" t="str">
        <f>INDEX(Netzzeiten!$B$6:$B$29,HOUR(B2571)+1)</f>
        <v>HT</v>
      </c>
      <c r="H2571" s="6">
        <f>IF(F2571="GO",Eingaben!$B$11,IF(F2571="STANDARD",Eingaben!$B$12,IF(AND(F2571="HEAT",ISNUMBER(Eingaben!$B$13)),Eingaben!$B$13,"")))</f>
        <v>28.2744</v>
      </c>
      <c r="I2571" s="6">
        <f>INDEX(Netzzeiten!$C$6:$C$29,HOUR(B2571)+1)</f>
        <v>10.52</v>
      </c>
      <c r="J2571" t="str">
        <f>IF(C2571="","FEHLT",IF(NOT(ISNUMBER(C2571)),"MESSWERT UNGUELTIG",IF(C2571&lt;0,"MESSWERT UNGUELTIG",IF(H2571="","TARIFPREIS FEHLT","OK"))))</f>
        <v>FEHLT</v>
      </c>
      <c r="K2571" s="7">
        <f>IF(J2571&lt;&gt;"OK","",C2571*I2571/100)</f>
        <v/>
      </c>
    </row>
    <row r="2572" spans="1:11">
      <c r="A2572" s="14">
        <v>46169</v>
      </c>
      <c r="B2572" s="15">
        <v>0.7291666666666666</v>
      </c>
      <c r="C2572" s="5">
        <f>IF('96 Werte'!BT32="","",'96 Werte'!BT32)</f>
        <v/>
      </c>
      <c r="D2572" t="str">
        <f>IF(IF(Eingaben!$B$21&lt;Eingaben!$B$22,AND(B2572&gt;=Eingaben!$B$21,B2572&lt;Eingaben!$B$22),OR(B2572&gt;=Eingaben!$B$21,B2572&lt;Eingaben!$B$22)),"GO",IF(AND(ISNUMBER(Eingaben!$B$23),ISNUMBER(Eingaben!$B$24),IF(Eingaben!$B$23&lt;Eingaben!$B$24,AND(B2572&gt;=Eingaben!$B$23,B2572&lt;Eingaben!$B$24),OR(B2572&gt;=Eingaben!$B$23,B2572&lt;Eingaben!$B$24))),"HEAT","STANDARD"))</f>
        <v>STANDARD</v>
      </c>
      <c r="E2572" s="9"/>
      <c r="F2572" t="str">
        <f>IF(E2572="",D2572,E2572)</f>
        <v>STANDARD</v>
      </c>
      <c r="G2572" t="str">
        <f>INDEX(Netzzeiten!$B$6:$B$29,HOUR(B2572)+1)</f>
        <v>HT</v>
      </c>
      <c r="H2572" s="6">
        <f>IF(F2572="GO",Eingaben!$B$11,IF(F2572="STANDARD",Eingaben!$B$12,IF(AND(F2572="HEAT",ISNUMBER(Eingaben!$B$13)),Eingaben!$B$13,"")))</f>
        <v>28.2744</v>
      </c>
      <c r="I2572" s="6">
        <f>INDEX(Netzzeiten!$C$6:$C$29,HOUR(B2572)+1)</f>
        <v>10.52</v>
      </c>
      <c r="J2572" t="str">
        <f>IF(C2572="","FEHLT",IF(NOT(ISNUMBER(C2572)),"MESSWERT UNGUELTIG",IF(C2572&lt;0,"MESSWERT UNGUELTIG",IF(H2572="","TARIFPREIS FEHLT","OK"))))</f>
        <v>FEHLT</v>
      </c>
      <c r="K2572" s="7">
        <f>IF(J2572&lt;&gt;"OK","",C2572*I2572/100)</f>
        <v/>
      </c>
    </row>
    <row r="2573" spans="1:11">
      <c r="A2573" s="14">
        <v>46169</v>
      </c>
      <c r="B2573" s="15">
        <v>0.7395833333333334</v>
      </c>
      <c r="C2573" s="5">
        <f>IF('96 Werte'!BU32="","",'96 Werte'!BU32)</f>
        <v/>
      </c>
      <c r="D2573" t="str">
        <f>IF(IF(Eingaben!$B$21&lt;Eingaben!$B$22,AND(B2573&gt;=Eingaben!$B$21,B2573&lt;Eingaben!$B$22),OR(B2573&gt;=Eingaben!$B$21,B2573&lt;Eingaben!$B$22)),"GO",IF(AND(ISNUMBER(Eingaben!$B$23),ISNUMBER(Eingaben!$B$24),IF(Eingaben!$B$23&lt;Eingaben!$B$24,AND(B2573&gt;=Eingaben!$B$23,B2573&lt;Eingaben!$B$24),OR(B2573&gt;=Eingaben!$B$23,B2573&lt;Eingaben!$B$24))),"HEAT","STANDARD"))</f>
        <v>STANDARD</v>
      </c>
      <c r="E2573" s="9"/>
      <c r="F2573" t="str">
        <f>IF(E2573="",D2573,E2573)</f>
        <v>STANDARD</v>
      </c>
      <c r="G2573" t="str">
        <f>INDEX(Netzzeiten!$B$6:$B$29,HOUR(B2573)+1)</f>
        <v>HT</v>
      </c>
      <c r="H2573" s="6">
        <f>IF(F2573="GO",Eingaben!$B$11,IF(F2573="STANDARD",Eingaben!$B$12,IF(AND(F2573="HEAT",ISNUMBER(Eingaben!$B$13)),Eingaben!$B$13,"")))</f>
        <v>28.2744</v>
      </c>
      <c r="I2573" s="6">
        <f>INDEX(Netzzeiten!$C$6:$C$29,HOUR(B2573)+1)</f>
        <v>10.52</v>
      </c>
      <c r="J2573" t="str">
        <f>IF(C2573="","FEHLT",IF(NOT(ISNUMBER(C2573)),"MESSWERT UNGUELTIG",IF(C2573&lt;0,"MESSWERT UNGUELTIG",IF(H2573="","TARIFPREIS FEHLT","OK"))))</f>
        <v>FEHLT</v>
      </c>
      <c r="K2573" s="7">
        <f>IF(J2573&lt;&gt;"OK","",C2573*I2573/100)</f>
        <v/>
      </c>
    </row>
    <row r="2574" spans="1:11">
      <c r="A2574" s="14">
        <v>46169</v>
      </c>
      <c r="B2574" s="15">
        <v>0.75</v>
      </c>
      <c r="C2574" s="5">
        <f>IF('96 Werte'!BV32="","",'96 Werte'!BV32)</f>
        <v/>
      </c>
      <c r="D2574" t="str">
        <f>IF(IF(Eingaben!$B$21&lt;Eingaben!$B$22,AND(B2574&gt;=Eingaben!$B$21,B2574&lt;Eingaben!$B$22),OR(B2574&gt;=Eingaben!$B$21,B2574&lt;Eingaben!$B$22)),"GO",IF(AND(ISNUMBER(Eingaben!$B$23),ISNUMBER(Eingaben!$B$24),IF(Eingaben!$B$23&lt;Eingaben!$B$24,AND(B2574&gt;=Eingaben!$B$23,B2574&lt;Eingaben!$B$24),OR(B2574&gt;=Eingaben!$B$23,B2574&lt;Eingaben!$B$24))),"HEAT","STANDARD"))</f>
        <v>STANDARD</v>
      </c>
      <c r="E2574" s="9"/>
      <c r="F2574" t="str">
        <f>IF(E2574="",D2574,E2574)</f>
        <v>STANDARD</v>
      </c>
      <c r="G2574" t="str">
        <f>INDEX(Netzzeiten!$B$6:$B$29,HOUR(B2574)+1)</f>
        <v>HT</v>
      </c>
      <c r="H2574" s="6">
        <f>IF(F2574="GO",Eingaben!$B$11,IF(F2574="STANDARD",Eingaben!$B$12,IF(AND(F2574="HEAT",ISNUMBER(Eingaben!$B$13)),Eingaben!$B$13,"")))</f>
        <v>28.2744</v>
      </c>
      <c r="I2574" s="6">
        <f>INDEX(Netzzeiten!$C$6:$C$29,HOUR(B2574)+1)</f>
        <v>10.52</v>
      </c>
      <c r="J2574" t="str">
        <f>IF(C2574="","FEHLT",IF(NOT(ISNUMBER(C2574)),"MESSWERT UNGUELTIG",IF(C2574&lt;0,"MESSWERT UNGUELTIG",IF(H2574="","TARIFPREIS FEHLT","OK"))))</f>
        <v>FEHLT</v>
      </c>
      <c r="K2574" s="7">
        <f>IF(J2574&lt;&gt;"OK","",C2574*I2574/100)</f>
        <v/>
      </c>
    </row>
    <row r="2575" spans="1:11">
      <c r="A2575" s="14">
        <v>46169</v>
      </c>
      <c r="B2575" s="15">
        <v>0.7604166666666666</v>
      </c>
      <c r="C2575" s="5">
        <f>IF('96 Werte'!BW32="","",'96 Werte'!BW32)</f>
        <v/>
      </c>
      <c r="D2575" t="str">
        <f>IF(IF(Eingaben!$B$21&lt;Eingaben!$B$22,AND(B2575&gt;=Eingaben!$B$21,B2575&lt;Eingaben!$B$22),OR(B2575&gt;=Eingaben!$B$21,B2575&lt;Eingaben!$B$22)),"GO",IF(AND(ISNUMBER(Eingaben!$B$23),ISNUMBER(Eingaben!$B$24),IF(Eingaben!$B$23&lt;Eingaben!$B$24,AND(B2575&gt;=Eingaben!$B$23,B2575&lt;Eingaben!$B$24),OR(B2575&gt;=Eingaben!$B$23,B2575&lt;Eingaben!$B$24))),"HEAT","STANDARD"))</f>
        <v>STANDARD</v>
      </c>
      <c r="E2575" s="9"/>
      <c r="F2575" t="str">
        <f>IF(E2575="",D2575,E2575)</f>
        <v>STANDARD</v>
      </c>
      <c r="G2575" t="str">
        <f>INDEX(Netzzeiten!$B$6:$B$29,HOUR(B2575)+1)</f>
        <v>HT</v>
      </c>
      <c r="H2575" s="6">
        <f>IF(F2575="GO",Eingaben!$B$11,IF(F2575="STANDARD",Eingaben!$B$12,IF(AND(F2575="HEAT",ISNUMBER(Eingaben!$B$13)),Eingaben!$B$13,"")))</f>
        <v>28.2744</v>
      </c>
      <c r="I2575" s="6">
        <f>INDEX(Netzzeiten!$C$6:$C$29,HOUR(B2575)+1)</f>
        <v>10.52</v>
      </c>
      <c r="J2575" t="str">
        <f>IF(C2575="","FEHLT",IF(NOT(ISNUMBER(C2575)),"MESSWERT UNGUELTIG",IF(C2575&lt;0,"MESSWERT UNGUELTIG",IF(H2575="","TARIFPREIS FEHLT","OK"))))</f>
        <v>FEHLT</v>
      </c>
      <c r="K2575" s="7">
        <f>IF(J2575&lt;&gt;"OK","",C2575*I2575/100)</f>
        <v/>
      </c>
    </row>
    <row r="2576" spans="1:11">
      <c r="A2576" s="14">
        <v>46169</v>
      </c>
      <c r="B2576" s="15">
        <v>0.7708333333333334</v>
      </c>
      <c r="C2576" s="5">
        <f>IF('96 Werte'!BX32="","",'96 Werte'!BX32)</f>
        <v/>
      </c>
      <c r="D2576" t="str">
        <f>IF(IF(Eingaben!$B$21&lt;Eingaben!$B$22,AND(B2576&gt;=Eingaben!$B$21,B2576&lt;Eingaben!$B$22),OR(B2576&gt;=Eingaben!$B$21,B2576&lt;Eingaben!$B$22)),"GO",IF(AND(ISNUMBER(Eingaben!$B$23),ISNUMBER(Eingaben!$B$24),IF(Eingaben!$B$23&lt;Eingaben!$B$24,AND(B2576&gt;=Eingaben!$B$23,B2576&lt;Eingaben!$B$24),OR(B2576&gt;=Eingaben!$B$23,B2576&lt;Eingaben!$B$24))),"HEAT","STANDARD"))</f>
        <v>STANDARD</v>
      </c>
      <c r="E2576" s="9"/>
      <c r="F2576" t="str">
        <f>IF(E2576="",D2576,E2576)</f>
        <v>STANDARD</v>
      </c>
      <c r="G2576" t="str">
        <f>INDEX(Netzzeiten!$B$6:$B$29,HOUR(B2576)+1)</f>
        <v>HT</v>
      </c>
      <c r="H2576" s="6">
        <f>IF(F2576="GO",Eingaben!$B$11,IF(F2576="STANDARD",Eingaben!$B$12,IF(AND(F2576="HEAT",ISNUMBER(Eingaben!$B$13)),Eingaben!$B$13,"")))</f>
        <v>28.2744</v>
      </c>
      <c r="I2576" s="6">
        <f>INDEX(Netzzeiten!$C$6:$C$29,HOUR(B2576)+1)</f>
        <v>10.52</v>
      </c>
      <c r="J2576" t="str">
        <f>IF(C2576="","FEHLT",IF(NOT(ISNUMBER(C2576)),"MESSWERT UNGUELTIG",IF(C2576&lt;0,"MESSWERT UNGUELTIG",IF(H2576="","TARIFPREIS FEHLT","OK"))))</f>
        <v>FEHLT</v>
      </c>
      <c r="K2576" s="7">
        <f>IF(J2576&lt;&gt;"OK","",C2576*I2576/100)</f>
        <v/>
      </c>
    </row>
    <row r="2577" spans="1:11">
      <c r="A2577" s="14">
        <v>46169</v>
      </c>
      <c r="B2577" s="15">
        <v>0.78125</v>
      </c>
      <c r="C2577" s="5">
        <f>IF('96 Werte'!BY32="","",'96 Werte'!BY32)</f>
        <v/>
      </c>
      <c r="D2577" t="str">
        <f>IF(IF(Eingaben!$B$21&lt;Eingaben!$B$22,AND(B2577&gt;=Eingaben!$B$21,B2577&lt;Eingaben!$B$22),OR(B2577&gt;=Eingaben!$B$21,B2577&lt;Eingaben!$B$22)),"GO",IF(AND(ISNUMBER(Eingaben!$B$23),ISNUMBER(Eingaben!$B$24),IF(Eingaben!$B$23&lt;Eingaben!$B$24,AND(B2577&gt;=Eingaben!$B$23,B2577&lt;Eingaben!$B$24),OR(B2577&gt;=Eingaben!$B$23,B2577&lt;Eingaben!$B$24))),"HEAT","STANDARD"))</f>
        <v>STANDARD</v>
      </c>
      <c r="E2577" s="9"/>
      <c r="F2577" t="str">
        <f>IF(E2577="",D2577,E2577)</f>
        <v>STANDARD</v>
      </c>
      <c r="G2577" t="str">
        <f>INDEX(Netzzeiten!$B$6:$B$29,HOUR(B2577)+1)</f>
        <v>HT</v>
      </c>
      <c r="H2577" s="6">
        <f>IF(F2577="GO",Eingaben!$B$11,IF(F2577="STANDARD",Eingaben!$B$12,IF(AND(F2577="HEAT",ISNUMBER(Eingaben!$B$13)),Eingaben!$B$13,"")))</f>
        <v>28.2744</v>
      </c>
      <c r="I2577" s="6">
        <f>INDEX(Netzzeiten!$C$6:$C$29,HOUR(B2577)+1)</f>
        <v>10.52</v>
      </c>
      <c r="J2577" t="str">
        <f>IF(C2577="","FEHLT",IF(NOT(ISNUMBER(C2577)),"MESSWERT UNGUELTIG",IF(C2577&lt;0,"MESSWERT UNGUELTIG",IF(H2577="","TARIFPREIS FEHLT","OK"))))</f>
        <v>FEHLT</v>
      </c>
      <c r="K2577" s="7">
        <f>IF(J2577&lt;&gt;"OK","",C2577*I2577/100)</f>
        <v/>
      </c>
    </row>
    <row r="2578" spans="1:11">
      <c r="A2578" s="14">
        <v>46169</v>
      </c>
      <c r="B2578" s="15">
        <v>0.7916666666666666</v>
      </c>
      <c r="C2578" s="5">
        <f>IF('96 Werte'!BZ32="","",'96 Werte'!BZ32)</f>
        <v/>
      </c>
      <c r="D2578" t="str">
        <f>IF(IF(Eingaben!$B$21&lt;Eingaben!$B$22,AND(B2578&gt;=Eingaben!$B$21,B2578&lt;Eingaben!$B$22),OR(B2578&gt;=Eingaben!$B$21,B2578&lt;Eingaben!$B$22)),"GO",IF(AND(ISNUMBER(Eingaben!$B$23),ISNUMBER(Eingaben!$B$24),IF(Eingaben!$B$23&lt;Eingaben!$B$24,AND(B2578&gt;=Eingaben!$B$23,B2578&lt;Eingaben!$B$24),OR(B2578&gt;=Eingaben!$B$23,B2578&lt;Eingaben!$B$24))),"HEAT","STANDARD"))</f>
        <v>STANDARD</v>
      </c>
      <c r="E2578" s="9"/>
      <c r="F2578" t="str">
        <f>IF(E2578="",D2578,E2578)</f>
        <v>STANDARD</v>
      </c>
      <c r="G2578" t="str">
        <f>INDEX(Netzzeiten!$B$6:$B$29,HOUR(B2578)+1)</f>
        <v>HT</v>
      </c>
      <c r="H2578" s="6">
        <f>IF(F2578="GO",Eingaben!$B$11,IF(F2578="STANDARD",Eingaben!$B$12,IF(AND(F2578="HEAT",ISNUMBER(Eingaben!$B$13)),Eingaben!$B$13,"")))</f>
        <v>28.2744</v>
      </c>
      <c r="I2578" s="6">
        <f>INDEX(Netzzeiten!$C$6:$C$29,HOUR(B2578)+1)</f>
        <v>10.52</v>
      </c>
      <c r="J2578" t="str">
        <f>IF(C2578="","FEHLT",IF(NOT(ISNUMBER(C2578)),"MESSWERT UNGUELTIG",IF(C2578&lt;0,"MESSWERT UNGUELTIG",IF(H2578="","TARIFPREIS FEHLT","OK"))))</f>
        <v>FEHLT</v>
      </c>
      <c r="K2578" s="7">
        <f>IF(J2578&lt;&gt;"OK","",C2578*I2578/100)</f>
        <v/>
      </c>
    </row>
    <row r="2579" spans="1:11">
      <c r="A2579" s="14">
        <v>46169</v>
      </c>
      <c r="B2579" s="15">
        <v>0.8020833333333334</v>
      </c>
      <c r="C2579" s="5">
        <f>IF('96 Werte'!CA32="","",'96 Werte'!CA32)</f>
        <v/>
      </c>
      <c r="D2579" t="str">
        <f>IF(IF(Eingaben!$B$21&lt;Eingaben!$B$22,AND(B2579&gt;=Eingaben!$B$21,B2579&lt;Eingaben!$B$22),OR(B2579&gt;=Eingaben!$B$21,B2579&lt;Eingaben!$B$22)),"GO",IF(AND(ISNUMBER(Eingaben!$B$23),ISNUMBER(Eingaben!$B$24),IF(Eingaben!$B$23&lt;Eingaben!$B$24,AND(B2579&gt;=Eingaben!$B$23,B2579&lt;Eingaben!$B$24),OR(B2579&gt;=Eingaben!$B$23,B2579&lt;Eingaben!$B$24))),"HEAT","STANDARD"))</f>
        <v>STANDARD</v>
      </c>
      <c r="E2579" s="9"/>
      <c r="F2579" t="str">
        <f>IF(E2579="",D2579,E2579)</f>
        <v>STANDARD</v>
      </c>
      <c r="G2579" t="str">
        <f>INDEX(Netzzeiten!$B$6:$B$29,HOUR(B2579)+1)</f>
        <v>HT</v>
      </c>
      <c r="H2579" s="6">
        <f>IF(F2579="GO",Eingaben!$B$11,IF(F2579="STANDARD",Eingaben!$B$12,IF(AND(F2579="HEAT",ISNUMBER(Eingaben!$B$13)),Eingaben!$B$13,"")))</f>
        <v>28.2744</v>
      </c>
      <c r="I2579" s="6">
        <f>INDEX(Netzzeiten!$C$6:$C$29,HOUR(B2579)+1)</f>
        <v>10.52</v>
      </c>
      <c r="J2579" t="str">
        <f>IF(C2579="","FEHLT",IF(NOT(ISNUMBER(C2579)),"MESSWERT UNGUELTIG",IF(C2579&lt;0,"MESSWERT UNGUELTIG",IF(H2579="","TARIFPREIS FEHLT","OK"))))</f>
        <v>FEHLT</v>
      </c>
      <c r="K2579" s="7">
        <f>IF(J2579&lt;&gt;"OK","",C2579*I2579/100)</f>
        <v/>
      </c>
    </row>
    <row r="2580" spans="1:11">
      <c r="A2580" s="14">
        <v>46169</v>
      </c>
      <c r="B2580" s="15">
        <v>0.8125</v>
      </c>
      <c r="C2580" s="5">
        <f>IF('96 Werte'!CB32="","",'96 Werte'!CB32)</f>
        <v/>
      </c>
      <c r="D2580" t="str">
        <f>IF(IF(Eingaben!$B$21&lt;Eingaben!$B$22,AND(B2580&gt;=Eingaben!$B$21,B2580&lt;Eingaben!$B$22),OR(B2580&gt;=Eingaben!$B$21,B2580&lt;Eingaben!$B$22)),"GO",IF(AND(ISNUMBER(Eingaben!$B$23),ISNUMBER(Eingaben!$B$24),IF(Eingaben!$B$23&lt;Eingaben!$B$24,AND(B2580&gt;=Eingaben!$B$23,B2580&lt;Eingaben!$B$24),OR(B2580&gt;=Eingaben!$B$23,B2580&lt;Eingaben!$B$24))),"HEAT","STANDARD"))</f>
        <v>STANDARD</v>
      </c>
      <c r="E2580" s="9"/>
      <c r="F2580" t="str">
        <f>IF(E2580="",D2580,E2580)</f>
        <v>STANDARD</v>
      </c>
      <c r="G2580" t="str">
        <f>INDEX(Netzzeiten!$B$6:$B$29,HOUR(B2580)+1)</f>
        <v>HT</v>
      </c>
      <c r="H2580" s="6">
        <f>IF(F2580="GO",Eingaben!$B$11,IF(F2580="STANDARD",Eingaben!$B$12,IF(AND(F2580="HEAT",ISNUMBER(Eingaben!$B$13)),Eingaben!$B$13,"")))</f>
        <v>28.2744</v>
      </c>
      <c r="I2580" s="6">
        <f>INDEX(Netzzeiten!$C$6:$C$29,HOUR(B2580)+1)</f>
        <v>10.52</v>
      </c>
      <c r="J2580" t="str">
        <f>IF(C2580="","FEHLT",IF(NOT(ISNUMBER(C2580)),"MESSWERT UNGUELTIG",IF(C2580&lt;0,"MESSWERT UNGUELTIG",IF(H2580="","TARIFPREIS FEHLT","OK"))))</f>
        <v>FEHLT</v>
      </c>
      <c r="K2580" s="7">
        <f>IF(J2580&lt;&gt;"OK","",C2580*I2580/100)</f>
        <v/>
      </c>
    </row>
    <row r="2581" spans="1:11">
      <c r="A2581" s="14">
        <v>46169</v>
      </c>
      <c r="B2581" s="15">
        <v>0.8229166666666666</v>
      </c>
      <c r="C2581" s="5">
        <f>IF('96 Werte'!CC32="","",'96 Werte'!CC32)</f>
        <v/>
      </c>
      <c r="D2581" t="str">
        <f>IF(IF(Eingaben!$B$21&lt;Eingaben!$B$22,AND(B2581&gt;=Eingaben!$B$21,B2581&lt;Eingaben!$B$22),OR(B2581&gt;=Eingaben!$B$21,B2581&lt;Eingaben!$B$22)),"GO",IF(AND(ISNUMBER(Eingaben!$B$23),ISNUMBER(Eingaben!$B$24),IF(Eingaben!$B$23&lt;Eingaben!$B$24,AND(B2581&gt;=Eingaben!$B$23,B2581&lt;Eingaben!$B$24),OR(B2581&gt;=Eingaben!$B$23,B2581&lt;Eingaben!$B$24))),"HEAT","STANDARD"))</f>
        <v>STANDARD</v>
      </c>
      <c r="E2581" s="9"/>
      <c r="F2581" t="str">
        <f>IF(E2581="",D2581,E2581)</f>
        <v>STANDARD</v>
      </c>
      <c r="G2581" t="str">
        <f>INDEX(Netzzeiten!$B$6:$B$29,HOUR(B2581)+1)</f>
        <v>HT</v>
      </c>
      <c r="H2581" s="6">
        <f>IF(F2581="GO",Eingaben!$B$11,IF(F2581="STANDARD",Eingaben!$B$12,IF(AND(F2581="HEAT",ISNUMBER(Eingaben!$B$13)),Eingaben!$B$13,"")))</f>
        <v>28.2744</v>
      </c>
      <c r="I2581" s="6">
        <f>INDEX(Netzzeiten!$C$6:$C$29,HOUR(B2581)+1)</f>
        <v>10.52</v>
      </c>
      <c r="J2581" t="str">
        <f>IF(C2581="","FEHLT",IF(NOT(ISNUMBER(C2581)),"MESSWERT UNGUELTIG",IF(C2581&lt;0,"MESSWERT UNGUELTIG",IF(H2581="","TARIFPREIS FEHLT","OK"))))</f>
        <v>FEHLT</v>
      </c>
      <c r="K2581" s="7">
        <f>IF(J2581&lt;&gt;"OK","",C2581*I2581/100)</f>
        <v/>
      </c>
    </row>
    <row r="2582" spans="1:11">
      <c r="A2582" s="14">
        <v>46169</v>
      </c>
      <c r="B2582" s="15">
        <v>0.8333333333333334</v>
      </c>
      <c r="C2582" s="5">
        <f>IF('96 Werte'!CD32="","",'96 Werte'!CD32)</f>
        <v/>
      </c>
      <c r="D2582" t="str">
        <f>IF(IF(Eingaben!$B$21&lt;Eingaben!$B$22,AND(B2582&gt;=Eingaben!$B$21,B2582&lt;Eingaben!$B$22),OR(B2582&gt;=Eingaben!$B$21,B2582&lt;Eingaben!$B$22)),"GO",IF(AND(ISNUMBER(Eingaben!$B$23),ISNUMBER(Eingaben!$B$24),IF(Eingaben!$B$23&lt;Eingaben!$B$24,AND(B2582&gt;=Eingaben!$B$23,B2582&lt;Eingaben!$B$24),OR(B2582&gt;=Eingaben!$B$23,B2582&lt;Eingaben!$B$24))),"HEAT","STANDARD"))</f>
        <v>STANDARD</v>
      </c>
      <c r="E2582" s="9"/>
      <c r="F2582" t="str">
        <f>IF(E2582="",D2582,E2582)</f>
        <v>STANDARD</v>
      </c>
      <c r="G2582" t="str">
        <f>INDEX(Netzzeiten!$B$6:$B$29,HOUR(B2582)+1)</f>
        <v>HT</v>
      </c>
      <c r="H2582" s="6">
        <f>IF(F2582="GO",Eingaben!$B$11,IF(F2582="STANDARD",Eingaben!$B$12,IF(AND(F2582="HEAT",ISNUMBER(Eingaben!$B$13)),Eingaben!$B$13,"")))</f>
        <v>28.2744</v>
      </c>
      <c r="I2582" s="6">
        <f>INDEX(Netzzeiten!$C$6:$C$29,HOUR(B2582)+1)</f>
        <v>10.52</v>
      </c>
      <c r="J2582" t="str">
        <f>IF(C2582="","FEHLT",IF(NOT(ISNUMBER(C2582)),"MESSWERT UNGUELTIG",IF(C2582&lt;0,"MESSWERT UNGUELTIG",IF(H2582="","TARIFPREIS FEHLT","OK"))))</f>
        <v>FEHLT</v>
      </c>
      <c r="K2582" s="7">
        <f>IF(J2582&lt;&gt;"OK","",C2582*I2582/100)</f>
        <v/>
      </c>
    </row>
    <row r="2583" spans="1:11">
      <c r="A2583" s="14">
        <v>46169</v>
      </c>
      <c r="B2583" s="15">
        <v>0.84375</v>
      </c>
      <c r="C2583" s="5">
        <f>IF('96 Werte'!CE32="","",'96 Werte'!CE32)</f>
        <v/>
      </c>
      <c r="D2583" t="str">
        <f>IF(IF(Eingaben!$B$21&lt;Eingaben!$B$22,AND(B2583&gt;=Eingaben!$B$21,B2583&lt;Eingaben!$B$22),OR(B2583&gt;=Eingaben!$B$21,B2583&lt;Eingaben!$B$22)),"GO",IF(AND(ISNUMBER(Eingaben!$B$23),ISNUMBER(Eingaben!$B$24),IF(Eingaben!$B$23&lt;Eingaben!$B$24,AND(B2583&gt;=Eingaben!$B$23,B2583&lt;Eingaben!$B$24),OR(B2583&gt;=Eingaben!$B$23,B2583&lt;Eingaben!$B$24))),"HEAT","STANDARD"))</f>
        <v>STANDARD</v>
      </c>
      <c r="E2583" s="9"/>
      <c r="F2583" t="str">
        <f>IF(E2583="",D2583,E2583)</f>
        <v>STANDARD</v>
      </c>
      <c r="G2583" t="str">
        <f>INDEX(Netzzeiten!$B$6:$B$29,HOUR(B2583)+1)</f>
        <v>HT</v>
      </c>
      <c r="H2583" s="6">
        <f>IF(F2583="GO",Eingaben!$B$11,IF(F2583="STANDARD",Eingaben!$B$12,IF(AND(F2583="HEAT",ISNUMBER(Eingaben!$B$13)),Eingaben!$B$13,"")))</f>
        <v>28.2744</v>
      </c>
      <c r="I2583" s="6">
        <f>INDEX(Netzzeiten!$C$6:$C$29,HOUR(B2583)+1)</f>
        <v>10.52</v>
      </c>
      <c r="J2583" t="str">
        <f>IF(C2583="","FEHLT",IF(NOT(ISNUMBER(C2583)),"MESSWERT UNGUELTIG",IF(C2583&lt;0,"MESSWERT UNGUELTIG",IF(H2583="","TARIFPREIS FEHLT","OK"))))</f>
        <v>FEHLT</v>
      </c>
      <c r="K2583" s="7">
        <f>IF(J2583&lt;&gt;"OK","",C2583*I2583/100)</f>
        <v/>
      </c>
    </row>
    <row r="2584" spans="1:11">
      <c r="A2584" s="14">
        <v>46169</v>
      </c>
      <c r="B2584" s="15">
        <v>0.8541666666666666</v>
      </c>
      <c r="C2584" s="5">
        <f>IF('96 Werte'!CF32="","",'96 Werte'!CF32)</f>
        <v/>
      </c>
      <c r="D2584" t="str">
        <f>IF(IF(Eingaben!$B$21&lt;Eingaben!$B$22,AND(B2584&gt;=Eingaben!$B$21,B2584&lt;Eingaben!$B$22),OR(B2584&gt;=Eingaben!$B$21,B2584&lt;Eingaben!$B$22)),"GO",IF(AND(ISNUMBER(Eingaben!$B$23),ISNUMBER(Eingaben!$B$24),IF(Eingaben!$B$23&lt;Eingaben!$B$24,AND(B2584&gt;=Eingaben!$B$23,B2584&lt;Eingaben!$B$24),OR(B2584&gt;=Eingaben!$B$23,B2584&lt;Eingaben!$B$24))),"HEAT","STANDARD"))</f>
        <v>STANDARD</v>
      </c>
      <c r="E2584" s="9"/>
      <c r="F2584" t="str">
        <f>IF(E2584="",D2584,E2584)</f>
        <v>STANDARD</v>
      </c>
      <c r="G2584" t="str">
        <f>INDEX(Netzzeiten!$B$6:$B$29,HOUR(B2584)+1)</f>
        <v>HT</v>
      </c>
      <c r="H2584" s="6">
        <f>IF(F2584="GO",Eingaben!$B$11,IF(F2584="STANDARD",Eingaben!$B$12,IF(AND(F2584="HEAT",ISNUMBER(Eingaben!$B$13)),Eingaben!$B$13,"")))</f>
        <v>28.2744</v>
      </c>
      <c r="I2584" s="6">
        <f>INDEX(Netzzeiten!$C$6:$C$29,HOUR(B2584)+1)</f>
        <v>10.52</v>
      </c>
      <c r="J2584" t="str">
        <f>IF(C2584="","FEHLT",IF(NOT(ISNUMBER(C2584)),"MESSWERT UNGUELTIG",IF(C2584&lt;0,"MESSWERT UNGUELTIG",IF(H2584="","TARIFPREIS FEHLT","OK"))))</f>
        <v>FEHLT</v>
      </c>
      <c r="K2584" s="7">
        <f>IF(J2584&lt;&gt;"OK","",C2584*I2584/100)</f>
        <v/>
      </c>
    </row>
    <row r="2585" spans="1:11">
      <c r="A2585" s="14">
        <v>46169</v>
      </c>
      <c r="B2585" s="15">
        <v>0.8645833333333334</v>
      </c>
      <c r="C2585" s="5">
        <f>IF('96 Werte'!CG32="","",'96 Werte'!CG32)</f>
        <v/>
      </c>
      <c r="D2585" t="str">
        <f>IF(IF(Eingaben!$B$21&lt;Eingaben!$B$22,AND(B2585&gt;=Eingaben!$B$21,B2585&lt;Eingaben!$B$22),OR(B2585&gt;=Eingaben!$B$21,B2585&lt;Eingaben!$B$22)),"GO",IF(AND(ISNUMBER(Eingaben!$B$23),ISNUMBER(Eingaben!$B$24),IF(Eingaben!$B$23&lt;Eingaben!$B$24,AND(B2585&gt;=Eingaben!$B$23,B2585&lt;Eingaben!$B$24),OR(B2585&gt;=Eingaben!$B$23,B2585&lt;Eingaben!$B$24))),"HEAT","STANDARD"))</f>
        <v>STANDARD</v>
      </c>
      <c r="E2585" s="9"/>
      <c r="F2585" t="str">
        <f>IF(E2585="",D2585,E2585)</f>
        <v>STANDARD</v>
      </c>
      <c r="G2585" t="str">
        <f>INDEX(Netzzeiten!$B$6:$B$29,HOUR(B2585)+1)</f>
        <v>HT</v>
      </c>
      <c r="H2585" s="6">
        <f>IF(F2585="GO",Eingaben!$B$11,IF(F2585="STANDARD",Eingaben!$B$12,IF(AND(F2585="HEAT",ISNUMBER(Eingaben!$B$13)),Eingaben!$B$13,"")))</f>
        <v>28.2744</v>
      </c>
      <c r="I2585" s="6">
        <f>INDEX(Netzzeiten!$C$6:$C$29,HOUR(B2585)+1)</f>
        <v>10.52</v>
      </c>
      <c r="J2585" t="str">
        <f>IF(C2585="","FEHLT",IF(NOT(ISNUMBER(C2585)),"MESSWERT UNGUELTIG",IF(C2585&lt;0,"MESSWERT UNGUELTIG",IF(H2585="","TARIFPREIS FEHLT","OK"))))</f>
        <v>FEHLT</v>
      </c>
      <c r="K2585" s="7">
        <f>IF(J2585&lt;&gt;"OK","",C2585*I2585/100)</f>
        <v/>
      </c>
    </row>
    <row r="2586" spans="1:11">
      <c r="A2586" s="14">
        <v>46169</v>
      </c>
      <c r="B2586" s="15">
        <v>0.875</v>
      </c>
      <c r="C2586" s="5">
        <f>IF('96 Werte'!CH32="","",'96 Werte'!CH32)</f>
        <v/>
      </c>
      <c r="D2586" t="str">
        <f>IF(IF(Eingaben!$B$21&lt;Eingaben!$B$22,AND(B2586&gt;=Eingaben!$B$21,B2586&lt;Eingaben!$B$22),OR(B2586&gt;=Eingaben!$B$21,B2586&lt;Eingaben!$B$22)),"GO",IF(AND(ISNUMBER(Eingaben!$B$23),ISNUMBER(Eingaben!$B$24),IF(Eingaben!$B$23&lt;Eingaben!$B$24,AND(B2586&gt;=Eingaben!$B$23,B2586&lt;Eingaben!$B$24),OR(B2586&gt;=Eingaben!$B$23,B2586&lt;Eingaben!$B$24))),"HEAT","STANDARD"))</f>
        <v>STANDARD</v>
      </c>
      <c r="E2586" s="9"/>
      <c r="F2586" t="str">
        <f>IF(E2586="",D2586,E2586)</f>
        <v>STANDARD</v>
      </c>
      <c r="G2586" t="str">
        <f>INDEX(Netzzeiten!$B$6:$B$29,HOUR(B2586)+1)</f>
        <v>HT</v>
      </c>
      <c r="H2586" s="6">
        <f>IF(F2586="GO",Eingaben!$B$11,IF(F2586="STANDARD",Eingaben!$B$12,IF(AND(F2586="HEAT",ISNUMBER(Eingaben!$B$13)),Eingaben!$B$13,"")))</f>
        <v>28.2744</v>
      </c>
      <c r="I2586" s="6">
        <f>INDEX(Netzzeiten!$C$6:$C$29,HOUR(B2586)+1)</f>
        <v>10.52</v>
      </c>
      <c r="J2586" t="str">
        <f>IF(C2586="","FEHLT",IF(NOT(ISNUMBER(C2586)),"MESSWERT UNGUELTIG",IF(C2586&lt;0,"MESSWERT UNGUELTIG",IF(H2586="","TARIFPREIS FEHLT","OK"))))</f>
        <v>FEHLT</v>
      </c>
      <c r="K2586" s="7">
        <f>IF(J2586&lt;&gt;"OK","",C2586*I2586/100)</f>
        <v/>
      </c>
    </row>
    <row r="2587" spans="1:11">
      <c r="A2587" s="14">
        <v>46169</v>
      </c>
      <c r="B2587" s="15">
        <v>0.8854166666666666</v>
      </c>
      <c r="C2587" s="5">
        <f>IF('96 Werte'!CI32="","",'96 Werte'!CI32)</f>
        <v/>
      </c>
      <c r="D2587" t="str">
        <f>IF(IF(Eingaben!$B$21&lt;Eingaben!$B$22,AND(B2587&gt;=Eingaben!$B$21,B2587&lt;Eingaben!$B$22),OR(B2587&gt;=Eingaben!$B$21,B2587&lt;Eingaben!$B$22)),"GO",IF(AND(ISNUMBER(Eingaben!$B$23),ISNUMBER(Eingaben!$B$24),IF(Eingaben!$B$23&lt;Eingaben!$B$24,AND(B2587&gt;=Eingaben!$B$23,B2587&lt;Eingaben!$B$24),OR(B2587&gt;=Eingaben!$B$23,B2587&lt;Eingaben!$B$24))),"HEAT","STANDARD"))</f>
        <v>STANDARD</v>
      </c>
      <c r="E2587" s="9"/>
      <c r="F2587" t="str">
        <f>IF(E2587="",D2587,E2587)</f>
        <v>STANDARD</v>
      </c>
      <c r="G2587" t="str">
        <f>INDEX(Netzzeiten!$B$6:$B$29,HOUR(B2587)+1)</f>
        <v>HT</v>
      </c>
      <c r="H2587" s="6">
        <f>IF(F2587="GO",Eingaben!$B$11,IF(F2587="STANDARD",Eingaben!$B$12,IF(AND(F2587="HEAT",ISNUMBER(Eingaben!$B$13)),Eingaben!$B$13,"")))</f>
        <v>28.2744</v>
      </c>
      <c r="I2587" s="6">
        <f>INDEX(Netzzeiten!$C$6:$C$29,HOUR(B2587)+1)</f>
        <v>10.52</v>
      </c>
      <c r="J2587" t="str">
        <f>IF(C2587="","FEHLT",IF(NOT(ISNUMBER(C2587)),"MESSWERT UNGUELTIG",IF(C2587&lt;0,"MESSWERT UNGUELTIG",IF(H2587="","TARIFPREIS FEHLT","OK"))))</f>
        <v>FEHLT</v>
      </c>
      <c r="K2587" s="7">
        <f>IF(J2587&lt;&gt;"OK","",C2587*I2587/100)</f>
        <v/>
      </c>
    </row>
    <row r="2588" spans="1:11">
      <c r="A2588" s="14">
        <v>46169</v>
      </c>
      <c r="B2588" s="15">
        <v>0.8958333333333334</v>
      </c>
      <c r="C2588" s="5">
        <f>IF('96 Werte'!CJ32="","",'96 Werte'!CJ32)</f>
        <v/>
      </c>
      <c r="D2588" t="str">
        <f>IF(IF(Eingaben!$B$21&lt;Eingaben!$B$22,AND(B2588&gt;=Eingaben!$B$21,B2588&lt;Eingaben!$B$22),OR(B2588&gt;=Eingaben!$B$21,B2588&lt;Eingaben!$B$22)),"GO",IF(AND(ISNUMBER(Eingaben!$B$23),ISNUMBER(Eingaben!$B$24),IF(Eingaben!$B$23&lt;Eingaben!$B$24,AND(B2588&gt;=Eingaben!$B$23,B2588&lt;Eingaben!$B$24),OR(B2588&gt;=Eingaben!$B$23,B2588&lt;Eingaben!$B$24))),"HEAT","STANDARD"))</f>
        <v>STANDARD</v>
      </c>
      <c r="E2588" s="9"/>
      <c r="F2588" t="str">
        <f>IF(E2588="",D2588,E2588)</f>
        <v>STANDARD</v>
      </c>
      <c r="G2588" t="str">
        <f>INDEX(Netzzeiten!$B$6:$B$29,HOUR(B2588)+1)</f>
        <v>HT</v>
      </c>
      <c r="H2588" s="6">
        <f>IF(F2588="GO",Eingaben!$B$11,IF(F2588="STANDARD",Eingaben!$B$12,IF(AND(F2588="HEAT",ISNUMBER(Eingaben!$B$13)),Eingaben!$B$13,"")))</f>
        <v>28.2744</v>
      </c>
      <c r="I2588" s="6">
        <f>INDEX(Netzzeiten!$C$6:$C$29,HOUR(B2588)+1)</f>
        <v>10.52</v>
      </c>
      <c r="J2588" t="str">
        <f>IF(C2588="","FEHLT",IF(NOT(ISNUMBER(C2588)),"MESSWERT UNGUELTIG",IF(C2588&lt;0,"MESSWERT UNGUELTIG",IF(H2588="","TARIFPREIS FEHLT","OK"))))</f>
        <v>FEHLT</v>
      </c>
      <c r="K2588" s="7">
        <f>IF(J2588&lt;&gt;"OK","",C2588*I2588/100)</f>
        <v/>
      </c>
    </row>
    <row r="2589" spans="1:11">
      <c r="A2589" s="14">
        <v>46169</v>
      </c>
      <c r="B2589" s="15">
        <v>0.90625</v>
      </c>
      <c r="C2589" s="5">
        <f>IF('96 Werte'!CK32="","",'96 Werte'!CK32)</f>
        <v/>
      </c>
      <c r="D2589" t="str">
        <f>IF(IF(Eingaben!$B$21&lt;Eingaben!$B$22,AND(B2589&gt;=Eingaben!$B$21,B2589&lt;Eingaben!$B$22),OR(B2589&gt;=Eingaben!$B$21,B2589&lt;Eingaben!$B$22)),"GO",IF(AND(ISNUMBER(Eingaben!$B$23),ISNUMBER(Eingaben!$B$24),IF(Eingaben!$B$23&lt;Eingaben!$B$24,AND(B2589&gt;=Eingaben!$B$23,B2589&lt;Eingaben!$B$24),OR(B2589&gt;=Eingaben!$B$23,B2589&lt;Eingaben!$B$24))),"HEAT","STANDARD"))</f>
        <v>STANDARD</v>
      </c>
      <c r="E2589" s="9"/>
      <c r="F2589" t="str">
        <f>IF(E2589="",D2589,E2589)</f>
        <v>STANDARD</v>
      </c>
      <c r="G2589" t="str">
        <f>INDEX(Netzzeiten!$B$6:$B$29,HOUR(B2589)+1)</f>
        <v>HT</v>
      </c>
      <c r="H2589" s="6">
        <f>IF(F2589="GO",Eingaben!$B$11,IF(F2589="STANDARD",Eingaben!$B$12,IF(AND(F2589="HEAT",ISNUMBER(Eingaben!$B$13)),Eingaben!$B$13,"")))</f>
        <v>28.2744</v>
      </c>
      <c r="I2589" s="6">
        <f>INDEX(Netzzeiten!$C$6:$C$29,HOUR(B2589)+1)</f>
        <v>10.52</v>
      </c>
      <c r="J2589" t="str">
        <f>IF(C2589="","FEHLT",IF(NOT(ISNUMBER(C2589)),"MESSWERT UNGUELTIG",IF(C2589&lt;0,"MESSWERT UNGUELTIG",IF(H2589="","TARIFPREIS FEHLT","OK"))))</f>
        <v>FEHLT</v>
      </c>
      <c r="K2589" s="7">
        <f>IF(J2589&lt;&gt;"OK","",C2589*I2589/100)</f>
        <v/>
      </c>
    </row>
    <row r="2590" spans="1:11">
      <c r="A2590" s="14">
        <v>46169</v>
      </c>
      <c r="B2590" s="15">
        <v>0.9166666666666666</v>
      </c>
      <c r="C2590" s="5">
        <f>IF('96 Werte'!CL32="","",'96 Werte'!CL32)</f>
        <v/>
      </c>
      <c r="D2590" t="str">
        <f>IF(IF(Eingaben!$B$21&lt;Eingaben!$B$22,AND(B2590&gt;=Eingaben!$B$21,B2590&lt;Eingaben!$B$22),OR(B2590&gt;=Eingaben!$B$21,B2590&lt;Eingaben!$B$22)),"GO",IF(AND(ISNUMBER(Eingaben!$B$23),ISNUMBER(Eingaben!$B$24),IF(Eingaben!$B$23&lt;Eingaben!$B$24,AND(B2590&gt;=Eingaben!$B$23,B2590&lt;Eingaben!$B$24),OR(B2590&gt;=Eingaben!$B$23,B2590&lt;Eingaben!$B$24))),"HEAT","STANDARD"))</f>
        <v>STANDARD</v>
      </c>
      <c r="E2590" s="9"/>
      <c r="F2590" t="str">
        <f>IF(E2590="",D2590,E2590)</f>
        <v>STANDARD</v>
      </c>
      <c r="G2590" t="str">
        <f>INDEX(Netzzeiten!$B$6:$B$29,HOUR(B2590)+1)</f>
        <v>ST</v>
      </c>
      <c r="H2590" s="6">
        <f>IF(F2590="GO",Eingaben!$B$11,IF(F2590="STANDARD",Eingaben!$B$12,IF(AND(F2590="HEAT",ISNUMBER(Eingaben!$B$13)),Eingaben!$B$13,"")))</f>
        <v>28.2744</v>
      </c>
      <c r="I2590" s="6">
        <f>INDEX(Netzzeiten!$C$6:$C$29,HOUR(B2590)+1)</f>
        <v>5.48</v>
      </c>
      <c r="J2590" t="str">
        <f>IF(C2590="","FEHLT",IF(NOT(ISNUMBER(C2590)),"MESSWERT UNGUELTIG",IF(C2590&lt;0,"MESSWERT UNGUELTIG",IF(H2590="","TARIFPREIS FEHLT","OK"))))</f>
        <v>FEHLT</v>
      </c>
      <c r="K2590" s="7">
        <f>IF(J2590&lt;&gt;"OK","",C2590*I2590/100)</f>
        <v/>
      </c>
    </row>
    <row r="2591" spans="1:11">
      <c r="A2591" s="14">
        <v>46169</v>
      </c>
      <c r="B2591" s="15">
        <v>0.9270833333333334</v>
      </c>
      <c r="C2591" s="5">
        <f>IF('96 Werte'!CM32="","",'96 Werte'!CM32)</f>
        <v/>
      </c>
      <c r="D2591" t="str">
        <f>IF(IF(Eingaben!$B$21&lt;Eingaben!$B$22,AND(B2591&gt;=Eingaben!$B$21,B2591&lt;Eingaben!$B$22),OR(B2591&gt;=Eingaben!$B$21,B2591&lt;Eingaben!$B$22)),"GO",IF(AND(ISNUMBER(Eingaben!$B$23),ISNUMBER(Eingaben!$B$24),IF(Eingaben!$B$23&lt;Eingaben!$B$24,AND(B2591&gt;=Eingaben!$B$23,B2591&lt;Eingaben!$B$24),OR(B2591&gt;=Eingaben!$B$23,B2591&lt;Eingaben!$B$24))),"HEAT","STANDARD"))</f>
        <v>STANDARD</v>
      </c>
      <c r="E2591" s="9"/>
      <c r="F2591" t="str">
        <f>IF(E2591="",D2591,E2591)</f>
        <v>STANDARD</v>
      </c>
      <c r="G2591" t="str">
        <f>INDEX(Netzzeiten!$B$6:$B$29,HOUR(B2591)+1)</f>
        <v>ST</v>
      </c>
      <c r="H2591" s="6">
        <f>IF(F2591="GO",Eingaben!$B$11,IF(F2591="STANDARD",Eingaben!$B$12,IF(AND(F2591="HEAT",ISNUMBER(Eingaben!$B$13)),Eingaben!$B$13,"")))</f>
        <v>28.2744</v>
      </c>
      <c r="I2591" s="6">
        <f>INDEX(Netzzeiten!$C$6:$C$29,HOUR(B2591)+1)</f>
        <v>5.48</v>
      </c>
      <c r="J2591" t="str">
        <f>IF(C2591="","FEHLT",IF(NOT(ISNUMBER(C2591)),"MESSWERT UNGUELTIG",IF(C2591&lt;0,"MESSWERT UNGUELTIG",IF(H2591="","TARIFPREIS FEHLT","OK"))))</f>
        <v>FEHLT</v>
      </c>
      <c r="K2591" s="7">
        <f>IF(J2591&lt;&gt;"OK","",C2591*I2591/100)</f>
        <v/>
      </c>
    </row>
    <row r="2592" spans="1:11">
      <c r="A2592" s="14">
        <v>46169</v>
      </c>
      <c r="B2592" s="15">
        <v>0.9375</v>
      </c>
      <c r="C2592" s="5">
        <f>IF('96 Werte'!CN32="","",'96 Werte'!CN32)</f>
        <v/>
      </c>
      <c r="D2592" t="str">
        <f>IF(IF(Eingaben!$B$21&lt;Eingaben!$B$22,AND(B2592&gt;=Eingaben!$B$21,B2592&lt;Eingaben!$B$22),OR(B2592&gt;=Eingaben!$B$21,B2592&lt;Eingaben!$B$22)),"GO",IF(AND(ISNUMBER(Eingaben!$B$23),ISNUMBER(Eingaben!$B$24),IF(Eingaben!$B$23&lt;Eingaben!$B$24,AND(B2592&gt;=Eingaben!$B$23,B2592&lt;Eingaben!$B$24),OR(B2592&gt;=Eingaben!$B$23,B2592&lt;Eingaben!$B$24))),"HEAT","STANDARD"))</f>
        <v>STANDARD</v>
      </c>
      <c r="E2592" s="9"/>
      <c r="F2592" t="str">
        <f>IF(E2592="",D2592,E2592)</f>
        <v>STANDARD</v>
      </c>
      <c r="G2592" t="str">
        <f>INDEX(Netzzeiten!$B$6:$B$29,HOUR(B2592)+1)</f>
        <v>ST</v>
      </c>
      <c r="H2592" s="6">
        <f>IF(F2592="GO",Eingaben!$B$11,IF(F2592="STANDARD",Eingaben!$B$12,IF(AND(F2592="HEAT",ISNUMBER(Eingaben!$B$13)),Eingaben!$B$13,"")))</f>
        <v>28.2744</v>
      </c>
      <c r="I2592" s="6">
        <f>INDEX(Netzzeiten!$C$6:$C$29,HOUR(B2592)+1)</f>
        <v>5.48</v>
      </c>
      <c r="J2592" t="str">
        <f>IF(C2592="","FEHLT",IF(NOT(ISNUMBER(C2592)),"MESSWERT UNGUELTIG",IF(C2592&lt;0,"MESSWERT UNGUELTIG",IF(H2592="","TARIFPREIS FEHLT","OK"))))</f>
        <v>FEHLT</v>
      </c>
      <c r="K2592" s="7">
        <f>IF(J2592&lt;&gt;"OK","",C2592*I2592/100)</f>
        <v/>
      </c>
    </row>
    <row r="2593" spans="1:11">
      <c r="A2593" s="14">
        <v>46169</v>
      </c>
      <c r="B2593" s="15">
        <v>0.9479166666666666</v>
      </c>
      <c r="C2593" s="5">
        <f>IF('96 Werte'!CO32="","",'96 Werte'!CO32)</f>
        <v/>
      </c>
      <c r="D2593" t="str">
        <f>IF(IF(Eingaben!$B$21&lt;Eingaben!$B$22,AND(B2593&gt;=Eingaben!$B$21,B2593&lt;Eingaben!$B$22),OR(B2593&gt;=Eingaben!$B$21,B2593&lt;Eingaben!$B$22)),"GO",IF(AND(ISNUMBER(Eingaben!$B$23),ISNUMBER(Eingaben!$B$24),IF(Eingaben!$B$23&lt;Eingaben!$B$24,AND(B2593&gt;=Eingaben!$B$23,B2593&lt;Eingaben!$B$24),OR(B2593&gt;=Eingaben!$B$23,B2593&lt;Eingaben!$B$24))),"HEAT","STANDARD"))</f>
        <v>STANDARD</v>
      </c>
      <c r="E2593" s="9"/>
      <c r="F2593" t="str">
        <f>IF(E2593="",D2593,E2593)</f>
        <v>STANDARD</v>
      </c>
      <c r="G2593" t="str">
        <f>INDEX(Netzzeiten!$B$6:$B$29,HOUR(B2593)+1)</f>
        <v>ST</v>
      </c>
      <c r="H2593" s="6">
        <f>IF(F2593="GO",Eingaben!$B$11,IF(F2593="STANDARD",Eingaben!$B$12,IF(AND(F2593="HEAT",ISNUMBER(Eingaben!$B$13)),Eingaben!$B$13,"")))</f>
        <v>28.2744</v>
      </c>
      <c r="I2593" s="6">
        <f>INDEX(Netzzeiten!$C$6:$C$29,HOUR(B2593)+1)</f>
        <v>5.48</v>
      </c>
      <c r="J2593" t="str">
        <f>IF(C2593="","FEHLT",IF(NOT(ISNUMBER(C2593)),"MESSWERT UNGUELTIG",IF(C2593&lt;0,"MESSWERT UNGUELTIG",IF(H2593="","TARIFPREIS FEHLT","OK"))))</f>
        <v>FEHLT</v>
      </c>
      <c r="K2593" s="7">
        <f>IF(J2593&lt;&gt;"OK","",C2593*I2593/100)</f>
        <v/>
      </c>
    </row>
    <row r="2594" spans="1:11">
      <c r="A2594" s="14">
        <v>46169</v>
      </c>
      <c r="B2594" s="15">
        <v>0.9583333333333334</v>
      </c>
      <c r="C2594" s="5">
        <f>IF('96 Werte'!CP32="","",'96 Werte'!CP32)</f>
        <v/>
      </c>
      <c r="D2594" t="str">
        <f>IF(IF(Eingaben!$B$21&lt;Eingaben!$B$22,AND(B2594&gt;=Eingaben!$B$21,B2594&lt;Eingaben!$B$22),OR(B2594&gt;=Eingaben!$B$21,B2594&lt;Eingaben!$B$22)),"GO",IF(AND(ISNUMBER(Eingaben!$B$23),ISNUMBER(Eingaben!$B$24),IF(Eingaben!$B$23&lt;Eingaben!$B$24,AND(B2594&gt;=Eingaben!$B$23,B2594&lt;Eingaben!$B$24),OR(B2594&gt;=Eingaben!$B$23,B2594&lt;Eingaben!$B$24))),"HEAT","STANDARD"))</f>
        <v>STANDARD</v>
      </c>
      <c r="E2594" s="9"/>
      <c r="F2594" t="str">
        <f>IF(E2594="",D2594,E2594)</f>
        <v>STANDARD</v>
      </c>
      <c r="G2594" t="str">
        <f>INDEX(Netzzeiten!$B$6:$B$29,HOUR(B2594)+1)</f>
        <v>NT</v>
      </c>
      <c r="H2594" s="6">
        <f>IF(F2594="GO",Eingaben!$B$11,IF(F2594="STANDARD",Eingaben!$B$12,IF(AND(F2594="HEAT",ISNUMBER(Eingaben!$B$13)),Eingaben!$B$13,"")))</f>
        <v>28.2744</v>
      </c>
      <c r="I2594" s="6">
        <f>INDEX(Netzzeiten!$C$6:$C$29,HOUR(B2594)+1)</f>
        <v>1.64</v>
      </c>
      <c r="J2594" t="str">
        <f>IF(C2594="","FEHLT",IF(NOT(ISNUMBER(C2594)),"MESSWERT UNGUELTIG",IF(C2594&lt;0,"MESSWERT UNGUELTIG",IF(H2594="","TARIFPREIS FEHLT","OK"))))</f>
        <v>FEHLT</v>
      </c>
      <c r="K2594" s="7">
        <f>IF(J2594&lt;&gt;"OK","",C2594*I2594/100)</f>
        <v/>
      </c>
    </row>
    <row r="2595" spans="1:11">
      <c r="A2595" s="14">
        <v>46169</v>
      </c>
      <c r="B2595" s="15">
        <v>0.96875</v>
      </c>
      <c r="C2595" s="5">
        <f>IF('96 Werte'!CQ32="","",'96 Werte'!CQ32)</f>
        <v/>
      </c>
      <c r="D2595" t="str">
        <f>IF(IF(Eingaben!$B$21&lt;Eingaben!$B$22,AND(B2595&gt;=Eingaben!$B$21,B2595&lt;Eingaben!$B$22),OR(B2595&gt;=Eingaben!$B$21,B2595&lt;Eingaben!$B$22)),"GO",IF(AND(ISNUMBER(Eingaben!$B$23),ISNUMBER(Eingaben!$B$24),IF(Eingaben!$B$23&lt;Eingaben!$B$24,AND(B2595&gt;=Eingaben!$B$23,B2595&lt;Eingaben!$B$24),OR(B2595&gt;=Eingaben!$B$23,B2595&lt;Eingaben!$B$24))),"HEAT","STANDARD"))</f>
        <v>STANDARD</v>
      </c>
      <c r="E2595" s="9"/>
      <c r="F2595" t="str">
        <f>IF(E2595="",D2595,E2595)</f>
        <v>STANDARD</v>
      </c>
      <c r="G2595" t="str">
        <f>INDEX(Netzzeiten!$B$6:$B$29,HOUR(B2595)+1)</f>
        <v>NT</v>
      </c>
      <c r="H2595" s="6">
        <f>IF(F2595="GO",Eingaben!$B$11,IF(F2595="STANDARD",Eingaben!$B$12,IF(AND(F2595="HEAT",ISNUMBER(Eingaben!$B$13)),Eingaben!$B$13,"")))</f>
        <v>28.2744</v>
      </c>
      <c r="I2595" s="6">
        <f>INDEX(Netzzeiten!$C$6:$C$29,HOUR(B2595)+1)</f>
        <v>1.64</v>
      </c>
      <c r="J2595" t="str">
        <f>IF(C2595="","FEHLT",IF(NOT(ISNUMBER(C2595)),"MESSWERT UNGUELTIG",IF(C2595&lt;0,"MESSWERT UNGUELTIG",IF(H2595="","TARIFPREIS FEHLT","OK"))))</f>
        <v>FEHLT</v>
      </c>
      <c r="K2595" s="7">
        <f>IF(J2595&lt;&gt;"OK","",C2595*I2595/100)</f>
        <v/>
      </c>
    </row>
    <row r="2596" spans="1:11">
      <c r="A2596" s="14">
        <v>46169</v>
      </c>
      <c r="B2596" s="15">
        <v>0.9791666666666666</v>
      </c>
      <c r="C2596" s="5">
        <f>IF('96 Werte'!CR32="","",'96 Werte'!CR32)</f>
        <v/>
      </c>
      <c r="D2596" t="str">
        <f>IF(IF(Eingaben!$B$21&lt;Eingaben!$B$22,AND(B2596&gt;=Eingaben!$B$21,B2596&lt;Eingaben!$B$22),OR(B2596&gt;=Eingaben!$B$21,B2596&lt;Eingaben!$B$22)),"GO",IF(AND(ISNUMBER(Eingaben!$B$23),ISNUMBER(Eingaben!$B$24),IF(Eingaben!$B$23&lt;Eingaben!$B$24,AND(B2596&gt;=Eingaben!$B$23,B2596&lt;Eingaben!$B$24),OR(B2596&gt;=Eingaben!$B$23,B2596&lt;Eingaben!$B$24))),"HEAT","STANDARD"))</f>
        <v>STANDARD</v>
      </c>
      <c r="E2596" s="9"/>
      <c r="F2596" t="str">
        <f>IF(E2596="",D2596,E2596)</f>
        <v>STANDARD</v>
      </c>
      <c r="G2596" t="str">
        <f>INDEX(Netzzeiten!$B$6:$B$29,HOUR(B2596)+1)</f>
        <v>NT</v>
      </c>
      <c r="H2596" s="6">
        <f>IF(F2596="GO",Eingaben!$B$11,IF(F2596="STANDARD",Eingaben!$B$12,IF(AND(F2596="HEAT",ISNUMBER(Eingaben!$B$13)),Eingaben!$B$13,"")))</f>
        <v>28.2744</v>
      </c>
      <c r="I2596" s="6">
        <f>INDEX(Netzzeiten!$C$6:$C$29,HOUR(B2596)+1)</f>
        <v>1.64</v>
      </c>
      <c r="J2596" t="str">
        <f>IF(C2596="","FEHLT",IF(NOT(ISNUMBER(C2596)),"MESSWERT UNGUELTIG",IF(C2596&lt;0,"MESSWERT UNGUELTIG",IF(H2596="","TARIFPREIS FEHLT","OK"))))</f>
        <v>FEHLT</v>
      </c>
      <c r="K2596" s="7">
        <f>IF(J2596&lt;&gt;"OK","",C2596*I2596/100)</f>
        <v/>
      </c>
    </row>
    <row r="2597" spans="1:11">
      <c r="A2597" s="14">
        <v>46169</v>
      </c>
      <c r="B2597" s="15">
        <v>0.9895833333333334</v>
      </c>
      <c r="C2597" s="5">
        <f>IF('96 Werte'!CS32="","",'96 Werte'!CS32)</f>
        <v/>
      </c>
      <c r="D2597" t="str">
        <f>IF(IF(Eingaben!$B$21&lt;Eingaben!$B$22,AND(B2597&gt;=Eingaben!$B$21,B2597&lt;Eingaben!$B$22),OR(B2597&gt;=Eingaben!$B$21,B2597&lt;Eingaben!$B$22)),"GO",IF(AND(ISNUMBER(Eingaben!$B$23),ISNUMBER(Eingaben!$B$24),IF(Eingaben!$B$23&lt;Eingaben!$B$24,AND(B2597&gt;=Eingaben!$B$23,B2597&lt;Eingaben!$B$24),OR(B2597&gt;=Eingaben!$B$23,B2597&lt;Eingaben!$B$24))),"HEAT","STANDARD"))</f>
        <v>STANDARD</v>
      </c>
      <c r="E2597" s="9"/>
      <c r="F2597" t="str">
        <f>IF(E2597="",D2597,E2597)</f>
        <v>STANDARD</v>
      </c>
      <c r="G2597" t="str">
        <f>INDEX(Netzzeiten!$B$6:$B$29,HOUR(B2597)+1)</f>
        <v>NT</v>
      </c>
      <c r="H2597" s="6">
        <f>IF(F2597="GO",Eingaben!$B$11,IF(F2597="STANDARD",Eingaben!$B$12,IF(AND(F2597="HEAT",ISNUMBER(Eingaben!$B$13)),Eingaben!$B$13,"")))</f>
        <v>28.2744</v>
      </c>
      <c r="I2597" s="6">
        <f>INDEX(Netzzeiten!$C$6:$C$29,HOUR(B2597)+1)</f>
        <v>1.64</v>
      </c>
      <c r="J2597" t="str">
        <f>IF(C2597="","FEHLT",IF(NOT(ISNUMBER(C2597)),"MESSWERT UNGUELTIG",IF(C2597&lt;0,"MESSWERT UNGUELTIG",IF(H2597="","TARIFPREIS FEHLT","OK"))))</f>
        <v>FEHLT</v>
      </c>
      <c r="K2597" s="7">
        <f>IF(J2597&lt;&gt;"OK","",C2597*I2597/100)</f>
        <v/>
      </c>
    </row>
    <row r="2598" spans="1:11">
      <c r="A2598" s="14">
        <v>46170</v>
      </c>
      <c r="B2598" s="15">
        <v>0</v>
      </c>
      <c r="C2598" s="5">
        <f>IF('96 Werte'!B33="","",'96 Werte'!B33)</f>
        <v/>
      </c>
      <c r="D2598" t="str">
        <f>IF(IF(Eingaben!$B$21&lt;Eingaben!$B$22,AND(B2598&gt;=Eingaben!$B$21,B2598&lt;Eingaben!$B$22),OR(B2598&gt;=Eingaben!$B$21,B2598&lt;Eingaben!$B$22)),"GO",IF(AND(ISNUMBER(Eingaben!$B$23),ISNUMBER(Eingaben!$B$24),IF(Eingaben!$B$23&lt;Eingaben!$B$24,AND(B2598&gt;=Eingaben!$B$23,B2598&lt;Eingaben!$B$24),OR(B2598&gt;=Eingaben!$B$23,B2598&lt;Eingaben!$B$24))),"HEAT","STANDARD"))</f>
        <v>GO</v>
      </c>
      <c r="E2598" s="9"/>
      <c r="F2598" t="str">
        <f>IF(E2598="",D2598,E2598)</f>
        <v>GO</v>
      </c>
      <c r="G2598" t="str">
        <f>INDEX(Netzzeiten!$B$6:$B$29,HOUR(B2598)+1)</f>
        <v>NT</v>
      </c>
      <c r="H2598" s="6">
        <f>IF(F2598="GO",Eingaben!$B$11,IF(F2598="STANDARD",Eingaben!$B$12,IF(AND(F2598="HEAT",ISNUMBER(Eingaben!$B$13)),Eingaben!$B$13,"")))</f>
        <v>15.0654</v>
      </c>
      <c r="I2598" s="6">
        <f>INDEX(Netzzeiten!$C$6:$C$29,HOUR(B2598)+1)</f>
        <v>1.64</v>
      </c>
      <c r="J2598" t="str">
        <f>IF(C2598="","FEHLT",IF(NOT(ISNUMBER(C2598)),"MESSWERT UNGUELTIG",IF(C2598&lt;0,"MESSWERT UNGUELTIG",IF(H2598="","TARIFPREIS FEHLT","OK"))))</f>
        <v>FEHLT</v>
      </c>
      <c r="K2598" s="7">
        <f>IF(J2598&lt;&gt;"OK","",C2598*I2598/100)</f>
        <v/>
      </c>
    </row>
    <row r="2599" spans="1:11">
      <c r="A2599" s="14">
        <v>46170</v>
      </c>
      <c r="B2599" s="15">
        <v>0.01041666666666667</v>
      </c>
      <c r="C2599" s="5">
        <f>IF('96 Werte'!C33="","",'96 Werte'!C33)</f>
        <v/>
      </c>
      <c r="D2599" t="str">
        <f>IF(IF(Eingaben!$B$21&lt;Eingaben!$B$22,AND(B2599&gt;=Eingaben!$B$21,B2599&lt;Eingaben!$B$22),OR(B2599&gt;=Eingaben!$B$21,B2599&lt;Eingaben!$B$22)),"GO",IF(AND(ISNUMBER(Eingaben!$B$23),ISNUMBER(Eingaben!$B$24),IF(Eingaben!$B$23&lt;Eingaben!$B$24,AND(B2599&gt;=Eingaben!$B$23,B2599&lt;Eingaben!$B$24),OR(B2599&gt;=Eingaben!$B$23,B2599&lt;Eingaben!$B$24))),"HEAT","STANDARD"))</f>
        <v>GO</v>
      </c>
      <c r="E2599" s="9"/>
      <c r="F2599" t="str">
        <f>IF(E2599="",D2599,E2599)</f>
        <v>GO</v>
      </c>
      <c r="G2599" t="str">
        <f>INDEX(Netzzeiten!$B$6:$B$29,HOUR(B2599)+1)</f>
        <v>NT</v>
      </c>
      <c r="H2599" s="6">
        <f>IF(F2599="GO",Eingaben!$B$11,IF(F2599="STANDARD",Eingaben!$B$12,IF(AND(F2599="HEAT",ISNUMBER(Eingaben!$B$13)),Eingaben!$B$13,"")))</f>
        <v>15.0654</v>
      </c>
      <c r="I2599" s="6">
        <f>INDEX(Netzzeiten!$C$6:$C$29,HOUR(B2599)+1)</f>
        <v>1.64</v>
      </c>
      <c r="J2599" t="str">
        <f>IF(C2599="","FEHLT",IF(NOT(ISNUMBER(C2599)),"MESSWERT UNGUELTIG",IF(C2599&lt;0,"MESSWERT UNGUELTIG",IF(H2599="","TARIFPREIS FEHLT","OK"))))</f>
        <v>FEHLT</v>
      </c>
      <c r="K2599" s="7">
        <f>IF(J2599&lt;&gt;"OK","",C2599*I2599/100)</f>
        <v/>
      </c>
    </row>
    <row r="2600" spans="1:11">
      <c r="A2600" s="14">
        <v>46170</v>
      </c>
      <c r="B2600" s="15">
        <v>0.02083333333333333</v>
      </c>
      <c r="C2600" s="5">
        <f>IF('96 Werte'!D33="","",'96 Werte'!D33)</f>
        <v/>
      </c>
      <c r="D2600" t="str">
        <f>IF(IF(Eingaben!$B$21&lt;Eingaben!$B$22,AND(B2600&gt;=Eingaben!$B$21,B2600&lt;Eingaben!$B$22),OR(B2600&gt;=Eingaben!$B$21,B2600&lt;Eingaben!$B$22)),"GO",IF(AND(ISNUMBER(Eingaben!$B$23),ISNUMBER(Eingaben!$B$24),IF(Eingaben!$B$23&lt;Eingaben!$B$24,AND(B2600&gt;=Eingaben!$B$23,B2600&lt;Eingaben!$B$24),OR(B2600&gt;=Eingaben!$B$23,B2600&lt;Eingaben!$B$24))),"HEAT","STANDARD"))</f>
        <v>GO</v>
      </c>
      <c r="E2600" s="9"/>
      <c r="F2600" t="str">
        <f>IF(E2600="",D2600,E2600)</f>
        <v>GO</v>
      </c>
      <c r="G2600" t="str">
        <f>INDEX(Netzzeiten!$B$6:$B$29,HOUR(B2600)+1)</f>
        <v>NT</v>
      </c>
      <c r="H2600" s="6">
        <f>IF(F2600="GO",Eingaben!$B$11,IF(F2600="STANDARD",Eingaben!$B$12,IF(AND(F2600="HEAT",ISNUMBER(Eingaben!$B$13)),Eingaben!$B$13,"")))</f>
        <v>15.0654</v>
      </c>
      <c r="I2600" s="6">
        <f>INDEX(Netzzeiten!$C$6:$C$29,HOUR(B2600)+1)</f>
        <v>1.64</v>
      </c>
      <c r="J2600" t="str">
        <f>IF(C2600="","FEHLT",IF(NOT(ISNUMBER(C2600)),"MESSWERT UNGUELTIG",IF(C2600&lt;0,"MESSWERT UNGUELTIG",IF(H2600="","TARIFPREIS FEHLT","OK"))))</f>
        <v>FEHLT</v>
      </c>
      <c r="K2600" s="7">
        <f>IF(J2600&lt;&gt;"OK","",C2600*I2600/100)</f>
        <v/>
      </c>
    </row>
    <row r="2601" spans="1:11">
      <c r="A2601" s="14">
        <v>46170</v>
      </c>
      <c r="B2601" s="15">
        <v>0.03125</v>
      </c>
      <c r="C2601" s="5">
        <f>IF('96 Werte'!E33="","",'96 Werte'!E33)</f>
        <v/>
      </c>
      <c r="D2601" t="str">
        <f>IF(IF(Eingaben!$B$21&lt;Eingaben!$B$22,AND(B2601&gt;=Eingaben!$B$21,B2601&lt;Eingaben!$B$22),OR(B2601&gt;=Eingaben!$B$21,B2601&lt;Eingaben!$B$22)),"GO",IF(AND(ISNUMBER(Eingaben!$B$23),ISNUMBER(Eingaben!$B$24),IF(Eingaben!$B$23&lt;Eingaben!$B$24,AND(B2601&gt;=Eingaben!$B$23,B2601&lt;Eingaben!$B$24),OR(B2601&gt;=Eingaben!$B$23,B2601&lt;Eingaben!$B$24))),"HEAT","STANDARD"))</f>
        <v>GO</v>
      </c>
      <c r="E2601" s="9"/>
      <c r="F2601" t="str">
        <f>IF(E2601="",D2601,E2601)</f>
        <v>GO</v>
      </c>
      <c r="G2601" t="str">
        <f>INDEX(Netzzeiten!$B$6:$B$29,HOUR(B2601)+1)</f>
        <v>NT</v>
      </c>
      <c r="H2601" s="6">
        <f>IF(F2601="GO",Eingaben!$B$11,IF(F2601="STANDARD",Eingaben!$B$12,IF(AND(F2601="HEAT",ISNUMBER(Eingaben!$B$13)),Eingaben!$B$13,"")))</f>
        <v>15.0654</v>
      </c>
      <c r="I2601" s="6">
        <f>INDEX(Netzzeiten!$C$6:$C$29,HOUR(B2601)+1)</f>
        <v>1.64</v>
      </c>
      <c r="J2601" t="str">
        <f>IF(C2601="","FEHLT",IF(NOT(ISNUMBER(C2601)),"MESSWERT UNGUELTIG",IF(C2601&lt;0,"MESSWERT UNGUELTIG",IF(H2601="","TARIFPREIS FEHLT","OK"))))</f>
        <v>FEHLT</v>
      </c>
      <c r="K2601" s="7">
        <f>IF(J2601&lt;&gt;"OK","",C2601*I2601/100)</f>
        <v/>
      </c>
    </row>
    <row r="2602" spans="1:11">
      <c r="A2602" s="14">
        <v>46170</v>
      </c>
      <c r="B2602" s="15">
        <v>0.04166666666666666</v>
      </c>
      <c r="C2602" s="5">
        <f>IF('96 Werte'!F33="","",'96 Werte'!F33)</f>
        <v/>
      </c>
      <c r="D2602" t="str">
        <f>IF(IF(Eingaben!$B$21&lt;Eingaben!$B$22,AND(B2602&gt;=Eingaben!$B$21,B2602&lt;Eingaben!$B$22),OR(B2602&gt;=Eingaben!$B$21,B2602&lt;Eingaben!$B$22)),"GO",IF(AND(ISNUMBER(Eingaben!$B$23),ISNUMBER(Eingaben!$B$24),IF(Eingaben!$B$23&lt;Eingaben!$B$24,AND(B2602&gt;=Eingaben!$B$23,B2602&lt;Eingaben!$B$24),OR(B2602&gt;=Eingaben!$B$23,B2602&lt;Eingaben!$B$24))),"HEAT","STANDARD"))</f>
        <v>GO</v>
      </c>
      <c r="E2602" s="9"/>
      <c r="F2602" t="str">
        <f>IF(E2602="",D2602,E2602)</f>
        <v>GO</v>
      </c>
      <c r="G2602" t="str">
        <f>INDEX(Netzzeiten!$B$6:$B$29,HOUR(B2602)+1)</f>
        <v>NT</v>
      </c>
      <c r="H2602" s="6">
        <f>IF(F2602="GO",Eingaben!$B$11,IF(F2602="STANDARD",Eingaben!$B$12,IF(AND(F2602="HEAT",ISNUMBER(Eingaben!$B$13)),Eingaben!$B$13,"")))</f>
        <v>15.0654</v>
      </c>
      <c r="I2602" s="6">
        <f>INDEX(Netzzeiten!$C$6:$C$29,HOUR(B2602)+1)</f>
        <v>1.64</v>
      </c>
      <c r="J2602" t="str">
        <f>IF(C2602="","FEHLT",IF(NOT(ISNUMBER(C2602)),"MESSWERT UNGUELTIG",IF(C2602&lt;0,"MESSWERT UNGUELTIG",IF(H2602="","TARIFPREIS FEHLT","OK"))))</f>
        <v>FEHLT</v>
      </c>
      <c r="K2602" s="7">
        <f>IF(J2602&lt;&gt;"OK","",C2602*I2602/100)</f>
        <v/>
      </c>
    </row>
    <row r="2603" spans="1:11">
      <c r="A2603" s="14">
        <v>46170</v>
      </c>
      <c r="B2603" s="15">
        <v>0.05208333333333334</v>
      </c>
      <c r="C2603" s="5">
        <f>IF('96 Werte'!G33="","",'96 Werte'!G33)</f>
        <v/>
      </c>
      <c r="D2603" t="str">
        <f>IF(IF(Eingaben!$B$21&lt;Eingaben!$B$22,AND(B2603&gt;=Eingaben!$B$21,B2603&lt;Eingaben!$B$22),OR(B2603&gt;=Eingaben!$B$21,B2603&lt;Eingaben!$B$22)),"GO",IF(AND(ISNUMBER(Eingaben!$B$23),ISNUMBER(Eingaben!$B$24),IF(Eingaben!$B$23&lt;Eingaben!$B$24,AND(B2603&gt;=Eingaben!$B$23,B2603&lt;Eingaben!$B$24),OR(B2603&gt;=Eingaben!$B$23,B2603&lt;Eingaben!$B$24))),"HEAT","STANDARD"))</f>
        <v>GO</v>
      </c>
      <c r="E2603" s="9"/>
      <c r="F2603" t="str">
        <f>IF(E2603="",D2603,E2603)</f>
        <v>GO</v>
      </c>
      <c r="G2603" t="str">
        <f>INDEX(Netzzeiten!$B$6:$B$29,HOUR(B2603)+1)</f>
        <v>NT</v>
      </c>
      <c r="H2603" s="6">
        <f>IF(F2603="GO",Eingaben!$B$11,IF(F2603="STANDARD",Eingaben!$B$12,IF(AND(F2603="HEAT",ISNUMBER(Eingaben!$B$13)),Eingaben!$B$13,"")))</f>
        <v>15.0654</v>
      </c>
      <c r="I2603" s="6">
        <f>INDEX(Netzzeiten!$C$6:$C$29,HOUR(B2603)+1)</f>
        <v>1.64</v>
      </c>
      <c r="J2603" t="str">
        <f>IF(C2603="","FEHLT",IF(NOT(ISNUMBER(C2603)),"MESSWERT UNGUELTIG",IF(C2603&lt;0,"MESSWERT UNGUELTIG",IF(H2603="","TARIFPREIS FEHLT","OK"))))</f>
        <v>FEHLT</v>
      </c>
      <c r="K2603" s="7">
        <f>IF(J2603&lt;&gt;"OK","",C2603*I2603/100)</f>
        <v/>
      </c>
    </row>
    <row r="2604" spans="1:11">
      <c r="A2604" s="14">
        <v>46170</v>
      </c>
      <c r="B2604" s="15">
        <v>0.0625</v>
      </c>
      <c r="C2604" s="5">
        <f>IF('96 Werte'!H33="","",'96 Werte'!H33)</f>
        <v/>
      </c>
      <c r="D2604" t="str">
        <f>IF(IF(Eingaben!$B$21&lt;Eingaben!$B$22,AND(B2604&gt;=Eingaben!$B$21,B2604&lt;Eingaben!$B$22),OR(B2604&gt;=Eingaben!$B$21,B2604&lt;Eingaben!$B$22)),"GO",IF(AND(ISNUMBER(Eingaben!$B$23),ISNUMBER(Eingaben!$B$24),IF(Eingaben!$B$23&lt;Eingaben!$B$24,AND(B2604&gt;=Eingaben!$B$23,B2604&lt;Eingaben!$B$24),OR(B2604&gt;=Eingaben!$B$23,B2604&lt;Eingaben!$B$24))),"HEAT","STANDARD"))</f>
        <v>GO</v>
      </c>
      <c r="E2604" s="9"/>
      <c r="F2604" t="str">
        <f>IF(E2604="",D2604,E2604)</f>
        <v>GO</v>
      </c>
      <c r="G2604" t="str">
        <f>INDEX(Netzzeiten!$B$6:$B$29,HOUR(B2604)+1)</f>
        <v>NT</v>
      </c>
      <c r="H2604" s="6">
        <f>IF(F2604="GO",Eingaben!$B$11,IF(F2604="STANDARD",Eingaben!$B$12,IF(AND(F2604="HEAT",ISNUMBER(Eingaben!$B$13)),Eingaben!$B$13,"")))</f>
        <v>15.0654</v>
      </c>
      <c r="I2604" s="6">
        <f>INDEX(Netzzeiten!$C$6:$C$29,HOUR(B2604)+1)</f>
        <v>1.64</v>
      </c>
      <c r="J2604" t="str">
        <f>IF(C2604="","FEHLT",IF(NOT(ISNUMBER(C2604)),"MESSWERT UNGUELTIG",IF(C2604&lt;0,"MESSWERT UNGUELTIG",IF(H2604="","TARIFPREIS FEHLT","OK"))))</f>
        <v>FEHLT</v>
      </c>
      <c r="K2604" s="7">
        <f>IF(J2604&lt;&gt;"OK","",C2604*I2604/100)</f>
        <v/>
      </c>
    </row>
    <row r="2605" spans="1:11">
      <c r="A2605" s="14">
        <v>46170</v>
      </c>
      <c r="B2605" s="15">
        <v>0.07291666666666667</v>
      </c>
      <c r="C2605" s="5">
        <f>IF('96 Werte'!I33="","",'96 Werte'!I33)</f>
        <v/>
      </c>
      <c r="D2605" t="str">
        <f>IF(IF(Eingaben!$B$21&lt;Eingaben!$B$22,AND(B2605&gt;=Eingaben!$B$21,B2605&lt;Eingaben!$B$22),OR(B2605&gt;=Eingaben!$B$21,B2605&lt;Eingaben!$B$22)),"GO",IF(AND(ISNUMBER(Eingaben!$B$23),ISNUMBER(Eingaben!$B$24),IF(Eingaben!$B$23&lt;Eingaben!$B$24,AND(B2605&gt;=Eingaben!$B$23,B2605&lt;Eingaben!$B$24),OR(B2605&gt;=Eingaben!$B$23,B2605&lt;Eingaben!$B$24))),"HEAT","STANDARD"))</f>
        <v>GO</v>
      </c>
      <c r="E2605" s="9"/>
      <c r="F2605" t="str">
        <f>IF(E2605="",D2605,E2605)</f>
        <v>GO</v>
      </c>
      <c r="G2605" t="str">
        <f>INDEX(Netzzeiten!$B$6:$B$29,HOUR(B2605)+1)</f>
        <v>NT</v>
      </c>
      <c r="H2605" s="6">
        <f>IF(F2605="GO",Eingaben!$B$11,IF(F2605="STANDARD",Eingaben!$B$12,IF(AND(F2605="HEAT",ISNUMBER(Eingaben!$B$13)),Eingaben!$B$13,"")))</f>
        <v>15.0654</v>
      </c>
      <c r="I2605" s="6">
        <f>INDEX(Netzzeiten!$C$6:$C$29,HOUR(B2605)+1)</f>
        <v>1.64</v>
      </c>
      <c r="J2605" t="str">
        <f>IF(C2605="","FEHLT",IF(NOT(ISNUMBER(C2605)),"MESSWERT UNGUELTIG",IF(C2605&lt;0,"MESSWERT UNGUELTIG",IF(H2605="","TARIFPREIS FEHLT","OK"))))</f>
        <v>FEHLT</v>
      </c>
      <c r="K2605" s="7">
        <f>IF(J2605&lt;&gt;"OK","",C2605*I2605/100)</f>
        <v/>
      </c>
    </row>
    <row r="2606" spans="1:11">
      <c r="A2606" s="14">
        <v>46170</v>
      </c>
      <c r="B2606" s="15">
        <v>0.08333333333333333</v>
      </c>
      <c r="C2606" s="5">
        <f>IF('96 Werte'!J33="","",'96 Werte'!J33)</f>
        <v/>
      </c>
      <c r="D2606" t="str">
        <f>IF(IF(Eingaben!$B$21&lt;Eingaben!$B$22,AND(B2606&gt;=Eingaben!$B$21,B2606&lt;Eingaben!$B$22),OR(B2606&gt;=Eingaben!$B$21,B2606&lt;Eingaben!$B$22)),"GO",IF(AND(ISNUMBER(Eingaben!$B$23),ISNUMBER(Eingaben!$B$24),IF(Eingaben!$B$23&lt;Eingaben!$B$24,AND(B2606&gt;=Eingaben!$B$23,B2606&lt;Eingaben!$B$24),OR(B2606&gt;=Eingaben!$B$23,B2606&lt;Eingaben!$B$24))),"HEAT","STANDARD"))</f>
        <v>GO</v>
      </c>
      <c r="E2606" s="9"/>
      <c r="F2606" t="str">
        <f>IF(E2606="",D2606,E2606)</f>
        <v>GO</v>
      </c>
      <c r="G2606" t="str">
        <f>INDEX(Netzzeiten!$B$6:$B$29,HOUR(B2606)+1)</f>
        <v>NT</v>
      </c>
      <c r="H2606" s="6">
        <f>IF(F2606="GO",Eingaben!$B$11,IF(F2606="STANDARD",Eingaben!$B$12,IF(AND(F2606="HEAT",ISNUMBER(Eingaben!$B$13)),Eingaben!$B$13,"")))</f>
        <v>15.0654</v>
      </c>
      <c r="I2606" s="6">
        <f>INDEX(Netzzeiten!$C$6:$C$29,HOUR(B2606)+1)</f>
        <v>1.64</v>
      </c>
      <c r="J2606" t="str">
        <f>IF(C2606="","FEHLT",IF(NOT(ISNUMBER(C2606)),"MESSWERT UNGUELTIG",IF(C2606&lt;0,"MESSWERT UNGUELTIG",IF(H2606="","TARIFPREIS FEHLT","OK"))))</f>
        <v>FEHLT</v>
      </c>
      <c r="K2606" s="7">
        <f>IF(J2606&lt;&gt;"OK","",C2606*I2606/100)</f>
        <v/>
      </c>
    </row>
    <row r="2607" spans="1:11">
      <c r="A2607" s="14">
        <v>46170</v>
      </c>
      <c r="B2607" s="15">
        <v>0.09375</v>
      </c>
      <c r="C2607" s="5">
        <f>IF('96 Werte'!K33="","",'96 Werte'!K33)</f>
        <v/>
      </c>
      <c r="D2607" t="str">
        <f>IF(IF(Eingaben!$B$21&lt;Eingaben!$B$22,AND(B2607&gt;=Eingaben!$B$21,B2607&lt;Eingaben!$B$22),OR(B2607&gt;=Eingaben!$B$21,B2607&lt;Eingaben!$B$22)),"GO",IF(AND(ISNUMBER(Eingaben!$B$23),ISNUMBER(Eingaben!$B$24),IF(Eingaben!$B$23&lt;Eingaben!$B$24,AND(B2607&gt;=Eingaben!$B$23,B2607&lt;Eingaben!$B$24),OR(B2607&gt;=Eingaben!$B$23,B2607&lt;Eingaben!$B$24))),"HEAT","STANDARD"))</f>
        <v>GO</v>
      </c>
      <c r="E2607" s="9"/>
      <c r="F2607" t="str">
        <f>IF(E2607="",D2607,E2607)</f>
        <v>GO</v>
      </c>
      <c r="G2607" t="str">
        <f>INDEX(Netzzeiten!$B$6:$B$29,HOUR(B2607)+1)</f>
        <v>NT</v>
      </c>
      <c r="H2607" s="6">
        <f>IF(F2607="GO",Eingaben!$B$11,IF(F2607="STANDARD",Eingaben!$B$12,IF(AND(F2607="HEAT",ISNUMBER(Eingaben!$B$13)),Eingaben!$B$13,"")))</f>
        <v>15.0654</v>
      </c>
      <c r="I2607" s="6">
        <f>INDEX(Netzzeiten!$C$6:$C$29,HOUR(B2607)+1)</f>
        <v>1.64</v>
      </c>
      <c r="J2607" t="str">
        <f>IF(C2607="","FEHLT",IF(NOT(ISNUMBER(C2607)),"MESSWERT UNGUELTIG",IF(C2607&lt;0,"MESSWERT UNGUELTIG",IF(H2607="","TARIFPREIS FEHLT","OK"))))</f>
        <v>FEHLT</v>
      </c>
      <c r="K2607" s="7">
        <f>IF(J2607&lt;&gt;"OK","",C2607*I2607/100)</f>
        <v/>
      </c>
    </row>
    <row r="2608" spans="1:11">
      <c r="A2608" s="14">
        <v>46170</v>
      </c>
      <c r="B2608" s="15">
        <v>0.1041666666666667</v>
      </c>
      <c r="C2608" s="5">
        <f>IF('96 Werte'!L33="","",'96 Werte'!L33)</f>
        <v/>
      </c>
      <c r="D2608" t="str">
        <f>IF(IF(Eingaben!$B$21&lt;Eingaben!$B$22,AND(B2608&gt;=Eingaben!$B$21,B2608&lt;Eingaben!$B$22),OR(B2608&gt;=Eingaben!$B$21,B2608&lt;Eingaben!$B$22)),"GO",IF(AND(ISNUMBER(Eingaben!$B$23),ISNUMBER(Eingaben!$B$24),IF(Eingaben!$B$23&lt;Eingaben!$B$24,AND(B2608&gt;=Eingaben!$B$23,B2608&lt;Eingaben!$B$24),OR(B2608&gt;=Eingaben!$B$23,B2608&lt;Eingaben!$B$24))),"HEAT","STANDARD"))</f>
        <v>GO</v>
      </c>
      <c r="E2608" s="9"/>
      <c r="F2608" t="str">
        <f>IF(E2608="",D2608,E2608)</f>
        <v>GO</v>
      </c>
      <c r="G2608" t="str">
        <f>INDEX(Netzzeiten!$B$6:$B$29,HOUR(B2608)+1)</f>
        <v>NT</v>
      </c>
      <c r="H2608" s="6">
        <f>IF(F2608="GO",Eingaben!$B$11,IF(F2608="STANDARD",Eingaben!$B$12,IF(AND(F2608="HEAT",ISNUMBER(Eingaben!$B$13)),Eingaben!$B$13,"")))</f>
        <v>15.0654</v>
      </c>
      <c r="I2608" s="6">
        <f>INDEX(Netzzeiten!$C$6:$C$29,HOUR(B2608)+1)</f>
        <v>1.64</v>
      </c>
      <c r="J2608" t="str">
        <f>IF(C2608="","FEHLT",IF(NOT(ISNUMBER(C2608)),"MESSWERT UNGUELTIG",IF(C2608&lt;0,"MESSWERT UNGUELTIG",IF(H2608="","TARIFPREIS FEHLT","OK"))))</f>
        <v>FEHLT</v>
      </c>
      <c r="K2608" s="7">
        <f>IF(J2608&lt;&gt;"OK","",C2608*I2608/100)</f>
        <v/>
      </c>
    </row>
    <row r="2609" spans="1:11">
      <c r="A2609" s="14">
        <v>46170</v>
      </c>
      <c r="B2609" s="15">
        <v>0.1145833333333333</v>
      </c>
      <c r="C2609" s="5">
        <f>IF('96 Werte'!M33="","",'96 Werte'!M33)</f>
        <v/>
      </c>
      <c r="D2609" t="str">
        <f>IF(IF(Eingaben!$B$21&lt;Eingaben!$B$22,AND(B2609&gt;=Eingaben!$B$21,B2609&lt;Eingaben!$B$22),OR(B2609&gt;=Eingaben!$B$21,B2609&lt;Eingaben!$B$22)),"GO",IF(AND(ISNUMBER(Eingaben!$B$23),ISNUMBER(Eingaben!$B$24),IF(Eingaben!$B$23&lt;Eingaben!$B$24,AND(B2609&gt;=Eingaben!$B$23,B2609&lt;Eingaben!$B$24),OR(B2609&gt;=Eingaben!$B$23,B2609&lt;Eingaben!$B$24))),"HEAT","STANDARD"))</f>
        <v>GO</v>
      </c>
      <c r="E2609" s="9"/>
      <c r="F2609" t="str">
        <f>IF(E2609="",D2609,E2609)</f>
        <v>GO</v>
      </c>
      <c r="G2609" t="str">
        <f>INDEX(Netzzeiten!$B$6:$B$29,HOUR(B2609)+1)</f>
        <v>NT</v>
      </c>
      <c r="H2609" s="6">
        <f>IF(F2609="GO",Eingaben!$B$11,IF(F2609="STANDARD",Eingaben!$B$12,IF(AND(F2609="HEAT",ISNUMBER(Eingaben!$B$13)),Eingaben!$B$13,"")))</f>
        <v>15.0654</v>
      </c>
      <c r="I2609" s="6">
        <f>INDEX(Netzzeiten!$C$6:$C$29,HOUR(B2609)+1)</f>
        <v>1.64</v>
      </c>
      <c r="J2609" t="str">
        <f>IF(C2609="","FEHLT",IF(NOT(ISNUMBER(C2609)),"MESSWERT UNGUELTIG",IF(C2609&lt;0,"MESSWERT UNGUELTIG",IF(H2609="","TARIFPREIS FEHLT","OK"))))</f>
        <v>FEHLT</v>
      </c>
      <c r="K2609" s="7">
        <f>IF(J2609&lt;&gt;"OK","",C2609*I2609/100)</f>
        <v/>
      </c>
    </row>
    <row r="2610" spans="1:11">
      <c r="A2610" s="14">
        <v>46170</v>
      </c>
      <c r="B2610" s="15">
        <v>0.125</v>
      </c>
      <c r="C2610" s="5">
        <f>IF('96 Werte'!N33="","",'96 Werte'!N33)</f>
        <v/>
      </c>
      <c r="D2610" t="str">
        <f>IF(IF(Eingaben!$B$21&lt;Eingaben!$B$22,AND(B2610&gt;=Eingaben!$B$21,B2610&lt;Eingaben!$B$22),OR(B2610&gt;=Eingaben!$B$21,B2610&lt;Eingaben!$B$22)),"GO",IF(AND(ISNUMBER(Eingaben!$B$23),ISNUMBER(Eingaben!$B$24),IF(Eingaben!$B$23&lt;Eingaben!$B$24,AND(B2610&gt;=Eingaben!$B$23,B2610&lt;Eingaben!$B$24),OR(B2610&gt;=Eingaben!$B$23,B2610&lt;Eingaben!$B$24))),"HEAT","STANDARD"))</f>
        <v>GO</v>
      </c>
      <c r="E2610" s="9"/>
      <c r="F2610" t="str">
        <f>IF(E2610="",D2610,E2610)</f>
        <v>GO</v>
      </c>
      <c r="G2610" t="str">
        <f>INDEX(Netzzeiten!$B$6:$B$29,HOUR(B2610)+1)</f>
        <v>NT</v>
      </c>
      <c r="H2610" s="6">
        <f>IF(F2610="GO",Eingaben!$B$11,IF(F2610="STANDARD",Eingaben!$B$12,IF(AND(F2610="HEAT",ISNUMBER(Eingaben!$B$13)),Eingaben!$B$13,"")))</f>
        <v>15.0654</v>
      </c>
      <c r="I2610" s="6">
        <f>INDEX(Netzzeiten!$C$6:$C$29,HOUR(B2610)+1)</f>
        <v>1.64</v>
      </c>
      <c r="J2610" t="str">
        <f>IF(C2610="","FEHLT",IF(NOT(ISNUMBER(C2610)),"MESSWERT UNGUELTIG",IF(C2610&lt;0,"MESSWERT UNGUELTIG",IF(H2610="","TARIFPREIS FEHLT","OK"))))</f>
        <v>FEHLT</v>
      </c>
      <c r="K2610" s="7">
        <f>IF(J2610&lt;&gt;"OK","",C2610*I2610/100)</f>
        <v/>
      </c>
    </row>
    <row r="2611" spans="1:11">
      <c r="A2611" s="14">
        <v>46170</v>
      </c>
      <c r="B2611" s="15">
        <v>0.1354166666666667</v>
      </c>
      <c r="C2611" s="5">
        <f>IF('96 Werte'!O33="","",'96 Werte'!O33)</f>
        <v/>
      </c>
      <c r="D2611" t="str">
        <f>IF(IF(Eingaben!$B$21&lt;Eingaben!$B$22,AND(B2611&gt;=Eingaben!$B$21,B2611&lt;Eingaben!$B$22),OR(B2611&gt;=Eingaben!$B$21,B2611&lt;Eingaben!$B$22)),"GO",IF(AND(ISNUMBER(Eingaben!$B$23),ISNUMBER(Eingaben!$B$24),IF(Eingaben!$B$23&lt;Eingaben!$B$24,AND(B2611&gt;=Eingaben!$B$23,B2611&lt;Eingaben!$B$24),OR(B2611&gt;=Eingaben!$B$23,B2611&lt;Eingaben!$B$24))),"HEAT","STANDARD"))</f>
        <v>GO</v>
      </c>
      <c r="E2611" s="9"/>
      <c r="F2611" t="str">
        <f>IF(E2611="",D2611,E2611)</f>
        <v>GO</v>
      </c>
      <c r="G2611" t="str">
        <f>INDEX(Netzzeiten!$B$6:$B$29,HOUR(B2611)+1)</f>
        <v>NT</v>
      </c>
      <c r="H2611" s="6">
        <f>IF(F2611="GO",Eingaben!$B$11,IF(F2611="STANDARD",Eingaben!$B$12,IF(AND(F2611="HEAT",ISNUMBER(Eingaben!$B$13)),Eingaben!$B$13,"")))</f>
        <v>15.0654</v>
      </c>
      <c r="I2611" s="6">
        <f>INDEX(Netzzeiten!$C$6:$C$29,HOUR(B2611)+1)</f>
        <v>1.64</v>
      </c>
      <c r="J2611" t="str">
        <f>IF(C2611="","FEHLT",IF(NOT(ISNUMBER(C2611)),"MESSWERT UNGUELTIG",IF(C2611&lt;0,"MESSWERT UNGUELTIG",IF(H2611="","TARIFPREIS FEHLT","OK"))))</f>
        <v>FEHLT</v>
      </c>
      <c r="K2611" s="7">
        <f>IF(J2611&lt;&gt;"OK","",C2611*I2611/100)</f>
        <v/>
      </c>
    </row>
    <row r="2612" spans="1:11">
      <c r="A2612" s="14">
        <v>46170</v>
      </c>
      <c r="B2612" s="15">
        <v>0.1458333333333333</v>
      </c>
      <c r="C2612" s="5">
        <f>IF('96 Werte'!P33="","",'96 Werte'!P33)</f>
        <v/>
      </c>
      <c r="D2612" t="str">
        <f>IF(IF(Eingaben!$B$21&lt;Eingaben!$B$22,AND(B2612&gt;=Eingaben!$B$21,B2612&lt;Eingaben!$B$22),OR(B2612&gt;=Eingaben!$B$21,B2612&lt;Eingaben!$B$22)),"GO",IF(AND(ISNUMBER(Eingaben!$B$23),ISNUMBER(Eingaben!$B$24),IF(Eingaben!$B$23&lt;Eingaben!$B$24,AND(B2612&gt;=Eingaben!$B$23,B2612&lt;Eingaben!$B$24),OR(B2612&gt;=Eingaben!$B$23,B2612&lt;Eingaben!$B$24))),"HEAT","STANDARD"))</f>
        <v>GO</v>
      </c>
      <c r="E2612" s="9"/>
      <c r="F2612" t="str">
        <f>IF(E2612="",D2612,E2612)</f>
        <v>GO</v>
      </c>
      <c r="G2612" t="str">
        <f>INDEX(Netzzeiten!$B$6:$B$29,HOUR(B2612)+1)</f>
        <v>NT</v>
      </c>
      <c r="H2612" s="6">
        <f>IF(F2612="GO",Eingaben!$B$11,IF(F2612="STANDARD",Eingaben!$B$12,IF(AND(F2612="HEAT",ISNUMBER(Eingaben!$B$13)),Eingaben!$B$13,"")))</f>
        <v>15.0654</v>
      </c>
      <c r="I2612" s="6">
        <f>INDEX(Netzzeiten!$C$6:$C$29,HOUR(B2612)+1)</f>
        <v>1.64</v>
      </c>
      <c r="J2612" t="str">
        <f>IF(C2612="","FEHLT",IF(NOT(ISNUMBER(C2612)),"MESSWERT UNGUELTIG",IF(C2612&lt;0,"MESSWERT UNGUELTIG",IF(H2612="","TARIFPREIS FEHLT","OK"))))</f>
        <v>FEHLT</v>
      </c>
      <c r="K2612" s="7">
        <f>IF(J2612&lt;&gt;"OK","",C2612*I2612/100)</f>
        <v/>
      </c>
    </row>
    <row r="2613" spans="1:11">
      <c r="A2613" s="14">
        <v>46170</v>
      </c>
      <c r="B2613" s="15">
        <v>0.15625</v>
      </c>
      <c r="C2613" s="5">
        <f>IF('96 Werte'!Q33="","",'96 Werte'!Q33)</f>
        <v/>
      </c>
      <c r="D2613" t="str">
        <f>IF(IF(Eingaben!$B$21&lt;Eingaben!$B$22,AND(B2613&gt;=Eingaben!$B$21,B2613&lt;Eingaben!$B$22),OR(B2613&gt;=Eingaben!$B$21,B2613&lt;Eingaben!$B$22)),"GO",IF(AND(ISNUMBER(Eingaben!$B$23),ISNUMBER(Eingaben!$B$24),IF(Eingaben!$B$23&lt;Eingaben!$B$24,AND(B2613&gt;=Eingaben!$B$23,B2613&lt;Eingaben!$B$24),OR(B2613&gt;=Eingaben!$B$23,B2613&lt;Eingaben!$B$24))),"HEAT","STANDARD"))</f>
        <v>GO</v>
      </c>
      <c r="E2613" s="9"/>
      <c r="F2613" t="str">
        <f>IF(E2613="",D2613,E2613)</f>
        <v>GO</v>
      </c>
      <c r="G2613" t="str">
        <f>INDEX(Netzzeiten!$B$6:$B$29,HOUR(B2613)+1)</f>
        <v>NT</v>
      </c>
      <c r="H2613" s="6">
        <f>IF(F2613="GO",Eingaben!$B$11,IF(F2613="STANDARD",Eingaben!$B$12,IF(AND(F2613="HEAT",ISNUMBER(Eingaben!$B$13)),Eingaben!$B$13,"")))</f>
        <v>15.0654</v>
      </c>
      <c r="I2613" s="6">
        <f>INDEX(Netzzeiten!$C$6:$C$29,HOUR(B2613)+1)</f>
        <v>1.64</v>
      </c>
      <c r="J2613" t="str">
        <f>IF(C2613="","FEHLT",IF(NOT(ISNUMBER(C2613)),"MESSWERT UNGUELTIG",IF(C2613&lt;0,"MESSWERT UNGUELTIG",IF(H2613="","TARIFPREIS FEHLT","OK"))))</f>
        <v>FEHLT</v>
      </c>
      <c r="K2613" s="7">
        <f>IF(J2613&lt;&gt;"OK","",C2613*I2613/100)</f>
        <v/>
      </c>
    </row>
    <row r="2614" spans="1:11">
      <c r="A2614" s="14">
        <v>46170</v>
      </c>
      <c r="B2614" s="15">
        <v>0.1666666666666667</v>
      </c>
      <c r="C2614" s="5">
        <f>IF('96 Werte'!R33="","",'96 Werte'!R33)</f>
        <v/>
      </c>
      <c r="D2614" t="str">
        <f>IF(IF(Eingaben!$B$21&lt;Eingaben!$B$22,AND(B2614&gt;=Eingaben!$B$21,B2614&lt;Eingaben!$B$22),OR(B2614&gt;=Eingaben!$B$21,B2614&lt;Eingaben!$B$22)),"GO",IF(AND(ISNUMBER(Eingaben!$B$23),ISNUMBER(Eingaben!$B$24),IF(Eingaben!$B$23&lt;Eingaben!$B$24,AND(B2614&gt;=Eingaben!$B$23,B2614&lt;Eingaben!$B$24),OR(B2614&gt;=Eingaben!$B$23,B2614&lt;Eingaben!$B$24))),"HEAT","STANDARD"))</f>
        <v>GO</v>
      </c>
      <c r="E2614" s="9"/>
      <c r="F2614" t="str">
        <f>IF(E2614="",D2614,E2614)</f>
        <v>GO</v>
      </c>
      <c r="G2614" t="str">
        <f>INDEX(Netzzeiten!$B$6:$B$29,HOUR(B2614)+1)</f>
        <v>NT</v>
      </c>
      <c r="H2614" s="6">
        <f>IF(F2614="GO",Eingaben!$B$11,IF(F2614="STANDARD",Eingaben!$B$12,IF(AND(F2614="HEAT",ISNUMBER(Eingaben!$B$13)),Eingaben!$B$13,"")))</f>
        <v>15.0654</v>
      </c>
      <c r="I2614" s="6">
        <f>INDEX(Netzzeiten!$C$6:$C$29,HOUR(B2614)+1)</f>
        <v>1.64</v>
      </c>
      <c r="J2614" t="str">
        <f>IF(C2614="","FEHLT",IF(NOT(ISNUMBER(C2614)),"MESSWERT UNGUELTIG",IF(C2614&lt;0,"MESSWERT UNGUELTIG",IF(H2614="","TARIFPREIS FEHLT","OK"))))</f>
        <v>FEHLT</v>
      </c>
      <c r="K2614" s="7">
        <f>IF(J2614&lt;&gt;"OK","",C2614*I2614/100)</f>
        <v/>
      </c>
    </row>
    <row r="2615" spans="1:11">
      <c r="A2615" s="14">
        <v>46170</v>
      </c>
      <c r="B2615" s="15">
        <v>0.1770833333333333</v>
      </c>
      <c r="C2615" s="5">
        <f>IF('96 Werte'!S33="","",'96 Werte'!S33)</f>
        <v/>
      </c>
      <c r="D2615" t="str">
        <f>IF(IF(Eingaben!$B$21&lt;Eingaben!$B$22,AND(B2615&gt;=Eingaben!$B$21,B2615&lt;Eingaben!$B$22),OR(B2615&gt;=Eingaben!$B$21,B2615&lt;Eingaben!$B$22)),"GO",IF(AND(ISNUMBER(Eingaben!$B$23),ISNUMBER(Eingaben!$B$24),IF(Eingaben!$B$23&lt;Eingaben!$B$24,AND(B2615&gt;=Eingaben!$B$23,B2615&lt;Eingaben!$B$24),OR(B2615&gt;=Eingaben!$B$23,B2615&lt;Eingaben!$B$24))),"HEAT","STANDARD"))</f>
        <v>GO</v>
      </c>
      <c r="E2615" s="9"/>
      <c r="F2615" t="str">
        <f>IF(E2615="",D2615,E2615)</f>
        <v>GO</v>
      </c>
      <c r="G2615" t="str">
        <f>INDEX(Netzzeiten!$B$6:$B$29,HOUR(B2615)+1)</f>
        <v>NT</v>
      </c>
      <c r="H2615" s="6">
        <f>IF(F2615="GO",Eingaben!$B$11,IF(F2615="STANDARD",Eingaben!$B$12,IF(AND(F2615="HEAT",ISNUMBER(Eingaben!$B$13)),Eingaben!$B$13,"")))</f>
        <v>15.0654</v>
      </c>
      <c r="I2615" s="6">
        <f>INDEX(Netzzeiten!$C$6:$C$29,HOUR(B2615)+1)</f>
        <v>1.64</v>
      </c>
      <c r="J2615" t="str">
        <f>IF(C2615="","FEHLT",IF(NOT(ISNUMBER(C2615)),"MESSWERT UNGUELTIG",IF(C2615&lt;0,"MESSWERT UNGUELTIG",IF(H2615="","TARIFPREIS FEHLT","OK"))))</f>
        <v>FEHLT</v>
      </c>
      <c r="K2615" s="7">
        <f>IF(J2615&lt;&gt;"OK","",C2615*I2615/100)</f>
        <v/>
      </c>
    </row>
    <row r="2616" spans="1:11">
      <c r="A2616" s="14">
        <v>46170</v>
      </c>
      <c r="B2616" s="15">
        <v>0.1875</v>
      </c>
      <c r="C2616" s="5">
        <f>IF('96 Werte'!T33="","",'96 Werte'!T33)</f>
        <v/>
      </c>
      <c r="D2616" t="str">
        <f>IF(IF(Eingaben!$B$21&lt;Eingaben!$B$22,AND(B2616&gt;=Eingaben!$B$21,B2616&lt;Eingaben!$B$22),OR(B2616&gt;=Eingaben!$B$21,B2616&lt;Eingaben!$B$22)),"GO",IF(AND(ISNUMBER(Eingaben!$B$23),ISNUMBER(Eingaben!$B$24),IF(Eingaben!$B$23&lt;Eingaben!$B$24,AND(B2616&gt;=Eingaben!$B$23,B2616&lt;Eingaben!$B$24),OR(B2616&gt;=Eingaben!$B$23,B2616&lt;Eingaben!$B$24))),"HEAT","STANDARD"))</f>
        <v>GO</v>
      </c>
      <c r="E2616" s="9"/>
      <c r="F2616" t="str">
        <f>IF(E2616="",D2616,E2616)</f>
        <v>GO</v>
      </c>
      <c r="G2616" t="str">
        <f>INDEX(Netzzeiten!$B$6:$B$29,HOUR(B2616)+1)</f>
        <v>NT</v>
      </c>
      <c r="H2616" s="6">
        <f>IF(F2616="GO",Eingaben!$B$11,IF(F2616="STANDARD",Eingaben!$B$12,IF(AND(F2616="HEAT",ISNUMBER(Eingaben!$B$13)),Eingaben!$B$13,"")))</f>
        <v>15.0654</v>
      </c>
      <c r="I2616" s="6">
        <f>INDEX(Netzzeiten!$C$6:$C$29,HOUR(B2616)+1)</f>
        <v>1.64</v>
      </c>
      <c r="J2616" t="str">
        <f>IF(C2616="","FEHLT",IF(NOT(ISNUMBER(C2616)),"MESSWERT UNGUELTIG",IF(C2616&lt;0,"MESSWERT UNGUELTIG",IF(H2616="","TARIFPREIS FEHLT","OK"))))</f>
        <v>FEHLT</v>
      </c>
      <c r="K2616" s="7">
        <f>IF(J2616&lt;&gt;"OK","",C2616*I2616/100)</f>
        <v/>
      </c>
    </row>
    <row r="2617" spans="1:11">
      <c r="A2617" s="14">
        <v>46170</v>
      </c>
      <c r="B2617" s="15">
        <v>0.1979166666666667</v>
      </c>
      <c r="C2617" s="5">
        <f>IF('96 Werte'!U33="","",'96 Werte'!U33)</f>
        <v/>
      </c>
      <c r="D2617" t="str">
        <f>IF(IF(Eingaben!$B$21&lt;Eingaben!$B$22,AND(B2617&gt;=Eingaben!$B$21,B2617&lt;Eingaben!$B$22),OR(B2617&gt;=Eingaben!$B$21,B2617&lt;Eingaben!$B$22)),"GO",IF(AND(ISNUMBER(Eingaben!$B$23),ISNUMBER(Eingaben!$B$24),IF(Eingaben!$B$23&lt;Eingaben!$B$24,AND(B2617&gt;=Eingaben!$B$23,B2617&lt;Eingaben!$B$24),OR(B2617&gt;=Eingaben!$B$23,B2617&lt;Eingaben!$B$24))),"HEAT","STANDARD"))</f>
        <v>GO</v>
      </c>
      <c r="E2617" s="9"/>
      <c r="F2617" t="str">
        <f>IF(E2617="",D2617,E2617)</f>
        <v>GO</v>
      </c>
      <c r="G2617" t="str">
        <f>INDEX(Netzzeiten!$B$6:$B$29,HOUR(B2617)+1)</f>
        <v>NT</v>
      </c>
      <c r="H2617" s="6">
        <f>IF(F2617="GO",Eingaben!$B$11,IF(F2617="STANDARD",Eingaben!$B$12,IF(AND(F2617="HEAT",ISNUMBER(Eingaben!$B$13)),Eingaben!$B$13,"")))</f>
        <v>15.0654</v>
      </c>
      <c r="I2617" s="6">
        <f>INDEX(Netzzeiten!$C$6:$C$29,HOUR(B2617)+1)</f>
        <v>1.64</v>
      </c>
      <c r="J2617" t="str">
        <f>IF(C2617="","FEHLT",IF(NOT(ISNUMBER(C2617)),"MESSWERT UNGUELTIG",IF(C2617&lt;0,"MESSWERT UNGUELTIG",IF(H2617="","TARIFPREIS FEHLT","OK"))))</f>
        <v>FEHLT</v>
      </c>
      <c r="K2617" s="7">
        <f>IF(J2617&lt;&gt;"OK","",C2617*I2617/100)</f>
        <v/>
      </c>
    </row>
    <row r="2618" spans="1:11">
      <c r="A2618" s="14">
        <v>46170</v>
      </c>
      <c r="B2618" s="15">
        <v>0.2083333333333333</v>
      </c>
      <c r="C2618" s="5">
        <f>IF('96 Werte'!V33="","",'96 Werte'!V33)</f>
        <v/>
      </c>
      <c r="D2618" t="str">
        <f>IF(IF(Eingaben!$B$21&lt;Eingaben!$B$22,AND(B2618&gt;=Eingaben!$B$21,B2618&lt;Eingaben!$B$22),OR(B2618&gt;=Eingaben!$B$21,B2618&lt;Eingaben!$B$22)),"GO",IF(AND(ISNUMBER(Eingaben!$B$23),ISNUMBER(Eingaben!$B$24),IF(Eingaben!$B$23&lt;Eingaben!$B$24,AND(B2618&gt;=Eingaben!$B$23,B2618&lt;Eingaben!$B$24),OR(B2618&gt;=Eingaben!$B$23,B2618&lt;Eingaben!$B$24))),"HEAT","STANDARD"))</f>
        <v>STANDARD</v>
      </c>
      <c r="E2618" s="9"/>
      <c r="F2618" t="str">
        <f>IF(E2618="",D2618,E2618)</f>
        <v>STANDARD</v>
      </c>
      <c r="G2618" t="str">
        <f>INDEX(Netzzeiten!$B$6:$B$29,HOUR(B2618)+1)</f>
        <v>NT</v>
      </c>
      <c r="H2618" s="6">
        <f>IF(F2618="GO",Eingaben!$B$11,IF(F2618="STANDARD",Eingaben!$B$12,IF(AND(F2618="HEAT",ISNUMBER(Eingaben!$B$13)),Eingaben!$B$13,"")))</f>
        <v>28.2744</v>
      </c>
      <c r="I2618" s="6">
        <f>INDEX(Netzzeiten!$C$6:$C$29,HOUR(B2618)+1)</f>
        <v>1.64</v>
      </c>
      <c r="J2618" t="str">
        <f>IF(C2618="","FEHLT",IF(NOT(ISNUMBER(C2618)),"MESSWERT UNGUELTIG",IF(C2618&lt;0,"MESSWERT UNGUELTIG",IF(H2618="","TARIFPREIS FEHLT","OK"))))</f>
        <v>FEHLT</v>
      </c>
      <c r="K2618" s="7">
        <f>IF(J2618&lt;&gt;"OK","",C2618*I2618/100)</f>
        <v/>
      </c>
    </row>
    <row r="2619" spans="1:11">
      <c r="A2619" s="14">
        <v>46170</v>
      </c>
      <c r="B2619" s="15">
        <v>0.21875</v>
      </c>
      <c r="C2619" s="5">
        <f>IF('96 Werte'!W33="","",'96 Werte'!W33)</f>
        <v/>
      </c>
      <c r="D2619" t="str">
        <f>IF(IF(Eingaben!$B$21&lt;Eingaben!$B$22,AND(B2619&gt;=Eingaben!$B$21,B2619&lt;Eingaben!$B$22),OR(B2619&gt;=Eingaben!$B$21,B2619&lt;Eingaben!$B$22)),"GO",IF(AND(ISNUMBER(Eingaben!$B$23),ISNUMBER(Eingaben!$B$24),IF(Eingaben!$B$23&lt;Eingaben!$B$24,AND(B2619&gt;=Eingaben!$B$23,B2619&lt;Eingaben!$B$24),OR(B2619&gt;=Eingaben!$B$23,B2619&lt;Eingaben!$B$24))),"HEAT","STANDARD"))</f>
        <v>STANDARD</v>
      </c>
      <c r="E2619" s="9"/>
      <c r="F2619" t="str">
        <f>IF(E2619="",D2619,E2619)</f>
        <v>STANDARD</v>
      </c>
      <c r="G2619" t="str">
        <f>INDEX(Netzzeiten!$B$6:$B$29,HOUR(B2619)+1)</f>
        <v>NT</v>
      </c>
      <c r="H2619" s="6">
        <f>IF(F2619="GO",Eingaben!$B$11,IF(F2619="STANDARD",Eingaben!$B$12,IF(AND(F2619="HEAT",ISNUMBER(Eingaben!$B$13)),Eingaben!$B$13,"")))</f>
        <v>28.2744</v>
      </c>
      <c r="I2619" s="6">
        <f>INDEX(Netzzeiten!$C$6:$C$29,HOUR(B2619)+1)</f>
        <v>1.64</v>
      </c>
      <c r="J2619" t="str">
        <f>IF(C2619="","FEHLT",IF(NOT(ISNUMBER(C2619)),"MESSWERT UNGUELTIG",IF(C2619&lt;0,"MESSWERT UNGUELTIG",IF(H2619="","TARIFPREIS FEHLT","OK"))))</f>
        <v>FEHLT</v>
      </c>
      <c r="K2619" s="7">
        <f>IF(J2619&lt;&gt;"OK","",C2619*I2619/100)</f>
        <v/>
      </c>
    </row>
    <row r="2620" spans="1:11">
      <c r="A2620" s="14">
        <v>46170</v>
      </c>
      <c r="B2620" s="15">
        <v>0.2291666666666667</v>
      </c>
      <c r="C2620" s="5">
        <f>IF('96 Werte'!X33="","",'96 Werte'!X33)</f>
        <v/>
      </c>
      <c r="D2620" t="str">
        <f>IF(IF(Eingaben!$B$21&lt;Eingaben!$B$22,AND(B2620&gt;=Eingaben!$B$21,B2620&lt;Eingaben!$B$22),OR(B2620&gt;=Eingaben!$B$21,B2620&lt;Eingaben!$B$22)),"GO",IF(AND(ISNUMBER(Eingaben!$B$23),ISNUMBER(Eingaben!$B$24),IF(Eingaben!$B$23&lt;Eingaben!$B$24,AND(B2620&gt;=Eingaben!$B$23,B2620&lt;Eingaben!$B$24),OR(B2620&gt;=Eingaben!$B$23,B2620&lt;Eingaben!$B$24))),"HEAT","STANDARD"))</f>
        <v>STANDARD</v>
      </c>
      <c r="E2620" s="9"/>
      <c r="F2620" t="str">
        <f>IF(E2620="",D2620,E2620)</f>
        <v>STANDARD</v>
      </c>
      <c r="G2620" t="str">
        <f>INDEX(Netzzeiten!$B$6:$B$29,HOUR(B2620)+1)</f>
        <v>NT</v>
      </c>
      <c r="H2620" s="6">
        <f>IF(F2620="GO",Eingaben!$B$11,IF(F2620="STANDARD",Eingaben!$B$12,IF(AND(F2620="HEAT",ISNUMBER(Eingaben!$B$13)),Eingaben!$B$13,"")))</f>
        <v>28.2744</v>
      </c>
      <c r="I2620" s="6">
        <f>INDEX(Netzzeiten!$C$6:$C$29,HOUR(B2620)+1)</f>
        <v>1.64</v>
      </c>
      <c r="J2620" t="str">
        <f>IF(C2620="","FEHLT",IF(NOT(ISNUMBER(C2620)),"MESSWERT UNGUELTIG",IF(C2620&lt;0,"MESSWERT UNGUELTIG",IF(H2620="","TARIFPREIS FEHLT","OK"))))</f>
        <v>FEHLT</v>
      </c>
      <c r="K2620" s="7">
        <f>IF(J2620&lt;&gt;"OK","",C2620*I2620/100)</f>
        <v/>
      </c>
    </row>
    <row r="2621" spans="1:11">
      <c r="A2621" s="14">
        <v>46170</v>
      </c>
      <c r="B2621" s="15">
        <v>0.2395833333333333</v>
      </c>
      <c r="C2621" s="5">
        <f>IF('96 Werte'!Y33="","",'96 Werte'!Y33)</f>
        <v/>
      </c>
      <c r="D2621" t="str">
        <f>IF(IF(Eingaben!$B$21&lt;Eingaben!$B$22,AND(B2621&gt;=Eingaben!$B$21,B2621&lt;Eingaben!$B$22),OR(B2621&gt;=Eingaben!$B$21,B2621&lt;Eingaben!$B$22)),"GO",IF(AND(ISNUMBER(Eingaben!$B$23),ISNUMBER(Eingaben!$B$24),IF(Eingaben!$B$23&lt;Eingaben!$B$24,AND(B2621&gt;=Eingaben!$B$23,B2621&lt;Eingaben!$B$24),OR(B2621&gt;=Eingaben!$B$23,B2621&lt;Eingaben!$B$24))),"HEAT","STANDARD"))</f>
        <v>STANDARD</v>
      </c>
      <c r="E2621" s="9"/>
      <c r="F2621" t="str">
        <f>IF(E2621="",D2621,E2621)</f>
        <v>STANDARD</v>
      </c>
      <c r="G2621" t="str">
        <f>INDEX(Netzzeiten!$B$6:$B$29,HOUR(B2621)+1)</f>
        <v>NT</v>
      </c>
      <c r="H2621" s="6">
        <f>IF(F2621="GO",Eingaben!$B$11,IF(F2621="STANDARD",Eingaben!$B$12,IF(AND(F2621="HEAT",ISNUMBER(Eingaben!$B$13)),Eingaben!$B$13,"")))</f>
        <v>28.2744</v>
      </c>
      <c r="I2621" s="6">
        <f>INDEX(Netzzeiten!$C$6:$C$29,HOUR(B2621)+1)</f>
        <v>1.64</v>
      </c>
      <c r="J2621" t="str">
        <f>IF(C2621="","FEHLT",IF(NOT(ISNUMBER(C2621)),"MESSWERT UNGUELTIG",IF(C2621&lt;0,"MESSWERT UNGUELTIG",IF(H2621="","TARIFPREIS FEHLT","OK"))))</f>
        <v>FEHLT</v>
      </c>
      <c r="K2621" s="7">
        <f>IF(J2621&lt;&gt;"OK","",C2621*I2621/100)</f>
        <v/>
      </c>
    </row>
    <row r="2622" spans="1:11">
      <c r="A2622" s="14">
        <v>46170</v>
      </c>
      <c r="B2622" s="15">
        <v>0.25</v>
      </c>
      <c r="C2622" s="5">
        <f>IF('96 Werte'!Z33="","",'96 Werte'!Z33)</f>
        <v/>
      </c>
      <c r="D2622" t="str">
        <f>IF(IF(Eingaben!$B$21&lt;Eingaben!$B$22,AND(B2622&gt;=Eingaben!$B$21,B2622&lt;Eingaben!$B$22),OR(B2622&gt;=Eingaben!$B$21,B2622&lt;Eingaben!$B$22)),"GO",IF(AND(ISNUMBER(Eingaben!$B$23),ISNUMBER(Eingaben!$B$24),IF(Eingaben!$B$23&lt;Eingaben!$B$24,AND(B2622&gt;=Eingaben!$B$23,B2622&lt;Eingaben!$B$24),OR(B2622&gt;=Eingaben!$B$23,B2622&lt;Eingaben!$B$24))),"HEAT","STANDARD"))</f>
        <v>STANDARD</v>
      </c>
      <c r="E2622" s="9"/>
      <c r="F2622" t="str">
        <f>IF(E2622="",D2622,E2622)</f>
        <v>STANDARD</v>
      </c>
      <c r="G2622" t="str">
        <f>INDEX(Netzzeiten!$B$6:$B$29,HOUR(B2622)+1)</f>
        <v>ST</v>
      </c>
      <c r="H2622" s="6">
        <f>IF(F2622="GO",Eingaben!$B$11,IF(F2622="STANDARD",Eingaben!$B$12,IF(AND(F2622="HEAT",ISNUMBER(Eingaben!$B$13)),Eingaben!$B$13,"")))</f>
        <v>28.2744</v>
      </c>
      <c r="I2622" s="6">
        <f>INDEX(Netzzeiten!$C$6:$C$29,HOUR(B2622)+1)</f>
        <v>5.48</v>
      </c>
      <c r="J2622" t="str">
        <f>IF(C2622="","FEHLT",IF(NOT(ISNUMBER(C2622)),"MESSWERT UNGUELTIG",IF(C2622&lt;0,"MESSWERT UNGUELTIG",IF(H2622="","TARIFPREIS FEHLT","OK"))))</f>
        <v>FEHLT</v>
      </c>
      <c r="K2622" s="7">
        <f>IF(J2622&lt;&gt;"OK","",C2622*I2622/100)</f>
        <v/>
      </c>
    </row>
    <row r="2623" spans="1:11">
      <c r="A2623" s="14">
        <v>46170</v>
      </c>
      <c r="B2623" s="15">
        <v>0.2604166666666667</v>
      </c>
      <c r="C2623" s="5">
        <f>IF('96 Werte'!AA33="","",'96 Werte'!AA33)</f>
        <v/>
      </c>
      <c r="D2623" t="str">
        <f>IF(IF(Eingaben!$B$21&lt;Eingaben!$B$22,AND(B2623&gt;=Eingaben!$B$21,B2623&lt;Eingaben!$B$22),OR(B2623&gt;=Eingaben!$B$21,B2623&lt;Eingaben!$B$22)),"GO",IF(AND(ISNUMBER(Eingaben!$B$23),ISNUMBER(Eingaben!$B$24),IF(Eingaben!$B$23&lt;Eingaben!$B$24,AND(B2623&gt;=Eingaben!$B$23,B2623&lt;Eingaben!$B$24),OR(B2623&gt;=Eingaben!$B$23,B2623&lt;Eingaben!$B$24))),"HEAT","STANDARD"))</f>
        <v>STANDARD</v>
      </c>
      <c r="E2623" s="9"/>
      <c r="F2623" t="str">
        <f>IF(E2623="",D2623,E2623)</f>
        <v>STANDARD</v>
      </c>
      <c r="G2623" t="str">
        <f>INDEX(Netzzeiten!$B$6:$B$29,HOUR(B2623)+1)</f>
        <v>ST</v>
      </c>
      <c r="H2623" s="6">
        <f>IF(F2623="GO",Eingaben!$B$11,IF(F2623="STANDARD",Eingaben!$B$12,IF(AND(F2623="HEAT",ISNUMBER(Eingaben!$B$13)),Eingaben!$B$13,"")))</f>
        <v>28.2744</v>
      </c>
      <c r="I2623" s="6">
        <f>INDEX(Netzzeiten!$C$6:$C$29,HOUR(B2623)+1)</f>
        <v>5.48</v>
      </c>
      <c r="J2623" t="str">
        <f>IF(C2623="","FEHLT",IF(NOT(ISNUMBER(C2623)),"MESSWERT UNGUELTIG",IF(C2623&lt;0,"MESSWERT UNGUELTIG",IF(H2623="","TARIFPREIS FEHLT","OK"))))</f>
        <v>FEHLT</v>
      </c>
      <c r="K2623" s="7">
        <f>IF(J2623&lt;&gt;"OK","",C2623*I2623/100)</f>
        <v/>
      </c>
    </row>
    <row r="2624" spans="1:11">
      <c r="A2624" s="14">
        <v>46170</v>
      </c>
      <c r="B2624" s="15">
        <v>0.2708333333333333</v>
      </c>
      <c r="C2624" s="5">
        <f>IF('96 Werte'!AB33="","",'96 Werte'!AB33)</f>
        <v/>
      </c>
      <c r="D2624" t="str">
        <f>IF(IF(Eingaben!$B$21&lt;Eingaben!$B$22,AND(B2624&gt;=Eingaben!$B$21,B2624&lt;Eingaben!$B$22),OR(B2624&gt;=Eingaben!$B$21,B2624&lt;Eingaben!$B$22)),"GO",IF(AND(ISNUMBER(Eingaben!$B$23),ISNUMBER(Eingaben!$B$24),IF(Eingaben!$B$23&lt;Eingaben!$B$24,AND(B2624&gt;=Eingaben!$B$23,B2624&lt;Eingaben!$B$24),OR(B2624&gt;=Eingaben!$B$23,B2624&lt;Eingaben!$B$24))),"HEAT","STANDARD"))</f>
        <v>STANDARD</v>
      </c>
      <c r="E2624" s="9"/>
      <c r="F2624" t="str">
        <f>IF(E2624="",D2624,E2624)</f>
        <v>STANDARD</v>
      </c>
      <c r="G2624" t="str">
        <f>INDEX(Netzzeiten!$B$6:$B$29,HOUR(B2624)+1)</f>
        <v>ST</v>
      </c>
      <c r="H2624" s="6">
        <f>IF(F2624="GO",Eingaben!$B$11,IF(F2624="STANDARD",Eingaben!$B$12,IF(AND(F2624="HEAT",ISNUMBER(Eingaben!$B$13)),Eingaben!$B$13,"")))</f>
        <v>28.2744</v>
      </c>
      <c r="I2624" s="6">
        <f>INDEX(Netzzeiten!$C$6:$C$29,HOUR(B2624)+1)</f>
        <v>5.48</v>
      </c>
      <c r="J2624" t="str">
        <f>IF(C2624="","FEHLT",IF(NOT(ISNUMBER(C2624)),"MESSWERT UNGUELTIG",IF(C2624&lt;0,"MESSWERT UNGUELTIG",IF(H2624="","TARIFPREIS FEHLT","OK"))))</f>
        <v>FEHLT</v>
      </c>
      <c r="K2624" s="7">
        <f>IF(J2624&lt;&gt;"OK","",C2624*I2624/100)</f>
        <v/>
      </c>
    </row>
    <row r="2625" spans="1:11">
      <c r="A2625" s="14">
        <v>46170</v>
      </c>
      <c r="B2625" s="15">
        <v>0.28125</v>
      </c>
      <c r="C2625" s="5">
        <f>IF('96 Werte'!AC33="","",'96 Werte'!AC33)</f>
        <v/>
      </c>
      <c r="D2625" t="str">
        <f>IF(IF(Eingaben!$B$21&lt;Eingaben!$B$22,AND(B2625&gt;=Eingaben!$B$21,B2625&lt;Eingaben!$B$22),OR(B2625&gt;=Eingaben!$B$21,B2625&lt;Eingaben!$B$22)),"GO",IF(AND(ISNUMBER(Eingaben!$B$23),ISNUMBER(Eingaben!$B$24),IF(Eingaben!$B$23&lt;Eingaben!$B$24,AND(B2625&gt;=Eingaben!$B$23,B2625&lt;Eingaben!$B$24),OR(B2625&gt;=Eingaben!$B$23,B2625&lt;Eingaben!$B$24))),"HEAT","STANDARD"))</f>
        <v>STANDARD</v>
      </c>
      <c r="E2625" s="9"/>
      <c r="F2625" t="str">
        <f>IF(E2625="",D2625,E2625)</f>
        <v>STANDARD</v>
      </c>
      <c r="G2625" t="str">
        <f>INDEX(Netzzeiten!$B$6:$B$29,HOUR(B2625)+1)</f>
        <v>ST</v>
      </c>
      <c r="H2625" s="6">
        <f>IF(F2625="GO",Eingaben!$B$11,IF(F2625="STANDARD",Eingaben!$B$12,IF(AND(F2625="HEAT",ISNUMBER(Eingaben!$B$13)),Eingaben!$B$13,"")))</f>
        <v>28.2744</v>
      </c>
      <c r="I2625" s="6">
        <f>INDEX(Netzzeiten!$C$6:$C$29,HOUR(B2625)+1)</f>
        <v>5.48</v>
      </c>
      <c r="J2625" t="str">
        <f>IF(C2625="","FEHLT",IF(NOT(ISNUMBER(C2625)),"MESSWERT UNGUELTIG",IF(C2625&lt;0,"MESSWERT UNGUELTIG",IF(H2625="","TARIFPREIS FEHLT","OK"))))</f>
        <v>FEHLT</v>
      </c>
      <c r="K2625" s="7">
        <f>IF(J2625&lt;&gt;"OK","",C2625*I2625/100)</f>
        <v/>
      </c>
    </row>
    <row r="2626" spans="1:11">
      <c r="A2626" s="14">
        <v>46170</v>
      </c>
      <c r="B2626" s="15">
        <v>0.2916666666666667</v>
      </c>
      <c r="C2626" s="5">
        <f>IF('96 Werte'!AD33="","",'96 Werte'!AD33)</f>
        <v/>
      </c>
      <c r="D2626" t="str">
        <f>IF(IF(Eingaben!$B$21&lt;Eingaben!$B$22,AND(B2626&gt;=Eingaben!$B$21,B2626&lt;Eingaben!$B$22),OR(B2626&gt;=Eingaben!$B$21,B2626&lt;Eingaben!$B$22)),"GO",IF(AND(ISNUMBER(Eingaben!$B$23),ISNUMBER(Eingaben!$B$24),IF(Eingaben!$B$23&lt;Eingaben!$B$24,AND(B2626&gt;=Eingaben!$B$23,B2626&lt;Eingaben!$B$24),OR(B2626&gt;=Eingaben!$B$23,B2626&lt;Eingaben!$B$24))),"HEAT","STANDARD"))</f>
        <v>STANDARD</v>
      </c>
      <c r="E2626" s="9"/>
      <c r="F2626" t="str">
        <f>IF(E2626="",D2626,E2626)</f>
        <v>STANDARD</v>
      </c>
      <c r="G2626" t="str">
        <f>INDEX(Netzzeiten!$B$6:$B$29,HOUR(B2626)+1)</f>
        <v>ST</v>
      </c>
      <c r="H2626" s="6">
        <f>IF(F2626="GO",Eingaben!$B$11,IF(F2626="STANDARD",Eingaben!$B$12,IF(AND(F2626="HEAT",ISNUMBER(Eingaben!$B$13)),Eingaben!$B$13,"")))</f>
        <v>28.2744</v>
      </c>
      <c r="I2626" s="6">
        <f>INDEX(Netzzeiten!$C$6:$C$29,HOUR(B2626)+1)</f>
        <v>5.48</v>
      </c>
      <c r="J2626" t="str">
        <f>IF(C2626="","FEHLT",IF(NOT(ISNUMBER(C2626)),"MESSWERT UNGUELTIG",IF(C2626&lt;0,"MESSWERT UNGUELTIG",IF(H2626="","TARIFPREIS FEHLT","OK"))))</f>
        <v>FEHLT</v>
      </c>
      <c r="K2626" s="7">
        <f>IF(J2626&lt;&gt;"OK","",C2626*I2626/100)</f>
        <v/>
      </c>
    </row>
    <row r="2627" spans="1:11">
      <c r="A2627" s="14">
        <v>46170</v>
      </c>
      <c r="B2627" s="15">
        <v>0.3020833333333333</v>
      </c>
      <c r="C2627" s="5">
        <f>IF('96 Werte'!AE33="","",'96 Werte'!AE33)</f>
        <v/>
      </c>
      <c r="D2627" t="str">
        <f>IF(IF(Eingaben!$B$21&lt;Eingaben!$B$22,AND(B2627&gt;=Eingaben!$B$21,B2627&lt;Eingaben!$B$22),OR(B2627&gt;=Eingaben!$B$21,B2627&lt;Eingaben!$B$22)),"GO",IF(AND(ISNUMBER(Eingaben!$B$23),ISNUMBER(Eingaben!$B$24),IF(Eingaben!$B$23&lt;Eingaben!$B$24,AND(B2627&gt;=Eingaben!$B$23,B2627&lt;Eingaben!$B$24),OR(B2627&gt;=Eingaben!$B$23,B2627&lt;Eingaben!$B$24))),"HEAT","STANDARD"))</f>
        <v>STANDARD</v>
      </c>
      <c r="E2627" s="9"/>
      <c r="F2627" t="str">
        <f>IF(E2627="",D2627,E2627)</f>
        <v>STANDARD</v>
      </c>
      <c r="G2627" t="str">
        <f>INDEX(Netzzeiten!$B$6:$B$29,HOUR(B2627)+1)</f>
        <v>ST</v>
      </c>
      <c r="H2627" s="6">
        <f>IF(F2627="GO",Eingaben!$B$11,IF(F2627="STANDARD",Eingaben!$B$12,IF(AND(F2627="HEAT",ISNUMBER(Eingaben!$B$13)),Eingaben!$B$13,"")))</f>
        <v>28.2744</v>
      </c>
      <c r="I2627" s="6">
        <f>INDEX(Netzzeiten!$C$6:$C$29,HOUR(B2627)+1)</f>
        <v>5.48</v>
      </c>
      <c r="J2627" t="str">
        <f>IF(C2627="","FEHLT",IF(NOT(ISNUMBER(C2627)),"MESSWERT UNGUELTIG",IF(C2627&lt;0,"MESSWERT UNGUELTIG",IF(H2627="","TARIFPREIS FEHLT","OK"))))</f>
        <v>FEHLT</v>
      </c>
      <c r="K2627" s="7">
        <f>IF(J2627&lt;&gt;"OK","",C2627*I2627/100)</f>
        <v/>
      </c>
    </row>
    <row r="2628" spans="1:11">
      <c r="A2628" s="14">
        <v>46170</v>
      </c>
      <c r="B2628" s="15">
        <v>0.3125</v>
      </c>
      <c r="C2628" s="5">
        <f>IF('96 Werte'!AF33="","",'96 Werte'!AF33)</f>
        <v/>
      </c>
      <c r="D2628" t="str">
        <f>IF(IF(Eingaben!$B$21&lt;Eingaben!$B$22,AND(B2628&gt;=Eingaben!$B$21,B2628&lt;Eingaben!$B$22),OR(B2628&gt;=Eingaben!$B$21,B2628&lt;Eingaben!$B$22)),"GO",IF(AND(ISNUMBER(Eingaben!$B$23),ISNUMBER(Eingaben!$B$24),IF(Eingaben!$B$23&lt;Eingaben!$B$24,AND(B2628&gt;=Eingaben!$B$23,B2628&lt;Eingaben!$B$24),OR(B2628&gt;=Eingaben!$B$23,B2628&lt;Eingaben!$B$24))),"HEAT","STANDARD"))</f>
        <v>STANDARD</v>
      </c>
      <c r="E2628" s="9"/>
      <c r="F2628" t="str">
        <f>IF(E2628="",D2628,E2628)</f>
        <v>STANDARD</v>
      </c>
      <c r="G2628" t="str">
        <f>INDEX(Netzzeiten!$B$6:$B$29,HOUR(B2628)+1)</f>
        <v>ST</v>
      </c>
      <c r="H2628" s="6">
        <f>IF(F2628="GO",Eingaben!$B$11,IF(F2628="STANDARD",Eingaben!$B$12,IF(AND(F2628="HEAT",ISNUMBER(Eingaben!$B$13)),Eingaben!$B$13,"")))</f>
        <v>28.2744</v>
      </c>
      <c r="I2628" s="6">
        <f>INDEX(Netzzeiten!$C$6:$C$29,HOUR(B2628)+1)</f>
        <v>5.48</v>
      </c>
      <c r="J2628" t="str">
        <f>IF(C2628="","FEHLT",IF(NOT(ISNUMBER(C2628)),"MESSWERT UNGUELTIG",IF(C2628&lt;0,"MESSWERT UNGUELTIG",IF(H2628="","TARIFPREIS FEHLT","OK"))))</f>
        <v>FEHLT</v>
      </c>
      <c r="K2628" s="7">
        <f>IF(J2628&lt;&gt;"OK","",C2628*I2628/100)</f>
        <v/>
      </c>
    </row>
    <row r="2629" spans="1:11">
      <c r="A2629" s="14">
        <v>46170</v>
      </c>
      <c r="B2629" s="15">
        <v>0.3229166666666667</v>
      </c>
      <c r="C2629" s="5">
        <f>IF('96 Werte'!AG33="","",'96 Werte'!AG33)</f>
        <v/>
      </c>
      <c r="D2629" t="str">
        <f>IF(IF(Eingaben!$B$21&lt;Eingaben!$B$22,AND(B2629&gt;=Eingaben!$B$21,B2629&lt;Eingaben!$B$22),OR(B2629&gt;=Eingaben!$B$21,B2629&lt;Eingaben!$B$22)),"GO",IF(AND(ISNUMBER(Eingaben!$B$23),ISNUMBER(Eingaben!$B$24),IF(Eingaben!$B$23&lt;Eingaben!$B$24,AND(B2629&gt;=Eingaben!$B$23,B2629&lt;Eingaben!$B$24),OR(B2629&gt;=Eingaben!$B$23,B2629&lt;Eingaben!$B$24))),"HEAT","STANDARD"))</f>
        <v>STANDARD</v>
      </c>
      <c r="E2629" s="9"/>
      <c r="F2629" t="str">
        <f>IF(E2629="",D2629,E2629)</f>
        <v>STANDARD</v>
      </c>
      <c r="G2629" t="str">
        <f>INDEX(Netzzeiten!$B$6:$B$29,HOUR(B2629)+1)</f>
        <v>ST</v>
      </c>
      <c r="H2629" s="6">
        <f>IF(F2629="GO",Eingaben!$B$11,IF(F2629="STANDARD",Eingaben!$B$12,IF(AND(F2629="HEAT",ISNUMBER(Eingaben!$B$13)),Eingaben!$B$13,"")))</f>
        <v>28.2744</v>
      </c>
      <c r="I2629" s="6">
        <f>INDEX(Netzzeiten!$C$6:$C$29,HOUR(B2629)+1)</f>
        <v>5.48</v>
      </c>
      <c r="J2629" t="str">
        <f>IF(C2629="","FEHLT",IF(NOT(ISNUMBER(C2629)),"MESSWERT UNGUELTIG",IF(C2629&lt;0,"MESSWERT UNGUELTIG",IF(H2629="","TARIFPREIS FEHLT","OK"))))</f>
        <v>FEHLT</v>
      </c>
      <c r="K2629" s="7">
        <f>IF(J2629&lt;&gt;"OK","",C2629*I2629/100)</f>
        <v/>
      </c>
    </row>
    <row r="2630" spans="1:11">
      <c r="A2630" s="14">
        <v>46170</v>
      </c>
      <c r="B2630" s="15">
        <v>0.3333333333333333</v>
      </c>
      <c r="C2630" s="5">
        <f>IF('96 Werte'!AH33="","",'96 Werte'!AH33)</f>
        <v/>
      </c>
      <c r="D2630" t="str">
        <f>IF(IF(Eingaben!$B$21&lt;Eingaben!$B$22,AND(B2630&gt;=Eingaben!$B$21,B2630&lt;Eingaben!$B$22),OR(B2630&gt;=Eingaben!$B$21,B2630&lt;Eingaben!$B$22)),"GO",IF(AND(ISNUMBER(Eingaben!$B$23),ISNUMBER(Eingaben!$B$24),IF(Eingaben!$B$23&lt;Eingaben!$B$24,AND(B2630&gt;=Eingaben!$B$23,B2630&lt;Eingaben!$B$24),OR(B2630&gt;=Eingaben!$B$23,B2630&lt;Eingaben!$B$24))),"HEAT","STANDARD"))</f>
        <v>STANDARD</v>
      </c>
      <c r="E2630" s="9"/>
      <c r="F2630" t="str">
        <f>IF(E2630="",D2630,E2630)</f>
        <v>STANDARD</v>
      </c>
      <c r="G2630" t="str">
        <f>INDEX(Netzzeiten!$B$6:$B$29,HOUR(B2630)+1)</f>
        <v>ST</v>
      </c>
      <c r="H2630" s="6">
        <f>IF(F2630="GO",Eingaben!$B$11,IF(F2630="STANDARD",Eingaben!$B$12,IF(AND(F2630="HEAT",ISNUMBER(Eingaben!$B$13)),Eingaben!$B$13,"")))</f>
        <v>28.2744</v>
      </c>
      <c r="I2630" s="6">
        <f>INDEX(Netzzeiten!$C$6:$C$29,HOUR(B2630)+1)</f>
        <v>5.48</v>
      </c>
      <c r="J2630" t="str">
        <f>IF(C2630="","FEHLT",IF(NOT(ISNUMBER(C2630)),"MESSWERT UNGUELTIG",IF(C2630&lt;0,"MESSWERT UNGUELTIG",IF(H2630="","TARIFPREIS FEHLT","OK"))))</f>
        <v>FEHLT</v>
      </c>
      <c r="K2630" s="7">
        <f>IF(J2630&lt;&gt;"OK","",C2630*I2630/100)</f>
        <v/>
      </c>
    </row>
    <row r="2631" spans="1:11">
      <c r="A2631" s="14">
        <v>46170</v>
      </c>
      <c r="B2631" s="15">
        <v>0.34375</v>
      </c>
      <c r="C2631" s="5">
        <f>IF('96 Werte'!AI33="","",'96 Werte'!AI33)</f>
        <v/>
      </c>
      <c r="D2631" t="str">
        <f>IF(IF(Eingaben!$B$21&lt;Eingaben!$B$22,AND(B2631&gt;=Eingaben!$B$21,B2631&lt;Eingaben!$B$22),OR(B2631&gt;=Eingaben!$B$21,B2631&lt;Eingaben!$B$22)),"GO",IF(AND(ISNUMBER(Eingaben!$B$23),ISNUMBER(Eingaben!$B$24),IF(Eingaben!$B$23&lt;Eingaben!$B$24,AND(B2631&gt;=Eingaben!$B$23,B2631&lt;Eingaben!$B$24),OR(B2631&gt;=Eingaben!$B$23,B2631&lt;Eingaben!$B$24))),"HEAT","STANDARD"))</f>
        <v>STANDARD</v>
      </c>
      <c r="E2631" s="9"/>
      <c r="F2631" t="str">
        <f>IF(E2631="",D2631,E2631)</f>
        <v>STANDARD</v>
      </c>
      <c r="G2631" t="str">
        <f>INDEX(Netzzeiten!$B$6:$B$29,HOUR(B2631)+1)</f>
        <v>ST</v>
      </c>
      <c r="H2631" s="6">
        <f>IF(F2631="GO",Eingaben!$B$11,IF(F2631="STANDARD",Eingaben!$B$12,IF(AND(F2631="HEAT",ISNUMBER(Eingaben!$B$13)),Eingaben!$B$13,"")))</f>
        <v>28.2744</v>
      </c>
      <c r="I2631" s="6">
        <f>INDEX(Netzzeiten!$C$6:$C$29,HOUR(B2631)+1)</f>
        <v>5.48</v>
      </c>
      <c r="J2631" t="str">
        <f>IF(C2631="","FEHLT",IF(NOT(ISNUMBER(C2631)),"MESSWERT UNGUELTIG",IF(C2631&lt;0,"MESSWERT UNGUELTIG",IF(H2631="","TARIFPREIS FEHLT","OK"))))</f>
        <v>FEHLT</v>
      </c>
      <c r="K2631" s="7">
        <f>IF(J2631&lt;&gt;"OK","",C2631*I2631/100)</f>
        <v/>
      </c>
    </row>
    <row r="2632" spans="1:11">
      <c r="A2632" s="14">
        <v>46170</v>
      </c>
      <c r="B2632" s="15">
        <v>0.3541666666666667</v>
      </c>
      <c r="C2632" s="5">
        <f>IF('96 Werte'!AJ33="","",'96 Werte'!AJ33)</f>
        <v/>
      </c>
      <c r="D2632" t="str">
        <f>IF(IF(Eingaben!$B$21&lt;Eingaben!$B$22,AND(B2632&gt;=Eingaben!$B$21,B2632&lt;Eingaben!$B$22),OR(B2632&gt;=Eingaben!$B$21,B2632&lt;Eingaben!$B$22)),"GO",IF(AND(ISNUMBER(Eingaben!$B$23),ISNUMBER(Eingaben!$B$24),IF(Eingaben!$B$23&lt;Eingaben!$B$24,AND(B2632&gt;=Eingaben!$B$23,B2632&lt;Eingaben!$B$24),OR(B2632&gt;=Eingaben!$B$23,B2632&lt;Eingaben!$B$24))),"HEAT","STANDARD"))</f>
        <v>STANDARD</v>
      </c>
      <c r="E2632" s="9"/>
      <c r="F2632" t="str">
        <f>IF(E2632="",D2632,E2632)</f>
        <v>STANDARD</v>
      </c>
      <c r="G2632" t="str">
        <f>INDEX(Netzzeiten!$B$6:$B$29,HOUR(B2632)+1)</f>
        <v>ST</v>
      </c>
      <c r="H2632" s="6">
        <f>IF(F2632="GO",Eingaben!$B$11,IF(F2632="STANDARD",Eingaben!$B$12,IF(AND(F2632="HEAT",ISNUMBER(Eingaben!$B$13)),Eingaben!$B$13,"")))</f>
        <v>28.2744</v>
      </c>
      <c r="I2632" s="6">
        <f>INDEX(Netzzeiten!$C$6:$C$29,HOUR(B2632)+1)</f>
        <v>5.48</v>
      </c>
      <c r="J2632" t="str">
        <f>IF(C2632="","FEHLT",IF(NOT(ISNUMBER(C2632)),"MESSWERT UNGUELTIG",IF(C2632&lt;0,"MESSWERT UNGUELTIG",IF(H2632="","TARIFPREIS FEHLT","OK"))))</f>
        <v>FEHLT</v>
      </c>
      <c r="K2632" s="7">
        <f>IF(J2632&lt;&gt;"OK","",C2632*I2632/100)</f>
        <v/>
      </c>
    </row>
    <row r="2633" spans="1:11">
      <c r="A2633" s="14">
        <v>46170</v>
      </c>
      <c r="B2633" s="15">
        <v>0.3645833333333333</v>
      </c>
      <c r="C2633" s="5">
        <f>IF('96 Werte'!AK33="","",'96 Werte'!AK33)</f>
        <v/>
      </c>
      <c r="D2633" t="str">
        <f>IF(IF(Eingaben!$B$21&lt;Eingaben!$B$22,AND(B2633&gt;=Eingaben!$B$21,B2633&lt;Eingaben!$B$22),OR(B2633&gt;=Eingaben!$B$21,B2633&lt;Eingaben!$B$22)),"GO",IF(AND(ISNUMBER(Eingaben!$B$23),ISNUMBER(Eingaben!$B$24),IF(Eingaben!$B$23&lt;Eingaben!$B$24,AND(B2633&gt;=Eingaben!$B$23,B2633&lt;Eingaben!$B$24),OR(B2633&gt;=Eingaben!$B$23,B2633&lt;Eingaben!$B$24))),"HEAT","STANDARD"))</f>
        <v>STANDARD</v>
      </c>
      <c r="E2633" s="9"/>
      <c r="F2633" t="str">
        <f>IF(E2633="",D2633,E2633)</f>
        <v>STANDARD</v>
      </c>
      <c r="G2633" t="str">
        <f>INDEX(Netzzeiten!$B$6:$B$29,HOUR(B2633)+1)</f>
        <v>ST</v>
      </c>
      <c r="H2633" s="6">
        <f>IF(F2633="GO",Eingaben!$B$11,IF(F2633="STANDARD",Eingaben!$B$12,IF(AND(F2633="HEAT",ISNUMBER(Eingaben!$B$13)),Eingaben!$B$13,"")))</f>
        <v>28.2744</v>
      </c>
      <c r="I2633" s="6">
        <f>INDEX(Netzzeiten!$C$6:$C$29,HOUR(B2633)+1)</f>
        <v>5.48</v>
      </c>
      <c r="J2633" t="str">
        <f>IF(C2633="","FEHLT",IF(NOT(ISNUMBER(C2633)),"MESSWERT UNGUELTIG",IF(C2633&lt;0,"MESSWERT UNGUELTIG",IF(H2633="","TARIFPREIS FEHLT","OK"))))</f>
        <v>FEHLT</v>
      </c>
      <c r="K2633" s="7">
        <f>IF(J2633&lt;&gt;"OK","",C2633*I2633/100)</f>
        <v/>
      </c>
    </row>
    <row r="2634" spans="1:11">
      <c r="A2634" s="14">
        <v>46170</v>
      </c>
      <c r="B2634" s="15">
        <v>0.375</v>
      </c>
      <c r="C2634" s="5">
        <f>IF('96 Werte'!AL33="","",'96 Werte'!AL33)</f>
        <v/>
      </c>
      <c r="D2634" t="str">
        <f>IF(IF(Eingaben!$B$21&lt;Eingaben!$B$22,AND(B2634&gt;=Eingaben!$B$21,B2634&lt;Eingaben!$B$22),OR(B2634&gt;=Eingaben!$B$21,B2634&lt;Eingaben!$B$22)),"GO",IF(AND(ISNUMBER(Eingaben!$B$23),ISNUMBER(Eingaben!$B$24),IF(Eingaben!$B$23&lt;Eingaben!$B$24,AND(B2634&gt;=Eingaben!$B$23,B2634&lt;Eingaben!$B$24),OR(B2634&gt;=Eingaben!$B$23,B2634&lt;Eingaben!$B$24))),"HEAT","STANDARD"))</f>
        <v>STANDARD</v>
      </c>
      <c r="E2634" s="9"/>
      <c r="F2634" t="str">
        <f>IF(E2634="",D2634,E2634)</f>
        <v>STANDARD</v>
      </c>
      <c r="G2634" t="str">
        <f>INDEX(Netzzeiten!$B$6:$B$29,HOUR(B2634)+1)</f>
        <v>ST</v>
      </c>
      <c r="H2634" s="6">
        <f>IF(F2634="GO",Eingaben!$B$11,IF(F2634="STANDARD",Eingaben!$B$12,IF(AND(F2634="HEAT",ISNUMBER(Eingaben!$B$13)),Eingaben!$B$13,"")))</f>
        <v>28.2744</v>
      </c>
      <c r="I2634" s="6">
        <f>INDEX(Netzzeiten!$C$6:$C$29,HOUR(B2634)+1)</f>
        <v>5.48</v>
      </c>
      <c r="J2634" t="str">
        <f>IF(C2634="","FEHLT",IF(NOT(ISNUMBER(C2634)),"MESSWERT UNGUELTIG",IF(C2634&lt;0,"MESSWERT UNGUELTIG",IF(H2634="","TARIFPREIS FEHLT","OK"))))</f>
        <v>FEHLT</v>
      </c>
      <c r="K2634" s="7">
        <f>IF(J2634&lt;&gt;"OK","",C2634*I2634/100)</f>
        <v/>
      </c>
    </row>
    <row r="2635" spans="1:11">
      <c r="A2635" s="14">
        <v>46170</v>
      </c>
      <c r="B2635" s="15">
        <v>0.3854166666666667</v>
      </c>
      <c r="C2635" s="5">
        <f>IF('96 Werte'!AM33="","",'96 Werte'!AM33)</f>
        <v/>
      </c>
      <c r="D2635" t="str">
        <f>IF(IF(Eingaben!$B$21&lt;Eingaben!$B$22,AND(B2635&gt;=Eingaben!$B$21,B2635&lt;Eingaben!$B$22),OR(B2635&gt;=Eingaben!$B$21,B2635&lt;Eingaben!$B$22)),"GO",IF(AND(ISNUMBER(Eingaben!$B$23),ISNUMBER(Eingaben!$B$24),IF(Eingaben!$B$23&lt;Eingaben!$B$24,AND(B2635&gt;=Eingaben!$B$23,B2635&lt;Eingaben!$B$24),OR(B2635&gt;=Eingaben!$B$23,B2635&lt;Eingaben!$B$24))),"HEAT","STANDARD"))</f>
        <v>STANDARD</v>
      </c>
      <c r="E2635" s="9"/>
      <c r="F2635" t="str">
        <f>IF(E2635="",D2635,E2635)</f>
        <v>STANDARD</v>
      </c>
      <c r="G2635" t="str">
        <f>INDEX(Netzzeiten!$B$6:$B$29,HOUR(B2635)+1)</f>
        <v>ST</v>
      </c>
      <c r="H2635" s="6">
        <f>IF(F2635="GO",Eingaben!$B$11,IF(F2635="STANDARD",Eingaben!$B$12,IF(AND(F2635="HEAT",ISNUMBER(Eingaben!$B$13)),Eingaben!$B$13,"")))</f>
        <v>28.2744</v>
      </c>
      <c r="I2635" s="6">
        <f>INDEX(Netzzeiten!$C$6:$C$29,HOUR(B2635)+1)</f>
        <v>5.48</v>
      </c>
      <c r="J2635" t="str">
        <f>IF(C2635="","FEHLT",IF(NOT(ISNUMBER(C2635)),"MESSWERT UNGUELTIG",IF(C2635&lt;0,"MESSWERT UNGUELTIG",IF(H2635="","TARIFPREIS FEHLT","OK"))))</f>
        <v>FEHLT</v>
      </c>
      <c r="K2635" s="7">
        <f>IF(J2635&lt;&gt;"OK","",C2635*I2635/100)</f>
        <v/>
      </c>
    </row>
    <row r="2636" spans="1:11">
      <c r="A2636" s="14">
        <v>46170</v>
      </c>
      <c r="B2636" s="15">
        <v>0.3958333333333333</v>
      </c>
      <c r="C2636" s="5">
        <f>IF('96 Werte'!AN33="","",'96 Werte'!AN33)</f>
        <v/>
      </c>
      <c r="D2636" t="str">
        <f>IF(IF(Eingaben!$B$21&lt;Eingaben!$B$22,AND(B2636&gt;=Eingaben!$B$21,B2636&lt;Eingaben!$B$22),OR(B2636&gt;=Eingaben!$B$21,B2636&lt;Eingaben!$B$22)),"GO",IF(AND(ISNUMBER(Eingaben!$B$23),ISNUMBER(Eingaben!$B$24),IF(Eingaben!$B$23&lt;Eingaben!$B$24,AND(B2636&gt;=Eingaben!$B$23,B2636&lt;Eingaben!$B$24),OR(B2636&gt;=Eingaben!$B$23,B2636&lt;Eingaben!$B$24))),"HEAT","STANDARD"))</f>
        <v>STANDARD</v>
      </c>
      <c r="E2636" s="9"/>
      <c r="F2636" t="str">
        <f>IF(E2636="",D2636,E2636)</f>
        <v>STANDARD</v>
      </c>
      <c r="G2636" t="str">
        <f>INDEX(Netzzeiten!$B$6:$B$29,HOUR(B2636)+1)</f>
        <v>ST</v>
      </c>
      <c r="H2636" s="6">
        <f>IF(F2636="GO",Eingaben!$B$11,IF(F2636="STANDARD",Eingaben!$B$12,IF(AND(F2636="HEAT",ISNUMBER(Eingaben!$B$13)),Eingaben!$B$13,"")))</f>
        <v>28.2744</v>
      </c>
      <c r="I2636" s="6">
        <f>INDEX(Netzzeiten!$C$6:$C$29,HOUR(B2636)+1)</f>
        <v>5.48</v>
      </c>
      <c r="J2636" t="str">
        <f>IF(C2636="","FEHLT",IF(NOT(ISNUMBER(C2636)),"MESSWERT UNGUELTIG",IF(C2636&lt;0,"MESSWERT UNGUELTIG",IF(H2636="","TARIFPREIS FEHLT","OK"))))</f>
        <v>FEHLT</v>
      </c>
      <c r="K2636" s="7">
        <f>IF(J2636&lt;&gt;"OK","",C2636*I2636/100)</f>
        <v/>
      </c>
    </row>
    <row r="2637" spans="1:11">
      <c r="A2637" s="14">
        <v>46170</v>
      </c>
      <c r="B2637" s="15">
        <v>0.40625</v>
      </c>
      <c r="C2637" s="5">
        <f>IF('96 Werte'!AO33="","",'96 Werte'!AO33)</f>
        <v/>
      </c>
      <c r="D2637" t="str">
        <f>IF(IF(Eingaben!$B$21&lt;Eingaben!$B$22,AND(B2637&gt;=Eingaben!$B$21,B2637&lt;Eingaben!$B$22),OR(B2637&gt;=Eingaben!$B$21,B2637&lt;Eingaben!$B$22)),"GO",IF(AND(ISNUMBER(Eingaben!$B$23),ISNUMBER(Eingaben!$B$24),IF(Eingaben!$B$23&lt;Eingaben!$B$24,AND(B2637&gt;=Eingaben!$B$23,B2637&lt;Eingaben!$B$24),OR(B2637&gt;=Eingaben!$B$23,B2637&lt;Eingaben!$B$24))),"HEAT","STANDARD"))</f>
        <v>STANDARD</v>
      </c>
      <c r="E2637" s="9"/>
      <c r="F2637" t="str">
        <f>IF(E2637="",D2637,E2637)</f>
        <v>STANDARD</v>
      </c>
      <c r="G2637" t="str">
        <f>INDEX(Netzzeiten!$B$6:$B$29,HOUR(B2637)+1)</f>
        <v>ST</v>
      </c>
      <c r="H2637" s="6">
        <f>IF(F2637="GO",Eingaben!$B$11,IF(F2637="STANDARD",Eingaben!$B$12,IF(AND(F2637="HEAT",ISNUMBER(Eingaben!$B$13)),Eingaben!$B$13,"")))</f>
        <v>28.2744</v>
      </c>
      <c r="I2637" s="6">
        <f>INDEX(Netzzeiten!$C$6:$C$29,HOUR(B2637)+1)</f>
        <v>5.48</v>
      </c>
      <c r="J2637" t="str">
        <f>IF(C2637="","FEHLT",IF(NOT(ISNUMBER(C2637)),"MESSWERT UNGUELTIG",IF(C2637&lt;0,"MESSWERT UNGUELTIG",IF(H2637="","TARIFPREIS FEHLT","OK"))))</f>
        <v>FEHLT</v>
      </c>
      <c r="K2637" s="7">
        <f>IF(J2637&lt;&gt;"OK","",C2637*I2637/100)</f>
        <v/>
      </c>
    </row>
    <row r="2638" spans="1:11">
      <c r="A2638" s="14">
        <v>46170</v>
      </c>
      <c r="B2638" s="15">
        <v>0.4166666666666667</v>
      </c>
      <c r="C2638" s="5">
        <f>IF('96 Werte'!AP33="","",'96 Werte'!AP33)</f>
        <v/>
      </c>
      <c r="D2638" t="str">
        <f>IF(IF(Eingaben!$B$21&lt;Eingaben!$B$22,AND(B2638&gt;=Eingaben!$B$21,B2638&lt;Eingaben!$B$22),OR(B2638&gt;=Eingaben!$B$21,B2638&lt;Eingaben!$B$22)),"GO",IF(AND(ISNUMBER(Eingaben!$B$23),ISNUMBER(Eingaben!$B$24),IF(Eingaben!$B$23&lt;Eingaben!$B$24,AND(B2638&gt;=Eingaben!$B$23,B2638&lt;Eingaben!$B$24),OR(B2638&gt;=Eingaben!$B$23,B2638&lt;Eingaben!$B$24))),"HEAT","STANDARD"))</f>
        <v>STANDARD</v>
      </c>
      <c r="E2638" s="9"/>
      <c r="F2638" t="str">
        <f>IF(E2638="",D2638,E2638)</f>
        <v>STANDARD</v>
      </c>
      <c r="G2638" t="str">
        <f>INDEX(Netzzeiten!$B$6:$B$29,HOUR(B2638)+1)</f>
        <v>ST</v>
      </c>
      <c r="H2638" s="6">
        <f>IF(F2638="GO",Eingaben!$B$11,IF(F2638="STANDARD",Eingaben!$B$12,IF(AND(F2638="HEAT",ISNUMBER(Eingaben!$B$13)),Eingaben!$B$13,"")))</f>
        <v>28.2744</v>
      </c>
      <c r="I2638" s="6">
        <f>INDEX(Netzzeiten!$C$6:$C$29,HOUR(B2638)+1)</f>
        <v>5.48</v>
      </c>
      <c r="J2638" t="str">
        <f>IF(C2638="","FEHLT",IF(NOT(ISNUMBER(C2638)),"MESSWERT UNGUELTIG",IF(C2638&lt;0,"MESSWERT UNGUELTIG",IF(H2638="","TARIFPREIS FEHLT","OK"))))</f>
        <v>FEHLT</v>
      </c>
      <c r="K2638" s="7">
        <f>IF(J2638&lt;&gt;"OK","",C2638*I2638/100)</f>
        <v/>
      </c>
    </row>
    <row r="2639" spans="1:11">
      <c r="A2639" s="14">
        <v>46170</v>
      </c>
      <c r="B2639" s="15">
        <v>0.4270833333333333</v>
      </c>
      <c r="C2639" s="5">
        <f>IF('96 Werte'!AQ33="","",'96 Werte'!AQ33)</f>
        <v/>
      </c>
      <c r="D2639" t="str">
        <f>IF(IF(Eingaben!$B$21&lt;Eingaben!$B$22,AND(B2639&gt;=Eingaben!$B$21,B2639&lt;Eingaben!$B$22),OR(B2639&gt;=Eingaben!$B$21,B2639&lt;Eingaben!$B$22)),"GO",IF(AND(ISNUMBER(Eingaben!$B$23),ISNUMBER(Eingaben!$B$24),IF(Eingaben!$B$23&lt;Eingaben!$B$24,AND(B2639&gt;=Eingaben!$B$23,B2639&lt;Eingaben!$B$24),OR(B2639&gt;=Eingaben!$B$23,B2639&lt;Eingaben!$B$24))),"HEAT","STANDARD"))</f>
        <v>STANDARD</v>
      </c>
      <c r="E2639" s="9"/>
      <c r="F2639" t="str">
        <f>IF(E2639="",D2639,E2639)</f>
        <v>STANDARD</v>
      </c>
      <c r="G2639" t="str">
        <f>INDEX(Netzzeiten!$B$6:$B$29,HOUR(B2639)+1)</f>
        <v>ST</v>
      </c>
      <c r="H2639" s="6">
        <f>IF(F2639="GO",Eingaben!$B$11,IF(F2639="STANDARD",Eingaben!$B$12,IF(AND(F2639="HEAT",ISNUMBER(Eingaben!$B$13)),Eingaben!$B$13,"")))</f>
        <v>28.2744</v>
      </c>
      <c r="I2639" s="6">
        <f>INDEX(Netzzeiten!$C$6:$C$29,HOUR(B2639)+1)</f>
        <v>5.48</v>
      </c>
      <c r="J2639" t="str">
        <f>IF(C2639="","FEHLT",IF(NOT(ISNUMBER(C2639)),"MESSWERT UNGUELTIG",IF(C2639&lt;0,"MESSWERT UNGUELTIG",IF(H2639="","TARIFPREIS FEHLT","OK"))))</f>
        <v>FEHLT</v>
      </c>
      <c r="K2639" s="7">
        <f>IF(J2639&lt;&gt;"OK","",C2639*I2639/100)</f>
        <v/>
      </c>
    </row>
    <row r="2640" spans="1:11">
      <c r="A2640" s="14">
        <v>46170</v>
      </c>
      <c r="B2640" s="15">
        <v>0.4375</v>
      </c>
      <c r="C2640" s="5">
        <f>IF('96 Werte'!AR33="","",'96 Werte'!AR33)</f>
        <v/>
      </c>
      <c r="D2640" t="str">
        <f>IF(IF(Eingaben!$B$21&lt;Eingaben!$B$22,AND(B2640&gt;=Eingaben!$B$21,B2640&lt;Eingaben!$B$22),OR(B2640&gt;=Eingaben!$B$21,B2640&lt;Eingaben!$B$22)),"GO",IF(AND(ISNUMBER(Eingaben!$B$23),ISNUMBER(Eingaben!$B$24),IF(Eingaben!$B$23&lt;Eingaben!$B$24,AND(B2640&gt;=Eingaben!$B$23,B2640&lt;Eingaben!$B$24),OR(B2640&gt;=Eingaben!$B$23,B2640&lt;Eingaben!$B$24))),"HEAT","STANDARD"))</f>
        <v>STANDARD</v>
      </c>
      <c r="E2640" s="9"/>
      <c r="F2640" t="str">
        <f>IF(E2640="",D2640,E2640)</f>
        <v>STANDARD</v>
      </c>
      <c r="G2640" t="str">
        <f>INDEX(Netzzeiten!$B$6:$B$29,HOUR(B2640)+1)</f>
        <v>ST</v>
      </c>
      <c r="H2640" s="6">
        <f>IF(F2640="GO",Eingaben!$B$11,IF(F2640="STANDARD",Eingaben!$B$12,IF(AND(F2640="HEAT",ISNUMBER(Eingaben!$B$13)),Eingaben!$B$13,"")))</f>
        <v>28.2744</v>
      </c>
      <c r="I2640" s="6">
        <f>INDEX(Netzzeiten!$C$6:$C$29,HOUR(B2640)+1)</f>
        <v>5.48</v>
      </c>
      <c r="J2640" t="str">
        <f>IF(C2640="","FEHLT",IF(NOT(ISNUMBER(C2640)),"MESSWERT UNGUELTIG",IF(C2640&lt;0,"MESSWERT UNGUELTIG",IF(H2640="","TARIFPREIS FEHLT","OK"))))</f>
        <v>FEHLT</v>
      </c>
      <c r="K2640" s="7">
        <f>IF(J2640&lt;&gt;"OK","",C2640*I2640/100)</f>
        <v/>
      </c>
    </row>
    <row r="2641" spans="1:11">
      <c r="A2641" s="14">
        <v>46170</v>
      </c>
      <c r="B2641" s="15">
        <v>0.4479166666666667</v>
      </c>
      <c r="C2641" s="5">
        <f>IF('96 Werte'!AS33="","",'96 Werte'!AS33)</f>
        <v/>
      </c>
      <c r="D2641" t="str">
        <f>IF(IF(Eingaben!$B$21&lt;Eingaben!$B$22,AND(B2641&gt;=Eingaben!$B$21,B2641&lt;Eingaben!$B$22),OR(B2641&gt;=Eingaben!$B$21,B2641&lt;Eingaben!$B$22)),"GO",IF(AND(ISNUMBER(Eingaben!$B$23),ISNUMBER(Eingaben!$B$24),IF(Eingaben!$B$23&lt;Eingaben!$B$24,AND(B2641&gt;=Eingaben!$B$23,B2641&lt;Eingaben!$B$24),OR(B2641&gt;=Eingaben!$B$23,B2641&lt;Eingaben!$B$24))),"HEAT","STANDARD"))</f>
        <v>STANDARD</v>
      </c>
      <c r="E2641" s="9"/>
      <c r="F2641" t="str">
        <f>IF(E2641="",D2641,E2641)</f>
        <v>STANDARD</v>
      </c>
      <c r="G2641" t="str">
        <f>INDEX(Netzzeiten!$B$6:$B$29,HOUR(B2641)+1)</f>
        <v>ST</v>
      </c>
      <c r="H2641" s="6">
        <f>IF(F2641="GO",Eingaben!$B$11,IF(F2641="STANDARD",Eingaben!$B$12,IF(AND(F2641="HEAT",ISNUMBER(Eingaben!$B$13)),Eingaben!$B$13,"")))</f>
        <v>28.2744</v>
      </c>
      <c r="I2641" s="6">
        <f>INDEX(Netzzeiten!$C$6:$C$29,HOUR(B2641)+1)</f>
        <v>5.48</v>
      </c>
      <c r="J2641" t="str">
        <f>IF(C2641="","FEHLT",IF(NOT(ISNUMBER(C2641)),"MESSWERT UNGUELTIG",IF(C2641&lt;0,"MESSWERT UNGUELTIG",IF(H2641="","TARIFPREIS FEHLT","OK"))))</f>
        <v>FEHLT</v>
      </c>
      <c r="K2641" s="7">
        <f>IF(J2641&lt;&gt;"OK","",C2641*I2641/100)</f>
        <v/>
      </c>
    </row>
    <row r="2642" spans="1:11">
      <c r="A2642" s="14">
        <v>46170</v>
      </c>
      <c r="B2642" s="15">
        <v>0.4583333333333333</v>
      </c>
      <c r="C2642" s="5">
        <f>IF('96 Werte'!AT33="","",'96 Werte'!AT33)</f>
        <v/>
      </c>
      <c r="D2642" t="str">
        <f>IF(IF(Eingaben!$B$21&lt;Eingaben!$B$22,AND(B2642&gt;=Eingaben!$B$21,B2642&lt;Eingaben!$B$22),OR(B2642&gt;=Eingaben!$B$21,B2642&lt;Eingaben!$B$22)),"GO",IF(AND(ISNUMBER(Eingaben!$B$23),ISNUMBER(Eingaben!$B$24),IF(Eingaben!$B$23&lt;Eingaben!$B$24,AND(B2642&gt;=Eingaben!$B$23,B2642&lt;Eingaben!$B$24),OR(B2642&gt;=Eingaben!$B$23,B2642&lt;Eingaben!$B$24))),"HEAT","STANDARD"))</f>
        <v>STANDARD</v>
      </c>
      <c r="E2642" s="9"/>
      <c r="F2642" t="str">
        <f>IF(E2642="",D2642,E2642)</f>
        <v>STANDARD</v>
      </c>
      <c r="G2642" t="str">
        <f>INDEX(Netzzeiten!$B$6:$B$29,HOUR(B2642)+1)</f>
        <v>NT</v>
      </c>
      <c r="H2642" s="6">
        <f>IF(F2642="GO",Eingaben!$B$11,IF(F2642="STANDARD",Eingaben!$B$12,IF(AND(F2642="HEAT",ISNUMBER(Eingaben!$B$13)),Eingaben!$B$13,"")))</f>
        <v>28.2744</v>
      </c>
      <c r="I2642" s="6">
        <f>INDEX(Netzzeiten!$C$6:$C$29,HOUR(B2642)+1)</f>
        <v>1.64</v>
      </c>
      <c r="J2642" t="str">
        <f>IF(C2642="","FEHLT",IF(NOT(ISNUMBER(C2642)),"MESSWERT UNGUELTIG",IF(C2642&lt;0,"MESSWERT UNGUELTIG",IF(H2642="","TARIFPREIS FEHLT","OK"))))</f>
        <v>FEHLT</v>
      </c>
      <c r="K2642" s="7">
        <f>IF(J2642&lt;&gt;"OK","",C2642*I2642/100)</f>
        <v/>
      </c>
    </row>
    <row r="2643" spans="1:11">
      <c r="A2643" s="14">
        <v>46170</v>
      </c>
      <c r="B2643" s="15">
        <v>0.46875</v>
      </c>
      <c r="C2643" s="5">
        <f>IF('96 Werte'!AU33="","",'96 Werte'!AU33)</f>
        <v/>
      </c>
      <c r="D2643" t="str">
        <f>IF(IF(Eingaben!$B$21&lt;Eingaben!$B$22,AND(B2643&gt;=Eingaben!$B$21,B2643&lt;Eingaben!$B$22),OR(B2643&gt;=Eingaben!$B$21,B2643&lt;Eingaben!$B$22)),"GO",IF(AND(ISNUMBER(Eingaben!$B$23),ISNUMBER(Eingaben!$B$24),IF(Eingaben!$B$23&lt;Eingaben!$B$24,AND(B2643&gt;=Eingaben!$B$23,B2643&lt;Eingaben!$B$24),OR(B2643&gt;=Eingaben!$B$23,B2643&lt;Eingaben!$B$24))),"HEAT","STANDARD"))</f>
        <v>STANDARD</v>
      </c>
      <c r="E2643" s="9"/>
      <c r="F2643" t="str">
        <f>IF(E2643="",D2643,E2643)</f>
        <v>STANDARD</v>
      </c>
      <c r="G2643" t="str">
        <f>INDEX(Netzzeiten!$B$6:$B$29,HOUR(B2643)+1)</f>
        <v>NT</v>
      </c>
      <c r="H2643" s="6">
        <f>IF(F2643="GO",Eingaben!$B$11,IF(F2643="STANDARD",Eingaben!$B$12,IF(AND(F2643="HEAT",ISNUMBER(Eingaben!$B$13)),Eingaben!$B$13,"")))</f>
        <v>28.2744</v>
      </c>
      <c r="I2643" s="6">
        <f>INDEX(Netzzeiten!$C$6:$C$29,HOUR(B2643)+1)</f>
        <v>1.64</v>
      </c>
      <c r="J2643" t="str">
        <f>IF(C2643="","FEHLT",IF(NOT(ISNUMBER(C2643)),"MESSWERT UNGUELTIG",IF(C2643&lt;0,"MESSWERT UNGUELTIG",IF(H2643="","TARIFPREIS FEHLT","OK"))))</f>
        <v>FEHLT</v>
      </c>
      <c r="K2643" s="7">
        <f>IF(J2643&lt;&gt;"OK","",C2643*I2643/100)</f>
        <v/>
      </c>
    </row>
    <row r="2644" spans="1:11">
      <c r="A2644" s="14">
        <v>46170</v>
      </c>
      <c r="B2644" s="15">
        <v>0.4791666666666667</v>
      </c>
      <c r="C2644" s="5">
        <f>IF('96 Werte'!AV33="","",'96 Werte'!AV33)</f>
        <v/>
      </c>
      <c r="D2644" t="str">
        <f>IF(IF(Eingaben!$B$21&lt;Eingaben!$B$22,AND(B2644&gt;=Eingaben!$B$21,B2644&lt;Eingaben!$B$22),OR(B2644&gt;=Eingaben!$B$21,B2644&lt;Eingaben!$B$22)),"GO",IF(AND(ISNUMBER(Eingaben!$B$23),ISNUMBER(Eingaben!$B$24),IF(Eingaben!$B$23&lt;Eingaben!$B$24,AND(B2644&gt;=Eingaben!$B$23,B2644&lt;Eingaben!$B$24),OR(B2644&gt;=Eingaben!$B$23,B2644&lt;Eingaben!$B$24))),"HEAT","STANDARD"))</f>
        <v>STANDARD</v>
      </c>
      <c r="E2644" s="9"/>
      <c r="F2644" t="str">
        <f>IF(E2644="",D2644,E2644)</f>
        <v>STANDARD</v>
      </c>
      <c r="G2644" t="str">
        <f>INDEX(Netzzeiten!$B$6:$B$29,HOUR(B2644)+1)</f>
        <v>NT</v>
      </c>
      <c r="H2644" s="6">
        <f>IF(F2644="GO",Eingaben!$B$11,IF(F2644="STANDARD",Eingaben!$B$12,IF(AND(F2644="HEAT",ISNUMBER(Eingaben!$B$13)),Eingaben!$B$13,"")))</f>
        <v>28.2744</v>
      </c>
      <c r="I2644" s="6">
        <f>INDEX(Netzzeiten!$C$6:$C$29,HOUR(B2644)+1)</f>
        <v>1.64</v>
      </c>
      <c r="J2644" t="str">
        <f>IF(C2644="","FEHLT",IF(NOT(ISNUMBER(C2644)),"MESSWERT UNGUELTIG",IF(C2644&lt;0,"MESSWERT UNGUELTIG",IF(H2644="","TARIFPREIS FEHLT","OK"))))</f>
        <v>FEHLT</v>
      </c>
      <c r="K2644" s="7">
        <f>IF(J2644&lt;&gt;"OK","",C2644*I2644/100)</f>
        <v/>
      </c>
    </row>
    <row r="2645" spans="1:11">
      <c r="A2645" s="14">
        <v>46170</v>
      </c>
      <c r="B2645" s="15">
        <v>0.4895833333333333</v>
      </c>
      <c r="C2645" s="5">
        <f>IF('96 Werte'!AW33="","",'96 Werte'!AW33)</f>
        <v/>
      </c>
      <c r="D2645" t="str">
        <f>IF(IF(Eingaben!$B$21&lt;Eingaben!$B$22,AND(B2645&gt;=Eingaben!$B$21,B2645&lt;Eingaben!$B$22),OR(B2645&gt;=Eingaben!$B$21,B2645&lt;Eingaben!$B$22)),"GO",IF(AND(ISNUMBER(Eingaben!$B$23),ISNUMBER(Eingaben!$B$24),IF(Eingaben!$B$23&lt;Eingaben!$B$24,AND(B2645&gt;=Eingaben!$B$23,B2645&lt;Eingaben!$B$24),OR(B2645&gt;=Eingaben!$B$23,B2645&lt;Eingaben!$B$24))),"HEAT","STANDARD"))</f>
        <v>STANDARD</v>
      </c>
      <c r="E2645" s="9"/>
      <c r="F2645" t="str">
        <f>IF(E2645="",D2645,E2645)</f>
        <v>STANDARD</v>
      </c>
      <c r="G2645" t="str">
        <f>INDEX(Netzzeiten!$B$6:$B$29,HOUR(B2645)+1)</f>
        <v>NT</v>
      </c>
      <c r="H2645" s="6">
        <f>IF(F2645="GO",Eingaben!$B$11,IF(F2645="STANDARD",Eingaben!$B$12,IF(AND(F2645="HEAT",ISNUMBER(Eingaben!$B$13)),Eingaben!$B$13,"")))</f>
        <v>28.2744</v>
      </c>
      <c r="I2645" s="6">
        <f>INDEX(Netzzeiten!$C$6:$C$29,HOUR(B2645)+1)</f>
        <v>1.64</v>
      </c>
      <c r="J2645" t="str">
        <f>IF(C2645="","FEHLT",IF(NOT(ISNUMBER(C2645)),"MESSWERT UNGUELTIG",IF(C2645&lt;0,"MESSWERT UNGUELTIG",IF(H2645="","TARIFPREIS FEHLT","OK"))))</f>
        <v>FEHLT</v>
      </c>
      <c r="K2645" s="7">
        <f>IF(J2645&lt;&gt;"OK","",C2645*I2645/100)</f>
        <v/>
      </c>
    </row>
    <row r="2646" spans="1:11">
      <c r="A2646" s="14">
        <v>46170</v>
      </c>
      <c r="B2646" s="15">
        <v>0.5</v>
      </c>
      <c r="C2646" s="5">
        <f>IF('96 Werte'!AX33="","",'96 Werte'!AX33)</f>
        <v/>
      </c>
      <c r="D2646" t="str">
        <f>IF(IF(Eingaben!$B$21&lt;Eingaben!$B$22,AND(B2646&gt;=Eingaben!$B$21,B2646&lt;Eingaben!$B$22),OR(B2646&gt;=Eingaben!$B$21,B2646&lt;Eingaben!$B$22)),"GO",IF(AND(ISNUMBER(Eingaben!$B$23),ISNUMBER(Eingaben!$B$24),IF(Eingaben!$B$23&lt;Eingaben!$B$24,AND(B2646&gt;=Eingaben!$B$23,B2646&lt;Eingaben!$B$24),OR(B2646&gt;=Eingaben!$B$23,B2646&lt;Eingaben!$B$24))),"HEAT","STANDARD"))</f>
        <v>STANDARD</v>
      </c>
      <c r="E2646" s="9"/>
      <c r="F2646" t="str">
        <f>IF(E2646="",D2646,E2646)</f>
        <v>STANDARD</v>
      </c>
      <c r="G2646" t="str">
        <f>INDEX(Netzzeiten!$B$6:$B$29,HOUR(B2646)+1)</f>
        <v>NT</v>
      </c>
      <c r="H2646" s="6">
        <f>IF(F2646="GO",Eingaben!$B$11,IF(F2646="STANDARD",Eingaben!$B$12,IF(AND(F2646="HEAT",ISNUMBER(Eingaben!$B$13)),Eingaben!$B$13,"")))</f>
        <v>28.2744</v>
      </c>
      <c r="I2646" s="6">
        <f>INDEX(Netzzeiten!$C$6:$C$29,HOUR(B2646)+1)</f>
        <v>1.64</v>
      </c>
      <c r="J2646" t="str">
        <f>IF(C2646="","FEHLT",IF(NOT(ISNUMBER(C2646)),"MESSWERT UNGUELTIG",IF(C2646&lt;0,"MESSWERT UNGUELTIG",IF(H2646="","TARIFPREIS FEHLT","OK"))))</f>
        <v>FEHLT</v>
      </c>
      <c r="K2646" s="7">
        <f>IF(J2646&lt;&gt;"OK","",C2646*I2646/100)</f>
        <v/>
      </c>
    </row>
    <row r="2647" spans="1:11">
      <c r="A2647" s="14">
        <v>46170</v>
      </c>
      <c r="B2647" s="15">
        <v>0.5104166666666666</v>
      </c>
      <c r="C2647" s="5">
        <f>IF('96 Werte'!AY33="","",'96 Werte'!AY33)</f>
        <v/>
      </c>
      <c r="D2647" t="str">
        <f>IF(IF(Eingaben!$B$21&lt;Eingaben!$B$22,AND(B2647&gt;=Eingaben!$B$21,B2647&lt;Eingaben!$B$22),OR(B2647&gt;=Eingaben!$B$21,B2647&lt;Eingaben!$B$22)),"GO",IF(AND(ISNUMBER(Eingaben!$B$23),ISNUMBER(Eingaben!$B$24),IF(Eingaben!$B$23&lt;Eingaben!$B$24,AND(B2647&gt;=Eingaben!$B$23,B2647&lt;Eingaben!$B$24),OR(B2647&gt;=Eingaben!$B$23,B2647&lt;Eingaben!$B$24))),"HEAT","STANDARD"))</f>
        <v>STANDARD</v>
      </c>
      <c r="E2647" s="9"/>
      <c r="F2647" t="str">
        <f>IF(E2647="",D2647,E2647)</f>
        <v>STANDARD</v>
      </c>
      <c r="G2647" t="str">
        <f>INDEX(Netzzeiten!$B$6:$B$29,HOUR(B2647)+1)</f>
        <v>NT</v>
      </c>
      <c r="H2647" s="6">
        <f>IF(F2647="GO",Eingaben!$B$11,IF(F2647="STANDARD",Eingaben!$B$12,IF(AND(F2647="HEAT",ISNUMBER(Eingaben!$B$13)),Eingaben!$B$13,"")))</f>
        <v>28.2744</v>
      </c>
      <c r="I2647" s="6">
        <f>INDEX(Netzzeiten!$C$6:$C$29,HOUR(B2647)+1)</f>
        <v>1.64</v>
      </c>
      <c r="J2647" t="str">
        <f>IF(C2647="","FEHLT",IF(NOT(ISNUMBER(C2647)),"MESSWERT UNGUELTIG",IF(C2647&lt;0,"MESSWERT UNGUELTIG",IF(H2647="","TARIFPREIS FEHLT","OK"))))</f>
        <v>FEHLT</v>
      </c>
      <c r="K2647" s="7">
        <f>IF(J2647&lt;&gt;"OK","",C2647*I2647/100)</f>
        <v/>
      </c>
    </row>
    <row r="2648" spans="1:11">
      <c r="A2648" s="14">
        <v>46170</v>
      </c>
      <c r="B2648" s="15">
        <v>0.5208333333333334</v>
      </c>
      <c r="C2648" s="5">
        <f>IF('96 Werte'!AZ33="","",'96 Werte'!AZ33)</f>
        <v/>
      </c>
      <c r="D2648" t="str">
        <f>IF(IF(Eingaben!$B$21&lt;Eingaben!$B$22,AND(B2648&gt;=Eingaben!$B$21,B2648&lt;Eingaben!$B$22),OR(B2648&gt;=Eingaben!$B$21,B2648&lt;Eingaben!$B$22)),"GO",IF(AND(ISNUMBER(Eingaben!$B$23),ISNUMBER(Eingaben!$B$24),IF(Eingaben!$B$23&lt;Eingaben!$B$24,AND(B2648&gt;=Eingaben!$B$23,B2648&lt;Eingaben!$B$24),OR(B2648&gt;=Eingaben!$B$23,B2648&lt;Eingaben!$B$24))),"HEAT","STANDARD"))</f>
        <v>STANDARD</v>
      </c>
      <c r="E2648" s="9"/>
      <c r="F2648" t="str">
        <f>IF(E2648="",D2648,E2648)</f>
        <v>STANDARD</v>
      </c>
      <c r="G2648" t="str">
        <f>INDEX(Netzzeiten!$B$6:$B$29,HOUR(B2648)+1)</f>
        <v>NT</v>
      </c>
      <c r="H2648" s="6">
        <f>IF(F2648="GO",Eingaben!$B$11,IF(F2648="STANDARD",Eingaben!$B$12,IF(AND(F2648="HEAT",ISNUMBER(Eingaben!$B$13)),Eingaben!$B$13,"")))</f>
        <v>28.2744</v>
      </c>
      <c r="I2648" s="6">
        <f>INDEX(Netzzeiten!$C$6:$C$29,HOUR(B2648)+1)</f>
        <v>1.64</v>
      </c>
      <c r="J2648" t="str">
        <f>IF(C2648="","FEHLT",IF(NOT(ISNUMBER(C2648)),"MESSWERT UNGUELTIG",IF(C2648&lt;0,"MESSWERT UNGUELTIG",IF(H2648="","TARIFPREIS FEHLT","OK"))))</f>
        <v>FEHLT</v>
      </c>
      <c r="K2648" s="7">
        <f>IF(J2648&lt;&gt;"OK","",C2648*I2648/100)</f>
        <v/>
      </c>
    </row>
    <row r="2649" spans="1:11">
      <c r="A2649" s="14">
        <v>46170</v>
      </c>
      <c r="B2649" s="15">
        <v>0.53125</v>
      </c>
      <c r="C2649" s="5">
        <f>IF('96 Werte'!BA33="","",'96 Werte'!BA33)</f>
        <v/>
      </c>
      <c r="D2649" t="str">
        <f>IF(IF(Eingaben!$B$21&lt;Eingaben!$B$22,AND(B2649&gt;=Eingaben!$B$21,B2649&lt;Eingaben!$B$22),OR(B2649&gt;=Eingaben!$B$21,B2649&lt;Eingaben!$B$22)),"GO",IF(AND(ISNUMBER(Eingaben!$B$23),ISNUMBER(Eingaben!$B$24),IF(Eingaben!$B$23&lt;Eingaben!$B$24,AND(B2649&gt;=Eingaben!$B$23,B2649&lt;Eingaben!$B$24),OR(B2649&gt;=Eingaben!$B$23,B2649&lt;Eingaben!$B$24))),"HEAT","STANDARD"))</f>
        <v>STANDARD</v>
      </c>
      <c r="E2649" s="9"/>
      <c r="F2649" t="str">
        <f>IF(E2649="",D2649,E2649)</f>
        <v>STANDARD</v>
      </c>
      <c r="G2649" t="str">
        <f>INDEX(Netzzeiten!$B$6:$B$29,HOUR(B2649)+1)</f>
        <v>NT</v>
      </c>
      <c r="H2649" s="6">
        <f>IF(F2649="GO",Eingaben!$B$11,IF(F2649="STANDARD",Eingaben!$B$12,IF(AND(F2649="HEAT",ISNUMBER(Eingaben!$B$13)),Eingaben!$B$13,"")))</f>
        <v>28.2744</v>
      </c>
      <c r="I2649" s="6">
        <f>INDEX(Netzzeiten!$C$6:$C$29,HOUR(B2649)+1)</f>
        <v>1.64</v>
      </c>
      <c r="J2649" t="str">
        <f>IF(C2649="","FEHLT",IF(NOT(ISNUMBER(C2649)),"MESSWERT UNGUELTIG",IF(C2649&lt;0,"MESSWERT UNGUELTIG",IF(H2649="","TARIFPREIS FEHLT","OK"))))</f>
        <v>FEHLT</v>
      </c>
      <c r="K2649" s="7">
        <f>IF(J2649&lt;&gt;"OK","",C2649*I2649/100)</f>
        <v/>
      </c>
    </row>
    <row r="2650" spans="1:11">
      <c r="A2650" s="14">
        <v>46170</v>
      </c>
      <c r="B2650" s="15">
        <v>0.5416666666666666</v>
      </c>
      <c r="C2650" s="5">
        <f>IF('96 Werte'!BB33="","",'96 Werte'!BB33)</f>
        <v/>
      </c>
      <c r="D2650" t="str">
        <f>IF(IF(Eingaben!$B$21&lt;Eingaben!$B$22,AND(B2650&gt;=Eingaben!$B$21,B2650&lt;Eingaben!$B$22),OR(B2650&gt;=Eingaben!$B$21,B2650&lt;Eingaben!$B$22)),"GO",IF(AND(ISNUMBER(Eingaben!$B$23),ISNUMBER(Eingaben!$B$24),IF(Eingaben!$B$23&lt;Eingaben!$B$24,AND(B2650&gt;=Eingaben!$B$23,B2650&lt;Eingaben!$B$24),OR(B2650&gt;=Eingaben!$B$23,B2650&lt;Eingaben!$B$24))),"HEAT","STANDARD"))</f>
        <v>STANDARD</v>
      </c>
      <c r="E2650" s="9"/>
      <c r="F2650" t="str">
        <f>IF(E2650="",D2650,E2650)</f>
        <v>STANDARD</v>
      </c>
      <c r="G2650" t="str">
        <f>INDEX(Netzzeiten!$B$6:$B$29,HOUR(B2650)+1)</f>
        <v>NT</v>
      </c>
      <c r="H2650" s="6">
        <f>IF(F2650="GO",Eingaben!$B$11,IF(F2650="STANDARD",Eingaben!$B$12,IF(AND(F2650="HEAT",ISNUMBER(Eingaben!$B$13)),Eingaben!$B$13,"")))</f>
        <v>28.2744</v>
      </c>
      <c r="I2650" s="6">
        <f>INDEX(Netzzeiten!$C$6:$C$29,HOUR(B2650)+1)</f>
        <v>1.64</v>
      </c>
      <c r="J2650" t="str">
        <f>IF(C2650="","FEHLT",IF(NOT(ISNUMBER(C2650)),"MESSWERT UNGUELTIG",IF(C2650&lt;0,"MESSWERT UNGUELTIG",IF(H2650="","TARIFPREIS FEHLT","OK"))))</f>
        <v>FEHLT</v>
      </c>
      <c r="K2650" s="7">
        <f>IF(J2650&lt;&gt;"OK","",C2650*I2650/100)</f>
        <v/>
      </c>
    </row>
    <row r="2651" spans="1:11">
      <c r="A2651" s="14">
        <v>46170</v>
      </c>
      <c r="B2651" s="15">
        <v>0.5520833333333334</v>
      </c>
      <c r="C2651" s="5">
        <f>IF('96 Werte'!BC33="","",'96 Werte'!BC33)</f>
        <v/>
      </c>
      <c r="D2651" t="str">
        <f>IF(IF(Eingaben!$B$21&lt;Eingaben!$B$22,AND(B2651&gt;=Eingaben!$B$21,B2651&lt;Eingaben!$B$22),OR(B2651&gt;=Eingaben!$B$21,B2651&lt;Eingaben!$B$22)),"GO",IF(AND(ISNUMBER(Eingaben!$B$23),ISNUMBER(Eingaben!$B$24),IF(Eingaben!$B$23&lt;Eingaben!$B$24,AND(B2651&gt;=Eingaben!$B$23,B2651&lt;Eingaben!$B$24),OR(B2651&gt;=Eingaben!$B$23,B2651&lt;Eingaben!$B$24))),"HEAT","STANDARD"))</f>
        <v>STANDARD</v>
      </c>
      <c r="E2651" s="9"/>
      <c r="F2651" t="str">
        <f>IF(E2651="",D2651,E2651)</f>
        <v>STANDARD</v>
      </c>
      <c r="G2651" t="str">
        <f>INDEX(Netzzeiten!$B$6:$B$29,HOUR(B2651)+1)</f>
        <v>NT</v>
      </c>
      <c r="H2651" s="6">
        <f>IF(F2651="GO",Eingaben!$B$11,IF(F2651="STANDARD",Eingaben!$B$12,IF(AND(F2651="HEAT",ISNUMBER(Eingaben!$B$13)),Eingaben!$B$13,"")))</f>
        <v>28.2744</v>
      </c>
      <c r="I2651" s="6">
        <f>INDEX(Netzzeiten!$C$6:$C$29,HOUR(B2651)+1)</f>
        <v>1.64</v>
      </c>
      <c r="J2651" t="str">
        <f>IF(C2651="","FEHLT",IF(NOT(ISNUMBER(C2651)),"MESSWERT UNGUELTIG",IF(C2651&lt;0,"MESSWERT UNGUELTIG",IF(H2651="","TARIFPREIS FEHLT","OK"))))</f>
        <v>FEHLT</v>
      </c>
      <c r="K2651" s="7">
        <f>IF(J2651&lt;&gt;"OK","",C2651*I2651/100)</f>
        <v/>
      </c>
    </row>
    <row r="2652" spans="1:11">
      <c r="A2652" s="14">
        <v>46170</v>
      </c>
      <c r="B2652" s="15">
        <v>0.5625</v>
      </c>
      <c r="C2652" s="5">
        <f>IF('96 Werte'!BD33="","",'96 Werte'!BD33)</f>
        <v/>
      </c>
      <c r="D2652" t="str">
        <f>IF(IF(Eingaben!$B$21&lt;Eingaben!$B$22,AND(B2652&gt;=Eingaben!$B$21,B2652&lt;Eingaben!$B$22),OR(B2652&gt;=Eingaben!$B$21,B2652&lt;Eingaben!$B$22)),"GO",IF(AND(ISNUMBER(Eingaben!$B$23),ISNUMBER(Eingaben!$B$24),IF(Eingaben!$B$23&lt;Eingaben!$B$24,AND(B2652&gt;=Eingaben!$B$23,B2652&lt;Eingaben!$B$24),OR(B2652&gt;=Eingaben!$B$23,B2652&lt;Eingaben!$B$24))),"HEAT","STANDARD"))</f>
        <v>STANDARD</v>
      </c>
      <c r="E2652" s="9"/>
      <c r="F2652" t="str">
        <f>IF(E2652="",D2652,E2652)</f>
        <v>STANDARD</v>
      </c>
      <c r="G2652" t="str">
        <f>INDEX(Netzzeiten!$B$6:$B$29,HOUR(B2652)+1)</f>
        <v>NT</v>
      </c>
      <c r="H2652" s="6">
        <f>IF(F2652="GO",Eingaben!$B$11,IF(F2652="STANDARD",Eingaben!$B$12,IF(AND(F2652="HEAT",ISNUMBER(Eingaben!$B$13)),Eingaben!$B$13,"")))</f>
        <v>28.2744</v>
      </c>
      <c r="I2652" s="6">
        <f>INDEX(Netzzeiten!$C$6:$C$29,HOUR(B2652)+1)</f>
        <v>1.64</v>
      </c>
      <c r="J2652" t="str">
        <f>IF(C2652="","FEHLT",IF(NOT(ISNUMBER(C2652)),"MESSWERT UNGUELTIG",IF(C2652&lt;0,"MESSWERT UNGUELTIG",IF(H2652="","TARIFPREIS FEHLT","OK"))))</f>
        <v>FEHLT</v>
      </c>
      <c r="K2652" s="7">
        <f>IF(J2652&lt;&gt;"OK","",C2652*I2652/100)</f>
        <v/>
      </c>
    </row>
    <row r="2653" spans="1:11">
      <c r="A2653" s="14">
        <v>46170</v>
      </c>
      <c r="B2653" s="15">
        <v>0.5729166666666666</v>
      </c>
      <c r="C2653" s="5">
        <f>IF('96 Werte'!BE33="","",'96 Werte'!BE33)</f>
        <v/>
      </c>
      <c r="D2653" t="str">
        <f>IF(IF(Eingaben!$B$21&lt;Eingaben!$B$22,AND(B2653&gt;=Eingaben!$B$21,B2653&lt;Eingaben!$B$22),OR(B2653&gt;=Eingaben!$B$21,B2653&lt;Eingaben!$B$22)),"GO",IF(AND(ISNUMBER(Eingaben!$B$23),ISNUMBER(Eingaben!$B$24),IF(Eingaben!$B$23&lt;Eingaben!$B$24,AND(B2653&gt;=Eingaben!$B$23,B2653&lt;Eingaben!$B$24),OR(B2653&gt;=Eingaben!$B$23,B2653&lt;Eingaben!$B$24))),"HEAT","STANDARD"))</f>
        <v>STANDARD</v>
      </c>
      <c r="E2653" s="9"/>
      <c r="F2653" t="str">
        <f>IF(E2653="",D2653,E2653)</f>
        <v>STANDARD</v>
      </c>
      <c r="G2653" t="str">
        <f>INDEX(Netzzeiten!$B$6:$B$29,HOUR(B2653)+1)</f>
        <v>NT</v>
      </c>
      <c r="H2653" s="6">
        <f>IF(F2653="GO",Eingaben!$B$11,IF(F2653="STANDARD",Eingaben!$B$12,IF(AND(F2653="HEAT",ISNUMBER(Eingaben!$B$13)),Eingaben!$B$13,"")))</f>
        <v>28.2744</v>
      </c>
      <c r="I2653" s="6">
        <f>INDEX(Netzzeiten!$C$6:$C$29,HOUR(B2653)+1)</f>
        <v>1.64</v>
      </c>
      <c r="J2653" t="str">
        <f>IF(C2653="","FEHLT",IF(NOT(ISNUMBER(C2653)),"MESSWERT UNGUELTIG",IF(C2653&lt;0,"MESSWERT UNGUELTIG",IF(H2653="","TARIFPREIS FEHLT","OK"))))</f>
        <v>FEHLT</v>
      </c>
      <c r="K2653" s="7">
        <f>IF(J2653&lt;&gt;"OK","",C2653*I2653/100)</f>
        <v/>
      </c>
    </row>
    <row r="2654" spans="1:11">
      <c r="A2654" s="14">
        <v>46170</v>
      </c>
      <c r="B2654" s="15">
        <v>0.5833333333333334</v>
      </c>
      <c r="C2654" s="5">
        <f>IF('96 Werte'!BF33="","",'96 Werte'!BF33)</f>
        <v/>
      </c>
      <c r="D2654" t="str">
        <f>IF(IF(Eingaben!$B$21&lt;Eingaben!$B$22,AND(B2654&gt;=Eingaben!$B$21,B2654&lt;Eingaben!$B$22),OR(B2654&gt;=Eingaben!$B$21,B2654&lt;Eingaben!$B$22)),"GO",IF(AND(ISNUMBER(Eingaben!$B$23),ISNUMBER(Eingaben!$B$24),IF(Eingaben!$B$23&lt;Eingaben!$B$24,AND(B2654&gt;=Eingaben!$B$23,B2654&lt;Eingaben!$B$24),OR(B2654&gt;=Eingaben!$B$23,B2654&lt;Eingaben!$B$24))),"HEAT","STANDARD"))</f>
        <v>STANDARD</v>
      </c>
      <c r="E2654" s="9"/>
      <c r="F2654" t="str">
        <f>IF(E2654="",D2654,E2654)</f>
        <v>STANDARD</v>
      </c>
      <c r="G2654" t="str">
        <f>INDEX(Netzzeiten!$B$6:$B$29,HOUR(B2654)+1)</f>
        <v>NT</v>
      </c>
      <c r="H2654" s="6">
        <f>IF(F2654="GO",Eingaben!$B$11,IF(F2654="STANDARD",Eingaben!$B$12,IF(AND(F2654="HEAT",ISNUMBER(Eingaben!$B$13)),Eingaben!$B$13,"")))</f>
        <v>28.2744</v>
      </c>
      <c r="I2654" s="6">
        <f>INDEX(Netzzeiten!$C$6:$C$29,HOUR(B2654)+1)</f>
        <v>1.64</v>
      </c>
      <c r="J2654" t="str">
        <f>IF(C2654="","FEHLT",IF(NOT(ISNUMBER(C2654)),"MESSWERT UNGUELTIG",IF(C2654&lt;0,"MESSWERT UNGUELTIG",IF(H2654="","TARIFPREIS FEHLT","OK"))))</f>
        <v>FEHLT</v>
      </c>
      <c r="K2654" s="7">
        <f>IF(J2654&lt;&gt;"OK","",C2654*I2654/100)</f>
        <v/>
      </c>
    </row>
    <row r="2655" spans="1:11">
      <c r="A2655" s="14">
        <v>46170</v>
      </c>
      <c r="B2655" s="15">
        <v>0.59375</v>
      </c>
      <c r="C2655" s="5">
        <f>IF('96 Werte'!BG33="","",'96 Werte'!BG33)</f>
        <v/>
      </c>
      <c r="D2655" t="str">
        <f>IF(IF(Eingaben!$B$21&lt;Eingaben!$B$22,AND(B2655&gt;=Eingaben!$B$21,B2655&lt;Eingaben!$B$22),OR(B2655&gt;=Eingaben!$B$21,B2655&lt;Eingaben!$B$22)),"GO",IF(AND(ISNUMBER(Eingaben!$B$23),ISNUMBER(Eingaben!$B$24),IF(Eingaben!$B$23&lt;Eingaben!$B$24,AND(B2655&gt;=Eingaben!$B$23,B2655&lt;Eingaben!$B$24),OR(B2655&gt;=Eingaben!$B$23,B2655&lt;Eingaben!$B$24))),"HEAT","STANDARD"))</f>
        <v>STANDARD</v>
      </c>
      <c r="E2655" s="9"/>
      <c r="F2655" t="str">
        <f>IF(E2655="",D2655,E2655)</f>
        <v>STANDARD</v>
      </c>
      <c r="G2655" t="str">
        <f>INDEX(Netzzeiten!$B$6:$B$29,HOUR(B2655)+1)</f>
        <v>NT</v>
      </c>
      <c r="H2655" s="6">
        <f>IF(F2655="GO",Eingaben!$B$11,IF(F2655="STANDARD",Eingaben!$B$12,IF(AND(F2655="HEAT",ISNUMBER(Eingaben!$B$13)),Eingaben!$B$13,"")))</f>
        <v>28.2744</v>
      </c>
      <c r="I2655" s="6">
        <f>INDEX(Netzzeiten!$C$6:$C$29,HOUR(B2655)+1)</f>
        <v>1.64</v>
      </c>
      <c r="J2655" t="str">
        <f>IF(C2655="","FEHLT",IF(NOT(ISNUMBER(C2655)),"MESSWERT UNGUELTIG",IF(C2655&lt;0,"MESSWERT UNGUELTIG",IF(H2655="","TARIFPREIS FEHLT","OK"))))</f>
        <v>FEHLT</v>
      </c>
      <c r="K2655" s="7">
        <f>IF(J2655&lt;&gt;"OK","",C2655*I2655/100)</f>
        <v/>
      </c>
    </row>
    <row r="2656" spans="1:11">
      <c r="A2656" s="14">
        <v>46170</v>
      </c>
      <c r="B2656" s="15">
        <v>0.6041666666666666</v>
      </c>
      <c r="C2656" s="5">
        <f>IF('96 Werte'!BH33="","",'96 Werte'!BH33)</f>
        <v/>
      </c>
      <c r="D2656" t="str">
        <f>IF(IF(Eingaben!$B$21&lt;Eingaben!$B$22,AND(B2656&gt;=Eingaben!$B$21,B2656&lt;Eingaben!$B$22),OR(B2656&gt;=Eingaben!$B$21,B2656&lt;Eingaben!$B$22)),"GO",IF(AND(ISNUMBER(Eingaben!$B$23),ISNUMBER(Eingaben!$B$24),IF(Eingaben!$B$23&lt;Eingaben!$B$24,AND(B2656&gt;=Eingaben!$B$23,B2656&lt;Eingaben!$B$24),OR(B2656&gt;=Eingaben!$B$23,B2656&lt;Eingaben!$B$24))),"HEAT","STANDARD"))</f>
        <v>STANDARD</v>
      </c>
      <c r="E2656" s="9"/>
      <c r="F2656" t="str">
        <f>IF(E2656="",D2656,E2656)</f>
        <v>STANDARD</v>
      </c>
      <c r="G2656" t="str">
        <f>INDEX(Netzzeiten!$B$6:$B$29,HOUR(B2656)+1)</f>
        <v>NT</v>
      </c>
      <c r="H2656" s="6">
        <f>IF(F2656="GO",Eingaben!$B$11,IF(F2656="STANDARD",Eingaben!$B$12,IF(AND(F2656="HEAT",ISNUMBER(Eingaben!$B$13)),Eingaben!$B$13,"")))</f>
        <v>28.2744</v>
      </c>
      <c r="I2656" s="6">
        <f>INDEX(Netzzeiten!$C$6:$C$29,HOUR(B2656)+1)</f>
        <v>1.64</v>
      </c>
      <c r="J2656" t="str">
        <f>IF(C2656="","FEHLT",IF(NOT(ISNUMBER(C2656)),"MESSWERT UNGUELTIG",IF(C2656&lt;0,"MESSWERT UNGUELTIG",IF(H2656="","TARIFPREIS FEHLT","OK"))))</f>
        <v>FEHLT</v>
      </c>
      <c r="K2656" s="7">
        <f>IF(J2656&lt;&gt;"OK","",C2656*I2656/100)</f>
        <v/>
      </c>
    </row>
    <row r="2657" spans="1:11">
      <c r="A2657" s="14">
        <v>46170</v>
      </c>
      <c r="B2657" s="15">
        <v>0.6145833333333334</v>
      </c>
      <c r="C2657" s="5">
        <f>IF('96 Werte'!BI33="","",'96 Werte'!BI33)</f>
        <v/>
      </c>
      <c r="D2657" t="str">
        <f>IF(IF(Eingaben!$B$21&lt;Eingaben!$B$22,AND(B2657&gt;=Eingaben!$B$21,B2657&lt;Eingaben!$B$22),OR(B2657&gt;=Eingaben!$B$21,B2657&lt;Eingaben!$B$22)),"GO",IF(AND(ISNUMBER(Eingaben!$B$23),ISNUMBER(Eingaben!$B$24),IF(Eingaben!$B$23&lt;Eingaben!$B$24,AND(B2657&gt;=Eingaben!$B$23,B2657&lt;Eingaben!$B$24),OR(B2657&gt;=Eingaben!$B$23,B2657&lt;Eingaben!$B$24))),"HEAT","STANDARD"))</f>
        <v>STANDARD</v>
      </c>
      <c r="E2657" s="9"/>
      <c r="F2657" t="str">
        <f>IF(E2657="",D2657,E2657)</f>
        <v>STANDARD</v>
      </c>
      <c r="G2657" t="str">
        <f>INDEX(Netzzeiten!$B$6:$B$29,HOUR(B2657)+1)</f>
        <v>NT</v>
      </c>
      <c r="H2657" s="6">
        <f>IF(F2657="GO",Eingaben!$B$11,IF(F2657="STANDARD",Eingaben!$B$12,IF(AND(F2657="HEAT",ISNUMBER(Eingaben!$B$13)),Eingaben!$B$13,"")))</f>
        <v>28.2744</v>
      </c>
      <c r="I2657" s="6">
        <f>INDEX(Netzzeiten!$C$6:$C$29,HOUR(B2657)+1)</f>
        <v>1.64</v>
      </c>
      <c r="J2657" t="str">
        <f>IF(C2657="","FEHLT",IF(NOT(ISNUMBER(C2657)),"MESSWERT UNGUELTIG",IF(C2657&lt;0,"MESSWERT UNGUELTIG",IF(H2657="","TARIFPREIS FEHLT","OK"))))</f>
        <v>FEHLT</v>
      </c>
      <c r="K2657" s="7">
        <f>IF(J2657&lt;&gt;"OK","",C2657*I2657/100)</f>
        <v/>
      </c>
    </row>
    <row r="2658" spans="1:11">
      <c r="A2658" s="14">
        <v>46170</v>
      </c>
      <c r="B2658" s="15">
        <v>0.625</v>
      </c>
      <c r="C2658" s="5">
        <f>IF('96 Werte'!BJ33="","",'96 Werte'!BJ33)</f>
        <v/>
      </c>
      <c r="D2658" t="str">
        <f>IF(IF(Eingaben!$B$21&lt;Eingaben!$B$22,AND(B2658&gt;=Eingaben!$B$21,B2658&lt;Eingaben!$B$22),OR(B2658&gt;=Eingaben!$B$21,B2658&lt;Eingaben!$B$22)),"GO",IF(AND(ISNUMBER(Eingaben!$B$23),ISNUMBER(Eingaben!$B$24),IF(Eingaben!$B$23&lt;Eingaben!$B$24,AND(B2658&gt;=Eingaben!$B$23,B2658&lt;Eingaben!$B$24),OR(B2658&gt;=Eingaben!$B$23,B2658&lt;Eingaben!$B$24))),"HEAT","STANDARD"))</f>
        <v>STANDARD</v>
      </c>
      <c r="E2658" s="9"/>
      <c r="F2658" t="str">
        <f>IF(E2658="",D2658,E2658)</f>
        <v>STANDARD</v>
      </c>
      <c r="G2658" t="str">
        <f>INDEX(Netzzeiten!$B$6:$B$29,HOUR(B2658)+1)</f>
        <v>ST</v>
      </c>
      <c r="H2658" s="6">
        <f>IF(F2658="GO",Eingaben!$B$11,IF(F2658="STANDARD",Eingaben!$B$12,IF(AND(F2658="HEAT",ISNUMBER(Eingaben!$B$13)),Eingaben!$B$13,"")))</f>
        <v>28.2744</v>
      </c>
      <c r="I2658" s="6">
        <f>INDEX(Netzzeiten!$C$6:$C$29,HOUR(B2658)+1)</f>
        <v>5.48</v>
      </c>
      <c r="J2658" t="str">
        <f>IF(C2658="","FEHLT",IF(NOT(ISNUMBER(C2658)),"MESSWERT UNGUELTIG",IF(C2658&lt;0,"MESSWERT UNGUELTIG",IF(H2658="","TARIFPREIS FEHLT","OK"))))</f>
        <v>FEHLT</v>
      </c>
      <c r="K2658" s="7">
        <f>IF(J2658&lt;&gt;"OK","",C2658*I2658/100)</f>
        <v/>
      </c>
    </row>
    <row r="2659" spans="1:11">
      <c r="A2659" s="14">
        <v>46170</v>
      </c>
      <c r="B2659" s="15">
        <v>0.6354166666666666</v>
      </c>
      <c r="C2659" s="5">
        <f>IF('96 Werte'!BK33="","",'96 Werte'!BK33)</f>
        <v/>
      </c>
      <c r="D2659" t="str">
        <f>IF(IF(Eingaben!$B$21&lt;Eingaben!$B$22,AND(B2659&gt;=Eingaben!$B$21,B2659&lt;Eingaben!$B$22),OR(B2659&gt;=Eingaben!$B$21,B2659&lt;Eingaben!$B$22)),"GO",IF(AND(ISNUMBER(Eingaben!$B$23),ISNUMBER(Eingaben!$B$24),IF(Eingaben!$B$23&lt;Eingaben!$B$24,AND(B2659&gt;=Eingaben!$B$23,B2659&lt;Eingaben!$B$24),OR(B2659&gt;=Eingaben!$B$23,B2659&lt;Eingaben!$B$24))),"HEAT","STANDARD"))</f>
        <v>STANDARD</v>
      </c>
      <c r="E2659" s="9"/>
      <c r="F2659" t="str">
        <f>IF(E2659="",D2659,E2659)</f>
        <v>STANDARD</v>
      </c>
      <c r="G2659" t="str">
        <f>INDEX(Netzzeiten!$B$6:$B$29,HOUR(B2659)+1)</f>
        <v>ST</v>
      </c>
      <c r="H2659" s="6">
        <f>IF(F2659="GO",Eingaben!$B$11,IF(F2659="STANDARD",Eingaben!$B$12,IF(AND(F2659="HEAT",ISNUMBER(Eingaben!$B$13)),Eingaben!$B$13,"")))</f>
        <v>28.2744</v>
      </c>
      <c r="I2659" s="6">
        <f>INDEX(Netzzeiten!$C$6:$C$29,HOUR(B2659)+1)</f>
        <v>5.48</v>
      </c>
      <c r="J2659" t="str">
        <f>IF(C2659="","FEHLT",IF(NOT(ISNUMBER(C2659)),"MESSWERT UNGUELTIG",IF(C2659&lt;0,"MESSWERT UNGUELTIG",IF(H2659="","TARIFPREIS FEHLT","OK"))))</f>
        <v>FEHLT</v>
      </c>
      <c r="K2659" s="7">
        <f>IF(J2659&lt;&gt;"OK","",C2659*I2659/100)</f>
        <v/>
      </c>
    </row>
    <row r="2660" spans="1:11">
      <c r="A2660" s="14">
        <v>46170</v>
      </c>
      <c r="B2660" s="15">
        <v>0.6458333333333334</v>
      </c>
      <c r="C2660" s="5">
        <f>IF('96 Werte'!BL33="","",'96 Werte'!BL33)</f>
        <v/>
      </c>
      <c r="D2660" t="str">
        <f>IF(IF(Eingaben!$B$21&lt;Eingaben!$B$22,AND(B2660&gt;=Eingaben!$B$21,B2660&lt;Eingaben!$B$22),OR(B2660&gt;=Eingaben!$B$21,B2660&lt;Eingaben!$B$22)),"GO",IF(AND(ISNUMBER(Eingaben!$B$23),ISNUMBER(Eingaben!$B$24),IF(Eingaben!$B$23&lt;Eingaben!$B$24,AND(B2660&gt;=Eingaben!$B$23,B2660&lt;Eingaben!$B$24),OR(B2660&gt;=Eingaben!$B$23,B2660&lt;Eingaben!$B$24))),"HEAT","STANDARD"))</f>
        <v>STANDARD</v>
      </c>
      <c r="E2660" s="9"/>
      <c r="F2660" t="str">
        <f>IF(E2660="",D2660,E2660)</f>
        <v>STANDARD</v>
      </c>
      <c r="G2660" t="str">
        <f>INDEX(Netzzeiten!$B$6:$B$29,HOUR(B2660)+1)</f>
        <v>ST</v>
      </c>
      <c r="H2660" s="6">
        <f>IF(F2660="GO",Eingaben!$B$11,IF(F2660="STANDARD",Eingaben!$B$12,IF(AND(F2660="HEAT",ISNUMBER(Eingaben!$B$13)),Eingaben!$B$13,"")))</f>
        <v>28.2744</v>
      </c>
      <c r="I2660" s="6">
        <f>INDEX(Netzzeiten!$C$6:$C$29,HOUR(B2660)+1)</f>
        <v>5.48</v>
      </c>
      <c r="J2660" t="str">
        <f>IF(C2660="","FEHLT",IF(NOT(ISNUMBER(C2660)),"MESSWERT UNGUELTIG",IF(C2660&lt;0,"MESSWERT UNGUELTIG",IF(H2660="","TARIFPREIS FEHLT","OK"))))</f>
        <v>FEHLT</v>
      </c>
      <c r="K2660" s="7">
        <f>IF(J2660&lt;&gt;"OK","",C2660*I2660/100)</f>
        <v/>
      </c>
    </row>
    <row r="2661" spans="1:11">
      <c r="A2661" s="14">
        <v>46170</v>
      </c>
      <c r="B2661" s="15">
        <v>0.65625</v>
      </c>
      <c r="C2661" s="5">
        <f>IF('96 Werte'!BM33="","",'96 Werte'!BM33)</f>
        <v/>
      </c>
      <c r="D2661" t="str">
        <f>IF(IF(Eingaben!$B$21&lt;Eingaben!$B$22,AND(B2661&gt;=Eingaben!$B$21,B2661&lt;Eingaben!$B$22),OR(B2661&gt;=Eingaben!$B$21,B2661&lt;Eingaben!$B$22)),"GO",IF(AND(ISNUMBER(Eingaben!$B$23),ISNUMBER(Eingaben!$B$24),IF(Eingaben!$B$23&lt;Eingaben!$B$24,AND(B2661&gt;=Eingaben!$B$23,B2661&lt;Eingaben!$B$24),OR(B2661&gt;=Eingaben!$B$23,B2661&lt;Eingaben!$B$24))),"HEAT","STANDARD"))</f>
        <v>STANDARD</v>
      </c>
      <c r="E2661" s="9"/>
      <c r="F2661" t="str">
        <f>IF(E2661="",D2661,E2661)</f>
        <v>STANDARD</v>
      </c>
      <c r="G2661" t="str">
        <f>INDEX(Netzzeiten!$B$6:$B$29,HOUR(B2661)+1)</f>
        <v>ST</v>
      </c>
      <c r="H2661" s="6">
        <f>IF(F2661="GO",Eingaben!$B$11,IF(F2661="STANDARD",Eingaben!$B$12,IF(AND(F2661="HEAT",ISNUMBER(Eingaben!$B$13)),Eingaben!$B$13,"")))</f>
        <v>28.2744</v>
      </c>
      <c r="I2661" s="6">
        <f>INDEX(Netzzeiten!$C$6:$C$29,HOUR(B2661)+1)</f>
        <v>5.48</v>
      </c>
      <c r="J2661" t="str">
        <f>IF(C2661="","FEHLT",IF(NOT(ISNUMBER(C2661)),"MESSWERT UNGUELTIG",IF(C2661&lt;0,"MESSWERT UNGUELTIG",IF(H2661="","TARIFPREIS FEHLT","OK"))))</f>
        <v>FEHLT</v>
      </c>
      <c r="K2661" s="7">
        <f>IF(J2661&lt;&gt;"OK","",C2661*I2661/100)</f>
        <v/>
      </c>
    </row>
    <row r="2662" spans="1:11">
      <c r="A2662" s="14">
        <v>46170</v>
      </c>
      <c r="B2662" s="15">
        <v>0.6666666666666666</v>
      </c>
      <c r="C2662" s="5">
        <f>IF('96 Werte'!BN33="","",'96 Werte'!BN33)</f>
        <v/>
      </c>
      <c r="D2662" t="str">
        <f>IF(IF(Eingaben!$B$21&lt;Eingaben!$B$22,AND(B2662&gt;=Eingaben!$B$21,B2662&lt;Eingaben!$B$22),OR(B2662&gt;=Eingaben!$B$21,B2662&lt;Eingaben!$B$22)),"GO",IF(AND(ISNUMBER(Eingaben!$B$23),ISNUMBER(Eingaben!$B$24),IF(Eingaben!$B$23&lt;Eingaben!$B$24,AND(B2662&gt;=Eingaben!$B$23,B2662&lt;Eingaben!$B$24),OR(B2662&gt;=Eingaben!$B$23,B2662&lt;Eingaben!$B$24))),"HEAT","STANDARD"))</f>
        <v>STANDARD</v>
      </c>
      <c r="E2662" s="9"/>
      <c r="F2662" t="str">
        <f>IF(E2662="",D2662,E2662)</f>
        <v>STANDARD</v>
      </c>
      <c r="G2662" t="str">
        <f>INDEX(Netzzeiten!$B$6:$B$29,HOUR(B2662)+1)</f>
        <v>ST</v>
      </c>
      <c r="H2662" s="6">
        <f>IF(F2662="GO",Eingaben!$B$11,IF(F2662="STANDARD",Eingaben!$B$12,IF(AND(F2662="HEAT",ISNUMBER(Eingaben!$B$13)),Eingaben!$B$13,"")))</f>
        <v>28.2744</v>
      </c>
      <c r="I2662" s="6">
        <f>INDEX(Netzzeiten!$C$6:$C$29,HOUR(B2662)+1)</f>
        <v>5.48</v>
      </c>
      <c r="J2662" t="str">
        <f>IF(C2662="","FEHLT",IF(NOT(ISNUMBER(C2662)),"MESSWERT UNGUELTIG",IF(C2662&lt;0,"MESSWERT UNGUELTIG",IF(H2662="","TARIFPREIS FEHLT","OK"))))</f>
        <v>FEHLT</v>
      </c>
      <c r="K2662" s="7">
        <f>IF(J2662&lt;&gt;"OK","",C2662*I2662/100)</f>
        <v/>
      </c>
    </row>
    <row r="2663" spans="1:11">
      <c r="A2663" s="14">
        <v>46170</v>
      </c>
      <c r="B2663" s="15">
        <v>0.6770833333333334</v>
      </c>
      <c r="C2663" s="5">
        <f>IF('96 Werte'!BO33="","",'96 Werte'!BO33)</f>
        <v/>
      </c>
      <c r="D2663" t="str">
        <f>IF(IF(Eingaben!$B$21&lt;Eingaben!$B$22,AND(B2663&gt;=Eingaben!$B$21,B2663&lt;Eingaben!$B$22),OR(B2663&gt;=Eingaben!$B$21,B2663&lt;Eingaben!$B$22)),"GO",IF(AND(ISNUMBER(Eingaben!$B$23),ISNUMBER(Eingaben!$B$24),IF(Eingaben!$B$23&lt;Eingaben!$B$24,AND(B2663&gt;=Eingaben!$B$23,B2663&lt;Eingaben!$B$24),OR(B2663&gt;=Eingaben!$B$23,B2663&lt;Eingaben!$B$24))),"HEAT","STANDARD"))</f>
        <v>STANDARD</v>
      </c>
      <c r="E2663" s="9"/>
      <c r="F2663" t="str">
        <f>IF(E2663="",D2663,E2663)</f>
        <v>STANDARD</v>
      </c>
      <c r="G2663" t="str">
        <f>INDEX(Netzzeiten!$B$6:$B$29,HOUR(B2663)+1)</f>
        <v>ST</v>
      </c>
      <c r="H2663" s="6">
        <f>IF(F2663="GO",Eingaben!$B$11,IF(F2663="STANDARD",Eingaben!$B$12,IF(AND(F2663="HEAT",ISNUMBER(Eingaben!$B$13)),Eingaben!$B$13,"")))</f>
        <v>28.2744</v>
      </c>
      <c r="I2663" s="6">
        <f>INDEX(Netzzeiten!$C$6:$C$29,HOUR(B2663)+1)</f>
        <v>5.48</v>
      </c>
      <c r="J2663" t="str">
        <f>IF(C2663="","FEHLT",IF(NOT(ISNUMBER(C2663)),"MESSWERT UNGUELTIG",IF(C2663&lt;0,"MESSWERT UNGUELTIG",IF(H2663="","TARIFPREIS FEHLT","OK"))))</f>
        <v>FEHLT</v>
      </c>
      <c r="K2663" s="7">
        <f>IF(J2663&lt;&gt;"OK","",C2663*I2663/100)</f>
        <v/>
      </c>
    </row>
    <row r="2664" spans="1:11">
      <c r="A2664" s="14">
        <v>46170</v>
      </c>
      <c r="B2664" s="15">
        <v>0.6875</v>
      </c>
      <c r="C2664" s="5">
        <f>IF('96 Werte'!BP33="","",'96 Werte'!BP33)</f>
        <v/>
      </c>
      <c r="D2664" t="str">
        <f>IF(IF(Eingaben!$B$21&lt;Eingaben!$B$22,AND(B2664&gt;=Eingaben!$B$21,B2664&lt;Eingaben!$B$22),OR(B2664&gt;=Eingaben!$B$21,B2664&lt;Eingaben!$B$22)),"GO",IF(AND(ISNUMBER(Eingaben!$B$23),ISNUMBER(Eingaben!$B$24),IF(Eingaben!$B$23&lt;Eingaben!$B$24,AND(B2664&gt;=Eingaben!$B$23,B2664&lt;Eingaben!$B$24),OR(B2664&gt;=Eingaben!$B$23,B2664&lt;Eingaben!$B$24))),"HEAT","STANDARD"))</f>
        <v>STANDARD</v>
      </c>
      <c r="E2664" s="9"/>
      <c r="F2664" t="str">
        <f>IF(E2664="",D2664,E2664)</f>
        <v>STANDARD</v>
      </c>
      <c r="G2664" t="str">
        <f>INDEX(Netzzeiten!$B$6:$B$29,HOUR(B2664)+1)</f>
        <v>ST</v>
      </c>
      <c r="H2664" s="6">
        <f>IF(F2664="GO",Eingaben!$B$11,IF(F2664="STANDARD",Eingaben!$B$12,IF(AND(F2664="HEAT",ISNUMBER(Eingaben!$B$13)),Eingaben!$B$13,"")))</f>
        <v>28.2744</v>
      </c>
      <c r="I2664" s="6">
        <f>INDEX(Netzzeiten!$C$6:$C$29,HOUR(B2664)+1)</f>
        <v>5.48</v>
      </c>
      <c r="J2664" t="str">
        <f>IF(C2664="","FEHLT",IF(NOT(ISNUMBER(C2664)),"MESSWERT UNGUELTIG",IF(C2664&lt;0,"MESSWERT UNGUELTIG",IF(H2664="","TARIFPREIS FEHLT","OK"))))</f>
        <v>FEHLT</v>
      </c>
      <c r="K2664" s="7">
        <f>IF(J2664&lt;&gt;"OK","",C2664*I2664/100)</f>
        <v/>
      </c>
    </row>
    <row r="2665" spans="1:11">
      <c r="A2665" s="14">
        <v>46170</v>
      </c>
      <c r="B2665" s="15">
        <v>0.6979166666666666</v>
      </c>
      <c r="C2665" s="5">
        <f>IF('96 Werte'!BQ33="","",'96 Werte'!BQ33)</f>
        <v/>
      </c>
      <c r="D2665" t="str">
        <f>IF(IF(Eingaben!$B$21&lt;Eingaben!$B$22,AND(B2665&gt;=Eingaben!$B$21,B2665&lt;Eingaben!$B$22),OR(B2665&gt;=Eingaben!$B$21,B2665&lt;Eingaben!$B$22)),"GO",IF(AND(ISNUMBER(Eingaben!$B$23),ISNUMBER(Eingaben!$B$24),IF(Eingaben!$B$23&lt;Eingaben!$B$24,AND(B2665&gt;=Eingaben!$B$23,B2665&lt;Eingaben!$B$24),OR(B2665&gt;=Eingaben!$B$23,B2665&lt;Eingaben!$B$24))),"HEAT","STANDARD"))</f>
        <v>STANDARD</v>
      </c>
      <c r="E2665" s="9"/>
      <c r="F2665" t="str">
        <f>IF(E2665="",D2665,E2665)</f>
        <v>STANDARD</v>
      </c>
      <c r="G2665" t="str">
        <f>INDEX(Netzzeiten!$B$6:$B$29,HOUR(B2665)+1)</f>
        <v>ST</v>
      </c>
      <c r="H2665" s="6">
        <f>IF(F2665="GO",Eingaben!$B$11,IF(F2665="STANDARD",Eingaben!$B$12,IF(AND(F2665="HEAT",ISNUMBER(Eingaben!$B$13)),Eingaben!$B$13,"")))</f>
        <v>28.2744</v>
      </c>
      <c r="I2665" s="6">
        <f>INDEX(Netzzeiten!$C$6:$C$29,HOUR(B2665)+1)</f>
        <v>5.48</v>
      </c>
      <c r="J2665" t="str">
        <f>IF(C2665="","FEHLT",IF(NOT(ISNUMBER(C2665)),"MESSWERT UNGUELTIG",IF(C2665&lt;0,"MESSWERT UNGUELTIG",IF(H2665="","TARIFPREIS FEHLT","OK"))))</f>
        <v>FEHLT</v>
      </c>
      <c r="K2665" s="7">
        <f>IF(J2665&lt;&gt;"OK","",C2665*I2665/100)</f>
        <v/>
      </c>
    </row>
    <row r="2666" spans="1:11">
      <c r="A2666" s="14">
        <v>46170</v>
      </c>
      <c r="B2666" s="15">
        <v>0.7083333333333334</v>
      </c>
      <c r="C2666" s="5">
        <f>IF('96 Werte'!BR33="","",'96 Werte'!BR33)</f>
        <v/>
      </c>
      <c r="D2666" t="str">
        <f>IF(IF(Eingaben!$B$21&lt;Eingaben!$B$22,AND(B2666&gt;=Eingaben!$B$21,B2666&lt;Eingaben!$B$22),OR(B2666&gt;=Eingaben!$B$21,B2666&lt;Eingaben!$B$22)),"GO",IF(AND(ISNUMBER(Eingaben!$B$23),ISNUMBER(Eingaben!$B$24),IF(Eingaben!$B$23&lt;Eingaben!$B$24,AND(B2666&gt;=Eingaben!$B$23,B2666&lt;Eingaben!$B$24),OR(B2666&gt;=Eingaben!$B$23,B2666&lt;Eingaben!$B$24))),"HEAT","STANDARD"))</f>
        <v>STANDARD</v>
      </c>
      <c r="E2666" s="9"/>
      <c r="F2666" t="str">
        <f>IF(E2666="",D2666,E2666)</f>
        <v>STANDARD</v>
      </c>
      <c r="G2666" t="str">
        <f>INDEX(Netzzeiten!$B$6:$B$29,HOUR(B2666)+1)</f>
        <v>HT</v>
      </c>
      <c r="H2666" s="6">
        <f>IF(F2666="GO",Eingaben!$B$11,IF(F2666="STANDARD",Eingaben!$B$12,IF(AND(F2666="HEAT",ISNUMBER(Eingaben!$B$13)),Eingaben!$B$13,"")))</f>
        <v>28.2744</v>
      </c>
      <c r="I2666" s="6">
        <f>INDEX(Netzzeiten!$C$6:$C$29,HOUR(B2666)+1)</f>
        <v>10.52</v>
      </c>
      <c r="J2666" t="str">
        <f>IF(C2666="","FEHLT",IF(NOT(ISNUMBER(C2666)),"MESSWERT UNGUELTIG",IF(C2666&lt;0,"MESSWERT UNGUELTIG",IF(H2666="","TARIFPREIS FEHLT","OK"))))</f>
        <v>FEHLT</v>
      </c>
      <c r="K2666" s="7">
        <f>IF(J2666&lt;&gt;"OK","",C2666*I2666/100)</f>
        <v/>
      </c>
    </row>
    <row r="2667" spans="1:11">
      <c r="A2667" s="14">
        <v>46170</v>
      </c>
      <c r="B2667" s="15">
        <v>0.71875</v>
      </c>
      <c r="C2667" s="5">
        <f>IF('96 Werte'!BS33="","",'96 Werte'!BS33)</f>
        <v/>
      </c>
      <c r="D2667" t="str">
        <f>IF(IF(Eingaben!$B$21&lt;Eingaben!$B$22,AND(B2667&gt;=Eingaben!$B$21,B2667&lt;Eingaben!$B$22),OR(B2667&gt;=Eingaben!$B$21,B2667&lt;Eingaben!$B$22)),"GO",IF(AND(ISNUMBER(Eingaben!$B$23),ISNUMBER(Eingaben!$B$24),IF(Eingaben!$B$23&lt;Eingaben!$B$24,AND(B2667&gt;=Eingaben!$B$23,B2667&lt;Eingaben!$B$24),OR(B2667&gt;=Eingaben!$B$23,B2667&lt;Eingaben!$B$24))),"HEAT","STANDARD"))</f>
        <v>STANDARD</v>
      </c>
      <c r="E2667" s="9"/>
      <c r="F2667" t="str">
        <f>IF(E2667="",D2667,E2667)</f>
        <v>STANDARD</v>
      </c>
      <c r="G2667" t="str">
        <f>INDEX(Netzzeiten!$B$6:$B$29,HOUR(B2667)+1)</f>
        <v>HT</v>
      </c>
      <c r="H2667" s="6">
        <f>IF(F2667="GO",Eingaben!$B$11,IF(F2667="STANDARD",Eingaben!$B$12,IF(AND(F2667="HEAT",ISNUMBER(Eingaben!$B$13)),Eingaben!$B$13,"")))</f>
        <v>28.2744</v>
      </c>
      <c r="I2667" s="6">
        <f>INDEX(Netzzeiten!$C$6:$C$29,HOUR(B2667)+1)</f>
        <v>10.52</v>
      </c>
      <c r="J2667" t="str">
        <f>IF(C2667="","FEHLT",IF(NOT(ISNUMBER(C2667)),"MESSWERT UNGUELTIG",IF(C2667&lt;0,"MESSWERT UNGUELTIG",IF(H2667="","TARIFPREIS FEHLT","OK"))))</f>
        <v>FEHLT</v>
      </c>
      <c r="K2667" s="7">
        <f>IF(J2667&lt;&gt;"OK","",C2667*I2667/100)</f>
        <v/>
      </c>
    </row>
    <row r="2668" spans="1:11">
      <c r="A2668" s="14">
        <v>46170</v>
      </c>
      <c r="B2668" s="15">
        <v>0.7291666666666666</v>
      </c>
      <c r="C2668" s="5">
        <f>IF('96 Werte'!BT33="","",'96 Werte'!BT33)</f>
        <v/>
      </c>
      <c r="D2668" t="str">
        <f>IF(IF(Eingaben!$B$21&lt;Eingaben!$B$22,AND(B2668&gt;=Eingaben!$B$21,B2668&lt;Eingaben!$B$22),OR(B2668&gt;=Eingaben!$B$21,B2668&lt;Eingaben!$B$22)),"GO",IF(AND(ISNUMBER(Eingaben!$B$23),ISNUMBER(Eingaben!$B$24),IF(Eingaben!$B$23&lt;Eingaben!$B$24,AND(B2668&gt;=Eingaben!$B$23,B2668&lt;Eingaben!$B$24),OR(B2668&gt;=Eingaben!$B$23,B2668&lt;Eingaben!$B$24))),"HEAT","STANDARD"))</f>
        <v>STANDARD</v>
      </c>
      <c r="E2668" s="9"/>
      <c r="F2668" t="str">
        <f>IF(E2668="",D2668,E2668)</f>
        <v>STANDARD</v>
      </c>
      <c r="G2668" t="str">
        <f>INDEX(Netzzeiten!$B$6:$B$29,HOUR(B2668)+1)</f>
        <v>HT</v>
      </c>
      <c r="H2668" s="6">
        <f>IF(F2668="GO",Eingaben!$B$11,IF(F2668="STANDARD",Eingaben!$B$12,IF(AND(F2668="HEAT",ISNUMBER(Eingaben!$B$13)),Eingaben!$B$13,"")))</f>
        <v>28.2744</v>
      </c>
      <c r="I2668" s="6">
        <f>INDEX(Netzzeiten!$C$6:$C$29,HOUR(B2668)+1)</f>
        <v>10.52</v>
      </c>
      <c r="J2668" t="str">
        <f>IF(C2668="","FEHLT",IF(NOT(ISNUMBER(C2668)),"MESSWERT UNGUELTIG",IF(C2668&lt;0,"MESSWERT UNGUELTIG",IF(H2668="","TARIFPREIS FEHLT","OK"))))</f>
        <v>FEHLT</v>
      </c>
      <c r="K2668" s="7">
        <f>IF(J2668&lt;&gt;"OK","",C2668*I2668/100)</f>
        <v/>
      </c>
    </row>
    <row r="2669" spans="1:11">
      <c r="A2669" s="14">
        <v>46170</v>
      </c>
      <c r="B2669" s="15">
        <v>0.7395833333333334</v>
      </c>
      <c r="C2669" s="5">
        <f>IF('96 Werte'!BU33="","",'96 Werte'!BU33)</f>
        <v/>
      </c>
      <c r="D2669" t="str">
        <f>IF(IF(Eingaben!$B$21&lt;Eingaben!$B$22,AND(B2669&gt;=Eingaben!$B$21,B2669&lt;Eingaben!$B$22),OR(B2669&gt;=Eingaben!$B$21,B2669&lt;Eingaben!$B$22)),"GO",IF(AND(ISNUMBER(Eingaben!$B$23),ISNUMBER(Eingaben!$B$24),IF(Eingaben!$B$23&lt;Eingaben!$B$24,AND(B2669&gt;=Eingaben!$B$23,B2669&lt;Eingaben!$B$24),OR(B2669&gt;=Eingaben!$B$23,B2669&lt;Eingaben!$B$24))),"HEAT","STANDARD"))</f>
        <v>STANDARD</v>
      </c>
      <c r="E2669" s="9"/>
      <c r="F2669" t="str">
        <f>IF(E2669="",D2669,E2669)</f>
        <v>STANDARD</v>
      </c>
      <c r="G2669" t="str">
        <f>INDEX(Netzzeiten!$B$6:$B$29,HOUR(B2669)+1)</f>
        <v>HT</v>
      </c>
      <c r="H2669" s="6">
        <f>IF(F2669="GO",Eingaben!$B$11,IF(F2669="STANDARD",Eingaben!$B$12,IF(AND(F2669="HEAT",ISNUMBER(Eingaben!$B$13)),Eingaben!$B$13,"")))</f>
        <v>28.2744</v>
      </c>
      <c r="I2669" s="6">
        <f>INDEX(Netzzeiten!$C$6:$C$29,HOUR(B2669)+1)</f>
        <v>10.52</v>
      </c>
      <c r="J2669" t="str">
        <f>IF(C2669="","FEHLT",IF(NOT(ISNUMBER(C2669)),"MESSWERT UNGUELTIG",IF(C2669&lt;0,"MESSWERT UNGUELTIG",IF(H2669="","TARIFPREIS FEHLT","OK"))))</f>
        <v>FEHLT</v>
      </c>
      <c r="K2669" s="7">
        <f>IF(J2669&lt;&gt;"OK","",C2669*I2669/100)</f>
        <v/>
      </c>
    </row>
    <row r="2670" spans="1:11">
      <c r="A2670" s="14">
        <v>46170</v>
      </c>
      <c r="B2670" s="15">
        <v>0.75</v>
      </c>
      <c r="C2670" s="5">
        <f>IF('96 Werte'!BV33="","",'96 Werte'!BV33)</f>
        <v/>
      </c>
      <c r="D2670" t="str">
        <f>IF(IF(Eingaben!$B$21&lt;Eingaben!$B$22,AND(B2670&gt;=Eingaben!$B$21,B2670&lt;Eingaben!$B$22),OR(B2670&gt;=Eingaben!$B$21,B2670&lt;Eingaben!$B$22)),"GO",IF(AND(ISNUMBER(Eingaben!$B$23),ISNUMBER(Eingaben!$B$24),IF(Eingaben!$B$23&lt;Eingaben!$B$24,AND(B2670&gt;=Eingaben!$B$23,B2670&lt;Eingaben!$B$24),OR(B2670&gt;=Eingaben!$B$23,B2670&lt;Eingaben!$B$24))),"HEAT","STANDARD"))</f>
        <v>STANDARD</v>
      </c>
      <c r="E2670" s="9"/>
      <c r="F2670" t="str">
        <f>IF(E2670="",D2670,E2670)</f>
        <v>STANDARD</v>
      </c>
      <c r="G2670" t="str">
        <f>INDEX(Netzzeiten!$B$6:$B$29,HOUR(B2670)+1)</f>
        <v>HT</v>
      </c>
      <c r="H2670" s="6">
        <f>IF(F2670="GO",Eingaben!$B$11,IF(F2670="STANDARD",Eingaben!$B$12,IF(AND(F2670="HEAT",ISNUMBER(Eingaben!$B$13)),Eingaben!$B$13,"")))</f>
        <v>28.2744</v>
      </c>
      <c r="I2670" s="6">
        <f>INDEX(Netzzeiten!$C$6:$C$29,HOUR(B2670)+1)</f>
        <v>10.52</v>
      </c>
      <c r="J2670" t="str">
        <f>IF(C2670="","FEHLT",IF(NOT(ISNUMBER(C2670)),"MESSWERT UNGUELTIG",IF(C2670&lt;0,"MESSWERT UNGUELTIG",IF(H2670="","TARIFPREIS FEHLT","OK"))))</f>
        <v>FEHLT</v>
      </c>
      <c r="K2670" s="7">
        <f>IF(J2670&lt;&gt;"OK","",C2670*I2670/100)</f>
        <v/>
      </c>
    </row>
    <row r="2671" spans="1:11">
      <c r="A2671" s="14">
        <v>46170</v>
      </c>
      <c r="B2671" s="15">
        <v>0.7604166666666666</v>
      </c>
      <c r="C2671" s="5">
        <f>IF('96 Werte'!BW33="","",'96 Werte'!BW33)</f>
        <v/>
      </c>
      <c r="D2671" t="str">
        <f>IF(IF(Eingaben!$B$21&lt;Eingaben!$B$22,AND(B2671&gt;=Eingaben!$B$21,B2671&lt;Eingaben!$B$22),OR(B2671&gt;=Eingaben!$B$21,B2671&lt;Eingaben!$B$22)),"GO",IF(AND(ISNUMBER(Eingaben!$B$23),ISNUMBER(Eingaben!$B$24),IF(Eingaben!$B$23&lt;Eingaben!$B$24,AND(B2671&gt;=Eingaben!$B$23,B2671&lt;Eingaben!$B$24),OR(B2671&gt;=Eingaben!$B$23,B2671&lt;Eingaben!$B$24))),"HEAT","STANDARD"))</f>
        <v>STANDARD</v>
      </c>
      <c r="E2671" s="9"/>
      <c r="F2671" t="str">
        <f>IF(E2671="",D2671,E2671)</f>
        <v>STANDARD</v>
      </c>
      <c r="G2671" t="str">
        <f>INDEX(Netzzeiten!$B$6:$B$29,HOUR(B2671)+1)</f>
        <v>HT</v>
      </c>
      <c r="H2671" s="6">
        <f>IF(F2671="GO",Eingaben!$B$11,IF(F2671="STANDARD",Eingaben!$B$12,IF(AND(F2671="HEAT",ISNUMBER(Eingaben!$B$13)),Eingaben!$B$13,"")))</f>
        <v>28.2744</v>
      </c>
      <c r="I2671" s="6">
        <f>INDEX(Netzzeiten!$C$6:$C$29,HOUR(B2671)+1)</f>
        <v>10.52</v>
      </c>
      <c r="J2671" t="str">
        <f>IF(C2671="","FEHLT",IF(NOT(ISNUMBER(C2671)),"MESSWERT UNGUELTIG",IF(C2671&lt;0,"MESSWERT UNGUELTIG",IF(H2671="","TARIFPREIS FEHLT","OK"))))</f>
        <v>FEHLT</v>
      </c>
      <c r="K2671" s="7">
        <f>IF(J2671&lt;&gt;"OK","",C2671*I2671/100)</f>
        <v/>
      </c>
    </row>
    <row r="2672" spans="1:11">
      <c r="A2672" s="14">
        <v>46170</v>
      </c>
      <c r="B2672" s="15">
        <v>0.7708333333333334</v>
      </c>
      <c r="C2672" s="5">
        <f>IF('96 Werte'!BX33="","",'96 Werte'!BX33)</f>
        <v/>
      </c>
      <c r="D2672" t="str">
        <f>IF(IF(Eingaben!$B$21&lt;Eingaben!$B$22,AND(B2672&gt;=Eingaben!$B$21,B2672&lt;Eingaben!$B$22),OR(B2672&gt;=Eingaben!$B$21,B2672&lt;Eingaben!$B$22)),"GO",IF(AND(ISNUMBER(Eingaben!$B$23),ISNUMBER(Eingaben!$B$24),IF(Eingaben!$B$23&lt;Eingaben!$B$24,AND(B2672&gt;=Eingaben!$B$23,B2672&lt;Eingaben!$B$24),OR(B2672&gt;=Eingaben!$B$23,B2672&lt;Eingaben!$B$24))),"HEAT","STANDARD"))</f>
        <v>STANDARD</v>
      </c>
      <c r="E2672" s="9"/>
      <c r="F2672" t="str">
        <f>IF(E2672="",D2672,E2672)</f>
        <v>STANDARD</v>
      </c>
      <c r="G2672" t="str">
        <f>INDEX(Netzzeiten!$B$6:$B$29,HOUR(B2672)+1)</f>
        <v>HT</v>
      </c>
      <c r="H2672" s="6">
        <f>IF(F2672="GO",Eingaben!$B$11,IF(F2672="STANDARD",Eingaben!$B$12,IF(AND(F2672="HEAT",ISNUMBER(Eingaben!$B$13)),Eingaben!$B$13,"")))</f>
        <v>28.2744</v>
      </c>
      <c r="I2672" s="6">
        <f>INDEX(Netzzeiten!$C$6:$C$29,HOUR(B2672)+1)</f>
        <v>10.52</v>
      </c>
      <c r="J2672" t="str">
        <f>IF(C2672="","FEHLT",IF(NOT(ISNUMBER(C2672)),"MESSWERT UNGUELTIG",IF(C2672&lt;0,"MESSWERT UNGUELTIG",IF(H2672="","TARIFPREIS FEHLT","OK"))))</f>
        <v>FEHLT</v>
      </c>
      <c r="K2672" s="7">
        <f>IF(J2672&lt;&gt;"OK","",C2672*I2672/100)</f>
        <v/>
      </c>
    </row>
    <row r="2673" spans="1:11">
      <c r="A2673" s="14">
        <v>46170</v>
      </c>
      <c r="B2673" s="15">
        <v>0.78125</v>
      </c>
      <c r="C2673" s="5">
        <f>IF('96 Werte'!BY33="","",'96 Werte'!BY33)</f>
        <v/>
      </c>
      <c r="D2673" t="str">
        <f>IF(IF(Eingaben!$B$21&lt;Eingaben!$B$22,AND(B2673&gt;=Eingaben!$B$21,B2673&lt;Eingaben!$B$22),OR(B2673&gt;=Eingaben!$B$21,B2673&lt;Eingaben!$B$22)),"GO",IF(AND(ISNUMBER(Eingaben!$B$23),ISNUMBER(Eingaben!$B$24),IF(Eingaben!$B$23&lt;Eingaben!$B$24,AND(B2673&gt;=Eingaben!$B$23,B2673&lt;Eingaben!$B$24),OR(B2673&gt;=Eingaben!$B$23,B2673&lt;Eingaben!$B$24))),"HEAT","STANDARD"))</f>
        <v>STANDARD</v>
      </c>
      <c r="E2673" s="9"/>
      <c r="F2673" t="str">
        <f>IF(E2673="",D2673,E2673)</f>
        <v>STANDARD</v>
      </c>
      <c r="G2673" t="str">
        <f>INDEX(Netzzeiten!$B$6:$B$29,HOUR(B2673)+1)</f>
        <v>HT</v>
      </c>
      <c r="H2673" s="6">
        <f>IF(F2673="GO",Eingaben!$B$11,IF(F2673="STANDARD",Eingaben!$B$12,IF(AND(F2673="HEAT",ISNUMBER(Eingaben!$B$13)),Eingaben!$B$13,"")))</f>
        <v>28.2744</v>
      </c>
      <c r="I2673" s="6">
        <f>INDEX(Netzzeiten!$C$6:$C$29,HOUR(B2673)+1)</f>
        <v>10.52</v>
      </c>
      <c r="J2673" t="str">
        <f>IF(C2673="","FEHLT",IF(NOT(ISNUMBER(C2673)),"MESSWERT UNGUELTIG",IF(C2673&lt;0,"MESSWERT UNGUELTIG",IF(H2673="","TARIFPREIS FEHLT","OK"))))</f>
        <v>FEHLT</v>
      </c>
      <c r="K2673" s="7">
        <f>IF(J2673&lt;&gt;"OK","",C2673*I2673/100)</f>
        <v/>
      </c>
    </row>
    <row r="2674" spans="1:11">
      <c r="A2674" s="14">
        <v>46170</v>
      </c>
      <c r="B2674" s="15">
        <v>0.7916666666666666</v>
      </c>
      <c r="C2674" s="5">
        <f>IF('96 Werte'!BZ33="","",'96 Werte'!BZ33)</f>
        <v/>
      </c>
      <c r="D2674" t="str">
        <f>IF(IF(Eingaben!$B$21&lt;Eingaben!$B$22,AND(B2674&gt;=Eingaben!$B$21,B2674&lt;Eingaben!$B$22),OR(B2674&gt;=Eingaben!$B$21,B2674&lt;Eingaben!$B$22)),"GO",IF(AND(ISNUMBER(Eingaben!$B$23),ISNUMBER(Eingaben!$B$24),IF(Eingaben!$B$23&lt;Eingaben!$B$24,AND(B2674&gt;=Eingaben!$B$23,B2674&lt;Eingaben!$B$24),OR(B2674&gt;=Eingaben!$B$23,B2674&lt;Eingaben!$B$24))),"HEAT","STANDARD"))</f>
        <v>STANDARD</v>
      </c>
      <c r="E2674" s="9"/>
      <c r="F2674" t="str">
        <f>IF(E2674="",D2674,E2674)</f>
        <v>STANDARD</v>
      </c>
      <c r="G2674" t="str">
        <f>INDEX(Netzzeiten!$B$6:$B$29,HOUR(B2674)+1)</f>
        <v>HT</v>
      </c>
      <c r="H2674" s="6">
        <f>IF(F2674="GO",Eingaben!$B$11,IF(F2674="STANDARD",Eingaben!$B$12,IF(AND(F2674="HEAT",ISNUMBER(Eingaben!$B$13)),Eingaben!$B$13,"")))</f>
        <v>28.2744</v>
      </c>
      <c r="I2674" s="6">
        <f>INDEX(Netzzeiten!$C$6:$C$29,HOUR(B2674)+1)</f>
        <v>10.52</v>
      </c>
      <c r="J2674" t="str">
        <f>IF(C2674="","FEHLT",IF(NOT(ISNUMBER(C2674)),"MESSWERT UNGUELTIG",IF(C2674&lt;0,"MESSWERT UNGUELTIG",IF(H2674="","TARIFPREIS FEHLT","OK"))))</f>
        <v>FEHLT</v>
      </c>
      <c r="K2674" s="7">
        <f>IF(J2674&lt;&gt;"OK","",C2674*I2674/100)</f>
        <v/>
      </c>
    </row>
    <row r="2675" spans="1:11">
      <c r="A2675" s="14">
        <v>46170</v>
      </c>
      <c r="B2675" s="15">
        <v>0.8020833333333334</v>
      </c>
      <c r="C2675" s="5">
        <f>IF('96 Werte'!CA33="","",'96 Werte'!CA33)</f>
        <v/>
      </c>
      <c r="D2675" t="str">
        <f>IF(IF(Eingaben!$B$21&lt;Eingaben!$B$22,AND(B2675&gt;=Eingaben!$B$21,B2675&lt;Eingaben!$B$22),OR(B2675&gt;=Eingaben!$B$21,B2675&lt;Eingaben!$B$22)),"GO",IF(AND(ISNUMBER(Eingaben!$B$23),ISNUMBER(Eingaben!$B$24),IF(Eingaben!$B$23&lt;Eingaben!$B$24,AND(B2675&gt;=Eingaben!$B$23,B2675&lt;Eingaben!$B$24),OR(B2675&gt;=Eingaben!$B$23,B2675&lt;Eingaben!$B$24))),"HEAT","STANDARD"))</f>
        <v>STANDARD</v>
      </c>
      <c r="E2675" s="9"/>
      <c r="F2675" t="str">
        <f>IF(E2675="",D2675,E2675)</f>
        <v>STANDARD</v>
      </c>
      <c r="G2675" t="str">
        <f>INDEX(Netzzeiten!$B$6:$B$29,HOUR(B2675)+1)</f>
        <v>HT</v>
      </c>
      <c r="H2675" s="6">
        <f>IF(F2675="GO",Eingaben!$B$11,IF(F2675="STANDARD",Eingaben!$B$12,IF(AND(F2675="HEAT",ISNUMBER(Eingaben!$B$13)),Eingaben!$B$13,"")))</f>
        <v>28.2744</v>
      </c>
      <c r="I2675" s="6">
        <f>INDEX(Netzzeiten!$C$6:$C$29,HOUR(B2675)+1)</f>
        <v>10.52</v>
      </c>
      <c r="J2675" t="str">
        <f>IF(C2675="","FEHLT",IF(NOT(ISNUMBER(C2675)),"MESSWERT UNGUELTIG",IF(C2675&lt;0,"MESSWERT UNGUELTIG",IF(H2675="","TARIFPREIS FEHLT","OK"))))</f>
        <v>FEHLT</v>
      </c>
      <c r="K2675" s="7">
        <f>IF(J2675&lt;&gt;"OK","",C2675*I2675/100)</f>
        <v/>
      </c>
    </row>
    <row r="2676" spans="1:11">
      <c r="A2676" s="14">
        <v>46170</v>
      </c>
      <c r="B2676" s="15">
        <v>0.8125</v>
      </c>
      <c r="C2676" s="5">
        <f>IF('96 Werte'!CB33="","",'96 Werte'!CB33)</f>
        <v/>
      </c>
      <c r="D2676" t="str">
        <f>IF(IF(Eingaben!$B$21&lt;Eingaben!$B$22,AND(B2676&gt;=Eingaben!$B$21,B2676&lt;Eingaben!$B$22),OR(B2676&gt;=Eingaben!$B$21,B2676&lt;Eingaben!$B$22)),"GO",IF(AND(ISNUMBER(Eingaben!$B$23),ISNUMBER(Eingaben!$B$24),IF(Eingaben!$B$23&lt;Eingaben!$B$24,AND(B2676&gt;=Eingaben!$B$23,B2676&lt;Eingaben!$B$24),OR(B2676&gt;=Eingaben!$B$23,B2676&lt;Eingaben!$B$24))),"HEAT","STANDARD"))</f>
        <v>STANDARD</v>
      </c>
      <c r="E2676" s="9"/>
      <c r="F2676" t="str">
        <f>IF(E2676="",D2676,E2676)</f>
        <v>STANDARD</v>
      </c>
      <c r="G2676" t="str">
        <f>INDEX(Netzzeiten!$B$6:$B$29,HOUR(B2676)+1)</f>
        <v>HT</v>
      </c>
      <c r="H2676" s="6">
        <f>IF(F2676="GO",Eingaben!$B$11,IF(F2676="STANDARD",Eingaben!$B$12,IF(AND(F2676="HEAT",ISNUMBER(Eingaben!$B$13)),Eingaben!$B$13,"")))</f>
        <v>28.2744</v>
      </c>
      <c r="I2676" s="6">
        <f>INDEX(Netzzeiten!$C$6:$C$29,HOUR(B2676)+1)</f>
        <v>10.52</v>
      </c>
      <c r="J2676" t="str">
        <f>IF(C2676="","FEHLT",IF(NOT(ISNUMBER(C2676)),"MESSWERT UNGUELTIG",IF(C2676&lt;0,"MESSWERT UNGUELTIG",IF(H2676="","TARIFPREIS FEHLT","OK"))))</f>
        <v>FEHLT</v>
      </c>
      <c r="K2676" s="7">
        <f>IF(J2676&lt;&gt;"OK","",C2676*I2676/100)</f>
        <v/>
      </c>
    </row>
    <row r="2677" spans="1:11">
      <c r="A2677" s="14">
        <v>46170</v>
      </c>
      <c r="B2677" s="15">
        <v>0.8229166666666666</v>
      </c>
      <c r="C2677" s="5">
        <f>IF('96 Werte'!CC33="","",'96 Werte'!CC33)</f>
        <v/>
      </c>
      <c r="D2677" t="str">
        <f>IF(IF(Eingaben!$B$21&lt;Eingaben!$B$22,AND(B2677&gt;=Eingaben!$B$21,B2677&lt;Eingaben!$B$22),OR(B2677&gt;=Eingaben!$B$21,B2677&lt;Eingaben!$B$22)),"GO",IF(AND(ISNUMBER(Eingaben!$B$23),ISNUMBER(Eingaben!$B$24),IF(Eingaben!$B$23&lt;Eingaben!$B$24,AND(B2677&gt;=Eingaben!$B$23,B2677&lt;Eingaben!$B$24),OR(B2677&gt;=Eingaben!$B$23,B2677&lt;Eingaben!$B$24))),"HEAT","STANDARD"))</f>
        <v>STANDARD</v>
      </c>
      <c r="E2677" s="9"/>
      <c r="F2677" t="str">
        <f>IF(E2677="",D2677,E2677)</f>
        <v>STANDARD</v>
      </c>
      <c r="G2677" t="str">
        <f>INDEX(Netzzeiten!$B$6:$B$29,HOUR(B2677)+1)</f>
        <v>HT</v>
      </c>
      <c r="H2677" s="6">
        <f>IF(F2677="GO",Eingaben!$B$11,IF(F2677="STANDARD",Eingaben!$B$12,IF(AND(F2677="HEAT",ISNUMBER(Eingaben!$B$13)),Eingaben!$B$13,"")))</f>
        <v>28.2744</v>
      </c>
      <c r="I2677" s="6">
        <f>INDEX(Netzzeiten!$C$6:$C$29,HOUR(B2677)+1)</f>
        <v>10.52</v>
      </c>
      <c r="J2677" t="str">
        <f>IF(C2677="","FEHLT",IF(NOT(ISNUMBER(C2677)),"MESSWERT UNGUELTIG",IF(C2677&lt;0,"MESSWERT UNGUELTIG",IF(H2677="","TARIFPREIS FEHLT","OK"))))</f>
        <v>FEHLT</v>
      </c>
      <c r="K2677" s="7">
        <f>IF(J2677&lt;&gt;"OK","",C2677*I2677/100)</f>
        <v/>
      </c>
    </row>
    <row r="2678" spans="1:11">
      <c r="A2678" s="14">
        <v>46170</v>
      </c>
      <c r="B2678" s="15">
        <v>0.8333333333333334</v>
      </c>
      <c r="C2678" s="5">
        <f>IF('96 Werte'!CD33="","",'96 Werte'!CD33)</f>
        <v/>
      </c>
      <c r="D2678" t="str">
        <f>IF(IF(Eingaben!$B$21&lt;Eingaben!$B$22,AND(B2678&gt;=Eingaben!$B$21,B2678&lt;Eingaben!$B$22),OR(B2678&gt;=Eingaben!$B$21,B2678&lt;Eingaben!$B$22)),"GO",IF(AND(ISNUMBER(Eingaben!$B$23),ISNUMBER(Eingaben!$B$24),IF(Eingaben!$B$23&lt;Eingaben!$B$24,AND(B2678&gt;=Eingaben!$B$23,B2678&lt;Eingaben!$B$24),OR(B2678&gt;=Eingaben!$B$23,B2678&lt;Eingaben!$B$24))),"HEAT","STANDARD"))</f>
        <v>STANDARD</v>
      </c>
      <c r="E2678" s="9"/>
      <c r="F2678" t="str">
        <f>IF(E2678="",D2678,E2678)</f>
        <v>STANDARD</v>
      </c>
      <c r="G2678" t="str">
        <f>INDEX(Netzzeiten!$B$6:$B$29,HOUR(B2678)+1)</f>
        <v>HT</v>
      </c>
      <c r="H2678" s="6">
        <f>IF(F2678="GO",Eingaben!$B$11,IF(F2678="STANDARD",Eingaben!$B$12,IF(AND(F2678="HEAT",ISNUMBER(Eingaben!$B$13)),Eingaben!$B$13,"")))</f>
        <v>28.2744</v>
      </c>
      <c r="I2678" s="6">
        <f>INDEX(Netzzeiten!$C$6:$C$29,HOUR(B2678)+1)</f>
        <v>10.52</v>
      </c>
      <c r="J2678" t="str">
        <f>IF(C2678="","FEHLT",IF(NOT(ISNUMBER(C2678)),"MESSWERT UNGUELTIG",IF(C2678&lt;0,"MESSWERT UNGUELTIG",IF(H2678="","TARIFPREIS FEHLT","OK"))))</f>
        <v>FEHLT</v>
      </c>
      <c r="K2678" s="7">
        <f>IF(J2678&lt;&gt;"OK","",C2678*I2678/100)</f>
        <v/>
      </c>
    </row>
    <row r="2679" spans="1:11">
      <c r="A2679" s="14">
        <v>46170</v>
      </c>
      <c r="B2679" s="15">
        <v>0.84375</v>
      </c>
      <c r="C2679" s="5">
        <f>IF('96 Werte'!CE33="","",'96 Werte'!CE33)</f>
        <v/>
      </c>
      <c r="D2679" t="str">
        <f>IF(IF(Eingaben!$B$21&lt;Eingaben!$B$22,AND(B2679&gt;=Eingaben!$B$21,B2679&lt;Eingaben!$B$22),OR(B2679&gt;=Eingaben!$B$21,B2679&lt;Eingaben!$B$22)),"GO",IF(AND(ISNUMBER(Eingaben!$B$23),ISNUMBER(Eingaben!$B$24),IF(Eingaben!$B$23&lt;Eingaben!$B$24,AND(B2679&gt;=Eingaben!$B$23,B2679&lt;Eingaben!$B$24),OR(B2679&gt;=Eingaben!$B$23,B2679&lt;Eingaben!$B$24))),"HEAT","STANDARD"))</f>
        <v>STANDARD</v>
      </c>
      <c r="E2679" s="9"/>
      <c r="F2679" t="str">
        <f>IF(E2679="",D2679,E2679)</f>
        <v>STANDARD</v>
      </c>
      <c r="G2679" t="str">
        <f>INDEX(Netzzeiten!$B$6:$B$29,HOUR(B2679)+1)</f>
        <v>HT</v>
      </c>
      <c r="H2679" s="6">
        <f>IF(F2679="GO",Eingaben!$B$11,IF(F2679="STANDARD",Eingaben!$B$12,IF(AND(F2679="HEAT",ISNUMBER(Eingaben!$B$13)),Eingaben!$B$13,"")))</f>
        <v>28.2744</v>
      </c>
      <c r="I2679" s="6">
        <f>INDEX(Netzzeiten!$C$6:$C$29,HOUR(B2679)+1)</f>
        <v>10.52</v>
      </c>
      <c r="J2679" t="str">
        <f>IF(C2679="","FEHLT",IF(NOT(ISNUMBER(C2679)),"MESSWERT UNGUELTIG",IF(C2679&lt;0,"MESSWERT UNGUELTIG",IF(H2679="","TARIFPREIS FEHLT","OK"))))</f>
        <v>FEHLT</v>
      </c>
      <c r="K2679" s="7">
        <f>IF(J2679&lt;&gt;"OK","",C2679*I2679/100)</f>
        <v/>
      </c>
    </row>
    <row r="2680" spans="1:11">
      <c r="A2680" s="14">
        <v>46170</v>
      </c>
      <c r="B2680" s="15">
        <v>0.8541666666666666</v>
      </c>
      <c r="C2680" s="5">
        <f>IF('96 Werte'!CF33="","",'96 Werte'!CF33)</f>
        <v/>
      </c>
      <c r="D2680" t="str">
        <f>IF(IF(Eingaben!$B$21&lt;Eingaben!$B$22,AND(B2680&gt;=Eingaben!$B$21,B2680&lt;Eingaben!$B$22),OR(B2680&gt;=Eingaben!$B$21,B2680&lt;Eingaben!$B$22)),"GO",IF(AND(ISNUMBER(Eingaben!$B$23),ISNUMBER(Eingaben!$B$24),IF(Eingaben!$B$23&lt;Eingaben!$B$24,AND(B2680&gt;=Eingaben!$B$23,B2680&lt;Eingaben!$B$24),OR(B2680&gt;=Eingaben!$B$23,B2680&lt;Eingaben!$B$24))),"HEAT","STANDARD"))</f>
        <v>STANDARD</v>
      </c>
      <c r="E2680" s="9"/>
      <c r="F2680" t="str">
        <f>IF(E2680="",D2680,E2680)</f>
        <v>STANDARD</v>
      </c>
      <c r="G2680" t="str">
        <f>INDEX(Netzzeiten!$B$6:$B$29,HOUR(B2680)+1)</f>
        <v>HT</v>
      </c>
      <c r="H2680" s="6">
        <f>IF(F2680="GO",Eingaben!$B$11,IF(F2680="STANDARD",Eingaben!$B$12,IF(AND(F2680="HEAT",ISNUMBER(Eingaben!$B$13)),Eingaben!$B$13,"")))</f>
        <v>28.2744</v>
      </c>
      <c r="I2680" s="6">
        <f>INDEX(Netzzeiten!$C$6:$C$29,HOUR(B2680)+1)</f>
        <v>10.52</v>
      </c>
      <c r="J2680" t="str">
        <f>IF(C2680="","FEHLT",IF(NOT(ISNUMBER(C2680)),"MESSWERT UNGUELTIG",IF(C2680&lt;0,"MESSWERT UNGUELTIG",IF(H2680="","TARIFPREIS FEHLT","OK"))))</f>
        <v>FEHLT</v>
      </c>
      <c r="K2680" s="7">
        <f>IF(J2680&lt;&gt;"OK","",C2680*I2680/100)</f>
        <v/>
      </c>
    </row>
    <row r="2681" spans="1:11">
      <c r="A2681" s="14">
        <v>46170</v>
      </c>
      <c r="B2681" s="15">
        <v>0.8645833333333334</v>
      </c>
      <c r="C2681" s="5">
        <f>IF('96 Werte'!CG33="","",'96 Werte'!CG33)</f>
        <v/>
      </c>
      <c r="D2681" t="str">
        <f>IF(IF(Eingaben!$B$21&lt;Eingaben!$B$22,AND(B2681&gt;=Eingaben!$B$21,B2681&lt;Eingaben!$B$22),OR(B2681&gt;=Eingaben!$B$21,B2681&lt;Eingaben!$B$22)),"GO",IF(AND(ISNUMBER(Eingaben!$B$23),ISNUMBER(Eingaben!$B$24),IF(Eingaben!$B$23&lt;Eingaben!$B$24,AND(B2681&gt;=Eingaben!$B$23,B2681&lt;Eingaben!$B$24),OR(B2681&gt;=Eingaben!$B$23,B2681&lt;Eingaben!$B$24))),"HEAT","STANDARD"))</f>
        <v>STANDARD</v>
      </c>
      <c r="E2681" s="9"/>
      <c r="F2681" t="str">
        <f>IF(E2681="",D2681,E2681)</f>
        <v>STANDARD</v>
      </c>
      <c r="G2681" t="str">
        <f>INDEX(Netzzeiten!$B$6:$B$29,HOUR(B2681)+1)</f>
        <v>HT</v>
      </c>
      <c r="H2681" s="6">
        <f>IF(F2681="GO",Eingaben!$B$11,IF(F2681="STANDARD",Eingaben!$B$12,IF(AND(F2681="HEAT",ISNUMBER(Eingaben!$B$13)),Eingaben!$B$13,"")))</f>
        <v>28.2744</v>
      </c>
      <c r="I2681" s="6">
        <f>INDEX(Netzzeiten!$C$6:$C$29,HOUR(B2681)+1)</f>
        <v>10.52</v>
      </c>
      <c r="J2681" t="str">
        <f>IF(C2681="","FEHLT",IF(NOT(ISNUMBER(C2681)),"MESSWERT UNGUELTIG",IF(C2681&lt;0,"MESSWERT UNGUELTIG",IF(H2681="","TARIFPREIS FEHLT","OK"))))</f>
        <v>FEHLT</v>
      </c>
      <c r="K2681" s="7">
        <f>IF(J2681&lt;&gt;"OK","",C2681*I2681/100)</f>
        <v/>
      </c>
    </row>
    <row r="2682" spans="1:11">
      <c r="A2682" s="14">
        <v>46170</v>
      </c>
      <c r="B2682" s="15">
        <v>0.875</v>
      </c>
      <c r="C2682" s="5">
        <f>IF('96 Werte'!CH33="","",'96 Werte'!CH33)</f>
        <v/>
      </c>
      <c r="D2682" t="str">
        <f>IF(IF(Eingaben!$B$21&lt;Eingaben!$B$22,AND(B2682&gt;=Eingaben!$B$21,B2682&lt;Eingaben!$B$22),OR(B2682&gt;=Eingaben!$B$21,B2682&lt;Eingaben!$B$22)),"GO",IF(AND(ISNUMBER(Eingaben!$B$23),ISNUMBER(Eingaben!$B$24),IF(Eingaben!$B$23&lt;Eingaben!$B$24,AND(B2682&gt;=Eingaben!$B$23,B2682&lt;Eingaben!$B$24),OR(B2682&gt;=Eingaben!$B$23,B2682&lt;Eingaben!$B$24))),"HEAT","STANDARD"))</f>
        <v>STANDARD</v>
      </c>
      <c r="E2682" s="9"/>
      <c r="F2682" t="str">
        <f>IF(E2682="",D2682,E2682)</f>
        <v>STANDARD</v>
      </c>
      <c r="G2682" t="str">
        <f>INDEX(Netzzeiten!$B$6:$B$29,HOUR(B2682)+1)</f>
        <v>HT</v>
      </c>
      <c r="H2682" s="6">
        <f>IF(F2682="GO",Eingaben!$B$11,IF(F2682="STANDARD",Eingaben!$B$12,IF(AND(F2682="HEAT",ISNUMBER(Eingaben!$B$13)),Eingaben!$B$13,"")))</f>
        <v>28.2744</v>
      </c>
      <c r="I2682" s="6">
        <f>INDEX(Netzzeiten!$C$6:$C$29,HOUR(B2682)+1)</f>
        <v>10.52</v>
      </c>
      <c r="J2682" t="str">
        <f>IF(C2682="","FEHLT",IF(NOT(ISNUMBER(C2682)),"MESSWERT UNGUELTIG",IF(C2682&lt;0,"MESSWERT UNGUELTIG",IF(H2682="","TARIFPREIS FEHLT","OK"))))</f>
        <v>FEHLT</v>
      </c>
      <c r="K2682" s="7">
        <f>IF(J2682&lt;&gt;"OK","",C2682*I2682/100)</f>
        <v/>
      </c>
    </row>
    <row r="2683" spans="1:11">
      <c r="A2683" s="14">
        <v>46170</v>
      </c>
      <c r="B2683" s="15">
        <v>0.8854166666666666</v>
      </c>
      <c r="C2683" s="5">
        <f>IF('96 Werte'!CI33="","",'96 Werte'!CI33)</f>
        <v/>
      </c>
      <c r="D2683" t="str">
        <f>IF(IF(Eingaben!$B$21&lt;Eingaben!$B$22,AND(B2683&gt;=Eingaben!$B$21,B2683&lt;Eingaben!$B$22),OR(B2683&gt;=Eingaben!$B$21,B2683&lt;Eingaben!$B$22)),"GO",IF(AND(ISNUMBER(Eingaben!$B$23),ISNUMBER(Eingaben!$B$24),IF(Eingaben!$B$23&lt;Eingaben!$B$24,AND(B2683&gt;=Eingaben!$B$23,B2683&lt;Eingaben!$B$24),OR(B2683&gt;=Eingaben!$B$23,B2683&lt;Eingaben!$B$24))),"HEAT","STANDARD"))</f>
        <v>STANDARD</v>
      </c>
      <c r="E2683" s="9"/>
      <c r="F2683" t="str">
        <f>IF(E2683="",D2683,E2683)</f>
        <v>STANDARD</v>
      </c>
      <c r="G2683" t="str">
        <f>INDEX(Netzzeiten!$B$6:$B$29,HOUR(B2683)+1)</f>
        <v>HT</v>
      </c>
      <c r="H2683" s="6">
        <f>IF(F2683="GO",Eingaben!$B$11,IF(F2683="STANDARD",Eingaben!$B$12,IF(AND(F2683="HEAT",ISNUMBER(Eingaben!$B$13)),Eingaben!$B$13,"")))</f>
        <v>28.2744</v>
      </c>
      <c r="I2683" s="6">
        <f>INDEX(Netzzeiten!$C$6:$C$29,HOUR(B2683)+1)</f>
        <v>10.52</v>
      </c>
      <c r="J2683" t="str">
        <f>IF(C2683="","FEHLT",IF(NOT(ISNUMBER(C2683)),"MESSWERT UNGUELTIG",IF(C2683&lt;0,"MESSWERT UNGUELTIG",IF(H2683="","TARIFPREIS FEHLT","OK"))))</f>
        <v>FEHLT</v>
      </c>
      <c r="K2683" s="7">
        <f>IF(J2683&lt;&gt;"OK","",C2683*I2683/100)</f>
        <v/>
      </c>
    </row>
    <row r="2684" spans="1:11">
      <c r="A2684" s="14">
        <v>46170</v>
      </c>
      <c r="B2684" s="15">
        <v>0.8958333333333334</v>
      </c>
      <c r="C2684" s="5">
        <f>IF('96 Werte'!CJ33="","",'96 Werte'!CJ33)</f>
        <v/>
      </c>
      <c r="D2684" t="str">
        <f>IF(IF(Eingaben!$B$21&lt;Eingaben!$B$22,AND(B2684&gt;=Eingaben!$B$21,B2684&lt;Eingaben!$B$22),OR(B2684&gt;=Eingaben!$B$21,B2684&lt;Eingaben!$B$22)),"GO",IF(AND(ISNUMBER(Eingaben!$B$23),ISNUMBER(Eingaben!$B$24),IF(Eingaben!$B$23&lt;Eingaben!$B$24,AND(B2684&gt;=Eingaben!$B$23,B2684&lt;Eingaben!$B$24),OR(B2684&gt;=Eingaben!$B$23,B2684&lt;Eingaben!$B$24))),"HEAT","STANDARD"))</f>
        <v>STANDARD</v>
      </c>
      <c r="E2684" s="9"/>
      <c r="F2684" t="str">
        <f>IF(E2684="",D2684,E2684)</f>
        <v>STANDARD</v>
      </c>
      <c r="G2684" t="str">
        <f>INDEX(Netzzeiten!$B$6:$B$29,HOUR(B2684)+1)</f>
        <v>HT</v>
      </c>
      <c r="H2684" s="6">
        <f>IF(F2684="GO",Eingaben!$B$11,IF(F2684="STANDARD",Eingaben!$B$12,IF(AND(F2684="HEAT",ISNUMBER(Eingaben!$B$13)),Eingaben!$B$13,"")))</f>
        <v>28.2744</v>
      </c>
      <c r="I2684" s="6">
        <f>INDEX(Netzzeiten!$C$6:$C$29,HOUR(B2684)+1)</f>
        <v>10.52</v>
      </c>
      <c r="J2684" t="str">
        <f>IF(C2684="","FEHLT",IF(NOT(ISNUMBER(C2684)),"MESSWERT UNGUELTIG",IF(C2684&lt;0,"MESSWERT UNGUELTIG",IF(H2684="","TARIFPREIS FEHLT","OK"))))</f>
        <v>FEHLT</v>
      </c>
      <c r="K2684" s="7">
        <f>IF(J2684&lt;&gt;"OK","",C2684*I2684/100)</f>
        <v/>
      </c>
    </row>
    <row r="2685" spans="1:11">
      <c r="A2685" s="14">
        <v>46170</v>
      </c>
      <c r="B2685" s="15">
        <v>0.90625</v>
      </c>
      <c r="C2685" s="5">
        <f>IF('96 Werte'!CK33="","",'96 Werte'!CK33)</f>
        <v/>
      </c>
      <c r="D2685" t="str">
        <f>IF(IF(Eingaben!$B$21&lt;Eingaben!$B$22,AND(B2685&gt;=Eingaben!$B$21,B2685&lt;Eingaben!$B$22),OR(B2685&gt;=Eingaben!$B$21,B2685&lt;Eingaben!$B$22)),"GO",IF(AND(ISNUMBER(Eingaben!$B$23),ISNUMBER(Eingaben!$B$24),IF(Eingaben!$B$23&lt;Eingaben!$B$24,AND(B2685&gt;=Eingaben!$B$23,B2685&lt;Eingaben!$B$24),OR(B2685&gt;=Eingaben!$B$23,B2685&lt;Eingaben!$B$24))),"HEAT","STANDARD"))</f>
        <v>STANDARD</v>
      </c>
      <c r="E2685" s="9"/>
      <c r="F2685" t="str">
        <f>IF(E2685="",D2685,E2685)</f>
        <v>STANDARD</v>
      </c>
      <c r="G2685" t="str">
        <f>INDEX(Netzzeiten!$B$6:$B$29,HOUR(B2685)+1)</f>
        <v>HT</v>
      </c>
      <c r="H2685" s="6">
        <f>IF(F2685="GO",Eingaben!$B$11,IF(F2685="STANDARD",Eingaben!$B$12,IF(AND(F2685="HEAT",ISNUMBER(Eingaben!$B$13)),Eingaben!$B$13,"")))</f>
        <v>28.2744</v>
      </c>
      <c r="I2685" s="6">
        <f>INDEX(Netzzeiten!$C$6:$C$29,HOUR(B2685)+1)</f>
        <v>10.52</v>
      </c>
      <c r="J2685" t="str">
        <f>IF(C2685="","FEHLT",IF(NOT(ISNUMBER(C2685)),"MESSWERT UNGUELTIG",IF(C2685&lt;0,"MESSWERT UNGUELTIG",IF(H2685="","TARIFPREIS FEHLT","OK"))))</f>
        <v>FEHLT</v>
      </c>
      <c r="K2685" s="7">
        <f>IF(J2685&lt;&gt;"OK","",C2685*I2685/100)</f>
        <v/>
      </c>
    </row>
    <row r="2686" spans="1:11">
      <c r="A2686" s="14">
        <v>46170</v>
      </c>
      <c r="B2686" s="15">
        <v>0.9166666666666666</v>
      </c>
      <c r="C2686" s="5">
        <f>IF('96 Werte'!CL33="","",'96 Werte'!CL33)</f>
        <v/>
      </c>
      <c r="D2686" t="str">
        <f>IF(IF(Eingaben!$B$21&lt;Eingaben!$B$22,AND(B2686&gt;=Eingaben!$B$21,B2686&lt;Eingaben!$B$22),OR(B2686&gt;=Eingaben!$B$21,B2686&lt;Eingaben!$B$22)),"GO",IF(AND(ISNUMBER(Eingaben!$B$23),ISNUMBER(Eingaben!$B$24),IF(Eingaben!$B$23&lt;Eingaben!$B$24,AND(B2686&gt;=Eingaben!$B$23,B2686&lt;Eingaben!$B$24),OR(B2686&gt;=Eingaben!$B$23,B2686&lt;Eingaben!$B$24))),"HEAT","STANDARD"))</f>
        <v>STANDARD</v>
      </c>
      <c r="E2686" s="9"/>
      <c r="F2686" t="str">
        <f>IF(E2686="",D2686,E2686)</f>
        <v>STANDARD</v>
      </c>
      <c r="G2686" t="str">
        <f>INDEX(Netzzeiten!$B$6:$B$29,HOUR(B2686)+1)</f>
        <v>ST</v>
      </c>
      <c r="H2686" s="6">
        <f>IF(F2686="GO",Eingaben!$B$11,IF(F2686="STANDARD",Eingaben!$B$12,IF(AND(F2686="HEAT",ISNUMBER(Eingaben!$B$13)),Eingaben!$B$13,"")))</f>
        <v>28.2744</v>
      </c>
      <c r="I2686" s="6">
        <f>INDEX(Netzzeiten!$C$6:$C$29,HOUR(B2686)+1)</f>
        <v>5.48</v>
      </c>
      <c r="J2686" t="str">
        <f>IF(C2686="","FEHLT",IF(NOT(ISNUMBER(C2686)),"MESSWERT UNGUELTIG",IF(C2686&lt;0,"MESSWERT UNGUELTIG",IF(H2686="","TARIFPREIS FEHLT","OK"))))</f>
        <v>FEHLT</v>
      </c>
      <c r="K2686" s="7">
        <f>IF(J2686&lt;&gt;"OK","",C2686*I2686/100)</f>
        <v/>
      </c>
    </row>
    <row r="2687" spans="1:11">
      <c r="A2687" s="14">
        <v>46170</v>
      </c>
      <c r="B2687" s="15">
        <v>0.9270833333333334</v>
      </c>
      <c r="C2687" s="5">
        <f>IF('96 Werte'!CM33="","",'96 Werte'!CM33)</f>
        <v/>
      </c>
      <c r="D2687" t="str">
        <f>IF(IF(Eingaben!$B$21&lt;Eingaben!$B$22,AND(B2687&gt;=Eingaben!$B$21,B2687&lt;Eingaben!$B$22),OR(B2687&gt;=Eingaben!$B$21,B2687&lt;Eingaben!$B$22)),"GO",IF(AND(ISNUMBER(Eingaben!$B$23),ISNUMBER(Eingaben!$B$24),IF(Eingaben!$B$23&lt;Eingaben!$B$24,AND(B2687&gt;=Eingaben!$B$23,B2687&lt;Eingaben!$B$24),OR(B2687&gt;=Eingaben!$B$23,B2687&lt;Eingaben!$B$24))),"HEAT","STANDARD"))</f>
        <v>STANDARD</v>
      </c>
      <c r="E2687" s="9"/>
      <c r="F2687" t="str">
        <f>IF(E2687="",D2687,E2687)</f>
        <v>STANDARD</v>
      </c>
      <c r="G2687" t="str">
        <f>INDEX(Netzzeiten!$B$6:$B$29,HOUR(B2687)+1)</f>
        <v>ST</v>
      </c>
      <c r="H2687" s="6">
        <f>IF(F2687="GO",Eingaben!$B$11,IF(F2687="STANDARD",Eingaben!$B$12,IF(AND(F2687="HEAT",ISNUMBER(Eingaben!$B$13)),Eingaben!$B$13,"")))</f>
        <v>28.2744</v>
      </c>
      <c r="I2687" s="6">
        <f>INDEX(Netzzeiten!$C$6:$C$29,HOUR(B2687)+1)</f>
        <v>5.48</v>
      </c>
      <c r="J2687" t="str">
        <f>IF(C2687="","FEHLT",IF(NOT(ISNUMBER(C2687)),"MESSWERT UNGUELTIG",IF(C2687&lt;0,"MESSWERT UNGUELTIG",IF(H2687="","TARIFPREIS FEHLT","OK"))))</f>
        <v>FEHLT</v>
      </c>
      <c r="K2687" s="7">
        <f>IF(J2687&lt;&gt;"OK","",C2687*I2687/100)</f>
        <v/>
      </c>
    </row>
    <row r="2688" spans="1:11">
      <c r="A2688" s="14">
        <v>46170</v>
      </c>
      <c r="B2688" s="15">
        <v>0.9375</v>
      </c>
      <c r="C2688" s="5">
        <f>IF('96 Werte'!CN33="","",'96 Werte'!CN33)</f>
        <v/>
      </c>
      <c r="D2688" t="str">
        <f>IF(IF(Eingaben!$B$21&lt;Eingaben!$B$22,AND(B2688&gt;=Eingaben!$B$21,B2688&lt;Eingaben!$B$22),OR(B2688&gt;=Eingaben!$B$21,B2688&lt;Eingaben!$B$22)),"GO",IF(AND(ISNUMBER(Eingaben!$B$23),ISNUMBER(Eingaben!$B$24),IF(Eingaben!$B$23&lt;Eingaben!$B$24,AND(B2688&gt;=Eingaben!$B$23,B2688&lt;Eingaben!$B$24),OR(B2688&gt;=Eingaben!$B$23,B2688&lt;Eingaben!$B$24))),"HEAT","STANDARD"))</f>
        <v>STANDARD</v>
      </c>
      <c r="E2688" s="9"/>
      <c r="F2688" t="str">
        <f>IF(E2688="",D2688,E2688)</f>
        <v>STANDARD</v>
      </c>
      <c r="G2688" t="str">
        <f>INDEX(Netzzeiten!$B$6:$B$29,HOUR(B2688)+1)</f>
        <v>ST</v>
      </c>
      <c r="H2688" s="6">
        <f>IF(F2688="GO",Eingaben!$B$11,IF(F2688="STANDARD",Eingaben!$B$12,IF(AND(F2688="HEAT",ISNUMBER(Eingaben!$B$13)),Eingaben!$B$13,"")))</f>
        <v>28.2744</v>
      </c>
      <c r="I2688" s="6">
        <f>INDEX(Netzzeiten!$C$6:$C$29,HOUR(B2688)+1)</f>
        <v>5.48</v>
      </c>
      <c r="J2688" t="str">
        <f>IF(C2688="","FEHLT",IF(NOT(ISNUMBER(C2688)),"MESSWERT UNGUELTIG",IF(C2688&lt;0,"MESSWERT UNGUELTIG",IF(H2688="","TARIFPREIS FEHLT","OK"))))</f>
        <v>FEHLT</v>
      </c>
      <c r="K2688" s="7">
        <f>IF(J2688&lt;&gt;"OK","",C2688*I2688/100)</f>
        <v/>
      </c>
    </row>
    <row r="2689" spans="1:11">
      <c r="A2689" s="14">
        <v>46170</v>
      </c>
      <c r="B2689" s="15">
        <v>0.9479166666666666</v>
      </c>
      <c r="C2689" s="5">
        <f>IF('96 Werte'!CO33="","",'96 Werte'!CO33)</f>
        <v/>
      </c>
      <c r="D2689" t="str">
        <f>IF(IF(Eingaben!$B$21&lt;Eingaben!$B$22,AND(B2689&gt;=Eingaben!$B$21,B2689&lt;Eingaben!$B$22),OR(B2689&gt;=Eingaben!$B$21,B2689&lt;Eingaben!$B$22)),"GO",IF(AND(ISNUMBER(Eingaben!$B$23),ISNUMBER(Eingaben!$B$24),IF(Eingaben!$B$23&lt;Eingaben!$B$24,AND(B2689&gt;=Eingaben!$B$23,B2689&lt;Eingaben!$B$24),OR(B2689&gt;=Eingaben!$B$23,B2689&lt;Eingaben!$B$24))),"HEAT","STANDARD"))</f>
        <v>STANDARD</v>
      </c>
      <c r="E2689" s="9"/>
      <c r="F2689" t="str">
        <f>IF(E2689="",D2689,E2689)</f>
        <v>STANDARD</v>
      </c>
      <c r="G2689" t="str">
        <f>INDEX(Netzzeiten!$B$6:$B$29,HOUR(B2689)+1)</f>
        <v>ST</v>
      </c>
      <c r="H2689" s="6">
        <f>IF(F2689="GO",Eingaben!$B$11,IF(F2689="STANDARD",Eingaben!$B$12,IF(AND(F2689="HEAT",ISNUMBER(Eingaben!$B$13)),Eingaben!$B$13,"")))</f>
        <v>28.2744</v>
      </c>
      <c r="I2689" s="6">
        <f>INDEX(Netzzeiten!$C$6:$C$29,HOUR(B2689)+1)</f>
        <v>5.48</v>
      </c>
      <c r="J2689" t="str">
        <f>IF(C2689="","FEHLT",IF(NOT(ISNUMBER(C2689)),"MESSWERT UNGUELTIG",IF(C2689&lt;0,"MESSWERT UNGUELTIG",IF(H2689="","TARIFPREIS FEHLT","OK"))))</f>
        <v>FEHLT</v>
      </c>
      <c r="K2689" s="7">
        <f>IF(J2689&lt;&gt;"OK","",C2689*I2689/100)</f>
        <v/>
      </c>
    </row>
    <row r="2690" spans="1:11">
      <c r="A2690" s="14">
        <v>46170</v>
      </c>
      <c r="B2690" s="15">
        <v>0.9583333333333334</v>
      </c>
      <c r="C2690" s="5">
        <f>IF('96 Werte'!CP33="","",'96 Werte'!CP33)</f>
        <v/>
      </c>
      <c r="D2690" t="str">
        <f>IF(IF(Eingaben!$B$21&lt;Eingaben!$B$22,AND(B2690&gt;=Eingaben!$B$21,B2690&lt;Eingaben!$B$22),OR(B2690&gt;=Eingaben!$B$21,B2690&lt;Eingaben!$B$22)),"GO",IF(AND(ISNUMBER(Eingaben!$B$23),ISNUMBER(Eingaben!$B$24),IF(Eingaben!$B$23&lt;Eingaben!$B$24,AND(B2690&gt;=Eingaben!$B$23,B2690&lt;Eingaben!$B$24),OR(B2690&gt;=Eingaben!$B$23,B2690&lt;Eingaben!$B$24))),"HEAT","STANDARD"))</f>
        <v>STANDARD</v>
      </c>
      <c r="E2690" s="9"/>
      <c r="F2690" t="str">
        <f>IF(E2690="",D2690,E2690)</f>
        <v>STANDARD</v>
      </c>
      <c r="G2690" t="str">
        <f>INDEX(Netzzeiten!$B$6:$B$29,HOUR(B2690)+1)</f>
        <v>NT</v>
      </c>
      <c r="H2690" s="6">
        <f>IF(F2690="GO",Eingaben!$B$11,IF(F2690="STANDARD",Eingaben!$B$12,IF(AND(F2690="HEAT",ISNUMBER(Eingaben!$B$13)),Eingaben!$B$13,"")))</f>
        <v>28.2744</v>
      </c>
      <c r="I2690" s="6">
        <f>INDEX(Netzzeiten!$C$6:$C$29,HOUR(B2690)+1)</f>
        <v>1.64</v>
      </c>
      <c r="J2690" t="str">
        <f>IF(C2690="","FEHLT",IF(NOT(ISNUMBER(C2690)),"MESSWERT UNGUELTIG",IF(C2690&lt;0,"MESSWERT UNGUELTIG",IF(H2690="","TARIFPREIS FEHLT","OK"))))</f>
        <v>FEHLT</v>
      </c>
      <c r="K2690" s="7">
        <f>IF(J2690&lt;&gt;"OK","",C2690*I2690/100)</f>
        <v/>
      </c>
    </row>
    <row r="2691" spans="1:11">
      <c r="A2691" s="14">
        <v>46170</v>
      </c>
      <c r="B2691" s="15">
        <v>0.96875</v>
      </c>
      <c r="C2691" s="5">
        <f>IF('96 Werte'!CQ33="","",'96 Werte'!CQ33)</f>
        <v/>
      </c>
      <c r="D2691" t="str">
        <f>IF(IF(Eingaben!$B$21&lt;Eingaben!$B$22,AND(B2691&gt;=Eingaben!$B$21,B2691&lt;Eingaben!$B$22),OR(B2691&gt;=Eingaben!$B$21,B2691&lt;Eingaben!$B$22)),"GO",IF(AND(ISNUMBER(Eingaben!$B$23),ISNUMBER(Eingaben!$B$24),IF(Eingaben!$B$23&lt;Eingaben!$B$24,AND(B2691&gt;=Eingaben!$B$23,B2691&lt;Eingaben!$B$24),OR(B2691&gt;=Eingaben!$B$23,B2691&lt;Eingaben!$B$24))),"HEAT","STANDARD"))</f>
        <v>STANDARD</v>
      </c>
      <c r="E2691" s="9"/>
      <c r="F2691" t="str">
        <f>IF(E2691="",D2691,E2691)</f>
        <v>STANDARD</v>
      </c>
      <c r="G2691" t="str">
        <f>INDEX(Netzzeiten!$B$6:$B$29,HOUR(B2691)+1)</f>
        <v>NT</v>
      </c>
      <c r="H2691" s="6">
        <f>IF(F2691="GO",Eingaben!$B$11,IF(F2691="STANDARD",Eingaben!$B$12,IF(AND(F2691="HEAT",ISNUMBER(Eingaben!$B$13)),Eingaben!$B$13,"")))</f>
        <v>28.2744</v>
      </c>
      <c r="I2691" s="6">
        <f>INDEX(Netzzeiten!$C$6:$C$29,HOUR(B2691)+1)</f>
        <v>1.64</v>
      </c>
      <c r="J2691" t="str">
        <f>IF(C2691="","FEHLT",IF(NOT(ISNUMBER(C2691)),"MESSWERT UNGUELTIG",IF(C2691&lt;0,"MESSWERT UNGUELTIG",IF(H2691="","TARIFPREIS FEHLT","OK"))))</f>
        <v>FEHLT</v>
      </c>
      <c r="K2691" s="7">
        <f>IF(J2691&lt;&gt;"OK","",C2691*I2691/100)</f>
        <v/>
      </c>
    </row>
    <row r="2692" spans="1:11">
      <c r="A2692" s="14">
        <v>46170</v>
      </c>
      <c r="B2692" s="15">
        <v>0.9791666666666666</v>
      </c>
      <c r="C2692" s="5">
        <f>IF('96 Werte'!CR33="","",'96 Werte'!CR33)</f>
        <v/>
      </c>
      <c r="D2692" t="str">
        <f>IF(IF(Eingaben!$B$21&lt;Eingaben!$B$22,AND(B2692&gt;=Eingaben!$B$21,B2692&lt;Eingaben!$B$22),OR(B2692&gt;=Eingaben!$B$21,B2692&lt;Eingaben!$B$22)),"GO",IF(AND(ISNUMBER(Eingaben!$B$23),ISNUMBER(Eingaben!$B$24),IF(Eingaben!$B$23&lt;Eingaben!$B$24,AND(B2692&gt;=Eingaben!$B$23,B2692&lt;Eingaben!$B$24),OR(B2692&gt;=Eingaben!$B$23,B2692&lt;Eingaben!$B$24))),"HEAT","STANDARD"))</f>
        <v>STANDARD</v>
      </c>
      <c r="E2692" s="9"/>
      <c r="F2692" t="str">
        <f>IF(E2692="",D2692,E2692)</f>
        <v>STANDARD</v>
      </c>
      <c r="G2692" t="str">
        <f>INDEX(Netzzeiten!$B$6:$B$29,HOUR(B2692)+1)</f>
        <v>NT</v>
      </c>
      <c r="H2692" s="6">
        <f>IF(F2692="GO",Eingaben!$B$11,IF(F2692="STANDARD",Eingaben!$B$12,IF(AND(F2692="HEAT",ISNUMBER(Eingaben!$B$13)),Eingaben!$B$13,"")))</f>
        <v>28.2744</v>
      </c>
      <c r="I2692" s="6">
        <f>INDEX(Netzzeiten!$C$6:$C$29,HOUR(B2692)+1)</f>
        <v>1.64</v>
      </c>
      <c r="J2692" t="str">
        <f>IF(C2692="","FEHLT",IF(NOT(ISNUMBER(C2692)),"MESSWERT UNGUELTIG",IF(C2692&lt;0,"MESSWERT UNGUELTIG",IF(H2692="","TARIFPREIS FEHLT","OK"))))</f>
        <v>FEHLT</v>
      </c>
      <c r="K2692" s="7">
        <f>IF(J2692&lt;&gt;"OK","",C2692*I2692/100)</f>
        <v/>
      </c>
    </row>
    <row r="2693" spans="1:11">
      <c r="A2693" s="14">
        <v>46170</v>
      </c>
      <c r="B2693" s="15">
        <v>0.9895833333333334</v>
      </c>
      <c r="C2693" s="5">
        <f>IF('96 Werte'!CS33="","",'96 Werte'!CS33)</f>
        <v/>
      </c>
      <c r="D2693" t="str">
        <f>IF(IF(Eingaben!$B$21&lt;Eingaben!$B$22,AND(B2693&gt;=Eingaben!$B$21,B2693&lt;Eingaben!$B$22),OR(B2693&gt;=Eingaben!$B$21,B2693&lt;Eingaben!$B$22)),"GO",IF(AND(ISNUMBER(Eingaben!$B$23),ISNUMBER(Eingaben!$B$24),IF(Eingaben!$B$23&lt;Eingaben!$B$24,AND(B2693&gt;=Eingaben!$B$23,B2693&lt;Eingaben!$B$24),OR(B2693&gt;=Eingaben!$B$23,B2693&lt;Eingaben!$B$24))),"HEAT","STANDARD"))</f>
        <v>STANDARD</v>
      </c>
      <c r="E2693" s="9"/>
      <c r="F2693" t="str">
        <f>IF(E2693="",D2693,E2693)</f>
        <v>STANDARD</v>
      </c>
      <c r="G2693" t="str">
        <f>INDEX(Netzzeiten!$B$6:$B$29,HOUR(B2693)+1)</f>
        <v>NT</v>
      </c>
      <c r="H2693" s="6">
        <f>IF(F2693="GO",Eingaben!$B$11,IF(F2693="STANDARD",Eingaben!$B$12,IF(AND(F2693="HEAT",ISNUMBER(Eingaben!$B$13)),Eingaben!$B$13,"")))</f>
        <v>28.2744</v>
      </c>
      <c r="I2693" s="6">
        <f>INDEX(Netzzeiten!$C$6:$C$29,HOUR(B2693)+1)</f>
        <v>1.64</v>
      </c>
      <c r="J2693" t="str">
        <f>IF(C2693="","FEHLT",IF(NOT(ISNUMBER(C2693)),"MESSWERT UNGUELTIG",IF(C2693&lt;0,"MESSWERT UNGUELTIG",IF(H2693="","TARIFPREIS FEHLT","OK"))))</f>
        <v>FEHLT</v>
      </c>
      <c r="K2693" s="7">
        <f>IF(J2693&lt;&gt;"OK","",C2693*I2693/100)</f>
        <v/>
      </c>
    </row>
    <row r="2694" spans="1:11">
      <c r="A2694" s="14">
        <v>46171</v>
      </c>
      <c r="B2694" s="15">
        <v>0</v>
      </c>
      <c r="C2694" s="5">
        <f>IF('96 Werte'!B34="","",'96 Werte'!B34)</f>
        <v/>
      </c>
      <c r="D2694" t="str">
        <f>IF(IF(Eingaben!$B$21&lt;Eingaben!$B$22,AND(B2694&gt;=Eingaben!$B$21,B2694&lt;Eingaben!$B$22),OR(B2694&gt;=Eingaben!$B$21,B2694&lt;Eingaben!$B$22)),"GO",IF(AND(ISNUMBER(Eingaben!$B$23),ISNUMBER(Eingaben!$B$24),IF(Eingaben!$B$23&lt;Eingaben!$B$24,AND(B2694&gt;=Eingaben!$B$23,B2694&lt;Eingaben!$B$24),OR(B2694&gt;=Eingaben!$B$23,B2694&lt;Eingaben!$B$24))),"HEAT","STANDARD"))</f>
        <v>GO</v>
      </c>
      <c r="E2694" s="9"/>
      <c r="F2694" t="str">
        <f>IF(E2694="",D2694,E2694)</f>
        <v>GO</v>
      </c>
      <c r="G2694" t="str">
        <f>INDEX(Netzzeiten!$B$6:$B$29,HOUR(B2694)+1)</f>
        <v>NT</v>
      </c>
      <c r="H2694" s="6">
        <f>IF(F2694="GO",Eingaben!$B$11,IF(F2694="STANDARD",Eingaben!$B$12,IF(AND(F2694="HEAT",ISNUMBER(Eingaben!$B$13)),Eingaben!$B$13,"")))</f>
        <v>15.0654</v>
      </c>
      <c r="I2694" s="6">
        <f>INDEX(Netzzeiten!$C$6:$C$29,HOUR(B2694)+1)</f>
        <v>1.64</v>
      </c>
      <c r="J2694" t="str">
        <f>IF(C2694="","FEHLT",IF(NOT(ISNUMBER(C2694)),"MESSWERT UNGUELTIG",IF(C2694&lt;0,"MESSWERT UNGUELTIG",IF(H2694="","TARIFPREIS FEHLT","OK"))))</f>
        <v>FEHLT</v>
      </c>
      <c r="K2694" s="7">
        <f>IF(J2694&lt;&gt;"OK","",C2694*I2694/100)</f>
        <v/>
      </c>
    </row>
    <row r="2695" spans="1:11">
      <c r="A2695" s="14">
        <v>46171</v>
      </c>
      <c r="B2695" s="15">
        <v>0.01041666666666667</v>
      </c>
      <c r="C2695" s="5">
        <f>IF('96 Werte'!C34="","",'96 Werte'!C34)</f>
        <v/>
      </c>
      <c r="D2695" t="str">
        <f>IF(IF(Eingaben!$B$21&lt;Eingaben!$B$22,AND(B2695&gt;=Eingaben!$B$21,B2695&lt;Eingaben!$B$22),OR(B2695&gt;=Eingaben!$B$21,B2695&lt;Eingaben!$B$22)),"GO",IF(AND(ISNUMBER(Eingaben!$B$23),ISNUMBER(Eingaben!$B$24),IF(Eingaben!$B$23&lt;Eingaben!$B$24,AND(B2695&gt;=Eingaben!$B$23,B2695&lt;Eingaben!$B$24),OR(B2695&gt;=Eingaben!$B$23,B2695&lt;Eingaben!$B$24))),"HEAT","STANDARD"))</f>
        <v>GO</v>
      </c>
      <c r="E2695" s="9"/>
      <c r="F2695" t="str">
        <f>IF(E2695="",D2695,E2695)</f>
        <v>GO</v>
      </c>
      <c r="G2695" t="str">
        <f>INDEX(Netzzeiten!$B$6:$B$29,HOUR(B2695)+1)</f>
        <v>NT</v>
      </c>
      <c r="H2695" s="6">
        <f>IF(F2695="GO",Eingaben!$B$11,IF(F2695="STANDARD",Eingaben!$B$12,IF(AND(F2695="HEAT",ISNUMBER(Eingaben!$B$13)),Eingaben!$B$13,"")))</f>
        <v>15.0654</v>
      </c>
      <c r="I2695" s="6">
        <f>INDEX(Netzzeiten!$C$6:$C$29,HOUR(B2695)+1)</f>
        <v>1.64</v>
      </c>
      <c r="J2695" t="str">
        <f>IF(C2695="","FEHLT",IF(NOT(ISNUMBER(C2695)),"MESSWERT UNGUELTIG",IF(C2695&lt;0,"MESSWERT UNGUELTIG",IF(H2695="","TARIFPREIS FEHLT","OK"))))</f>
        <v>FEHLT</v>
      </c>
      <c r="K2695" s="7">
        <f>IF(J2695&lt;&gt;"OK","",C2695*I2695/100)</f>
        <v/>
      </c>
    </row>
    <row r="2696" spans="1:11">
      <c r="A2696" s="14">
        <v>46171</v>
      </c>
      <c r="B2696" s="15">
        <v>0.02083333333333333</v>
      </c>
      <c r="C2696" s="5">
        <f>IF('96 Werte'!D34="","",'96 Werte'!D34)</f>
        <v/>
      </c>
      <c r="D2696" t="str">
        <f>IF(IF(Eingaben!$B$21&lt;Eingaben!$B$22,AND(B2696&gt;=Eingaben!$B$21,B2696&lt;Eingaben!$B$22),OR(B2696&gt;=Eingaben!$B$21,B2696&lt;Eingaben!$B$22)),"GO",IF(AND(ISNUMBER(Eingaben!$B$23),ISNUMBER(Eingaben!$B$24),IF(Eingaben!$B$23&lt;Eingaben!$B$24,AND(B2696&gt;=Eingaben!$B$23,B2696&lt;Eingaben!$B$24),OR(B2696&gt;=Eingaben!$B$23,B2696&lt;Eingaben!$B$24))),"HEAT","STANDARD"))</f>
        <v>GO</v>
      </c>
      <c r="E2696" s="9"/>
      <c r="F2696" t="str">
        <f>IF(E2696="",D2696,E2696)</f>
        <v>GO</v>
      </c>
      <c r="G2696" t="str">
        <f>INDEX(Netzzeiten!$B$6:$B$29,HOUR(B2696)+1)</f>
        <v>NT</v>
      </c>
      <c r="H2696" s="6">
        <f>IF(F2696="GO",Eingaben!$B$11,IF(F2696="STANDARD",Eingaben!$B$12,IF(AND(F2696="HEAT",ISNUMBER(Eingaben!$B$13)),Eingaben!$B$13,"")))</f>
        <v>15.0654</v>
      </c>
      <c r="I2696" s="6">
        <f>INDEX(Netzzeiten!$C$6:$C$29,HOUR(B2696)+1)</f>
        <v>1.64</v>
      </c>
      <c r="J2696" t="str">
        <f>IF(C2696="","FEHLT",IF(NOT(ISNUMBER(C2696)),"MESSWERT UNGUELTIG",IF(C2696&lt;0,"MESSWERT UNGUELTIG",IF(H2696="","TARIFPREIS FEHLT","OK"))))</f>
        <v>FEHLT</v>
      </c>
      <c r="K2696" s="7">
        <f>IF(J2696&lt;&gt;"OK","",C2696*I2696/100)</f>
        <v/>
      </c>
    </row>
    <row r="2697" spans="1:11">
      <c r="A2697" s="14">
        <v>46171</v>
      </c>
      <c r="B2697" s="15">
        <v>0.03125</v>
      </c>
      <c r="C2697" s="5">
        <f>IF('96 Werte'!E34="","",'96 Werte'!E34)</f>
        <v/>
      </c>
      <c r="D2697" t="str">
        <f>IF(IF(Eingaben!$B$21&lt;Eingaben!$B$22,AND(B2697&gt;=Eingaben!$B$21,B2697&lt;Eingaben!$B$22),OR(B2697&gt;=Eingaben!$B$21,B2697&lt;Eingaben!$B$22)),"GO",IF(AND(ISNUMBER(Eingaben!$B$23),ISNUMBER(Eingaben!$B$24),IF(Eingaben!$B$23&lt;Eingaben!$B$24,AND(B2697&gt;=Eingaben!$B$23,B2697&lt;Eingaben!$B$24),OR(B2697&gt;=Eingaben!$B$23,B2697&lt;Eingaben!$B$24))),"HEAT","STANDARD"))</f>
        <v>GO</v>
      </c>
      <c r="E2697" s="9"/>
      <c r="F2697" t="str">
        <f>IF(E2697="",D2697,E2697)</f>
        <v>GO</v>
      </c>
      <c r="G2697" t="str">
        <f>INDEX(Netzzeiten!$B$6:$B$29,HOUR(B2697)+1)</f>
        <v>NT</v>
      </c>
      <c r="H2697" s="6">
        <f>IF(F2697="GO",Eingaben!$B$11,IF(F2697="STANDARD",Eingaben!$B$12,IF(AND(F2697="HEAT",ISNUMBER(Eingaben!$B$13)),Eingaben!$B$13,"")))</f>
        <v>15.0654</v>
      </c>
      <c r="I2697" s="6">
        <f>INDEX(Netzzeiten!$C$6:$C$29,HOUR(B2697)+1)</f>
        <v>1.64</v>
      </c>
      <c r="J2697" t="str">
        <f>IF(C2697="","FEHLT",IF(NOT(ISNUMBER(C2697)),"MESSWERT UNGUELTIG",IF(C2697&lt;0,"MESSWERT UNGUELTIG",IF(H2697="","TARIFPREIS FEHLT","OK"))))</f>
        <v>FEHLT</v>
      </c>
      <c r="K2697" s="7">
        <f>IF(J2697&lt;&gt;"OK","",C2697*I2697/100)</f>
        <v/>
      </c>
    </row>
    <row r="2698" spans="1:11">
      <c r="A2698" s="14">
        <v>46171</v>
      </c>
      <c r="B2698" s="15">
        <v>0.04166666666666666</v>
      </c>
      <c r="C2698" s="5">
        <f>IF('96 Werte'!F34="","",'96 Werte'!F34)</f>
        <v/>
      </c>
      <c r="D2698" t="str">
        <f>IF(IF(Eingaben!$B$21&lt;Eingaben!$B$22,AND(B2698&gt;=Eingaben!$B$21,B2698&lt;Eingaben!$B$22),OR(B2698&gt;=Eingaben!$B$21,B2698&lt;Eingaben!$B$22)),"GO",IF(AND(ISNUMBER(Eingaben!$B$23),ISNUMBER(Eingaben!$B$24),IF(Eingaben!$B$23&lt;Eingaben!$B$24,AND(B2698&gt;=Eingaben!$B$23,B2698&lt;Eingaben!$B$24),OR(B2698&gt;=Eingaben!$B$23,B2698&lt;Eingaben!$B$24))),"HEAT","STANDARD"))</f>
        <v>GO</v>
      </c>
      <c r="E2698" s="9"/>
      <c r="F2698" t="str">
        <f>IF(E2698="",D2698,E2698)</f>
        <v>GO</v>
      </c>
      <c r="G2698" t="str">
        <f>INDEX(Netzzeiten!$B$6:$B$29,HOUR(B2698)+1)</f>
        <v>NT</v>
      </c>
      <c r="H2698" s="6">
        <f>IF(F2698="GO",Eingaben!$B$11,IF(F2698="STANDARD",Eingaben!$B$12,IF(AND(F2698="HEAT",ISNUMBER(Eingaben!$B$13)),Eingaben!$B$13,"")))</f>
        <v>15.0654</v>
      </c>
      <c r="I2698" s="6">
        <f>INDEX(Netzzeiten!$C$6:$C$29,HOUR(B2698)+1)</f>
        <v>1.64</v>
      </c>
      <c r="J2698" t="str">
        <f>IF(C2698="","FEHLT",IF(NOT(ISNUMBER(C2698)),"MESSWERT UNGUELTIG",IF(C2698&lt;0,"MESSWERT UNGUELTIG",IF(H2698="","TARIFPREIS FEHLT","OK"))))</f>
        <v>FEHLT</v>
      </c>
      <c r="K2698" s="7">
        <f>IF(J2698&lt;&gt;"OK","",C2698*I2698/100)</f>
        <v/>
      </c>
    </row>
    <row r="2699" spans="1:11">
      <c r="A2699" s="14">
        <v>46171</v>
      </c>
      <c r="B2699" s="15">
        <v>0.05208333333333334</v>
      </c>
      <c r="C2699" s="5">
        <f>IF('96 Werte'!G34="","",'96 Werte'!G34)</f>
        <v/>
      </c>
      <c r="D2699" t="str">
        <f>IF(IF(Eingaben!$B$21&lt;Eingaben!$B$22,AND(B2699&gt;=Eingaben!$B$21,B2699&lt;Eingaben!$B$22),OR(B2699&gt;=Eingaben!$B$21,B2699&lt;Eingaben!$B$22)),"GO",IF(AND(ISNUMBER(Eingaben!$B$23),ISNUMBER(Eingaben!$B$24),IF(Eingaben!$B$23&lt;Eingaben!$B$24,AND(B2699&gt;=Eingaben!$B$23,B2699&lt;Eingaben!$B$24),OR(B2699&gt;=Eingaben!$B$23,B2699&lt;Eingaben!$B$24))),"HEAT","STANDARD"))</f>
        <v>GO</v>
      </c>
      <c r="E2699" s="9"/>
      <c r="F2699" t="str">
        <f>IF(E2699="",D2699,E2699)</f>
        <v>GO</v>
      </c>
      <c r="G2699" t="str">
        <f>INDEX(Netzzeiten!$B$6:$B$29,HOUR(B2699)+1)</f>
        <v>NT</v>
      </c>
      <c r="H2699" s="6">
        <f>IF(F2699="GO",Eingaben!$B$11,IF(F2699="STANDARD",Eingaben!$B$12,IF(AND(F2699="HEAT",ISNUMBER(Eingaben!$B$13)),Eingaben!$B$13,"")))</f>
        <v>15.0654</v>
      </c>
      <c r="I2699" s="6">
        <f>INDEX(Netzzeiten!$C$6:$C$29,HOUR(B2699)+1)</f>
        <v>1.64</v>
      </c>
      <c r="J2699" t="str">
        <f>IF(C2699="","FEHLT",IF(NOT(ISNUMBER(C2699)),"MESSWERT UNGUELTIG",IF(C2699&lt;0,"MESSWERT UNGUELTIG",IF(H2699="","TARIFPREIS FEHLT","OK"))))</f>
        <v>FEHLT</v>
      </c>
      <c r="K2699" s="7">
        <f>IF(J2699&lt;&gt;"OK","",C2699*I2699/100)</f>
        <v/>
      </c>
    </row>
    <row r="2700" spans="1:11">
      <c r="A2700" s="14">
        <v>46171</v>
      </c>
      <c r="B2700" s="15">
        <v>0.0625</v>
      </c>
      <c r="C2700" s="5">
        <f>IF('96 Werte'!H34="","",'96 Werte'!H34)</f>
        <v/>
      </c>
      <c r="D2700" t="str">
        <f>IF(IF(Eingaben!$B$21&lt;Eingaben!$B$22,AND(B2700&gt;=Eingaben!$B$21,B2700&lt;Eingaben!$B$22),OR(B2700&gt;=Eingaben!$B$21,B2700&lt;Eingaben!$B$22)),"GO",IF(AND(ISNUMBER(Eingaben!$B$23),ISNUMBER(Eingaben!$B$24),IF(Eingaben!$B$23&lt;Eingaben!$B$24,AND(B2700&gt;=Eingaben!$B$23,B2700&lt;Eingaben!$B$24),OR(B2700&gt;=Eingaben!$B$23,B2700&lt;Eingaben!$B$24))),"HEAT","STANDARD"))</f>
        <v>GO</v>
      </c>
      <c r="E2700" s="9"/>
      <c r="F2700" t="str">
        <f>IF(E2700="",D2700,E2700)</f>
        <v>GO</v>
      </c>
      <c r="G2700" t="str">
        <f>INDEX(Netzzeiten!$B$6:$B$29,HOUR(B2700)+1)</f>
        <v>NT</v>
      </c>
      <c r="H2700" s="6">
        <f>IF(F2700="GO",Eingaben!$B$11,IF(F2700="STANDARD",Eingaben!$B$12,IF(AND(F2700="HEAT",ISNUMBER(Eingaben!$B$13)),Eingaben!$B$13,"")))</f>
        <v>15.0654</v>
      </c>
      <c r="I2700" s="6">
        <f>INDEX(Netzzeiten!$C$6:$C$29,HOUR(B2700)+1)</f>
        <v>1.64</v>
      </c>
      <c r="J2700" t="str">
        <f>IF(C2700="","FEHLT",IF(NOT(ISNUMBER(C2700)),"MESSWERT UNGUELTIG",IF(C2700&lt;0,"MESSWERT UNGUELTIG",IF(H2700="","TARIFPREIS FEHLT","OK"))))</f>
        <v>FEHLT</v>
      </c>
      <c r="K2700" s="7">
        <f>IF(J2700&lt;&gt;"OK","",C2700*I2700/100)</f>
        <v/>
      </c>
    </row>
    <row r="2701" spans="1:11">
      <c r="A2701" s="14">
        <v>46171</v>
      </c>
      <c r="B2701" s="15">
        <v>0.07291666666666667</v>
      </c>
      <c r="C2701" s="5">
        <f>IF('96 Werte'!I34="","",'96 Werte'!I34)</f>
        <v/>
      </c>
      <c r="D2701" t="str">
        <f>IF(IF(Eingaben!$B$21&lt;Eingaben!$B$22,AND(B2701&gt;=Eingaben!$B$21,B2701&lt;Eingaben!$B$22),OR(B2701&gt;=Eingaben!$B$21,B2701&lt;Eingaben!$B$22)),"GO",IF(AND(ISNUMBER(Eingaben!$B$23),ISNUMBER(Eingaben!$B$24),IF(Eingaben!$B$23&lt;Eingaben!$B$24,AND(B2701&gt;=Eingaben!$B$23,B2701&lt;Eingaben!$B$24),OR(B2701&gt;=Eingaben!$B$23,B2701&lt;Eingaben!$B$24))),"HEAT","STANDARD"))</f>
        <v>GO</v>
      </c>
      <c r="E2701" s="9"/>
      <c r="F2701" t="str">
        <f>IF(E2701="",D2701,E2701)</f>
        <v>GO</v>
      </c>
      <c r="G2701" t="str">
        <f>INDEX(Netzzeiten!$B$6:$B$29,HOUR(B2701)+1)</f>
        <v>NT</v>
      </c>
      <c r="H2701" s="6">
        <f>IF(F2701="GO",Eingaben!$B$11,IF(F2701="STANDARD",Eingaben!$B$12,IF(AND(F2701="HEAT",ISNUMBER(Eingaben!$B$13)),Eingaben!$B$13,"")))</f>
        <v>15.0654</v>
      </c>
      <c r="I2701" s="6">
        <f>INDEX(Netzzeiten!$C$6:$C$29,HOUR(B2701)+1)</f>
        <v>1.64</v>
      </c>
      <c r="J2701" t="str">
        <f>IF(C2701="","FEHLT",IF(NOT(ISNUMBER(C2701)),"MESSWERT UNGUELTIG",IF(C2701&lt;0,"MESSWERT UNGUELTIG",IF(H2701="","TARIFPREIS FEHLT","OK"))))</f>
        <v>FEHLT</v>
      </c>
      <c r="K2701" s="7">
        <f>IF(J2701&lt;&gt;"OK","",C2701*I2701/100)</f>
        <v/>
      </c>
    </row>
    <row r="2702" spans="1:11">
      <c r="A2702" s="14">
        <v>46171</v>
      </c>
      <c r="B2702" s="15">
        <v>0.08333333333333333</v>
      </c>
      <c r="C2702" s="5">
        <f>IF('96 Werte'!J34="","",'96 Werte'!J34)</f>
        <v/>
      </c>
      <c r="D2702" t="str">
        <f>IF(IF(Eingaben!$B$21&lt;Eingaben!$B$22,AND(B2702&gt;=Eingaben!$B$21,B2702&lt;Eingaben!$B$22),OR(B2702&gt;=Eingaben!$B$21,B2702&lt;Eingaben!$B$22)),"GO",IF(AND(ISNUMBER(Eingaben!$B$23),ISNUMBER(Eingaben!$B$24),IF(Eingaben!$B$23&lt;Eingaben!$B$24,AND(B2702&gt;=Eingaben!$B$23,B2702&lt;Eingaben!$B$24),OR(B2702&gt;=Eingaben!$B$23,B2702&lt;Eingaben!$B$24))),"HEAT","STANDARD"))</f>
        <v>GO</v>
      </c>
      <c r="E2702" s="9"/>
      <c r="F2702" t="str">
        <f>IF(E2702="",D2702,E2702)</f>
        <v>GO</v>
      </c>
      <c r="G2702" t="str">
        <f>INDEX(Netzzeiten!$B$6:$B$29,HOUR(B2702)+1)</f>
        <v>NT</v>
      </c>
      <c r="H2702" s="6">
        <f>IF(F2702="GO",Eingaben!$B$11,IF(F2702="STANDARD",Eingaben!$B$12,IF(AND(F2702="HEAT",ISNUMBER(Eingaben!$B$13)),Eingaben!$B$13,"")))</f>
        <v>15.0654</v>
      </c>
      <c r="I2702" s="6">
        <f>INDEX(Netzzeiten!$C$6:$C$29,HOUR(B2702)+1)</f>
        <v>1.64</v>
      </c>
      <c r="J2702" t="str">
        <f>IF(C2702="","FEHLT",IF(NOT(ISNUMBER(C2702)),"MESSWERT UNGUELTIG",IF(C2702&lt;0,"MESSWERT UNGUELTIG",IF(H2702="","TARIFPREIS FEHLT","OK"))))</f>
        <v>FEHLT</v>
      </c>
      <c r="K2702" s="7">
        <f>IF(J2702&lt;&gt;"OK","",C2702*I2702/100)</f>
        <v/>
      </c>
    </row>
    <row r="2703" spans="1:11">
      <c r="A2703" s="14">
        <v>46171</v>
      </c>
      <c r="B2703" s="15">
        <v>0.09375</v>
      </c>
      <c r="C2703" s="5">
        <f>IF('96 Werte'!K34="","",'96 Werte'!K34)</f>
        <v/>
      </c>
      <c r="D2703" t="str">
        <f>IF(IF(Eingaben!$B$21&lt;Eingaben!$B$22,AND(B2703&gt;=Eingaben!$B$21,B2703&lt;Eingaben!$B$22),OR(B2703&gt;=Eingaben!$B$21,B2703&lt;Eingaben!$B$22)),"GO",IF(AND(ISNUMBER(Eingaben!$B$23),ISNUMBER(Eingaben!$B$24),IF(Eingaben!$B$23&lt;Eingaben!$B$24,AND(B2703&gt;=Eingaben!$B$23,B2703&lt;Eingaben!$B$24),OR(B2703&gt;=Eingaben!$B$23,B2703&lt;Eingaben!$B$24))),"HEAT","STANDARD"))</f>
        <v>GO</v>
      </c>
      <c r="E2703" s="9"/>
      <c r="F2703" t="str">
        <f>IF(E2703="",D2703,E2703)</f>
        <v>GO</v>
      </c>
      <c r="G2703" t="str">
        <f>INDEX(Netzzeiten!$B$6:$B$29,HOUR(B2703)+1)</f>
        <v>NT</v>
      </c>
      <c r="H2703" s="6">
        <f>IF(F2703="GO",Eingaben!$B$11,IF(F2703="STANDARD",Eingaben!$B$12,IF(AND(F2703="HEAT",ISNUMBER(Eingaben!$B$13)),Eingaben!$B$13,"")))</f>
        <v>15.0654</v>
      </c>
      <c r="I2703" s="6">
        <f>INDEX(Netzzeiten!$C$6:$C$29,HOUR(B2703)+1)</f>
        <v>1.64</v>
      </c>
      <c r="J2703" t="str">
        <f>IF(C2703="","FEHLT",IF(NOT(ISNUMBER(C2703)),"MESSWERT UNGUELTIG",IF(C2703&lt;0,"MESSWERT UNGUELTIG",IF(H2703="","TARIFPREIS FEHLT","OK"))))</f>
        <v>FEHLT</v>
      </c>
      <c r="K2703" s="7">
        <f>IF(J2703&lt;&gt;"OK","",C2703*I2703/100)</f>
        <v/>
      </c>
    </row>
    <row r="2704" spans="1:11">
      <c r="A2704" s="14">
        <v>46171</v>
      </c>
      <c r="B2704" s="15">
        <v>0.1041666666666667</v>
      </c>
      <c r="C2704" s="5">
        <f>IF('96 Werte'!L34="","",'96 Werte'!L34)</f>
        <v/>
      </c>
      <c r="D2704" t="str">
        <f>IF(IF(Eingaben!$B$21&lt;Eingaben!$B$22,AND(B2704&gt;=Eingaben!$B$21,B2704&lt;Eingaben!$B$22),OR(B2704&gt;=Eingaben!$B$21,B2704&lt;Eingaben!$B$22)),"GO",IF(AND(ISNUMBER(Eingaben!$B$23),ISNUMBER(Eingaben!$B$24),IF(Eingaben!$B$23&lt;Eingaben!$B$24,AND(B2704&gt;=Eingaben!$B$23,B2704&lt;Eingaben!$B$24),OR(B2704&gt;=Eingaben!$B$23,B2704&lt;Eingaben!$B$24))),"HEAT","STANDARD"))</f>
        <v>GO</v>
      </c>
      <c r="E2704" s="9"/>
      <c r="F2704" t="str">
        <f>IF(E2704="",D2704,E2704)</f>
        <v>GO</v>
      </c>
      <c r="G2704" t="str">
        <f>INDEX(Netzzeiten!$B$6:$B$29,HOUR(B2704)+1)</f>
        <v>NT</v>
      </c>
      <c r="H2704" s="6">
        <f>IF(F2704="GO",Eingaben!$B$11,IF(F2704="STANDARD",Eingaben!$B$12,IF(AND(F2704="HEAT",ISNUMBER(Eingaben!$B$13)),Eingaben!$B$13,"")))</f>
        <v>15.0654</v>
      </c>
      <c r="I2704" s="6">
        <f>INDEX(Netzzeiten!$C$6:$C$29,HOUR(B2704)+1)</f>
        <v>1.64</v>
      </c>
      <c r="J2704" t="str">
        <f>IF(C2704="","FEHLT",IF(NOT(ISNUMBER(C2704)),"MESSWERT UNGUELTIG",IF(C2704&lt;0,"MESSWERT UNGUELTIG",IF(H2704="","TARIFPREIS FEHLT","OK"))))</f>
        <v>FEHLT</v>
      </c>
      <c r="K2704" s="7">
        <f>IF(J2704&lt;&gt;"OK","",C2704*I2704/100)</f>
        <v/>
      </c>
    </row>
    <row r="2705" spans="1:11">
      <c r="A2705" s="14">
        <v>46171</v>
      </c>
      <c r="B2705" s="15">
        <v>0.1145833333333333</v>
      </c>
      <c r="C2705" s="5">
        <f>IF('96 Werte'!M34="","",'96 Werte'!M34)</f>
        <v/>
      </c>
      <c r="D2705" t="str">
        <f>IF(IF(Eingaben!$B$21&lt;Eingaben!$B$22,AND(B2705&gt;=Eingaben!$B$21,B2705&lt;Eingaben!$B$22),OR(B2705&gt;=Eingaben!$B$21,B2705&lt;Eingaben!$B$22)),"GO",IF(AND(ISNUMBER(Eingaben!$B$23),ISNUMBER(Eingaben!$B$24),IF(Eingaben!$B$23&lt;Eingaben!$B$24,AND(B2705&gt;=Eingaben!$B$23,B2705&lt;Eingaben!$B$24),OR(B2705&gt;=Eingaben!$B$23,B2705&lt;Eingaben!$B$24))),"HEAT","STANDARD"))</f>
        <v>GO</v>
      </c>
      <c r="E2705" s="9"/>
      <c r="F2705" t="str">
        <f>IF(E2705="",D2705,E2705)</f>
        <v>GO</v>
      </c>
      <c r="G2705" t="str">
        <f>INDEX(Netzzeiten!$B$6:$B$29,HOUR(B2705)+1)</f>
        <v>NT</v>
      </c>
      <c r="H2705" s="6">
        <f>IF(F2705="GO",Eingaben!$B$11,IF(F2705="STANDARD",Eingaben!$B$12,IF(AND(F2705="HEAT",ISNUMBER(Eingaben!$B$13)),Eingaben!$B$13,"")))</f>
        <v>15.0654</v>
      </c>
      <c r="I2705" s="6">
        <f>INDEX(Netzzeiten!$C$6:$C$29,HOUR(B2705)+1)</f>
        <v>1.64</v>
      </c>
      <c r="J2705" t="str">
        <f>IF(C2705="","FEHLT",IF(NOT(ISNUMBER(C2705)),"MESSWERT UNGUELTIG",IF(C2705&lt;0,"MESSWERT UNGUELTIG",IF(H2705="","TARIFPREIS FEHLT","OK"))))</f>
        <v>FEHLT</v>
      </c>
      <c r="K2705" s="7">
        <f>IF(J2705&lt;&gt;"OK","",C2705*I2705/100)</f>
        <v/>
      </c>
    </row>
    <row r="2706" spans="1:11">
      <c r="A2706" s="14">
        <v>46171</v>
      </c>
      <c r="B2706" s="15">
        <v>0.125</v>
      </c>
      <c r="C2706" s="5">
        <f>IF('96 Werte'!N34="","",'96 Werte'!N34)</f>
        <v/>
      </c>
      <c r="D2706" t="str">
        <f>IF(IF(Eingaben!$B$21&lt;Eingaben!$B$22,AND(B2706&gt;=Eingaben!$B$21,B2706&lt;Eingaben!$B$22),OR(B2706&gt;=Eingaben!$B$21,B2706&lt;Eingaben!$B$22)),"GO",IF(AND(ISNUMBER(Eingaben!$B$23),ISNUMBER(Eingaben!$B$24),IF(Eingaben!$B$23&lt;Eingaben!$B$24,AND(B2706&gt;=Eingaben!$B$23,B2706&lt;Eingaben!$B$24),OR(B2706&gt;=Eingaben!$B$23,B2706&lt;Eingaben!$B$24))),"HEAT","STANDARD"))</f>
        <v>GO</v>
      </c>
      <c r="E2706" s="9"/>
      <c r="F2706" t="str">
        <f>IF(E2706="",D2706,E2706)</f>
        <v>GO</v>
      </c>
      <c r="G2706" t="str">
        <f>INDEX(Netzzeiten!$B$6:$B$29,HOUR(B2706)+1)</f>
        <v>NT</v>
      </c>
      <c r="H2706" s="6">
        <f>IF(F2706="GO",Eingaben!$B$11,IF(F2706="STANDARD",Eingaben!$B$12,IF(AND(F2706="HEAT",ISNUMBER(Eingaben!$B$13)),Eingaben!$B$13,"")))</f>
        <v>15.0654</v>
      </c>
      <c r="I2706" s="6">
        <f>INDEX(Netzzeiten!$C$6:$C$29,HOUR(B2706)+1)</f>
        <v>1.64</v>
      </c>
      <c r="J2706" t="str">
        <f>IF(C2706="","FEHLT",IF(NOT(ISNUMBER(C2706)),"MESSWERT UNGUELTIG",IF(C2706&lt;0,"MESSWERT UNGUELTIG",IF(H2706="","TARIFPREIS FEHLT","OK"))))</f>
        <v>FEHLT</v>
      </c>
      <c r="K2706" s="7">
        <f>IF(J2706&lt;&gt;"OK","",C2706*I2706/100)</f>
        <v/>
      </c>
    </row>
    <row r="2707" spans="1:11">
      <c r="A2707" s="14">
        <v>46171</v>
      </c>
      <c r="B2707" s="15">
        <v>0.1354166666666667</v>
      </c>
      <c r="C2707" s="5">
        <f>IF('96 Werte'!O34="","",'96 Werte'!O34)</f>
        <v/>
      </c>
      <c r="D2707" t="str">
        <f>IF(IF(Eingaben!$B$21&lt;Eingaben!$B$22,AND(B2707&gt;=Eingaben!$B$21,B2707&lt;Eingaben!$B$22),OR(B2707&gt;=Eingaben!$B$21,B2707&lt;Eingaben!$B$22)),"GO",IF(AND(ISNUMBER(Eingaben!$B$23),ISNUMBER(Eingaben!$B$24),IF(Eingaben!$B$23&lt;Eingaben!$B$24,AND(B2707&gt;=Eingaben!$B$23,B2707&lt;Eingaben!$B$24),OR(B2707&gt;=Eingaben!$B$23,B2707&lt;Eingaben!$B$24))),"HEAT","STANDARD"))</f>
        <v>GO</v>
      </c>
      <c r="E2707" s="9"/>
      <c r="F2707" t="str">
        <f>IF(E2707="",D2707,E2707)</f>
        <v>GO</v>
      </c>
      <c r="G2707" t="str">
        <f>INDEX(Netzzeiten!$B$6:$B$29,HOUR(B2707)+1)</f>
        <v>NT</v>
      </c>
      <c r="H2707" s="6">
        <f>IF(F2707="GO",Eingaben!$B$11,IF(F2707="STANDARD",Eingaben!$B$12,IF(AND(F2707="HEAT",ISNUMBER(Eingaben!$B$13)),Eingaben!$B$13,"")))</f>
        <v>15.0654</v>
      </c>
      <c r="I2707" s="6">
        <f>INDEX(Netzzeiten!$C$6:$C$29,HOUR(B2707)+1)</f>
        <v>1.64</v>
      </c>
      <c r="J2707" t="str">
        <f>IF(C2707="","FEHLT",IF(NOT(ISNUMBER(C2707)),"MESSWERT UNGUELTIG",IF(C2707&lt;0,"MESSWERT UNGUELTIG",IF(H2707="","TARIFPREIS FEHLT","OK"))))</f>
        <v>FEHLT</v>
      </c>
      <c r="K2707" s="7">
        <f>IF(J2707&lt;&gt;"OK","",C2707*I2707/100)</f>
        <v/>
      </c>
    </row>
    <row r="2708" spans="1:11">
      <c r="A2708" s="14">
        <v>46171</v>
      </c>
      <c r="B2708" s="15">
        <v>0.1458333333333333</v>
      </c>
      <c r="C2708" s="5">
        <f>IF('96 Werte'!P34="","",'96 Werte'!P34)</f>
        <v/>
      </c>
      <c r="D2708" t="str">
        <f>IF(IF(Eingaben!$B$21&lt;Eingaben!$B$22,AND(B2708&gt;=Eingaben!$B$21,B2708&lt;Eingaben!$B$22),OR(B2708&gt;=Eingaben!$B$21,B2708&lt;Eingaben!$B$22)),"GO",IF(AND(ISNUMBER(Eingaben!$B$23),ISNUMBER(Eingaben!$B$24),IF(Eingaben!$B$23&lt;Eingaben!$B$24,AND(B2708&gt;=Eingaben!$B$23,B2708&lt;Eingaben!$B$24),OR(B2708&gt;=Eingaben!$B$23,B2708&lt;Eingaben!$B$24))),"HEAT","STANDARD"))</f>
        <v>GO</v>
      </c>
      <c r="E2708" s="9"/>
      <c r="F2708" t="str">
        <f>IF(E2708="",D2708,E2708)</f>
        <v>GO</v>
      </c>
      <c r="G2708" t="str">
        <f>INDEX(Netzzeiten!$B$6:$B$29,HOUR(B2708)+1)</f>
        <v>NT</v>
      </c>
      <c r="H2708" s="6">
        <f>IF(F2708="GO",Eingaben!$B$11,IF(F2708="STANDARD",Eingaben!$B$12,IF(AND(F2708="HEAT",ISNUMBER(Eingaben!$B$13)),Eingaben!$B$13,"")))</f>
        <v>15.0654</v>
      </c>
      <c r="I2708" s="6">
        <f>INDEX(Netzzeiten!$C$6:$C$29,HOUR(B2708)+1)</f>
        <v>1.64</v>
      </c>
      <c r="J2708" t="str">
        <f>IF(C2708="","FEHLT",IF(NOT(ISNUMBER(C2708)),"MESSWERT UNGUELTIG",IF(C2708&lt;0,"MESSWERT UNGUELTIG",IF(H2708="","TARIFPREIS FEHLT","OK"))))</f>
        <v>FEHLT</v>
      </c>
      <c r="K2708" s="7">
        <f>IF(J2708&lt;&gt;"OK","",C2708*I2708/100)</f>
        <v/>
      </c>
    </row>
    <row r="2709" spans="1:11">
      <c r="A2709" s="14">
        <v>46171</v>
      </c>
      <c r="B2709" s="15">
        <v>0.15625</v>
      </c>
      <c r="C2709" s="5">
        <f>IF('96 Werte'!Q34="","",'96 Werte'!Q34)</f>
        <v/>
      </c>
      <c r="D2709" t="str">
        <f>IF(IF(Eingaben!$B$21&lt;Eingaben!$B$22,AND(B2709&gt;=Eingaben!$B$21,B2709&lt;Eingaben!$B$22),OR(B2709&gt;=Eingaben!$B$21,B2709&lt;Eingaben!$B$22)),"GO",IF(AND(ISNUMBER(Eingaben!$B$23),ISNUMBER(Eingaben!$B$24),IF(Eingaben!$B$23&lt;Eingaben!$B$24,AND(B2709&gt;=Eingaben!$B$23,B2709&lt;Eingaben!$B$24),OR(B2709&gt;=Eingaben!$B$23,B2709&lt;Eingaben!$B$24))),"HEAT","STANDARD"))</f>
        <v>GO</v>
      </c>
      <c r="E2709" s="9"/>
      <c r="F2709" t="str">
        <f>IF(E2709="",D2709,E2709)</f>
        <v>GO</v>
      </c>
      <c r="G2709" t="str">
        <f>INDEX(Netzzeiten!$B$6:$B$29,HOUR(B2709)+1)</f>
        <v>NT</v>
      </c>
      <c r="H2709" s="6">
        <f>IF(F2709="GO",Eingaben!$B$11,IF(F2709="STANDARD",Eingaben!$B$12,IF(AND(F2709="HEAT",ISNUMBER(Eingaben!$B$13)),Eingaben!$B$13,"")))</f>
        <v>15.0654</v>
      </c>
      <c r="I2709" s="6">
        <f>INDEX(Netzzeiten!$C$6:$C$29,HOUR(B2709)+1)</f>
        <v>1.64</v>
      </c>
      <c r="J2709" t="str">
        <f>IF(C2709="","FEHLT",IF(NOT(ISNUMBER(C2709)),"MESSWERT UNGUELTIG",IF(C2709&lt;0,"MESSWERT UNGUELTIG",IF(H2709="","TARIFPREIS FEHLT","OK"))))</f>
        <v>FEHLT</v>
      </c>
      <c r="K2709" s="7">
        <f>IF(J2709&lt;&gt;"OK","",C2709*I2709/100)</f>
        <v/>
      </c>
    </row>
    <row r="2710" spans="1:11">
      <c r="A2710" s="14">
        <v>46171</v>
      </c>
      <c r="B2710" s="15">
        <v>0.1666666666666667</v>
      </c>
      <c r="C2710" s="5">
        <f>IF('96 Werte'!R34="","",'96 Werte'!R34)</f>
        <v/>
      </c>
      <c r="D2710" t="str">
        <f>IF(IF(Eingaben!$B$21&lt;Eingaben!$B$22,AND(B2710&gt;=Eingaben!$B$21,B2710&lt;Eingaben!$B$22),OR(B2710&gt;=Eingaben!$B$21,B2710&lt;Eingaben!$B$22)),"GO",IF(AND(ISNUMBER(Eingaben!$B$23),ISNUMBER(Eingaben!$B$24),IF(Eingaben!$B$23&lt;Eingaben!$B$24,AND(B2710&gt;=Eingaben!$B$23,B2710&lt;Eingaben!$B$24),OR(B2710&gt;=Eingaben!$B$23,B2710&lt;Eingaben!$B$24))),"HEAT","STANDARD"))</f>
        <v>GO</v>
      </c>
      <c r="E2710" s="9"/>
      <c r="F2710" t="str">
        <f>IF(E2710="",D2710,E2710)</f>
        <v>GO</v>
      </c>
      <c r="G2710" t="str">
        <f>INDEX(Netzzeiten!$B$6:$B$29,HOUR(B2710)+1)</f>
        <v>NT</v>
      </c>
      <c r="H2710" s="6">
        <f>IF(F2710="GO",Eingaben!$B$11,IF(F2710="STANDARD",Eingaben!$B$12,IF(AND(F2710="HEAT",ISNUMBER(Eingaben!$B$13)),Eingaben!$B$13,"")))</f>
        <v>15.0654</v>
      </c>
      <c r="I2710" s="6">
        <f>INDEX(Netzzeiten!$C$6:$C$29,HOUR(B2710)+1)</f>
        <v>1.64</v>
      </c>
      <c r="J2710" t="str">
        <f>IF(C2710="","FEHLT",IF(NOT(ISNUMBER(C2710)),"MESSWERT UNGUELTIG",IF(C2710&lt;0,"MESSWERT UNGUELTIG",IF(H2710="","TARIFPREIS FEHLT","OK"))))</f>
        <v>FEHLT</v>
      </c>
      <c r="K2710" s="7">
        <f>IF(J2710&lt;&gt;"OK","",C2710*I2710/100)</f>
        <v/>
      </c>
    </row>
    <row r="2711" spans="1:11">
      <c r="A2711" s="14">
        <v>46171</v>
      </c>
      <c r="B2711" s="15">
        <v>0.1770833333333333</v>
      </c>
      <c r="C2711" s="5">
        <f>IF('96 Werte'!S34="","",'96 Werte'!S34)</f>
        <v/>
      </c>
      <c r="D2711" t="str">
        <f>IF(IF(Eingaben!$B$21&lt;Eingaben!$B$22,AND(B2711&gt;=Eingaben!$B$21,B2711&lt;Eingaben!$B$22),OR(B2711&gt;=Eingaben!$B$21,B2711&lt;Eingaben!$B$22)),"GO",IF(AND(ISNUMBER(Eingaben!$B$23),ISNUMBER(Eingaben!$B$24),IF(Eingaben!$B$23&lt;Eingaben!$B$24,AND(B2711&gt;=Eingaben!$B$23,B2711&lt;Eingaben!$B$24),OR(B2711&gt;=Eingaben!$B$23,B2711&lt;Eingaben!$B$24))),"HEAT","STANDARD"))</f>
        <v>GO</v>
      </c>
      <c r="E2711" s="9"/>
      <c r="F2711" t="str">
        <f>IF(E2711="",D2711,E2711)</f>
        <v>GO</v>
      </c>
      <c r="G2711" t="str">
        <f>INDEX(Netzzeiten!$B$6:$B$29,HOUR(B2711)+1)</f>
        <v>NT</v>
      </c>
      <c r="H2711" s="6">
        <f>IF(F2711="GO",Eingaben!$B$11,IF(F2711="STANDARD",Eingaben!$B$12,IF(AND(F2711="HEAT",ISNUMBER(Eingaben!$B$13)),Eingaben!$B$13,"")))</f>
        <v>15.0654</v>
      </c>
      <c r="I2711" s="6">
        <f>INDEX(Netzzeiten!$C$6:$C$29,HOUR(B2711)+1)</f>
        <v>1.64</v>
      </c>
      <c r="J2711" t="str">
        <f>IF(C2711="","FEHLT",IF(NOT(ISNUMBER(C2711)),"MESSWERT UNGUELTIG",IF(C2711&lt;0,"MESSWERT UNGUELTIG",IF(H2711="","TARIFPREIS FEHLT","OK"))))</f>
        <v>FEHLT</v>
      </c>
      <c r="K2711" s="7">
        <f>IF(J2711&lt;&gt;"OK","",C2711*I2711/100)</f>
        <v/>
      </c>
    </row>
    <row r="2712" spans="1:11">
      <c r="A2712" s="14">
        <v>46171</v>
      </c>
      <c r="B2712" s="15">
        <v>0.1875</v>
      </c>
      <c r="C2712" s="5">
        <f>IF('96 Werte'!T34="","",'96 Werte'!T34)</f>
        <v/>
      </c>
      <c r="D2712" t="str">
        <f>IF(IF(Eingaben!$B$21&lt;Eingaben!$B$22,AND(B2712&gt;=Eingaben!$B$21,B2712&lt;Eingaben!$B$22),OR(B2712&gt;=Eingaben!$B$21,B2712&lt;Eingaben!$B$22)),"GO",IF(AND(ISNUMBER(Eingaben!$B$23),ISNUMBER(Eingaben!$B$24),IF(Eingaben!$B$23&lt;Eingaben!$B$24,AND(B2712&gt;=Eingaben!$B$23,B2712&lt;Eingaben!$B$24),OR(B2712&gt;=Eingaben!$B$23,B2712&lt;Eingaben!$B$24))),"HEAT","STANDARD"))</f>
        <v>GO</v>
      </c>
      <c r="E2712" s="9"/>
      <c r="F2712" t="str">
        <f>IF(E2712="",D2712,E2712)</f>
        <v>GO</v>
      </c>
      <c r="G2712" t="str">
        <f>INDEX(Netzzeiten!$B$6:$B$29,HOUR(B2712)+1)</f>
        <v>NT</v>
      </c>
      <c r="H2712" s="6">
        <f>IF(F2712="GO",Eingaben!$B$11,IF(F2712="STANDARD",Eingaben!$B$12,IF(AND(F2712="HEAT",ISNUMBER(Eingaben!$B$13)),Eingaben!$B$13,"")))</f>
        <v>15.0654</v>
      </c>
      <c r="I2712" s="6">
        <f>INDEX(Netzzeiten!$C$6:$C$29,HOUR(B2712)+1)</f>
        <v>1.64</v>
      </c>
      <c r="J2712" t="str">
        <f>IF(C2712="","FEHLT",IF(NOT(ISNUMBER(C2712)),"MESSWERT UNGUELTIG",IF(C2712&lt;0,"MESSWERT UNGUELTIG",IF(H2712="","TARIFPREIS FEHLT","OK"))))</f>
        <v>FEHLT</v>
      </c>
      <c r="K2712" s="7">
        <f>IF(J2712&lt;&gt;"OK","",C2712*I2712/100)</f>
        <v/>
      </c>
    </row>
    <row r="2713" spans="1:11">
      <c r="A2713" s="14">
        <v>46171</v>
      </c>
      <c r="B2713" s="15">
        <v>0.1979166666666667</v>
      </c>
      <c r="C2713" s="5">
        <f>IF('96 Werte'!U34="","",'96 Werte'!U34)</f>
        <v/>
      </c>
      <c r="D2713" t="str">
        <f>IF(IF(Eingaben!$B$21&lt;Eingaben!$B$22,AND(B2713&gt;=Eingaben!$B$21,B2713&lt;Eingaben!$B$22),OR(B2713&gt;=Eingaben!$B$21,B2713&lt;Eingaben!$B$22)),"GO",IF(AND(ISNUMBER(Eingaben!$B$23),ISNUMBER(Eingaben!$B$24),IF(Eingaben!$B$23&lt;Eingaben!$B$24,AND(B2713&gt;=Eingaben!$B$23,B2713&lt;Eingaben!$B$24),OR(B2713&gt;=Eingaben!$B$23,B2713&lt;Eingaben!$B$24))),"HEAT","STANDARD"))</f>
        <v>GO</v>
      </c>
      <c r="E2713" s="9"/>
      <c r="F2713" t="str">
        <f>IF(E2713="",D2713,E2713)</f>
        <v>GO</v>
      </c>
      <c r="G2713" t="str">
        <f>INDEX(Netzzeiten!$B$6:$B$29,HOUR(B2713)+1)</f>
        <v>NT</v>
      </c>
      <c r="H2713" s="6">
        <f>IF(F2713="GO",Eingaben!$B$11,IF(F2713="STANDARD",Eingaben!$B$12,IF(AND(F2713="HEAT",ISNUMBER(Eingaben!$B$13)),Eingaben!$B$13,"")))</f>
        <v>15.0654</v>
      </c>
      <c r="I2713" s="6">
        <f>INDEX(Netzzeiten!$C$6:$C$29,HOUR(B2713)+1)</f>
        <v>1.64</v>
      </c>
      <c r="J2713" t="str">
        <f>IF(C2713="","FEHLT",IF(NOT(ISNUMBER(C2713)),"MESSWERT UNGUELTIG",IF(C2713&lt;0,"MESSWERT UNGUELTIG",IF(H2713="","TARIFPREIS FEHLT","OK"))))</f>
        <v>FEHLT</v>
      </c>
      <c r="K2713" s="7">
        <f>IF(J2713&lt;&gt;"OK","",C2713*I2713/100)</f>
        <v/>
      </c>
    </row>
    <row r="2714" spans="1:11">
      <c r="A2714" s="14">
        <v>46171</v>
      </c>
      <c r="B2714" s="15">
        <v>0.2083333333333333</v>
      </c>
      <c r="C2714" s="5">
        <f>IF('96 Werte'!V34="","",'96 Werte'!V34)</f>
        <v/>
      </c>
      <c r="D2714" t="str">
        <f>IF(IF(Eingaben!$B$21&lt;Eingaben!$B$22,AND(B2714&gt;=Eingaben!$B$21,B2714&lt;Eingaben!$B$22),OR(B2714&gt;=Eingaben!$B$21,B2714&lt;Eingaben!$B$22)),"GO",IF(AND(ISNUMBER(Eingaben!$B$23),ISNUMBER(Eingaben!$B$24),IF(Eingaben!$B$23&lt;Eingaben!$B$24,AND(B2714&gt;=Eingaben!$B$23,B2714&lt;Eingaben!$B$24),OR(B2714&gt;=Eingaben!$B$23,B2714&lt;Eingaben!$B$24))),"HEAT","STANDARD"))</f>
        <v>STANDARD</v>
      </c>
      <c r="E2714" s="9"/>
      <c r="F2714" t="str">
        <f>IF(E2714="",D2714,E2714)</f>
        <v>STANDARD</v>
      </c>
      <c r="G2714" t="str">
        <f>INDEX(Netzzeiten!$B$6:$B$29,HOUR(B2714)+1)</f>
        <v>NT</v>
      </c>
      <c r="H2714" s="6">
        <f>IF(F2714="GO",Eingaben!$B$11,IF(F2714="STANDARD",Eingaben!$B$12,IF(AND(F2714="HEAT",ISNUMBER(Eingaben!$B$13)),Eingaben!$B$13,"")))</f>
        <v>28.2744</v>
      </c>
      <c r="I2714" s="6">
        <f>INDEX(Netzzeiten!$C$6:$C$29,HOUR(B2714)+1)</f>
        <v>1.64</v>
      </c>
      <c r="J2714" t="str">
        <f>IF(C2714="","FEHLT",IF(NOT(ISNUMBER(C2714)),"MESSWERT UNGUELTIG",IF(C2714&lt;0,"MESSWERT UNGUELTIG",IF(H2714="","TARIFPREIS FEHLT","OK"))))</f>
        <v>FEHLT</v>
      </c>
      <c r="K2714" s="7">
        <f>IF(J2714&lt;&gt;"OK","",C2714*I2714/100)</f>
        <v/>
      </c>
    </row>
    <row r="2715" spans="1:11">
      <c r="A2715" s="14">
        <v>46171</v>
      </c>
      <c r="B2715" s="15">
        <v>0.21875</v>
      </c>
      <c r="C2715" s="5">
        <f>IF('96 Werte'!W34="","",'96 Werte'!W34)</f>
        <v/>
      </c>
      <c r="D2715" t="str">
        <f>IF(IF(Eingaben!$B$21&lt;Eingaben!$B$22,AND(B2715&gt;=Eingaben!$B$21,B2715&lt;Eingaben!$B$22),OR(B2715&gt;=Eingaben!$B$21,B2715&lt;Eingaben!$B$22)),"GO",IF(AND(ISNUMBER(Eingaben!$B$23),ISNUMBER(Eingaben!$B$24),IF(Eingaben!$B$23&lt;Eingaben!$B$24,AND(B2715&gt;=Eingaben!$B$23,B2715&lt;Eingaben!$B$24),OR(B2715&gt;=Eingaben!$B$23,B2715&lt;Eingaben!$B$24))),"HEAT","STANDARD"))</f>
        <v>STANDARD</v>
      </c>
      <c r="E2715" s="9"/>
      <c r="F2715" t="str">
        <f>IF(E2715="",D2715,E2715)</f>
        <v>STANDARD</v>
      </c>
      <c r="G2715" t="str">
        <f>INDEX(Netzzeiten!$B$6:$B$29,HOUR(B2715)+1)</f>
        <v>NT</v>
      </c>
      <c r="H2715" s="6">
        <f>IF(F2715="GO",Eingaben!$B$11,IF(F2715="STANDARD",Eingaben!$B$12,IF(AND(F2715="HEAT",ISNUMBER(Eingaben!$B$13)),Eingaben!$B$13,"")))</f>
        <v>28.2744</v>
      </c>
      <c r="I2715" s="6">
        <f>INDEX(Netzzeiten!$C$6:$C$29,HOUR(B2715)+1)</f>
        <v>1.64</v>
      </c>
      <c r="J2715" t="str">
        <f>IF(C2715="","FEHLT",IF(NOT(ISNUMBER(C2715)),"MESSWERT UNGUELTIG",IF(C2715&lt;0,"MESSWERT UNGUELTIG",IF(H2715="","TARIFPREIS FEHLT","OK"))))</f>
        <v>FEHLT</v>
      </c>
      <c r="K2715" s="7">
        <f>IF(J2715&lt;&gt;"OK","",C2715*I2715/100)</f>
        <v/>
      </c>
    </row>
    <row r="2716" spans="1:11">
      <c r="A2716" s="14">
        <v>46171</v>
      </c>
      <c r="B2716" s="15">
        <v>0.2291666666666667</v>
      </c>
      <c r="C2716" s="5">
        <f>IF('96 Werte'!X34="","",'96 Werte'!X34)</f>
        <v/>
      </c>
      <c r="D2716" t="str">
        <f>IF(IF(Eingaben!$B$21&lt;Eingaben!$B$22,AND(B2716&gt;=Eingaben!$B$21,B2716&lt;Eingaben!$B$22),OR(B2716&gt;=Eingaben!$B$21,B2716&lt;Eingaben!$B$22)),"GO",IF(AND(ISNUMBER(Eingaben!$B$23),ISNUMBER(Eingaben!$B$24),IF(Eingaben!$B$23&lt;Eingaben!$B$24,AND(B2716&gt;=Eingaben!$B$23,B2716&lt;Eingaben!$B$24),OR(B2716&gt;=Eingaben!$B$23,B2716&lt;Eingaben!$B$24))),"HEAT","STANDARD"))</f>
        <v>STANDARD</v>
      </c>
      <c r="E2716" s="9"/>
      <c r="F2716" t="str">
        <f>IF(E2716="",D2716,E2716)</f>
        <v>STANDARD</v>
      </c>
      <c r="G2716" t="str">
        <f>INDEX(Netzzeiten!$B$6:$B$29,HOUR(B2716)+1)</f>
        <v>NT</v>
      </c>
      <c r="H2716" s="6">
        <f>IF(F2716="GO",Eingaben!$B$11,IF(F2716="STANDARD",Eingaben!$B$12,IF(AND(F2716="HEAT",ISNUMBER(Eingaben!$B$13)),Eingaben!$B$13,"")))</f>
        <v>28.2744</v>
      </c>
      <c r="I2716" s="6">
        <f>INDEX(Netzzeiten!$C$6:$C$29,HOUR(B2716)+1)</f>
        <v>1.64</v>
      </c>
      <c r="J2716" t="str">
        <f>IF(C2716="","FEHLT",IF(NOT(ISNUMBER(C2716)),"MESSWERT UNGUELTIG",IF(C2716&lt;0,"MESSWERT UNGUELTIG",IF(H2716="","TARIFPREIS FEHLT","OK"))))</f>
        <v>FEHLT</v>
      </c>
      <c r="K2716" s="7">
        <f>IF(J2716&lt;&gt;"OK","",C2716*I2716/100)</f>
        <v/>
      </c>
    </row>
    <row r="2717" spans="1:11">
      <c r="A2717" s="14">
        <v>46171</v>
      </c>
      <c r="B2717" s="15">
        <v>0.2395833333333333</v>
      </c>
      <c r="C2717" s="5">
        <f>IF('96 Werte'!Y34="","",'96 Werte'!Y34)</f>
        <v/>
      </c>
      <c r="D2717" t="str">
        <f>IF(IF(Eingaben!$B$21&lt;Eingaben!$B$22,AND(B2717&gt;=Eingaben!$B$21,B2717&lt;Eingaben!$B$22),OR(B2717&gt;=Eingaben!$B$21,B2717&lt;Eingaben!$B$22)),"GO",IF(AND(ISNUMBER(Eingaben!$B$23),ISNUMBER(Eingaben!$B$24),IF(Eingaben!$B$23&lt;Eingaben!$B$24,AND(B2717&gt;=Eingaben!$B$23,B2717&lt;Eingaben!$B$24),OR(B2717&gt;=Eingaben!$B$23,B2717&lt;Eingaben!$B$24))),"HEAT","STANDARD"))</f>
        <v>STANDARD</v>
      </c>
      <c r="E2717" s="9"/>
      <c r="F2717" t="str">
        <f>IF(E2717="",D2717,E2717)</f>
        <v>STANDARD</v>
      </c>
      <c r="G2717" t="str">
        <f>INDEX(Netzzeiten!$B$6:$B$29,HOUR(B2717)+1)</f>
        <v>NT</v>
      </c>
      <c r="H2717" s="6">
        <f>IF(F2717="GO",Eingaben!$B$11,IF(F2717="STANDARD",Eingaben!$B$12,IF(AND(F2717="HEAT",ISNUMBER(Eingaben!$B$13)),Eingaben!$B$13,"")))</f>
        <v>28.2744</v>
      </c>
      <c r="I2717" s="6">
        <f>INDEX(Netzzeiten!$C$6:$C$29,HOUR(B2717)+1)</f>
        <v>1.64</v>
      </c>
      <c r="J2717" t="str">
        <f>IF(C2717="","FEHLT",IF(NOT(ISNUMBER(C2717)),"MESSWERT UNGUELTIG",IF(C2717&lt;0,"MESSWERT UNGUELTIG",IF(H2717="","TARIFPREIS FEHLT","OK"))))</f>
        <v>FEHLT</v>
      </c>
      <c r="K2717" s="7">
        <f>IF(J2717&lt;&gt;"OK","",C2717*I2717/100)</f>
        <v/>
      </c>
    </row>
    <row r="2718" spans="1:11">
      <c r="A2718" s="14">
        <v>46171</v>
      </c>
      <c r="B2718" s="15">
        <v>0.25</v>
      </c>
      <c r="C2718" s="5">
        <f>IF('96 Werte'!Z34="","",'96 Werte'!Z34)</f>
        <v/>
      </c>
      <c r="D2718" t="str">
        <f>IF(IF(Eingaben!$B$21&lt;Eingaben!$B$22,AND(B2718&gt;=Eingaben!$B$21,B2718&lt;Eingaben!$B$22),OR(B2718&gt;=Eingaben!$B$21,B2718&lt;Eingaben!$B$22)),"GO",IF(AND(ISNUMBER(Eingaben!$B$23),ISNUMBER(Eingaben!$B$24),IF(Eingaben!$B$23&lt;Eingaben!$B$24,AND(B2718&gt;=Eingaben!$B$23,B2718&lt;Eingaben!$B$24),OR(B2718&gt;=Eingaben!$B$23,B2718&lt;Eingaben!$B$24))),"HEAT","STANDARD"))</f>
        <v>STANDARD</v>
      </c>
      <c r="E2718" s="9"/>
      <c r="F2718" t="str">
        <f>IF(E2718="",D2718,E2718)</f>
        <v>STANDARD</v>
      </c>
      <c r="G2718" t="str">
        <f>INDEX(Netzzeiten!$B$6:$B$29,HOUR(B2718)+1)</f>
        <v>ST</v>
      </c>
      <c r="H2718" s="6">
        <f>IF(F2718="GO",Eingaben!$B$11,IF(F2718="STANDARD",Eingaben!$B$12,IF(AND(F2718="HEAT",ISNUMBER(Eingaben!$B$13)),Eingaben!$B$13,"")))</f>
        <v>28.2744</v>
      </c>
      <c r="I2718" s="6">
        <f>INDEX(Netzzeiten!$C$6:$C$29,HOUR(B2718)+1)</f>
        <v>5.48</v>
      </c>
      <c r="J2718" t="str">
        <f>IF(C2718="","FEHLT",IF(NOT(ISNUMBER(C2718)),"MESSWERT UNGUELTIG",IF(C2718&lt;0,"MESSWERT UNGUELTIG",IF(H2718="","TARIFPREIS FEHLT","OK"))))</f>
        <v>FEHLT</v>
      </c>
      <c r="K2718" s="7">
        <f>IF(J2718&lt;&gt;"OK","",C2718*I2718/100)</f>
        <v/>
      </c>
    </row>
    <row r="2719" spans="1:11">
      <c r="A2719" s="14">
        <v>46171</v>
      </c>
      <c r="B2719" s="15">
        <v>0.2604166666666667</v>
      </c>
      <c r="C2719" s="5">
        <f>IF('96 Werte'!AA34="","",'96 Werte'!AA34)</f>
        <v/>
      </c>
      <c r="D2719" t="str">
        <f>IF(IF(Eingaben!$B$21&lt;Eingaben!$B$22,AND(B2719&gt;=Eingaben!$B$21,B2719&lt;Eingaben!$B$22),OR(B2719&gt;=Eingaben!$B$21,B2719&lt;Eingaben!$B$22)),"GO",IF(AND(ISNUMBER(Eingaben!$B$23),ISNUMBER(Eingaben!$B$24),IF(Eingaben!$B$23&lt;Eingaben!$B$24,AND(B2719&gt;=Eingaben!$B$23,B2719&lt;Eingaben!$B$24),OR(B2719&gt;=Eingaben!$B$23,B2719&lt;Eingaben!$B$24))),"HEAT","STANDARD"))</f>
        <v>STANDARD</v>
      </c>
      <c r="E2719" s="9"/>
      <c r="F2719" t="str">
        <f>IF(E2719="",D2719,E2719)</f>
        <v>STANDARD</v>
      </c>
      <c r="G2719" t="str">
        <f>INDEX(Netzzeiten!$B$6:$B$29,HOUR(B2719)+1)</f>
        <v>ST</v>
      </c>
      <c r="H2719" s="6">
        <f>IF(F2719="GO",Eingaben!$B$11,IF(F2719="STANDARD",Eingaben!$B$12,IF(AND(F2719="HEAT",ISNUMBER(Eingaben!$B$13)),Eingaben!$B$13,"")))</f>
        <v>28.2744</v>
      </c>
      <c r="I2719" s="6">
        <f>INDEX(Netzzeiten!$C$6:$C$29,HOUR(B2719)+1)</f>
        <v>5.48</v>
      </c>
      <c r="J2719" t="str">
        <f>IF(C2719="","FEHLT",IF(NOT(ISNUMBER(C2719)),"MESSWERT UNGUELTIG",IF(C2719&lt;0,"MESSWERT UNGUELTIG",IF(H2719="","TARIFPREIS FEHLT","OK"))))</f>
        <v>FEHLT</v>
      </c>
      <c r="K2719" s="7">
        <f>IF(J2719&lt;&gt;"OK","",C2719*I2719/100)</f>
        <v/>
      </c>
    </row>
    <row r="2720" spans="1:11">
      <c r="A2720" s="14">
        <v>46171</v>
      </c>
      <c r="B2720" s="15">
        <v>0.2708333333333333</v>
      </c>
      <c r="C2720" s="5">
        <f>IF('96 Werte'!AB34="","",'96 Werte'!AB34)</f>
        <v/>
      </c>
      <c r="D2720" t="str">
        <f>IF(IF(Eingaben!$B$21&lt;Eingaben!$B$22,AND(B2720&gt;=Eingaben!$B$21,B2720&lt;Eingaben!$B$22),OR(B2720&gt;=Eingaben!$B$21,B2720&lt;Eingaben!$B$22)),"GO",IF(AND(ISNUMBER(Eingaben!$B$23),ISNUMBER(Eingaben!$B$24),IF(Eingaben!$B$23&lt;Eingaben!$B$24,AND(B2720&gt;=Eingaben!$B$23,B2720&lt;Eingaben!$B$24),OR(B2720&gt;=Eingaben!$B$23,B2720&lt;Eingaben!$B$24))),"HEAT","STANDARD"))</f>
        <v>STANDARD</v>
      </c>
      <c r="E2720" s="9"/>
      <c r="F2720" t="str">
        <f>IF(E2720="",D2720,E2720)</f>
        <v>STANDARD</v>
      </c>
      <c r="G2720" t="str">
        <f>INDEX(Netzzeiten!$B$6:$B$29,HOUR(B2720)+1)</f>
        <v>ST</v>
      </c>
      <c r="H2720" s="6">
        <f>IF(F2720="GO",Eingaben!$B$11,IF(F2720="STANDARD",Eingaben!$B$12,IF(AND(F2720="HEAT",ISNUMBER(Eingaben!$B$13)),Eingaben!$B$13,"")))</f>
        <v>28.2744</v>
      </c>
      <c r="I2720" s="6">
        <f>INDEX(Netzzeiten!$C$6:$C$29,HOUR(B2720)+1)</f>
        <v>5.48</v>
      </c>
      <c r="J2720" t="str">
        <f>IF(C2720="","FEHLT",IF(NOT(ISNUMBER(C2720)),"MESSWERT UNGUELTIG",IF(C2720&lt;0,"MESSWERT UNGUELTIG",IF(H2720="","TARIFPREIS FEHLT","OK"))))</f>
        <v>FEHLT</v>
      </c>
      <c r="K2720" s="7">
        <f>IF(J2720&lt;&gt;"OK","",C2720*I2720/100)</f>
        <v/>
      </c>
    </row>
    <row r="2721" spans="1:11">
      <c r="A2721" s="14">
        <v>46171</v>
      </c>
      <c r="B2721" s="15">
        <v>0.28125</v>
      </c>
      <c r="C2721" s="5">
        <f>IF('96 Werte'!AC34="","",'96 Werte'!AC34)</f>
        <v/>
      </c>
      <c r="D2721" t="str">
        <f>IF(IF(Eingaben!$B$21&lt;Eingaben!$B$22,AND(B2721&gt;=Eingaben!$B$21,B2721&lt;Eingaben!$B$22),OR(B2721&gt;=Eingaben!$B$21,B2721&lt;Eingaben!$B$22)),"GO",IF(AND(ISNUMBER(Eingaben!$B$23),ISNUMBER(Eingaben!$B$24),IF(Eingaben!$B$23&lt;Eingaben!$B$24,AND(B2721&gt;=Eingaben!$B$23,B2721&lt;Eingaben!$B$24),OR(B2721&gt;=Eingaben!$B$23,B2721&lt;Eingaben!$B$24))),"HEAT","STANDARD"))</f>
        <v>STANDARD</v>
      </c>
      <c r="E2721" s="9"/>
      <c r="F2721" t="str">
        <f>IF(E2721="",D2721,E2721)</f>
        <v>STANDARD</v>
      </c>
      <c r="G2721" t="str">
        <f>INDEX(Netzzeiten!$B$6:$B$29,HOUR(B2721)+1)</f>
        <v>ST</v>
      </c>
      <c r="H2721" s="6">
        <f>IF(F2721="GO",Eingaben!$B$11,IF(F2721="STANDARD",Eingaben!$B$12,IF(AND(F2721="HEAT",ISNUMBER(Eingaben!$B$13)),Eingaben!$B$13,"")))</f>
        <v>28.2744</v>
      </c>
      <c r="I2721" s="6">
        <f>INDEX(Netzzeiten!$C$6:$C$29,HOUR(B2721)+1)</f>
        <v>5.48</v>
      </c>
      <c r="J2721" t="str">
        <f>IF(C2721="","FEHLT",IF(NOT(ISNUMBER(C2721)),"MESSWERT UNGUELTIG",IF(C2721&lt;0,"MESSWERT UNGUELTIG",IF(H2721="","TARIFPREIS FEHLT","OK"))))</f>
        <v>FEHLT</v>
      </c>
      <c r="K2721" s="7">
        <f>IF(J2721&lt;&gt;"OK","",C2721*I2721/100)</f>
        <v/>
      </c>
    </row>
    <row r="2722" spans="1:11">
      <c r="A2722" s="14">
        <v>46171</v>
      </c>
      <c r="B2722" s="15">
        <v>0.2916666666666667</v>
      </c>
      <c r="C2722" s="5">
        <f>IF('96 Werte'!AD34="","",'96 Werte'!AD34)</f>
        <v/>
      </c>
      <c r="D2722" t="str">
        <f>IF(IF(Eingaben!$B$21&lt;Eingaben!$B$22,AND(B2722&gt;=Eingaben!$B$21,B2722&lt;Eingaben!$B$22),OR(B2722&gt;=Eingaben!$B$21,B2722&lt;Eingaben!$B$22)),"GO",IF(AND(ISNUMBER(Eingaben!$B$23),ISNUMBER(Eingaben!$B$24),IF(Eingaben!$B$23&lt;Eingaben!$B$24,AND(B2722&gt;=Eingaben!$B$23,B2722&lt;Eingaben!$B$24),OR(B2722&gt;=Eingaben!$B$23,B2722&lt;Eingaben!$B$24))),"HEAT","STANDARD"))</f>
        <v>STANDARD</v>
      </c>
      <c r="E2722" s="9"/>
      <c r="F2722" t="str">
        <f>IF(E2722="",D2722,E2722)</f>
        <v>STANDARD</v>
      </c>
      <c r="G2722" t="str">
        <f>INDEX(Netzzeiten!$B$6:$B$29,HOUR(B2722)+1)</f>
        <v>ST</v>
      </c>
      <c r="H2722" s="6">
        <f>IF(F2722="GO",Eingaben!$B$11,IF(F2722="STANDARD",Eingaben!$B$12,IF(AND(F2722="HEAT",ISNUMBER(Eingaben!$B$13)),Eingaben!$B$13,"")))</f>
        <v>28.2744</v>
      </c>
      <c r="I2722" s="6">
        <f>INDEX(Netzzeiten!$C$6:$C$29,HOUR(B2722)+1)</f>
        <v>5.48</v>
      </c>
      <c r="J2722" t="str">
        <f>IF(C2722="","FEHLT",IF(NOT(ISNUMBER(C2722)),"MESSWERT UNGUELTIG",IF(C2722&lt;0,"MESSWERT UNGUELTIG",IF(H2722="","TARIFPREIS FEHLT","OK"))))</f>
        <v>FEHLT</v>
      </c>
      <c r="K2722" s="7">
        <f>IF(J2722&lt;&gt;"OK","",C2722*I2722/100)</f>
        <v/>
      </c>
    </row>
    <row r="2723" spans="1:11">
      <c r="A2723" s="14">
        <v>46171</v>
      </c>
      <c r="B2723" s="15">
        <v>0.3020833333333333</v>
      </c>
      <c r="C2723" s="5">
        <f>IF('96 Werte'!AE34="","",'96 Werte'!AE34)</f>
        <v/>
      </c>
      <c r="D2723" t="str">
        <f>IF(IF(Eingaben!$B$21&lt;Eingaben!$B$22,AND(B2723&gt;=Eingaben!$B$21,B2723&lt;Eingaben!$B$22),OR(B2723&gt;=Eingaben!$B$21,B2723&lt;Eingaben!$B$22)),"GO",IF(AND(ISNUMBER(Eingaben!$B$23),ISNUMBER(Eingaben!$B$24),IF(Eingaben!$B$23&lt;Eingaben!$B$24,AND(B2723&gt;=Eingaben!$B$23,B2723&lt;Eingaben!$B$24),OR(B2723&gt;=Eingaben!$B$23,B2723&lt;Eingaben!$B$24))),"HEAT","STANDARD"))</f>
        <v>STANDARD</v>
      </c>
      <c r="E2723" s="9"/>
      <c r="F2723" t="str">
        <f>IF(E2723="",D2723,E2723)</f>
        <v>STANDARD</v>
      </c>
      <c r="G2723" t="str">
        <f>INDEX(Netzzeiten!$B$6:$B$29,HOUR(B2723)+1)</f>
        <v>ST</v>
      </c>
      <c r="H2723" s="6">
        <f>IF(F2723="GO",Eingaben!$B$11,IF(F2723="STANDARD",Eingaben!$B$12,IF(AND(F2723="HEAT",ISNUMBER(Eingaben!$B$13)),Eingaben!$B$13,"")))</f>
        <v>28.2744</v>
      </c>
      <c r="I2723" s="6">
        <f>INDEX(Netzzeiten!$C$6:$C$29,HOUR(B2723)+1)</f>
        <v>5.48</v>
      </c>
      <c r="J2723" t="str">
        <f>IF(C2723="","FEHLT",IF(NOT(ISNUMBER(C2723)),"MESSWERT UNGUELTIG",IF(C2723&lt;0,"MESSWERT UNGUELTIG",IF(H2723="","TARIFPREIS FEHLT","OK"))))</f>
        <v>FEHLT</v>
      </c>
      <c r="K2723" s="7">
        <f>IF(J2723&lt;&gt;"OK","",C2723*I2723/100)</f>
        <v/>
      </c>
    </row>
    <row r="2724" spans="1:11">
      <c r="A2724" s="14">
        <v>46171</v>
      </c>
      <c r="B2724" s="15">
        <v>0.3125</v>
      </c>
      <c r="C2724" s="5">
        <f>IF('96 Werte'!AF34="","",'96 Werte'!AF34)</f>
        <v/>
      </c>
      <c r="D2724" t="str">
        <f>IF(IF(Eingaben!$B$21&lt;Eingaben!$B$22,AND(B2724&gt;=Eingaben!$B$21,B2724&lt;Eingaben!$B$22),OR(B2724&gt;=Eingaben!$B$21,B2724&lt;Eingaben!$B$22)),"GO",IF(AND(ISNUMBER(Eingaben!$B$23),ISNUMBER(Eingaben!$B$24),IF(Eingaben!$B$23&lt;Eingaben!$B$24,AND(B2724&gt;=Eingaben!$B$23,B2724&lt;Eingaben!$B$24),OR(B2724&gt;=Eingaben!$B$23,B2724&lt;Eingaben!$B$24))),"HEAT","STANDARD"))</f>
        <v>STANDARD</v>
      </c>
      <c r="E2724" s="9"/>
      <c r="F2724" t="str">
        <f>IF(E2724="",D2724,E2724)</f>
        <v>STANDARD</v>
      </c>
      <c r="G2724" t="str">
        <f>INDEX(Netzzeiten!$B$6:$B$29,HOUR(B2724)+1)</f>
        <v>ST</v>
      </c>
      <c r="H2724" s="6">
        <f>IF(F2724="GO",Eingaben!$B$11,IF(F2724="STANDARD",Eingaben!$B$12,IF(AND(F2724="HEAT",ISNUMBER(Eingaben!$B$13)),Eingaben!$B$13,"")))</f>
        <v>28.2744</v>
      </c>
      <c r="I2724" s="6">
        <f>INDEX(Netzzeiten!$C$6:$C$29,HOUR(B2724)+1)</f>
        <v>5.48</v>
      </c>
      <c r="J2724" t="str">
        <f>IF(C2724="","FEHLT",IF(NOT(ISNUMBER(C2724)),"MESSWERT UNGUELTIG",IF(C2724&lt;0,"MESSWERT UNGUELTIG",IF(H2724="","TARIFPREIS FEHLT","OK"))))</f>
        <v>FEHLT</v>
      </c>
      <c r="K2724" s="7">
        <f>IF(J2724&lt;&gt;"OK","",C2724*I2724/100)</f>
        <v/>
      </c>
    </row>
    <row r="2725" spans="1:11">
      <c r="A2725" s="14">
        <v>46171</v>
      </c>
      <c r="B2725" s="15">
        <v>0.3229166666666667</v>
      </c>
      <c r="C2725" s="5">
        <f>IF('96 Werte'!AG34="","",'96 Werte'!AG34)</f>
        <v/>
      </c>
      <c r="D2725" t="str">
        <f>IF(IF(Eingaben!$B$21&lt;Eingaben!$B$22,AND(B2725&gt;=Eingaben!$B$21,B2725&lt;Eingaben!$B$22),OR(B2725&gt;=Eingaben!$B$21,B2725&lt;Eingaben!$B$22)),"GO",IF(AND(ISNUMBER(Eingaben!$B$23),ISNUMBER(Eingaben!$B$24),IF(Eingaben!$B$23&lt;Eingaben!$B$24,AND(B2725&gt;=Eingaben!$B$23,B2725&lt;Eingaben!$B$24),OR(B2725&gt;=Eingaben!$B$23,B2725&lt;Eingaben!$B$24))),"HEAT","STANDARD"))</f>
        <v>STANDARD</v>
      </c>
      <c r="E2725" s="9"/>
      <c r="F2725" t="str">
        <f>IF(E2725="",D2725,E2725)</f>
        <v>STANDARD</v>
      </c>
      <c r="G2725" t="str">
        <f>INDEX(Netzzeiten!$B$6:$B$29,HOUR(B2725)+1)</f>
        <v>ST</v>
      </c>
      <c r="H2725" s="6">
        <f>IF(F2725="GO",Eingaben!$B$11,IF(F2725="STANDARD",Eingaben!$B$12,IF(AND(F2725="HEAT",ISNUMBER(Eingaben!$B$13)),Eingaben!$B$13,"")))</f>
        <v>28.2744</v>
      </c>
      <c r="I2725" s="6">
        <f>INDEX(Netzzeiten!$C$6:$C$29,HOUR(B2725)+1)</f>
        <v>5.48</v>
      </c>
      <c r="J2725" t="str">
        <f>IF(C2725="","FEHLT",IF(NOT(ISNUMBER(C2725)),"MESSWERT UNGUELTIG",IF(C2725&lt;0,"MESSWERT UNGUELTIG",IF(H2725="","TARIFPREIS FEHLT","OK"))))</f>
        <v>FEHLT</v>
      </c>
      <c r="K2725" s="7">
        <f>IF(J2725&lt;&gt;"OK","",C2725*I2725/100)</f>
        <v/>
      </c>
    </row>
    <row r="2726" spans="1:11">
      <c r="A2726" s="14">
        <v>46171</v>
      </c>
      <c r="B2726" s="15">
        <v>0.3333333333333333</v>
      </c>
      <c r="C2726" s="5">
        <f>IF('96 Werte'!AH34="","",'96 Werte'!AH34)</f>
        <v/>
      </c>
      <c r="D2726" t="str">
        <f>IF(IF(Eingaben!$B$21&lt;Eingaben!$B$22,AND(B2726&gt;=Eingaben!$B$21,B2726&lt;Eingaben!$B$22),OR(B2726&gt;=Eingaben!$B$21,B2726&lt;Eingaben!$B$22)),"GO",IF(AND(ISNUMBER(Eingaben!$B$23),ISNUMBER(Eingaben!$B$24),IF(Eingaben!$B$23&lt;Eingaben!$B$24,AND(B2726&gt;=Eingaben!$B$23,B2726&lt;Eingaben!$B$24),OR(B2726&gt;=Eingaben!$B$23,B2726&lt;Eingaben!$B$24))),"HEAT","STANDARD"))</f>
        <v>STANDARD</v>
      </c>
      <c r="E2726" s="9"/>
      <c r="F2726" t="str">
        <f>IF(E2726="",D2726,E2726)</f>
        <v>STANDARD</v>
      </c>
      <c r="G2726" t="str">
        <f>INDEX(Netzzeiten!$B$6:$B$29,HOUR(B2726)+1)</f>
        <v>ST</v>
      </c>
      <c r="H2726" s="6">
        <f>IF(F2726="GO",Eingaben!$B$11,IF(F2726="STANDARD",Eingaben!$B$12,IF(AND(F2726="HEAT",ISNUMBER(Eingaben!$B$13)),Eingaben!$B$13,"")))</f>
        <v>28.2744</v>
      </c>
      <c r="I2726" s="6">
        <f>INDEX(Netzzeiten!$C$6:$C$29,HOUR(B2726)+1)</f>
        <v>5.48</v>
      </c>
      <c r="J2726" t="str">
        <f>IF(C2726="","FEHLT",IF(NOT(ISNUMBER(C2726)),"MESSWERT UNGUELTIG",IF(C2726&lt;0,"MESSWERT UNGUELTIG",IF(H2726="","TARIFPREIS FEHLT","OK"))))</f>
        <v>FEHLT</v>
      </c>
      <c r="K2726" s="7">
        <f>IF(J2726&lt;&gt;"OK","",C2726*I2726/100)</f>
        <v/>
      </c>
    </row>
    <row r="2727" spans="1:11">
      <c r="A2727" s="14">
        <v>46171</v>
      </c>
      <c r="B2727" s="15">
        <v>0.34375</v>
      </c>
      <c r="C2727" s="5">
        <f>IF('96 Werte'!AI34="","",'96 Werte'!AI34)</f>
        <v/>
      </c>
      <c r="D2727" t="str">
        <f>IF(IF(Eingaben!$B$21&lt;Eingaben!$B$22,AND(B2727&gt;=Eingaben!$B$21,B2727&lt;Eingaben!$B$22),OR(B2727&gt;=Eingaben!$B$21,B2727&lt;Eingaben!$B$22)),"GO",IF(AND(ISNUMBER(Eingaben!$B$23),ISNUMBER(Eingaben!$B$24),IF(Eingaben!$B$23&lt;Eingaben!$B$24,AND(B2727&gt;=Eingaben!$B$23,B2727&lt;Eingaben!$B$24),OR(B2727&gt;=Eingaben!$B$23,B2727&lt;Eingaben!$B$24))),"HEAT","STANDARD"))</f>
        <v>STANDARD</v>
      </c>
      <c r="E2727" s="9"/>
      <c r="F2727" t="str">
        <f>IF(E2727="",D2727,E2727)</f>
        <v>STANDARD</v>
      </c>
      <c r="G2727" t="str">
        <f>INDEX(Netzzeiten!$B$6:$B$29,HOUR(B2727)+1)</f>
        <v>ST</v>
      </c>
      <c r="H2727" s="6">
        <f>IF(F2727="GO",Eingaben!$B$11,IF(F2727="STANDARD",Eingaben!$B$12,IF(AND(F2727="HEAT",ISNUMBER(Eingaben!$B$13)),Eingaben!$B$13,"")))</f>
        <v>28.2744</v>
      </c>
      <c r="I2727" s="6">
        <f>INDEX(Netzzeiten!$C$6:$C$29,HOUR(B2727)+1)</f>
        <v>5.48</v>
      </c>
      <c r="J2727" t="str">
        <f>IF(C2727="","FEHLT",IF(NOT(ISNUMBER(C2727)),"MESSWERT UNGUELTIG",IF(C2727&lt;0,"MESSWERT UNGUELTIG",IF(H2727="","TARIFPREIS FEHLT","OK"))))</f>
        <v>FEHLT</v>
      </c>
      <c r="K2727" s="7">
        <f>IF(J2727&lt;&gt;"OK","",C2727*I2727/100)</f>
        <v/>
      </c>
    </row>
    <row r="2728" spans="1:11">
      <c r="A2728" s="14">
        <v>46171</v>
      </c>
      <c r="B2728" s="15">
        <v>0.3541666666666667</v>
      </c>
      <c r="C2728" s="5">
        <f>IF('96 Werte'!AJ34="","",'96 Werte'!AJ34)</f>
        <v/>
      </c>
      <c r="D2728" t="str">
        <f>IF(IF(Eingaben!$B$21&lt;Eingaben!$B$22,AND(B2728&gt;=Eingaben!$B$21,B2728&lt;Eingaben!$B$22),OR(B2728&gt;=Eingaben!$B$21,B2728&lt;Eingaben!$B$22)),"GO",IF(AND(ISNUMBER(Eingaben!$B$23),ISNUMBER(Eingaben!$B$24),IF(Eingaben!$B$23&lt;Eingaben!$B$24,AND(B2728&gt;=Eingaben!$B$23,B2728&lt;Eingaben!$B$24),OR(B2728&gt;=Eingaben!$B$23,B2728&lt;Eingaben!$B$24))),"HEAT","STANDARD"))</f>
        <v>STANDARD</v>
      </c>
      <c r="E2728" s="9"/>
      <c r="F2728" t="str">
        <f>IF(E2728="",D2728,E2728)</f>
        <v>STANDARD</v>
      </c>
      <c r="G2728" t="str">
        <f>INDEX(Netzzeiten!$B$6:$B$29,HOUR(B2728)+1)</f>
        <v>ST</v>
      </c>
      <c r="H2728" s="6">
        <f>IF(F2728="GO",Eingaben!$B$11,IF(F2728="STANDARD",Eingaben!$B$12,IF(AND(F2728="HEAT",ISNUMBER(Eingaben!$B$13)),Eingaben!$B$13,"")))</f>
        <v>28.2744</v>
      </c>
      <c r="I2728" s="6">
        <f>INDEX(Netzzeiten!$C$6:$C$29,HOUR(B2728)+1)</f>
        <v>5.48</v>
      </c>
      <c r="J2728" t="str">
        <f>IF(C2728="","FEHLT",IF(NOT(ISNUMBER(C2728)),"MESSWERT UNGUELTIG",IF(C2728&lt;0,"MESSWERT UNGUELTIG",IF(H2728="","TARIFPREIS FEHLT","OK"))))</f>
        <v>FEHLT</v>
      </c>
      <c r="K2728" s="7">
        <f>IF(J2728&lt;&gt;"OK","",C2728*I2728/100)</f>
        <v/>
      </c>
    </row>
    <row r="2729" spans="1:11">
      <c r="A2729" s="14">
        <v>46171</v>
      </c>
      <c r="B2729" s="15">
        <v>0.3645833333333333</v>
      </c>
      <c r="C2729" s="5">
        <f>IF('96 Werte'!AK34="","",'96 Werte'!AK34)</f>
        <v/>
      </c>
      <c r="D2729" t="str">
        <f>IF(IF(Eingaben!$B$21&lt;Eingaben!$B$22,AND(B2729&gt;=Eingaben!$B$21,B2729&lt;Eingaben!$B$22),OR(B2729&gt;=Eingaben!$B$21,B2729&lt;Eingaben!$B$22)),"GO",IF(AND(ISNUMBER(Eingaben!$B$23),ISNUMBER(Eingaben!$B$24),IF(Eingaben!$B$23&lt;Eingaben!$B$24,AND(B2729&gt;=Eingaben!$B$23,B2729&lt;Eingaben!$B$24),OR(B2729&gt;=Eingaben!$B$23,B2729&lt;Eingaben!$B$24))),"HEAT","STANDARD"))</f>
        <v>STANDARD</v>
      </c>
      <c r="E2729" s="9"/>
      <c r="F2729" t="str">
        <f>IF(E2729="",D2729,E2729)</f>
        <v>STANDARD</v>
      </c>
      <c r="G2729" t="str">
        <f>INDEX(Netzzeiten!$B$6:$B$29,HOUR(B2729)+1)</f>
        <v>ST</v>
      </c>
      <c r="H2729" s="6">
        <f>IF(F2729="GO",Eingaben!$B$11,IF(F2729="STANDARD",Eingaben!$B$12,IF(AND(F2729="HEAT",ISNUMBER(Eingaben!$B$13)),Eingaben!$B$13,"")))</f>
        <v>28.2744</v>
      </c>
      <c r="I2729" s="6">
        <f>INDEX(Netzzeiten!$C$6:$C$29,HOUR(B2729)+1)</f>
        <v>5.48</v>
      </c>
      <c r="J2729" t="str">
        <f>IF(C2729="","FEHLT",IF(NOT(ISNUMBER(C2729)),"MESSWERT UNGUELTIG",IF(C2729&lt;0,"MESSWERT UNGUELTIG",IF(H2729="","TARIFPREIS FEHLT","OK"))))</f>
        <v>FEHLT</v>
      </c>
      <c r="K2729" s="7">
        <f>IF(J2729&lt;&gt;"OK","",C2729*I2729/100)</f>
        <v/>
      </c>
    </row>
    <row r="2730" spans="1:11">
      <c r="A2730" s="14">
        <v>46171</v>
      </c>
      <c r="B2730" s="15">
        <v>0.375</v>
      </c>
      <c r="C2730" s="5">
        <f>IF('96 Werte'!AL34="","",'96 Werte'!AL34)</f>
        <v/>
      </c>
      <c r="D2730" t="str">
        <f>IF(IF(Eingaben!$B$21&lt;Eingaben!$B$22,AND(B2730&gt;=Eingaben!$B$21,B2730&lt;Eingaben!$B$22),OR(B2730&gt;=Eingaben!$B$21,B2730&lt;Eingaben!$B$22)),"GO",IF(AND(ISNUMBER(Eingaben!$B$23),ISNUMBER(Eingaben!$B$24),IF(Eingaben!$B$23&lt;Eingaben!$B$24,AND(B2730&gt;=Eingaben!$B$23,B2730&lt;Eingaben!$B$24),OR(B2730&gt;=Eingaben!$B$23,B2730&lt;Eingaben!$B$24))),"HEAT","STANDARD"))</f>
        <v>STANDARD</v>
      </c>
      <c r="E2730" s="9"/>
      <c r="F2730" t="str">
        <f>IF(E2730="",D2730,E2730)</f>
        <v>STANDARD</v>
      </c>
      <c r="G2730" t="str">
        <f>INDEX(Netzzeiten!$B$6:$B$29,HOUR(B2730)+1)</f>
        <v>ST</v>
      </c>
      <c r="H2730" s="6">
        <f>IF(F2730="GO",Eingaben!$B$11,IF(F2730="STANDARD",Eingaben!$B$12,IF(AND(F2730="HEAT",ISNUMBER(Eingaben!$B$13)),Eingaben!$B$13,"")))</f>
        <v>28.2744</v>
      </c>
      <c r="I2730" s="6">
        <f>INDEX(Netzzeiten!$C$6:$C$29,HOUR(B2730)+1)</f>
        <v>5.48</v>
      </c>
      <c r="J2730" t="str">
        <f>IF(C2730="","FEHLT",IF(NOT(ISNUMBER(C2730)),"MESSWERT UNGUELTIG",IF(C2730&lt;0,"MESSWERT UNGUELTIG",IF(H2730="","TARIFPREIS FEHLT","OK"))))</f>
        <v>FEHLT</v>
      </c>
      <c r="K2730" s="7">
        <f>IF(J2730&lt;&gt;"OK","",C2730*I2730/100)</f>
        <v/>
      </c>
    </row>
    <row r="2731" spans="1:11">
      <c r="A2731" s="14">
        <v>46171</v>
      </c>
      <c r="B2731" s="15">
        <v>0.3854166666666667</v>
      </c>
      <c r="C2731" s="5">
        <f>IF('96 Werte'!AM34="","",'96 Werte'!AM34)</f>
        <v/>
      </c>
      <c r="D2731" t="str">
        <f>IF(IF(Eingaben!$B$21&lt;Eingaben!$B$22,AND(B2731&gt;=Eingaben!$B$21,B2731&lt;Eingaben!$B$22),OR(B2731&gt;=Eingaben!$B$21,B2731&lt;Eingaben!$B$22)),"GO",IF(AND(ISNUMBER(Eingaben!$B$23),ISNUMBER(Eingaben!$B$24),IF(Eingaben!$B$23&lt;Eingaben!$B$24,AND(B2731&gt;=Eingaben!$B$23,B2731&lt;Eingaben!$B$24),OR(B2731&gt;=Eingaben!$B$23,B2731&lt;Eingaben!$B$24))),"HEAT","STANDARD"))</f>
        <v>STANDARD</v>
      </c>
      <c r="E2731" s="9"/>
      <c r="F2731" t="str">
        <f>IF(E2731="",D2731,E2731)</f>
        <v>STANDARD</v>
      </c>
      <c r="G2731" t="str">
        <f>INDEX(Netzzeiten!$B$6:$B$29,HOUR(B2731)+1)</f>
        <v>ST</v>
      </c>
      <c r="H2731" s="6">
        <f>IF(F2731="GO",Eingaben!$B$11,IF(F2731="STANDARD",Eingaben!$B$12,IF(AND(F2731="HEAT",ISNUMBER(Eingaben!$B$13)),Eingaben!$B$13,"")))</f>
        <v>28.2744</v>
      </c>
      <c r="I2731" s="6">
        <f>INDEX(Netzzeiten!$C$6:$C$29,HOUR(B2731)+1)</f>
        <v>5.48</v>
      </c>
      <c r="J2731" t="str">
        <f>IF(C2731="","FEHLT",IF(NOT(ISNUMBER(C2731)),"MESSWERT UNGUELTIG",IF(C2731&lt;0,"MESSWERT UNGUELTIG",IF(H2731="","TARIFPREIS FEHLT","OK"))))</f>
        <v>FEHLT</v>
      </c>
      <c r="K2731" s="7">
        <f>IF(J2731&lt;&gt;"OK","",C2731*I2731/100)</f>
        <v/>
      </c>
    </row>
    <row r="2732" spans="1:11">
      <c r="A2732" s="14">
        <v>46171</v>
      </c>
      <c r="B2732" s="15">
        <v>0.3958333333333333</v>
      </c>
      <c r="C2732" s="5">
        <f>IF('96 Werte'!AN34="","",'96 Werte'!AN34)</f>
        <v/>
      </c>
      <c r="D2732" t="str">
        <f>IF(IF(Eingaben!$B$21&lt;Eingaben!$B$22,AND(B2732&gt;=Eingaben!$B$21,B2732&lt;Eingaben!$B$22),OR(B2732&gt;=Eingaben!$B$21,B2732&lt;Eingaben!$B$22)),"GO",IF(AND(ISNUMBER(Eingaben!$B$23),ISNUMBER(Eingaben!$B$24),IF(Eingaben!$B$23&lt;Eingaben!$B$24,AND(B2732&gt;=Eingaben!$B$23,B2732&lt;Eingaben!$B$24),OR(B2732&gt;=Eingaben!$B$23,B2732&lt;Eingaben!$B$24))),"HEAT","STANDARD"))</f>
        <v>STANDARD</v>
      </c>
      <c r="E2732" s="9"/>
      <c r="F2732" t="str">
        <f>IF(E2732="",D2732,E2732)</f>
        <v>STANDARD</v>
      </c>
      <c r="G2732" t="str">
        <f>INDEX(Netzzeiten!$B$6:$B$29,HOUR(B2732)+1)</f>
        <v>ST</v>
      </c>
      <c r="H2732" s="6">
        <f>IF(F2732="GO",Eingaben!$B$11,IF(F2732="STANDARD",Eingaben!$B$12,IF(AND(F2732="HEAT",ISNUMBER(Eingaben!$B$13)),Eingaben!$B$13,"")))</f>
        <v>28.2744</v>
      </c>
      <c r="I2732" s="6">
        <f>INDEX(Netzzeiten!$C$6:$C$29,HOUR(B2732)+1)</f>
        <v>5.48</v>
      </c>
      <c r="J2732" t="str">
        <f>IF(C2732="","FEHLT",IF(NOT(ISNUMBER(C2732)),"MESSWERT UNGUELTIG",IF(C2732&lt;0,"MESSWERT UNGUELTIG",IF(H2732="","TARIFPREIS FEHLT","OK"))))</f>
        <v>FEHLT</v>
      </c>
      <c r="K2732" s="7">
        <f>IF(J2732&lt;&gt;"OK","",C2732*I2732/100)</f>
        <v/>
      </c>
    </row>
    <row r="2733" spans="1:11">
      <c r="A2733" s="14">
        <v>46171</v>
      </c>
      <c r="B2733" s="15">
        <v>0.40625</v>
      </c>
      <c r="C2733" s="5">
        <f>IF('96 Werte'!AO34="","",'96 Werte'!AO34)</f>
        <v/>
      </c>
      <c r="D2733" t="str">
        <f>IF(IF(Eingaben!$B$21&lt;Eingaben!$B$22,AND(B2733&gt;=Eingaben!$B$21,B2733&lt;Eingaben!$B$22),OR(B2733&gt;=Eingaben!$B$21,B2733&lt;Eingaben!$B$22)),"GO",IF(AND(ISNUMBER(Eingaben!$B$23),ISNUMBER(Eingaben!$B$24),IF(Eingaben!$B$23&lt;Eingaben!$B$24,AND(B2733&gt;=Eingaben!$B$23,B2733&lt;Eingaben!$B$24),OR(B2733&gt;=Eingaben!$B$23,B2733&lt;Eingaben!$B$24))),"HEAT","STANDARD"))</f>
        <v>STANDARD</v>
      </c>
      <c r="E2733" s="9"/>
      <c r="F2733" t="str">
        <f>IF(E2733="",D2733,E2733)</f>
        <v>STANDARD</v>
      </c>
      <c r="G2733" t="str">
        <f>INDEX(Netzzeiten!$B$6:$B$29,HOUR(B2733)+1)</f>
        <v>ST</v>
      </c>
      <c r="H2733" s="6">
        <f>IF(F2733="GO",Eingaben!$B$11,IF(F2733="STANDARD",Eingaben!$B$12,IF(AND(F2733="HEAT",ISNUMBER(Eingaben!$B$13)),Eingaben!$B$13,"")))</f>
        <v>28.2744</v>
      </c>
      <c r="I2733" s="6">
        <f>INDEX(Netzzeiten!$C$6:$C$29,HOUR(B2733)+1)</f>
        <v>5.48</v>
      </c>
      <c r="J2733" t="str">
        <f>IF(C2733="","FEHLT",IF(NOT(ISNUMBER(C2733)),"MESSWERT UNGUELTIG",IF(C2733&lt;0,"MESSWERT UNGUELTIG",IF(H2733="","TARIFPREIS FEHLT","OK"))))</f>
        <v>FEHLT</v>
      </c>
      <c r="K2733" s="7">
        <f>IF(J2733&lt;&gt;"OK","",C2733*I2733/100)</f>
        <v/>
      </c>
    </row>
    <row r="2734" spans="1:11">
      <c r="A2734" s="14">
        <v>46171</v>
      </c>
      <c r="B2734" s="15">
        <v>0.4166666666666667</v>
      </c>
      <c r="C2734" s="5">
        <f>IF('96 Werte'!AP34="","",'96 Werte'!AP34)</f>
        <v/>
      </c>
      <c r="D2734" t="str">
        <f>IF(IF(Eingaben!$B$21&lt;Eingaben!$B$22,AND(B2734&gt;=Eingaben!$B$21,B2734&lt;Eingaben!$B$22),OR(B2734&gt;=Eingaben!$B$21,B2734&lt;Eingaben!$B$22)),"GO",IF(AND(ISNUMBER(Eingaben!$B$23),ISNUMBER(Eingaben!$B$24),IF(Eingaben!$B$23&lt;Eingaben!$B$24,AND(B2734&gt;=Eingaben!$B$23,B2734&lt;Eingaben!$B$24),OR(B2734&gt;=Eingaben!$B$23,B2734&lt;Eingaben!$B$24))),"HEAT","STANDARD"))</f>
        <v>STANDARD</v>
      </c>
      <c r="E2734" s="9"/>
      <c r="F2734" t="str">
        <f>IF(E2734="",D2734,E2734)</f>
        <v>STANDARD</v>
      </c>
      <c r="G2734" t="str">
        <f>INDEX(Netzzeiten!$B$6:$B$29,HOUR(B2734)+1)</f>
        <v>ST</v>
      </c>
      <c r="H2734" s="6">
        <f>IF(F2734="GO",Eingaben!$B$11,IF(F2734="STANDARD",Eingaben!$B$12,IF(AND(F2734="HEAT",ISNUMBER(Eingaben!$B$13)),Eingaben!$B$13,"")))</f>
        <v>28.2744</v>
      </c>
      <c r="I2734" s="6">
        <f>INDEX(Netzzeiten!$C$6:$C$29,HOUR(B2734)+1)</f>
        <v>5.48</v>
      </c>
      <c r="J2734" t="str">
        <f>IF(C2734="","FEHLT",IF(NOT(ISNUMBER(C2734)),"MESSWERT UNGUELTIG",IF(C2734&lt;0,"MESSWERT UNGUELTIG",IF(H2734="","TARIFPREIS FEHLT","OK"))))</f>
        <v>FEHLT</v>
      </c>
      <c r="K2734" s="7">
        <f>IF(J2734&lt;&gt;"OK","",C2734*I2734/100)</f>
        <v/>
      </c>
    </row>
    <row r="2735" spans="1:11">
      <c r="A2735" s="14">
        <v>46171</v>
      </c>
      <c r="B2735" s="15">
        <v>0.4270833333333333</v>
      </c>
      <c r="C2735" s="5">
        <f>IF('96 Werte'!AQ34="","",'96 Werte'!AQ34)</f>
        <v/>
      </c>
      <c r="D2735" t="str">
        <f>IF(IF(Eingaben!$B$21&lt;Eingaben!$B$22,AND(B2735&gt;=Eingaben!$B$21,B2735&lt;Eingaben!$B$22),OR(B2735&gt;=Eingaben!$B$21,B2735&lt;Eingaben!$B$22)),"GO",IF(AND(ISNUMBER(Eingaben!$B$23),ISNUMBER(Eingaben!$B$24),IF(Eingaben!$B$23&lt;Eingaben!$B$24,AND(B2735&gt;=Eingaben!$B$23,B2735&lt;Eingaben!$B$24),OR(B2735&gt;=Eingaben!$B$23,B2735&lt;Eingaben!$B$24))),"HEAT","STANDARD"))</f>
        <v>STANDARD</v>
      </c>
      <c r="E2735" s="9"/>
      <c r="F2735" t="str">
        <f>IF(E2735="",D2735,E2735)</f>
        <v>STANDARD</v>
      </c>
      <c r="G2735" t="str">
        <f>INDEX(Netzzeiten!$B$6:$B$29,HOUR(B2735)+1)</f>
        <v>ST</v>
      </c>
      <c r="H2735" s="6">
        <f>IF(F2735="GO",Eingaben!$B$11,IF(F2735="STANDARD",Eingaben!$B$12,IF(AND(F2735="HEAT",ISNUMBER(Eingaben!$B$13)),Eingaben!$B$13,"")))</f>
        <v>28.2744</v>
      </c>
      <c r="I2735" s="6">
        <f>INDEX(Netzzeiten!$C$6:$C$29,HOUR(B2735)+1)</f>
        <v>5.48</v>
      </c>
      <c r="J2735" t="str">
        <f>IF(C2735="","FEHLT",IF(NOT(ISNUMBER(C2735)),"MESSWERT UNGUELTIG",IF(C2735&lt;0,"MESSWERT UNGUELTIG",IF(H2735="","TARIFPREIS FEHLT","OK"))))</f>
        <v>FEHLT</v>
      </c>
      <c r="K2735" s="7">
        <f>IF(J2735&lt;&gt;"OK","",C2735*I2735/100)</f>
        <v/>
      </c>
    </row>
    <row r="2736" spans="1:11">
      <c r="A2736" s="14">
        <v>46171</v>
      </c>
      <c r="B2736" s="15">
        <v>0.4375</v>
      </c>
      <c r="C2736" s="5">
        <f>IF('96 Werte'!AR34="","",'96 Werte'!AR34)</f>
        <v/>
      </c>
      <c r="D2736" t="str">
        <f>IF(IF(Eingaben!$B$21&lt;Eingaben!$B$22,AND(B2736&gt;=Eingaben!$B$21,B2736&lt;Eingaben!$B$22),OR(B2736&gt;=Eingaben!$B$21,B2736&lt;Eingaben!$B$22)),"GO",IF(AND(ISNUMBER(Eingaben!$B$23),ISNUMBER(Eingaben!$B$24),IF(Eingaben!$B$23&lt;Eingaben!$B$24,AND(B2736&gt;=Eingaben!$B$23,B2736&lt;Eingaben!$B$24),OR(B2736&gt;=Eingaben!$B$23,B2736&lt;Eingaben!$B$24))),"HEAT","STANDARD"))</f>
        <v>STANDARD</v>
      </c>
      <c r="E2736" s="9"/>
      <c r="F2736" t="str">
        <f>IF(E2736="",D2736,E2736)</f>
        <v>STANDARD</v>
      </c>
      <c r="G2736" t="str">
        <f>INDEX(Netzzeiten!$B$6:$B$29,HOUR(B2736)+1)</f>
        <v>ST</v>
      </c>
      <c r="H2736" s="6">
        <f>IF(F2736="GO",Eingaben!$B$11,IF(F2736="STANDARD",Eingaben!$B$12,IF(AND(F2736="HEAT",ISNUMBER(Eingaben!$B$13)),Eingaben!$B$13,"")))</f>
        <v>28.2744</v>
      </c>
      <c r="I2736" s="6">
        <f>INDEX(Netzzeiten!$C$6:$C$29,HOUR(B2736)+1)</f>
        <v>5.48</v>
      </c>
      <c r="J2736" t="str">
        <f>IF(C2736="","FEHLT",IF(NOT(ISNUMBER(C2736)),"MESSWERT UNGUELTIG",IF(C2736&lt;0,"MESSWERT UNGUELTIG",IF(H2736="","TARIFPREIS FEHLT","OK"))))</f>
        <v>FEHLT</v>
      </c>
      <c r="K2736" s="7">
        <f>IF(J2736&lt;&gt;"OK","",C2736*I2736/100)</f>
        <v/>
      </c>
    </row>
    <row r="2737" spans="1:11">
      <c r="A2737" s="14">
        <v>46171</v>
      </c>
      <c r="B2737" s="15">
        <v>0.4479166666666667</v>
      </c>
      <c r="C2737" s="5">
        <f>IF('96 Werte'!AS34="","",'96 Werte'!AS34)</f>
        <v/>
      </c>
      <c r="D2737" t="str">
        <f>IF(IF(Eingaben!$B$21&lt;Eingaben!$B$22,AND(B2737&gt;=Eingaben!$B$21,B2737&lt;Eingaben!$B$22),OR(B2737&gt;=Eingaben!$B$21,B2737&lt;Eingaben!$B$22)),"GO",IF(AND(ISNUMBER(Eingaben!$B$23),ISNUMBER(Eingaben!$B$24),IF(Eingaben!$B$23&lt;Eingaben!$B$24,AND(B2737&gt;=Eingaben!$B$23,B2737&lt;Eingaben!$B$24),OR(B2737&gt;=Eingaben!$B$23,B2737&lt;Eingaben!$B$24))),"HEAT","STANDARD"))</f>
        <v>STANDARD</v>
      </c>
      <c r="E2737" s="9"/>
      <c r="F2737" t="str">
        <f>IF(E2737="",D2737,E2737)</f>
        <v>STANDARD</v>
      </c>
      <c r="G2737" t="str">
        <f>INDEX(Netzzeiten!$B$6:$B$29,HOUR(B2737)+1)</f>
        <v>ST</v>
      </c>
      <c r="H2737" s="6">
        <f>IF(F2737="GO",Eingaben!$B$11,IF(F2737="STANDARD",Eingaben!$B$12,IF(AND(F2737="HEAT",ISNUMBER(Eingaben!$B$13)),Eingaben!$B$13,"")))</f>
        <v>28.2744</v>
      </c>
      <c r="I2737" s="6">
        <f>INDEX(Netzzeiten!$C$6:$C$29,HOUR(B2737)+1)</f>
        <v>5.48</v>
      </c>
      <c r="J2737" t="str">
        <f>IF(C2737="","FEHLT",IF(NOT(ISNUMBER(C2737)),"MESSWERT UNGUELTIG",IF(C2737&lt;0,"MESSWERT UNGUELTIG",IF(H2737="","TARIFPREIS FEHLT","OK"))))</f>
        <v>FEHLT</v>
      </c>
      <c r="K2737" s="7">
        <f>IF(J2737&lt;&gt;"OK","",C2737*I2737/100)</f>
        <v/>
      </c>
    </row>
    <row r="2738" spans="1:11">
      <c r="A2738" s="14">
        <v>46171</v>
      </c>
      <c r="B2738" s="15">
        <v>0.4583333333333333</v>
      </c>
      <c r="C2738" s="5">
        <f>IF('96 Werte'!AT34="","",'96 Werte'!AT34)</f>
        <v/>
      </c>
      <c r="D2738" t="str">
        <f>IF(IF(Eingaben!$B$21&lt;Eingaben!$B$22,AND(B2738&gt;=Eingaben!$B$21,B2738&lt;Eingaben!$B$22),OR(B2738&gt;=Eingaben!$B$21,B2738&lt;Eingaben!$B$22)),"GO",IF(AND(ISNUMBER(Eingaben!$B$23),ISNUMBER(Eingaben!$B$24),IF(Eingaben!$B$23&lt;Eingaben!$B$24,AND(B2738&gt;=Eingaben!$B$23,B2738&lt;Eingaben!$B$24),OR(B2738&gt;=Eingaben!$B$23,B2738&lt;Eingaben!$B$24))),"HEAT","STANDARD"))</f>
        <v>STANDARD</v>
      </c>
      <c r="E2738" s="9"/>
      <c r="F2738" t="str">
        <f>IF(E2738="",D2738,E2738)</f>
        <v>STANDARD</v>
      </c>
      <c r="G2738" t="str">
        <f>INDEX(Netzzeiten!$B$6:$B$29,HOUR(B2738)+1)</f>
        <v>NT</v>
      </c>
      <c r="H2738" s="6">
        <f>IF(F2738="GO",Eingaben!$B$11,IF(F2738="STANDARD",Eingaben!$B$12,IF(AND(F2738="HEAT",ISNUMBER(Eingaben!$B$13)),Eingaben!$B$13,"")))</f>
        <v>28.2744</v>
      </c>
      <c r="I2738" s="6">
        <f>INDEX(Netzzeiten!$C$6:$C$29,HOUR(B2738)+1)</f>
        <v>1.64</v>
      </c>
      <c r="J2738" t="str">
        <f>IF(C2738="","FEHLT",IF(NOT(ISNUMBER(C2738)),"MESSWERT UNGUELTIG",IF(C2738&lt;0,"MESSWERT UNGUELTIG",IF(H2738="","TARIFPREIS FEHLT","OK"))))</f>
        <v>FEHLT</v>
      </c>
      <c r="K2738" s="7">
        <f>IF(J2738&lt;&gt;"OK","",C2738*I2738/100)</f>
        <v/>
      </c>
    </row>
    <row r="2739" spans="1:11">
      <c r="A2739" s="14">
        <v>46171</v>
      </c>
      <c r="B2739" s="15">
        <v>0.46875</v>
      </c>
      <c r="C2739" s="5">
        <f>IF('96 Werte'!AU34="","",'96 Werte'!AU34)</f>
        <v/>
      </c>
      <c r="D2739" t="str">
        <f>IF(IF(Eingaben!$B$21&lt;Eingaben!$B$22,AND(B2739&gt;=Eingaben!$B$21,B2739&lt;Eingaben!$B$22),OR(B2739&gt;=Eingaben!$B$21,B2739&lt;Eingaben!$B$22)),"GO",IF(AND(ISNUMBER(Eingaben!$B$23),ISNUMBER(Eingaben!$B$24),IF(Eingaben!$B$23&lt;Eingaben!$B$24,AND(B2739&gt;=Eingaben!$B$23,B2739&lt;Eingaben!$B$24),OR(B2739&gt;=Eingaben!$B$23,B2739&lt;Eingaben!$B$24))),"HEAT","STANDARD"))</f>
        <v>STANDARD</v>
      </c>
      <c r="E2739" s="9"/>
      <c r="F2739" t="str">
        <f>IF(E2739="",D2739,E2739)</f>
        <v>STANDARD</v>
      </c>
      <c r="G2739" t="str">
        <f>INDEX(Netzzeiten!$B$6:$B$29,HOUR(B2739)+1)</f>
        <v>NT</v>
      </c>
      <c r="H2739" s="6">
        <f>IF(F2739="GO",Eingaben!$B$11,IF(F2739="STANDARD",Eingaben!$B$12,IF(AND(F2739="HEAT",ISNUMBER(Eingaben!$B$13)),Eingaben!$B$13,"")))</f>
        <v>28.2744</v>
      </c>
      <c r="I2739" s="6">
        <f>INDEX(Netzzeiten!$C$6:$C$29,HOUR(B2739)+1)</f>
        <v>1.64</v>
      </c>
      <c r="J2739" t="str">
        <f>IF(C2739="","FEHLT",IF(NOT(ISNUMBER(C2739)),"MESSWERT UNGUELTIG",IF(C2739&lt;0,"MESSWERT UNGUELTIG",IF(H2739="","TARIFPREIS FEHLT","OK"))))</f>
        <v>FEHLT</v>
      </c>
      <c r="K2739" s="7">
        <f>IF(J2739&lt;&gt;"OK","",C2739*I2739/100)</f>
        <v/>
      </c>
    </row>
    <row r="2740" spans="1:11">
      <c r="A2740" s="14">
        <v>46171</v>
      </c>
      <c r="B2740" s="15">
        <v>0.4791666666666667</v>
      </c>
      <c r="C2740" s="5">
        <f>IF('96 Werte'!AV34="","",'96 Werte'!AV34)</f>
        <v/>
      </c>
      <c r="D2740" t="str">
        <f>IF(IF(Eingaben!$B$21&lt;Eingaben!$B$22,AND(B2740&gt;=Eingaben!$B$21,B2740&lt;Eingaben!$B$22),OR(B2740&gt;=Eingaben!$B$21,B2740&lt;Eingaben!$B$22)),"GO",IF(AND(ISNUMBER(Eingaben!$B$23),ISNUMBER(Eingaben!$B$24),IF(Eingaben!$B$23&lt;Eingaben!$B$24,AND(B2740&gt;=Eingaben!$B$23,B2740&lt;Eingaben!$B$24),OR(B2740&gt;=Eingaben!$B$23,B2740&lt;Eingaben!$B$24))),"HEAT","STANDARD"))</f>
        <v>STANDARD</v>
      </c>
      <c r="E2740" s="9"/>
      <c r="F2740" t="str">
        <f>IF(E2740="",D2740,E2740)</f>
        <v>STANDARD</v>
      </c>
      <c r="G2740" t="str">
        <f>INDEX(Netzzeiten!$B$6:$B$29,HOUR(B2740)+1)</f>
        <v>NT</v>
      </c>
      <c r="H2740" s="6">
        <f>IF(F2740="GO",Eingaben!$B$11,IF(F2740="STANDARD",Eingaben!$B$12,IF(AND(F2740="HEAT",ISNUMBER(Eingaben!$B$13)),Eingaben!$B$13,"")))</f>
        <v>28.2744</v>
      </c>
      <c r="I2740" s="6">
        <f>INDEX(Netzzeiten!$C$6:$C$29,HOUR(B2740)+1)</f>
        <v>1.64</v>
      </c>
      <c r="J2740" t="str">
        <f>IF(C2740="","FEHLT",IF(NOT(ISNUMBER(C2740)),"MESSWERT UNGUELTIG",IF(C2740&lt;0,"MESSWERT UNGUELTIG",IF(H2740="","TARIFPREIS FEHLT","OK"))))</f>
        <v>FEHLT</v>
      </c>
      <c r="K2740" s="7">
        <f>IF(J2740&lt;&gt;"OK","",C2740*I2740/100)</f>
        <v/>
      </c>
    </row>
    <row r="2741" spans="1:11">
      <c r="A2741" s="14">
        <v>46171</v>
      </c>
      <c r="B2741" s="15">
        <v>0.4895833333333333</v>
      </c>
      <c r="C2741" s="5">
        <f>IF('96 Werte'!AW34="","",'96 Werte'!AW34)</f>
        <v/>
      </c>
      <c r="D2741" t="str">
        <f>IF(IF(Eingaben!$B$21&lt;Eingaben!$B$22,AND(B2741&gt;=Eingaben!$B$21,B2741&lt;Eingaben!$B$22),OR(B2741&gt;=Eingaben!$B$21,B2741&lt;Eingaben!$B$22)),"GO",IF(AND(ISNUMBER(Eingaben!$B$23),ISNUMBER(Eingaben!$B$24),IF(Eingaben!$B$23&lt;Eingaben!$B$24,AND(B2741&gt;=Eingaben!$B$23,B2741&lt;Eingaben!$B$24),OR(B2741&gt;=Eingaben!$B$23,B2741&lt;Eingaben!$B$24))),"HEAT","STANDARD"))</f>
        <v>STANDARD</v>
      </c>
      <c r="E2741" s="9"/>
      <c r="F2741" t="str">
        <f>IF(E2741="",D2741,E2741)</f>
        <v>STANDARD</v>
      </c>
      <c r="G2741" t="str">
        <f>INDEX(Netzzeiten!$B$6:$B$29,HOUR(B2741)+1)</f>
        <v>NT</v>
      </c>
      <c r="H2741" s="6">
        <f>IF(F2741="GO",Eingaben!$B$11,IF(F2741="STANDARD",Eingaben!$B$12,IF(AND(F2741="HEAT",ISNUMBER(Eingaben!$B$13)),Eingaben!$B$13,"")))</f>
        <v>28.2744</v>
      </c>
      <c r="I2741" s="6">
        <f>INDEX(Netzzeiten!$C$6:$C$29,HOUR(B2741)+1)</f>
        <v>1.64</v>
      </c>
      <c r="J2741" t="str">
        <f>IF(C2741="","FEHLT",IF(NOT(ISNUMBER(C2741)),"MESSWERT UNGUELTIG",IF(C2741&lt;0,"MESSWERT UNGUELTIG",IF(H2741="","TARIFPREIS FEHLT","OK"))))</f>
        <v>FEHLT</v>
      </c>
      <c r="K2741" s="7">
        <f>IF(J2741&lt;&gt;"OK","",C2741*I2741/100)</f>
        <v/>
      </c>
    </row>
    <row r="2742" spans="1:11">
      <c r="A2742" s="14">
        <v>46171</v>
      </c>
      <c r="B2742" s="15">
        <v>0.5</v>
      </c>
      <c r="C2742" s="5">
        <f>IF('96 Werte'!AX34="","",'96 Werte'!AX34)</f>
        <v/>
      </c>
      <c r="D2742" t="str">
        <f>IF(IF(Eingaben!$B$21&lt;Eingaben!$B$22,AND(B2742&gt;=Eingaben!$B$21,B2742&lt;Eingaben!$B$22),OR(B2742&gt;=Eingaben!$B$21,B2742&lt;Eingaben!$B$22)),"GO",IF(AND(ISNUMBER(Eingaben!$B$23),ISNUMBER(Eingaben!$B$24),IF(Eingaben!$B$23&lt;Eingaben!$B$24,AND(B2742&gt;=Eingaben!$B$23,B2742&lt;Eingaben!$B$24),OR(B2742&gt;=Eingaben!$B$23,B2742&lt;Eingaben!$B$24))),"HEAT","STANDARD"))</f>
        <v>STANDARD</v>
      </c>
      <c r="E2742" s="9"/>
      <c r="F2742" t="str">
        <f>IF(E2742="",D2742,E2742)</f>
        <v>STANDARD</v>
      </c>
      <c r="G2742" t="str">
        <f>INDEX(Netzzeiten!$B$6:$B$29,HOUR(B2742)+1)</f>
        <v>NT</v>
      </c>
      <c r="H2742" s="6">
        <f>IF(F2742="GO",Eingaben!$B$11,IF(F2742="STANDARD",Eingaben!$B$12,IF(AND(F2742="HEAT",ISNUMBER(Eingaben!$B$13)),Eingaben!$B$13,"")))</f>
        <v>28.2744</v>
      </c>
      <c r="I2742" s="6">
        <f>INDEX(Netzzeiten!$C$6:$C$29,HOUR(B2742)+1)</f>
        <v>1.64</v>
      </c>
      <c r="J2742" t="str">
        <f>IF(C2742="","FEHLT",IF(NOT(ISNUMBER(C2742)),"MESSWERT UNGUELTIG",IF(C2742&lt;0,"MESSWERT UNGUELTIG",IF(H2742="","TARIFPREIS FEHLT","OK"))))</f>
        <v>FEHLT</v>
      </c>
      <c r="K2742" s="7">
        <f>IF(J2742&lt;&gt;"OK","",C2742*I2742/100)</f>
        <v/>
      </c>
    </row>
    <row r="2743" spans="1:11">
      <c r="A2743" s="14">
        <v>46171</v>
      </c>
      <c r="B2743" s="15">
        <v>0.5104166666666666</v>
      </c>
      <c r="C2743" s="5">
        <f>IF('96 Werte'!AY34="","",'96 Werte'!AY34)</f>
        <v/>
      </c>
      <c r="D2743" t="str">
        <f>IF(IF(Eingaben!$B$21&lt;Eingaben!$B$22,AND(B2743&gt;=Eingaben!$B$21,B2743&lt;Eingaben!$B$22),OR(B2743&gt;=Eingaben!$B$21,B2743&lt;Eingaben!$B$22)),"GO",IF(AND(ISNUMBER(Eingaben!$B$23),ISNUMBER(Eingaben!$B$24),IF(Eingaben!$B$23&lt;Eingaben!$B$24,AND(B2743&gt;=Eingaben!$B$23,B2743&lt;Eingaben!$B$24),OR(B2743&gt;=Eingaben!$B$23,B2743&lt;Eingaben!$B$24))),"HEAT","STANDARD"))</f>
        <v>STANDARD</v>
      </c>
      <c r="E2743" s="9"/>
      <c r="F2743" t="str">
        <f>IF(E2743="",D2743,E2743)</f>
        <v>STANDARD</v>
      </c>
      <c r="G2743" t="str">
        <f>INDEX(Netzzeiten!$B$6:$B$29,HOUR(B2743)+1)</f>
        <v>NT</v>
      </c>
      <c r="H2743" s="6">
        <f>IF(F2743="GO",Eingaben!$B$11,IF(F2743="STANDARD",Eingaben!$B$12,IF(AND(F2743="HEAT",ISNUMBER(Eingaben!$B$13)),Eingaben!$B$13,"")))</f>
        <v>28.2744</v>
      </c>
      <c r="I2743" s="6">
        <f>INDEX(Netzzeiten!$C$6:$C$29,HOUR(B2743)+1)</f>
        <v>1.64</v>
      </c>
      <c r="J2743" t="str">
        <f>IF(C2743="","FEHLT",IF(NOT(ISNUMBER(C2743)),"MESSWERT UNGUELTIG",IF(C2743&lt;0,"MESSWERT UNGUELTIG",IF(H2743="","TARIFPREIS FEHLT","OK"))))</f>
        <v>FEHLT</v>
      </c>
      <c r="K2743" s="7">
        <f>IF(J2743&lt;&gt;"OK","",C2743*I2743/100)</f>
        <v/>
      </c>
    </row>
    <row r="2744" spans="1:11">
      <c r="A2744" s="14">
        <v>46171</v>
      </c>
      <c r="B2744" s="15">
        <v>0.5208333333333334</v>
      </c>
      <c r="C2744" s="5">
        <f>IF('96 Werte'!AZ34="","",'96 Werte'!AZ34)</f>
        <v/>
      </c>
      <c r="D2744" t="str">
        <f>IF(IF(Eingaben!$B$21&lt;Eingaben!$B$22,AND(B2744&gt;=Eingaben!$B$21,B2744&lt;Eingaben!$B$22),OR(B2744&gt;=Eingaben!$B$21,B2744&lt;Eingaben!$B$22)),"GO",IF(AND(ISNUMBER(Eingaben!$B$23),ISNUMBER(Eingaben!$B$24),IF(Eingaben!$B$23&lt;Eingaben!$B$24,AND(B2744&gt;=Eingaben!$B$23,B2744&lt;Eingaben!$B$24),OR(B2744&gt;=Eingaben!$B$23,B2744&lt;Eingaben!$B$24))),"HEAT","STANDARD"))</f>
        <v>STANDARD</v>
      </c>
      <c r="E2744" s="9"/>
      <c r="F2744" t="str">
        <f>IF(E2744="",D2744,E2744)</f>
        <v>STANDARD</v>
      </c>
      <c r="G2744" t="str">
        <f>INDEX(Netzzeiten!$B$6:$B$29,HOUR(B2744)+1)</f>
        <v>NT</v>
      </c>
      <c r="H2744" s="6">
        <f>IF(F2744="GO",Eingaben!$B$11,IF(F2744="STANDARD",Eingaben!$B$12,IF(AND(F2744="HEAT",ISNUMBER(Eingaben!$B$13)),Eingaben!$B$13,"")))</f>
        <v>28.2744</v>
      </c>
      <c r="I2744" s="6">
        <f>INDEX(Netzzeiten!$C$6:$C$29,HOUR(B2744)+1)</f>
        <v>1.64</v>
      </c>
      <c r="J2744" t="str">
        <f>IF(C2744="","FEHLT",IF(NOT(ISNUMBER(C2744)),"MESSWERT UNGUELTIG",IF(C2744&lt;0,"MESSWERT UNGUELTIG",IF(H2744="","TARIFPREIS FEHLT","OK"))))</f>
        <v>FEHLT</v>
      </c>
      <c r="K2744" s="7">
        <f>IF(J2744&lt;&gt;"OK","",C2744*I2744/100)</f>
        <v/>
      </c>
    </row>
    <row r="2745" spans="1:11">
      <c r="A2745" s="14">
        <v>46171</v>
      </c>
      <c r="B2745" s="15">
        <v>0.53125</v>
      </c>
      <c r="C2745" s="5">
        <f>IF('96 Werte'!BA34="","",'96 Werte'!BA34)</f>
        <v/>
      </c>
      <c r="D2745" t="str">
        <f>IF(IF(Eingaben!$B$21&lt;Eingaben!$B$22,AND(B2745&gt;=Eingaben!$B$21,B2745&lt;Eingaben!$B$22),OR(B2745&gt;=Eingaben!$B$21,B2745&lt;Eingaben!$B$22)),"GO",IF(AND(ISNUMBER(Eingaben!$B$23),ISNUMBER(Eingaben!$B$24),IF(Eingaben!$B$23&lt;Eingaben!$B$24,AND(B2745&gt;=Eingaben!$B$23,B2745&lt;Eingaben!$B$24),OR(B2745&gt;=Eingaben!$B$23,B2745&lt;Eingaben!$B$24))),"HEAT","STANDARD"))</f>
        <v>STANDARD</v>
      </c>
      <c r="E2745" s="9"/>
      <c r="F2745" t="str">
        <f>IF(E2745="",D2745,E2745)</f>
        <v>STANDARD</v>
      </c>
      <c r="G2745" t="str">
        <f>INDEX(Netzzeiten!$B$6:$B$29,HOUR(B2745)+1)</f>
        <v>NT</v>
      </c>
      <c r="H2745" s="6">
        <f>IF(F2745="GO",Eingaben!$B$11,IF(F2745="STANDARD",Eingaben!$B$12,IF(AND(F2745="HEAT",ISNUMBER(Eingaben!$B$13)),Eingaben!$B$13,"")))</f>
        <v>28.2744</v>
      </c>
      <c r="I2745" s="6">
        <f>INDEX(Netzzeiten!$C$6:$C$29,HOUR(B2745)+1)</f>
        <v>1.64</v>
      </c>
      <c r="J2745" t="str">
        <f>IF(C2745="","FEHLT",IF(NOT(ISNUMBER(C2745)),"MESSWERT UNGUELTIG",IF(C2745&lt;0,"MESSWERT UNGUELTIG",IF(H2745="","TARIFPREIS FEHLT","OK"))))</f>
        <v>FEHLT</v>
      </c>
      <c r="K2745" s="7">
        <f>IF(J2745&lt;&gt;"OK","",C2745*I2745/100)</f>
        <v/>
      </c>
    </row>
    <row r="2746" spans="1:11">
      <c r="A2746" s="14">
        <v>46171</v>
      </c>
      <c r="B2746" s="15">
        <v>0.5416666666666666</v>
      </c>
      <c r="C2746" s="5">
        <f>IF('96 Werte'!BB34="","",'96 Werte'!BB34)</f>
        <v/>
      </c>
      <c r="D2746" t="str">
        <f>IF(IF(Eingaben!$B$21&lt;Eingaben!$B$22,AND(B2746&gt;=Eingaben!$B$21,B2746&lt;Eingaben!$B$22),OR(B2746&gt;=Eingaben!$B$21,B2746&lt;Eingaben!$B$22)),"GO",IF(AND(ISNUMBER(Eingaben!$B$23),ISNUMBER(Eingaben!$B$24),IF(Eingaben!$B$23&lt;Eingaben!$B$24,AND(B2746&gt;=Eingaben!$B$23,B2746&lt;Eingaben!$B$24),OR(B2746&gt;=Eingaben!$B$23,B2746&lt;Eingaben!$B$24))),"HEAT","STANDARD"))</f>
        <v>STANDARD</v>
      </c>
      <c r="E2746" s="9"/>
      <c r="F2746" t="str">
        <f>IF(E2746="",D2746,E2746)</f>
        <v>STANDARD</v>
      </c>
      <c r="G2746" t="str">
        <f>INDEX(Netzzeiten!$B$6:$B$29,HOUR(B2746)+1)</f>
        <v>NT</v>
      </c>
      <c r="H2746" s="6">
        <f>IF(F2746="GO",Eingaben!$B$11,IF(F2746="STANDARD",Eingaben!$B$12,IF(AND(F2746="HEAT",ISNUMBER(Eingaben!$B$13)),Eingaben!$B$13,"")))</f>
        <v>28.2744</v>
      </c>
      <c r="I2746" s="6">
        <f>INDEX(Netzzeiten!$C$6:$C$29,HOUR(B2746)+1)</f>
        <v>1.64</v>
      </c>
      <c r="J2746" t="str">
        <f>IF(C2746="","FEHLT",IF(NOT(ISNUMBER(C2746)),"MESSWERT UNGUELTIG",IF(C2746&lt;0,"MESSWERT UNGUELTIG",IF(H2746="","TARIFPREIS FEHLT","OK"))))</f>
        <v>FEHLT</v>
      </c>
      <c r="K2746" s="7">
        <f>IF(J2746&lt;&gt;"OK","",C2746*I2746/100)</f>
        <v/>
      </c>
    </row>
    <row r="2747" spans="1:11">
      <c r="A2747" s="14">
        <v>46171</v>
      </c>
      <c r="B2747" s="15">
        <v>0.5520833333333334</v>
      </c>
      <c r="C2747" s="5">
        <f>IF('96 Werte'!BC34="","",'96 Werte'!BC34)</f>
        <v/>
      </c>
      <c r="D2747" t="str">
        <f>IF(IF(Eingaben!$B$21&lt;Eingaben!$B$22,AND(B2747&gt;=Eingaben!$B$21,B2747&lt;Eingaben!$B$22),OR(B2747&gt;=Eingaben!$B$21,B2747&lt;Eingaben!$B$22)),"GO",IF(AND(ISNUMBER(Eingaben!$B$23),ISNUMBER(Eingaben!$B$24),IF(Eingaben!$B$23&lt;Eingaben!$B$24,AND(B2747&gt;=Eingaben!$B$23,B2747&lt;Eingaben!$B$24),OR(B2747&gt;=Eingaben!$B$23,B2747&lt;Eingaben!$B$24))),"HEAT","STANDARD"))</f>
        <v>STANDARD</v>
      </c>
      <c r="E2747" s="9"/>
      <c r="F2747" t="str">
        <f>IF(E2747="",D2747,E2747)</f>
        <v>STANDARD</v>
      </c>
      <c r="G2747" t="str">
        <f>INDEX(Netzzeiten!$B$6:$B$29,HOUR(B2747)+1)</f>
        <v>NT</v>
      </c>
      <c r="H2747" s="6">
        <f>IF(F2747="GO",Eingaben!$B$11,IF(F2747="STANDARD",Eingaben!$B$12,IF(AND(F2747="HEAT",ISNUMBER(Eingaben!$B$13)),Eingaben!$B$13,"")))</f>
        <v>28.2744</v>
      </c>
      <c r="I2747" s="6">
        <f>INDEX(Netzzeiten!$C$6:$C$29,HOUR(B2747)+1)</f>
        <v>1.64</v>
      </c>
      <c r="J2747" t="str">
        <f>IF(C2747="","FEHLT",IF(NOT(ISNUMBER(C2747)),"MESSWERT UNGUELTIG",IF(C2747&lt;0,"MESSWERT UNGUELTIG",IF(H2747="","TARIFPREIS FEHLT","OK"))))</f>
        <v>FEHLT</v>
      </c>
      <c r="K2747" s="7">
        <f>IF(J2747&lt;&gt;"OK","",C2747*I2747/100)</f>
        <v/>
      </c>
    </row>
    <row r="2748" spans="1:11">
      <c r="A2748" s="14">
        <v>46171</v>
      </c>
      <c r="B2748" s="15">
        <v>0.5625</v>
      </c>
      <c r="C2748" s="5">
        <f>IF('96 Werte'!BD34="","",'96 Werte'!BD34)</f>
        <v/>
      </c>
      <c r="D2748" t="str">
        <f>IF(IF(Eingaben!$B$21&lt;Eingaben!$B$22,AND(B2748&gt;=Eingaben!$B$21,B2748&lt;Eingaben!$B$22),OR(B2748&gt;=Eingaben!$B$21,B2748&lt;Eingaben!$B$22)),"GO",IF(AND(ISNUMBER(Eingaben!$B$23),ISNUMBER(Eingaben!$B$24),IF(Eingaben!$B$23&lt;Eingaben!$B$24,AND(B2748&gt;=Eingaben!$B$23,B2748&lt;Eingaben!$B$24),OR(B2748&gt;=Eingaben!$B$23,B2748&lt;Eingaben!$B$24))),"HEAT","STANDARD"))</f>
        <v>STANDARD</v>
      </c>
      <c r="E2748" s="9"/>
      <c r="F2748" t="str">
        <f>IF(E2748="",D2748,E2748)</f>
        <v>STANDARD</v>
      </c>
      <c r="G2748" t="str">
        <f>INDEX(Netzzeiten!$B$6:$B$29,HOUR(B2748)+1)</f>
        <v>NT</v>
      </c>
      <c r="H2748" s="6">
        <f>IF(F2748="GO",Eingaben!$B$11,IF(F2748="STANDARD",Eingaben!$B$12,IF(AND(F2748="HEAT",ISNUMBER(Eingaben!$B$13)),Eingaben!$B$13,"")))</f>
        <v>28.2744</v>
      </c>
      <c r="I2748" s="6">
        <f>INDEX(Netzzeiten!$C$6:$C$29,HOUR(B2748)+1)</f>
        <v>1.64</v>
      </c>
      <c r="J2748" t="str">
        <f>IF(C2748="","FEHLT",IF(NOT(ISNUMBER(C2748)),"MESSWERT UNGUELTIG",IF(C2748&lt;0,"MESSWERT UNGUELTIG",IF(H2748="","TARIFPREIS FEHLT","OK"))))</f>
        <v>FEHLT</v>
      </c>
      <c r="K2748" s="7">
        <f>IF(J2748&lt;&gt;"OK","",C2748*I2748/100)</f>
        <v/>
      </c>
    </row>
    <row r="2749" spans="1:11">
      <c r="A2749" s="14">
        <v>46171</v>
      </c>
      <c r="B2749" s="15">
        <v>0.5729166666666666</v>
      </c>
      <c r="C2749" s="5">
        <f>IF('96 Werte'!BE34="","",'96 Werte'!BE34)</f>
        <v/>
      </c>
      <c r="D2749" t="str">
        <f>IF(IF(Eingaben!$B$21&lt;Eingaben!$B$22,AND(B2749&gt;=Eingaben!$B$21,B2749&lt;Eingaben!$B$22),OR(B2749&gt;=Eingaben!$B$21,B2749&lt;Eingaben!$B$22)),"GO",IF(AND(ISNUMBER(Eingaben!$B$23),ISNUMBER(Eingaben!$B$24),IF(Eingaben!$B$23&lt;Eingaben!$B$24,AND(B2749&gt;=Eingaben!$B$23,B2749&lt;Eingaben!$B$24),OR(B2749&gt;=Eingaben!$B$23,B2749&lt;Eingaben!$B$24))),"HEAT","STANDARD"))</f>
        <v>STANDARD</v>
      </c>
      <c r="E2749" s="9"/>
      <c r="F2749" t="str">
        <f>IF(E2749="",D2749,E2749)</f>
        <v>STANDARD</v>
      </c>
      <c r="G2749" t="str">
        <f>INDEX(Netzzeiten!$B$6:$B$29,HOUR(B2749)+1)</f>
        <v>NT</v>
      </c>
      <c r="H2749" s="6">
        <f>IF(F2749="GO",Eingaben!$B$11,IF(F2749="STANDARD",Eingaben!$B$12,IF(AND(F2749="HEAT",ISNUMBER(Eingaben!$B$13)),Eingaben!$B$13,"")))</f>
        <v>28.2744</v>
      </c>
      <c r="I2749" s="6">
        <f>INDEX(Netzzeiten!$C$6:$C$29,HOUR(B2749)+1)</f>
        <v>1.64</v>
      </c>
      <c r="J2749" t="str">
        <f>IF(C2749="","FEHLT",IF(NOT(ISNUMBER(C2749)),"MESSWERT UNGUELTIG",IF(C2749&lt;0,"MESSWERT UNGUELTIG",IF(H2749="","TARIFPREIS FEHLT","OK"))))</f>
        <v>FEHLT</v>
      </c>
      <c r="K2749" s="7">
        <f>IF(J2749&lt;&gt;"OK","",C2749*I2749/100)</f>
        <v/>
      </c>
    </row>
    <row r="2750" spans="1:11">
      <c r="A2750" s="14">
        <v>46171</v>
      </c>
      <c r="B2750" s="15">
        <v>0.5833333333333334</v>
      </c>
      <c r="C2750" s="5">
        <f>IF('96 Werte'!BF34="","",'96 Werte'!BF34)</f>
        <v/>
      </c>
      <c r="D2750" t="str">
        <f>IF(IF(Eingaben!$B$21&lt;Eingaben!$B$22,AND(B2750&gt;=Eingaben!$B$21,B2750&lt;Eingaben!$B$22),OR(B2750&gt;=Eingaben!$B$21,B2750&lt;Eingaben!$B$22)),"GO",IF(AND(ISNUMBER(Eingaben!$B$23),ISNUMBER(Eingaben!$B$24),IF(Eingaben!$B$23&lt;Eingaben!$B$24,AND(B2750&gt;=Eingaben!$B$23,B2750&lt;Eingaben!$B$24),OR(B2750&gt;=Eingaben!$B$23,B2750&lt;Eingaben!$B$24))),"HEAT","STANDARD"))</f>
        <v>STANDARD</v>
      </c>
      <c r="E2750" s="9"/>
      <c r="F2750" t="str">
        <f>IF(E2750="",D2750,E2750)</f>
        <v>STANDARD</v>
      </c>
      <c r="G2750" t="str">
        <f>INDEX(Netzzeiten!$B$6:$B$29,HOUR(B2750)+1)</f>
        <v>NT</v>
      </c>
      <c r="H2750" s="6">
        <f>IF(F2750="GO",Eingaben!$B$11,IF(F2750="STANDARD",Eingaben!$B$12,IF(AND(F2750="HEAT",ISNUMBER(Eingaben!$B$13)),Eingaben!$B$13,"")))</f>
        <v>28.2744</v>
      </c>
      <c r="I2750" s="6">
        <f>INDEX(Netzzeiten!$C$6:$C$29,HOUR(B2750)+1)</f>
        <v>1.64</v>
      </c>
      <c r="J2750" t="str">
        <f>IF(C2750="","FEHLT",IF(NOT(ISNUMBER(C2750)),"MESSWERT UNGUELTIG",IF(C2750&lt;0,"MESSWERT UNGUELTIG",IF(H2750="","TARIFPREIS FEHLT","OK"))))</f>
        <v>FEHLT</v>
      </c>
      <c r="K2750" s="7">
        <f>IF(J2750&lt;&gt;"OK","",C2750*I2750/100)</f>
        <v/>
      </c>
    </row>
    <row r="2751" spans="1:11">
      <c r="A2751" s="14">
        <v>46171</v>
      </c>
      <c r="B2751" s="15">
        <v>0.59375</v>
      </c>
      <c r="C2751" s="5">
        <f>IF('96 Werte'!BG34="","",'96 Werte'!BG34)</f>
        <v/>
      </c>
      <c r="D2751" t="str">
        <f>IF(IF(Eingaben!$B$21&lt;Eingaben!$B$22,AND(B2751&gt;=Eingaben!$B$21,B2751&lt;Eingaben!$B$22),OR(B2751&gt;=Eingaben!$B$21,B2751&lt;Eingaben!$B$22)),"GO",IF(AND(ISNUMBER(Eingaben!$B$23),ISNUMBER(Eingaben!$B$24),IF(Eingaben!$B$23&lt;Eingaben!$B$24,AND(B2751&gt;=Eingaben!$B$23,B2751&lt;Eingaben!$B$24),OR(B2751&gt;=Eingaben!$B$23,B2751&lt;Eingaben!$B$24))),"HEAT","STANDARD"))</f>
        <v>STANDARD</v>
      </c>
      <c r="E2751" s="9"/>
      <c r="F2751" t="str">
        <f>IF(E2751="",D2751,E2751)</f>
        <v>STANDARD</v>
      </c>
      <c r="G2751" t="str">
        <f>INDEX(Netzzeiten!$B$6:$B$29,HOUR(B2751)+1)</f>
        <v>NT</v>
      </c>
      <c r="H2751" s="6">
        <f>IF(F2751="GO",Eingaben!$B$11,IF(F2751="STANDARD",Eingaben!$B$12,IF(AND(F2751="HEAT",ISNUMBER(Eingaben!$B$13)),Eingaben!$B$13,"")))</f>
        <v>28.2744</v>
      </c>
      <c r="I2751" s="6">
        <f>INDEX(Netzzeiten!$C$6:$C$29,HOUR(B2751)+1)</f>
        <v>1.64</v>
      </c>
      <c r="J2751" t="str">
        <f>IF(C2751="","FEHLT",IF(NOT(ISNUMBER(C2751)),"MESSWERT UNGUELTIG",IF(C2751&lt;0,"MESSWERT UNGUELTIG",IF(H2751="","TARIFPREIS FEHLT","OK"))))</f>
        <v>FEHLT</v>
      </c>
      <c r="K2751" s="7">
        <f>IF(J2751&lt;&gt;"OK","",C2751*I2751/100)</f>
        <v/>
      </c>
    </row>
    <row r="2752" spans="1:11">
      <c r="A2752" s="14">
        <v>46171</v>
      </c>
      <c r="B2752" s="15">
        <v>0.6041666666666666</v>
      </c>
      <c r="C2752" s="5">
        <f>IF('96 Werte'!BH34="","",'96 Werte'!BH34)</f>
        <v/>
      </c>
      <c r="D2752" t="str">
        <f>IF(IF(Eingaben!$B$21&lt;Eingaben!$B$22,AND(B2752&gt;=Eingaben!$B$21,B2752&lt;Eingaben!$B$22),OR(B2752&gt;=Eingaben!$B$21,B2752&lt;Eingaben!$B$22)),"GO",IF(AND(ISNUMBER(Eingaben!$B$23),ISNUMBER(Eingaben!$B$24),IF(Eingaben!$B$23&lt;Eingaben!$B$24,AND(B2752&gt;=Eingaben!$B$23,B2752&lt;Eingaben!$B$24),OR(B2752&gt;=Eingaben!$B$23,B2752&lt;Eingaben!$B$24))),"HEAT","STANDARD"))</f>
        <v>STANDARD</v>
      </c>
      <c r="E2752" s="9"/>
      <c r="F2752" t="str">
        <f>IF(E2752="",D2752,E2752)</f>
        <v>STANDARD</v>
      </c>
      <c r="G2752" t="str">
        <f>INDEX(Netzzeiten!$B$6:$B$29,HOUR(B2752)+1)</f>
        <v>NT</v>
      </c>
      <c r="H2752" s="6">
        <f>IF(F2752="GO",Eingaben!$B$11,IF(F2752="STANDARD",Eingaben!$B$12,IF(AND(F2752="HEAT",ISNUMBER(Eingaben!$B$13)),Eingaben!$B$13,"")))</f>
        <v>28.2744</v>
      </c>
      <c r="I2752" s="6">
        <f>INDEX(Netzzeiten!$C$6:$C$29,HOUR(B2752)+1)</f>
        <v>1.64</v>
      </c>
      <c r="J2752" t="str">
        <f>IF(C2752="","FEHLT",IF(NOT(ISNUMBER(C2752)),"MESSWERT UNGUELTIG",IF(C2752&lt;0,"MESSWERT UNGUELTIG",IF(H2752="","TARIFPREIS FEHLT","OK"))))</f>
        <v>FEHLT</v>
      </c>
      <c r="K2752" s="7">
        <f>IF(J2752&lt;&gt;"OK","",C2752*I2752/100)</f>
        <v/>
      </c>
    </row>
    <row r="2753" spans="1:11">
      <c r="A2753" s="14">
        <v>46171</v>
      </c>
      <c r="B2753" s="15">
        <v>0.6145833333333334</v>
      </c>
      <c r="C2753" s="5">
        <f>IF('96 Werte'!BI34="","",'96 Werte'!BI34)</f>
        <v/>
      </c>
      <c r="D2753" t="str">
        <f>IF(IF(Eingaben!$B$21&lt;Eingaben!$B$22,AND(B2753&gt;=Eingaben!$B$21,B2753&lt;Eingaben!$B$22),OR(B2753&gt;=Eingaben!$B$21,B2753&lt;Eingaben!$B$22)),"GO",IF(AND(ISNUMBER(Eingaben!$B$23),ISNUMBER(Eingaben!$B$24),IF(Eingaben!$B$23&lt;Eingaben!$B$24,AND(B2753&gt;=Eingaben!$B$23,B2753&lt;Eingaben!$B$24),OR(B2753&gt;=Eingaben!$B$23,B2753&lt;Eingaben!$B$24))),"HEAT","STANDARD"))</f>
        <v>STANDARD</v>
      </c>
      <c r="E2753" s="9"/>
      <c r="F2753" t="str">
        <f>IF(E2753="",D2753,E2753)</f>
        <v>STANDARD</v>
      </c>
      <c r="G2753" t="str">
        <f>INDEX(Netzzeiten!$B$6:$B$29,HOUR(B2753)+1)</f>
        <v>NT</v>
      </c>
      <c r="H2753" s="6">
        <f>IF(F2753="GO",Eingaben!$B$11,IF(F2753="STANDARD",Eingaben!$B$12,IF(AND(F2753="HEAT",ISNUMBER(Eingaben!$B$13)),Eingaben!$B$13,"")))</f>
        <v>28.2744</v>
      </c>
      <c r="I2753" s="6">
        <f>INDEX(Netzzeiten!$C$6:$C$29,HOUR(B2753)+1)</f>
        <v>1.64</v>
      </c>
      <c r="J2753" t="str">
        <f>IF(C2753="","FEHLT",IF(NOT(ISNUMBER(C2753)),"MESSWERT UNGUELTIG",IF(C2753&lt;0,"MESSWERT UNGUELTIG",IF(H2753="","TARIFPREIS FEHLT","OK"))))</f>
        <v>FEHLT</v>
      </c>
      <c r="K2753" s="7">
        <f>IF(J2753&lt;&gt;"OK","",C2753*I2753/100)</f>
        <v/>
      </c>
    </row>
    <row r="2754" spans="1:11">
      <c r="A2754" s="14">
        <v>46171</v>
      </c>
      <c r="B2754" s="15">
        <v>0.625</v>
      </c>
      <c r="C2754" s="5">
        <f>IF('96 Werte'!BJ34="","",'96 Werte'!BJ34)</f>
        <v/>
      </c>
      <c r="D2754" t="str">
        <f>IF(IF(Eingaben!$B$21&lt;Eingaben!$B$22,AND(B2754&gt;=Eingaben!$B$21,B2754&lt;Eingaben!$B$22),OR(B2754&gt;=Eingaben!$B$21,B2754&lt;Eingaben!$B$22)),"GO",IF(AND(ISNUMBER(Eingaben!$B$23),ISNUMBER(Eingaben!$B$24),IF(Eingaben!$B$23&lt;Eingaben!$B$24,AND(B2754&gt;=Eingaben!$B$23,B2754&lt;Eingaben!$B$24),OR(B2754&gt;=Eingaben!$B$23,B2754&lt;Eingaben!$B$24))),"HEAT","STANDARD"))</f>
        <v>STANDARD</v>
      </c>
      <c r="E2754" s="9"/>
      <c r="F2754" t="str">
        <f>IF(E2754="",D2754,E2754)</f>
        <v>STANDARD</v>
      </c>
      <c r="G2754" t="str">
        <f>INDEX(Netzzeiten!$B$6:$B$29,HOUR(B2754)+1)</f>
        <v>ST</v>
      </c>
      <c r="H2754" s="6">
        <f>IF(F2754="GO",Eingaben!$B$11,IF(F2754="STANDARD",Eingaben!$B$12,IF(AND(F2754="HEAT",ISNUMBER(Eingaben!$B$13)),Eingaben!$B$13,"")))</f>
        <v>28.2744</v>
      </c>
      <c r="I2754" s="6">
        <f>INDEX(Netzzeiten!$C$6:$C$29,HOUR(B2754)+1)</f>
        <v>5.48</v>
      </c>
      <c r="J2754" t="str">
        <f>IF(C2754="","FEHLT",IF(NOT(ISNUMBER(C2754)),"MESSWERT UNGUELTIG",IF(C2754&lt;0,"MESSWERT UNGUELTIG",IF(H2754="","TARIFPREIS FEHLT","OK"))))</f>
        <v>FEHLT</v>
      </c>
      <c r="K2754" s="7">
        <f>IF(J2754&lt;&gt;"OK","",C2754*I2754/100)</f>
        <v/>
      </c>
    </row>
    <row r="2755" spans="1:11">
      <c r="A2755" s="14">
        <v>46171</v>
      </c>
      <c r="B2755" s="15">
        <v>0.6354166666666666</v>
      </c>
      <c r="C2755" s="5">
        <f>IF('96 Werte'!BK34="","",'96 Werte'!BK34)</f>
        <v/>
      </c>
      <c r="D2755" t="str">
        <f>IF(IF(Eingaben!$B$21&lt;Eingaben!$B$22,AND(B2755&gt;=Eingaben!$B$21,B2755&lt;Eingaben!$B$22),OR(B2755&gt;=Eingaben!$B$21,B2755&lt;Eingaben!$B$22)),"GO",IF(AND(ISNUMBER(Eingaben!$B$23),ISNUMBER(Eingaben!$B$24),IF(Eingaben!$B$23&lt;Eingaben!$B$24,AND(B2755&gt;=Eingaben!$B$23,B2755&lt;Eingaben!$B$24),OR(B2755&gt;=Eingaben!$B$23,B2755&lt;Eingaben!$B$24))),"HEAT","STANDARD"))</f>
        <v>STANDARD</v>
      </c>
      <c r="E2755" s="9"/>
      <c r="F2755" t="str">
        <f>IF(E2755="",D2755,E2755)</f>
        <v>STANDARD</v>
      </c>
      <c r="G2755" t="str">
        <f>INDEX(Netzzeiten!$B$6:$B$29,HOUR(B2755)+1)</f>
        <v>ST</v>
      </c>
      <c r="H2755" s="6">
        <f>IF(F2755="GO",Eingaben!$B$11,IF(F2755="STANDARD",Eingaben!$B$12,IF(AND(F2755="HEAT",ISNUMBER(Eingaben!$B$13)),Eingaben!$B$13,"")))</f>
        <v>28.2744</v>
      </c>
      <c r="I2755" s="6">
        <f>INDEX(Netzzeiten!$C$6:$C$29,HOUR(B2755)+1)</f>
        <v>5.48</v>
      </c>
      <c r="J2755" t="str">
        <f>IF(C2755="","FEHLT",IF(NOT(ISNUMBER(C2755)),"MESSWERT UNGUELTIG",IF(C2755&lt;0,"MESSWERT UNGUELTIG",IF(H2755="","TARIFPREIS FEHLT","OK"))))</f>
        <v>FEHLT</v>
      </c>
      <c r="K2755" s="7">
        <f>IF(J2755&lt;&gt;"OK","",C2755*I2755/100)</f>
        <v/>
      </c>
    </row>
    <row r="2756" spans="1:11">
      <c r="A2756" s="14">
        <v>46171</v>
      </c>
      <c r="B2756" s="15">
        <v>0.6458333333333334</v>
      </c>
      <c r="C2756" s="5">
        <f>IF('96 Werte'!BL34="","",'96 Werte'!BL34)</f>
        <v/>
      </c>
      <c r="D2756" t="str">
        <f>IF(IF(Eingaben!$B$21&lt;Eingaben!$B$22,AND(B2756&gt;=Eingaben!$B$21,B2756&lt;Eingaben!$B$22),OR(B2756&gt;=Eingaben!$B$21,B2756&lt;Eingaben!$B$22)),"GO",IF(AND(ISNUMBER(Eingaben!$B$23),ISNUMBER(Eingaben!$B$24),IF(Eingaben!$B$23&lt;Eingaben!$B$24,AND(B2756&gt;=Eingaben!$B$23,B2756&lt;Eingaben!$B$24),OR(B2756&gt;=Eingaben!$B$23,B2756&lt;Eingaben!$B$24))),"HEAT","STANDARD"))</f>
        <v>STANDARD</v>
      </c>
      <c r="E2756" s="9"/>
      <c r="F2756" t="str">
        <f>IF(E2756="",D2756,E2756)</f>
        <v>STANDARD</v>
      </c>
      <c r="G2756" t="str">
        <f>INDEX(Netzzeiten!$B$6:$B$29,HOUR(B2756)+1)</f>
        <v>ST</v>
      </c>
      <c r="H2756" s="6">
        <f>IF(F2756="GO",Eingaben!$B$11,IF(F2756="STANDARD",Eingaben!$B$12,IF(AND(F2756="HEAT",ISNUMBER(Eingaben!$B$13)),Eingaben!$B$13,"")))</f>
        <v>28.2744</v>
      </c>
      <c r="I2756" s="6">
        <f>INDEX(Netzzeiten!$C$6:$C$29,HOUR(B2756)+1)</f>
        <v>5.48</v>
      </c>
      <c r="J2756" t="str">
        <f>IF(C2756="","FEHLT",IF(NOT(ISNUMBER(C2756)),"MESSWERT UNGUELTIG",IF(C2756&lt;0,"MESSWERT UNGUELTIG",IF(H2756="","TARIFPREIS FEHLT","OK"))))</f>
        <v>FEHLT</v>
      </c>
      <c r="K2756" s="7">
        <f>IF(J2756&lt;&gt;"OK","",C2756*I2756/100)</f>
        <v/>
      </c>
    </row>
    <row r="2757" spans="1:11">
      <c r="A2757" s="14">
        <v>46171</v>
      </c>
      <c r="B2757" s="15">
        <v>0.65625</v>
      </c>
      <c r="C2757" s="5">
        <f>IF('96 Werte'!BM34="","",'96 Werte'!BM34)</f>
        <v/>
      </c>
      <c r="D2757" t="str">
        <f>IF(IF(Eingaben!$B$21&lt;Eingaben!$B$22,AND(B2757&gt;=Eingaben!$B$21,B2757&lt;Eingaben!$B$22),OR(B2757&gt;=Eingaben!$B$21,B2757&lt;Eingaben!$B$22)),"GO",IF(AND(ISNUMBER(Eingaben!$B$23),ISNUMBER(Eingaben!$B$24),IF(Eingaben!$B$23&lt;Eingaben!$B$24,AND(B2757&gt;=Eingaben!$B$23,B2757&lt;Eingaben!$B$24),OR(B2757&gt;=Eingaben!$B$23,B2757&lt;Eingaben!$B$24))),"HEAT","STANDARD"))</f>
        <v>STANDARD</v>
      </c>
      <c r="E2757" s="9"/>
      <c r="F2757" t="str">
        <f>IF(E2757="",D2757,E2757)</f>
        <v>STANDARD</v>
      </c>
      <c r="G2757" t="str">
        <f>INDEX(Netzzeiten!$B$6:$B$29,HOUR(B2757)+1)</f>
        <v>ST</v>
      </c>
      <c r="H2757" s="6">
        <f>IF(F2757="GO",Eingaben!$B$11,IF(F2757="STANDARD",Eingaben!$B$12,IF(AND(F2757="HEAT",ISNUMBER(Eingaben!$B$13)),Eingaben!$B$13,"")))</f>
        <v>28.2744</v>
      </c>
      <c r="I2757" s="6">
        <f>INDEX(Netzzeiten!$C$6:$C$29,HOUR(B2757)+1)</f>
        <v>5.48</v>
      </c>
      <c r="J2757" t="str">
        <f>IF(C2757="","FEHLT",IF(NOT(ISNUMBER(C2757)),"MESSWERT UNGUELTIG",IF(C2757&lt;0,"MESSWERT UNGUELTIG",IF(H2757="","TARIFPREIS FEHLT","OK"))))</f>
        <v>FEHLT</v>
      </c>
      <c r="K2757" s="7">
        <f>IF(J2757&lt;&gt;"OK","",C2757*I2757/100)</f>
        <v/>
      </c>
    </row>
    <row r="2758" spans="1:11">
      <c r="A2758" s="14">
        <v>46171</v>
      </c>
      <c r="B2758" s="15">
        <v>0.6666666666666666</v>
      </c>
      <c r="C2758" s="5">
        <f>IF('96 Werte'!BN34="","",'96 Werte'!BN34)</f>
        <v/>
      </c>
      <c r="D2758" t="str">
        <f>IF(IF(Eingaben!$B$21&lt;Eingaben!$B$22,AND(B2758&gt;=Eingaben!$B$21,B2758&lt;Eingaben!$B$22),OR(B2758&gt;=Eingaben!$B$21,B2758&lt;Eingaben!$B$22)),"GO",IF(AND(ISNUMBER(Eingaben!$B$23),ISNUMBER(Eingaben!$B$24),IF(Eingaben!$B$23&lt;Eingaben!$B$24,AND(B2758&gt;=Eingaben!$B$23,B2758&lt;Eingaben!$B$24),OR(B2758&gt;=Eingaben!$B$23,B2758&lt;Eingaben!$B$24))),"HEAT","STANDARD"))</f>
        <v>STANDARD</v>
      </c>
      <c r="E2758" s="9"/>
      <c r="F2758" t="str">
        <f>IF(E2758="",D2758,E2758)</f>
        <v>STANDARD</v>
      </c>
      <c r="G2758" t="str">
        <f>INDEX(Netzzeiten!$B$6:$B$29,HOUR(B2758)+1)</f>
        <v>ST</v>
      </c>
      <c r="H2758" s="6">
        <f>IF(F2758="GO",Eingaben!$B$11,IF(F2758="STANDARD",Eingaben!$B$12,IF(AND(F2758="HEAT",ISNUMBER(Eingaben!$B$13)),Eingaben!$B$13,"")))</f>
        <v>28.2744</v>
      </c>
      <c r="I2758" s="6">
        <f>INDEX(Netzzeiten!$C$6:$C$29,HOUR(B2758)+1)</f>
        <v>5.48</v>
      </c>
      <c r="J2758" t="str">
        <f>IF(C2758="","FEHLT",IF(NOT(ISNUMBER(C2758)),"MESSWERT UNGUELTIG",IF(C2758&lt;0,"MESSWERT UNGUELTIG",IF(H2758="","TARIFPREIS FEHLT","OK"))))</f>
        <v>FEHLT</v>
      </c>
      <c r="K2758" s="7">
        <f>IF(J2758&lt;&gt;"OK","",C2758*I2758/100)</f>
        <v/>
      </c>
    </row>
    <row r="2759" spans="1:11">
      <c r="A2759" s="14">
        <v>46171</v>
      </c>
      <c r="B2759" s="15">
        <v>0.6770833333333334</v>
      </c>
      <c r="C2759" s="5">
        <f>IF('96 Werte'!BO34="","",'96 Werte'!BO34)</f>
        <v/>
      </c>
      <c r="D2759" t="str">
        <f>IF(IF(Eingaben!$B$21&lt;Eingaben!$B$22,AND(B2759&gt;=Eingaben!$B$21,B2759&lt;Eingaben!$B$22),OR(B2759&gt;=Eingaben!$B$21,B2759&lt;Eingaben!$B$22)),"GO",IF(AND(ISNUMBER(Eingaben!$B$23),ISNUMBER(Eingaben!$B$24),IF(Eingaben!$B$23&lt;Eingaben!$B$24,AND(B2759&gt;=Eingaben!$B$23,B2759&lt;Eingaben!$B$24),OR(B2759&gt;=Eingaben!$B$23,B2759&lt;Eingaben!$B$24))),"HEAT","STANDARD"))</f>
        <v>STANDARD</v>
      </c>
      <c r="E2759" s="9"/>
      <c r="F2759" t="str">
        <f>IF(E2759="",D2759,E2759)</f>
        <v>STANDARD</v>
      </c>
      <c r="G2759" t="str">
        <f>INDEX(Netzzeiten!$B$6:$B$29,HOUR(B2759)+1)</f>
        <v>ST</v>
      </c>
      <c r="H2759" s="6">
        <f>IF(F2759="GO",Eingaben!$B$11,IF(F2759="STANDARD",Eingaben!$B$12,IF(AND(F2759="HEAT",ISNUMBER(Eingaben!$B$13)),Eingaben!$B$13,"")))</f>
        <v>28.2744</v>
      </c>
      <c r="I2759" s="6">
        <f>INDEX(Netzzeiten!$C$6:$C$29,HOUR(B2759)+1)</f>
        <v>5.48</v>
      </c>
      <c r="J2759" t="str">
        <f>IF(C2759="","FEHLT",IF(NOT(ISNUMBER(C2759)),"MESSWERT UNGUELTIG",IF(C2759&lt;0,"MESSWERT UNGUELTIG",IF(H2759="","TARIFPREIS FEHLT","OK"))))</f>
        <v>FEHLT</v>
      </c>
      <c r="K2759" s="7">
        <f>IF(J2759&lt;&gt;"OK","",C2759*I2759/100)</f>
        <v/>
      </c>
    </row>
    <row r="2760" spans="1:11">
      <c r="A2760" s="14">
        <v>46171</v>
      </c>
      <c r="B2760" s="15">
        <v>0.6875</v>
      </c>
      <c r="C2760" s="5">
        <f>IF('96 Werte'!BP34="","",'96 Werte'!BP34)</f>
        <v/>
      </c>
      <c r="D2760" t="str">
        <f>IF(IF(Eingaben!$B$21&lt;Eingaben!$B$22,AND(B2760&gt;=Eingaben!$B$21,B2760&lt;Eingaben!$B$22),OR(B2760&gt;=Eingaben!$B$21,B2760&lt;Eingaben!$B$22)),"GO",IF(AND(ISNUMBER(Eingaben!$B$23),ISNUMBER(Eingaben!$B$24),IF(Eingaben!$B$23&lt;Eingaben!$B$24,AND(B2760&gt;=Eingaben!$B$23,B2760&lt;Eingaben!$B$24),OR(B2760&gt;=Eingaben!$B$23,B2760&lt;Eingaben!$B$24))),"HEAT","STANDARD"))</f>
        <v>STANDARD</v>
      </c>
      <c r="E2760" s="9"/>
      <c r="F2760" t="str">
        <f>IF(E2760="",D2760,E2760)</f>
        <v>STANDARD</v>
      </c>
      <c r="G2760" t="str">
        <f>INDEX(Netzzeiten!$B$6:$B$29,HOUR(B2760)+1)</f>
        <v>ST</v>
      </c>
      <c r="H2760" s="6">
        <f>IF(F2760="GO",Eingaben!$B$11,IF(F2760="STANDARD",Eingaben!$B$12,IF(AND(F2760="HEAT",ISNUMBER(Eingaben!$B$13)),Eingaben!$B$13,"")))</f>
        <v>28.2744</v>
      </c>
      <c r="I2760" s="6">
        <f>INDEX(Netzzeiten!$C$6:$C$29,HOUR(B2760)+1)</f>
        <v>5.48</v>
      </c>
      <c r="J2760" t="str">
        <f>IF(C2760="","FEHLT",IF(NOT(ISNUMBER(C2760)),"MESSWERT UNGUELTIG",IF(C2760&lt;0,"MESSWERT UNGUELTIG",IF(H2760="","TARIFPREIS FEHLT","OK"))))</f>
        <v>FEHLT</v>
      </c>
      <c r="K2760" s="7">
        <f>IF(J2760&lt;&gt;"OK","",C2760*I2760/100)</f>
        <v/>
      </c>
    </row>
    <row r="2761" spans="1:11">
      <c r="A2761" s="14">
        <v>46171</v>
      </c>
      <c r="B2761" s="15">
        <v>0.6979166666666666</v>
      </c>
      <c r="C2761" s="5">
        <f>IF('96 Werte'!BQ34="","",'96 Werte'!BQ34)</f>
        <v/>
      </c>
      <c r="D2761" t="str">
        <f>IF(IF(Eingaben!$B$21&lt;Eingaben!$B$22,AND(B2761&gt;=Eingaben!$B$21,B2761&lt;Eingaben!$B$22),OR(B2761&gt;=Eingaben!$B$21,B2761&lt;Eingaben!$B$22)),"GO",IF(AND(ISNUMBER(Eingaben!$B$23),ISNUMBER(Eingaben!$B$24),IF(Eingaben!$B$23&lt;Eingaben!$B$24,AND(B2761&gt;=Eingaben!$B$23,B2761&lt;Eingaben!$B$24),OR(B2761&gt;=Eingaben!$B$23,B2761&lt;Eingaben!$B$24))),"HEAT","STANDARD"))</f>
        <v>STANDARD</v>
      </c>
      <c r="E2761" s="9"/>
      <c r="F2761" t="str">
        <f>IF(E2761="",D2761,E2761)</f>
        <v>STANDARD</v>
      </c>
      <c r="G2761" t="str">
        <f>INDEX(Netzzeiten!$B$6:$B$29,HOUR(B2761)+1)</f>
        <v>ST</v>
      </c>
      <c r="H2761" s="6">
        <f>IF(F2761="GO",Eingaben!$B$11,IF(F2761="STANDARD",Eingaben!$B$12,IF(AND(F2761="HEAT",ISNUMBER(Eingaben!$B$13)),Eingaben!$B$13,"")))</f>
        <v>28.2744</v>
      </c>
      <c r="I2761" s="6">
        <f>INDEX(Netzzeiten!$C$6:$C$29,HOUR(B2761)+1)</f>
        <v>5.48</v>
      </c>
      <c r="J2761" t="str">
        <f>IF(C2761="","FEHLT",IF(NOT(ISNUMBER(C2761)),"MESSWERT UNGUELTIG",IF(C2761&lt;0,"MESSWERT UNGUELTIG",IF(H2761="","TARIFPREIS FEHLT","OK"))))</f>
        <v>FEHLT</v>
      </c>
      <c r="K2761" s="7">
        <f>IF(J2761&lt;&gt;"OK","",C2761*I2761/100)</f>
        <v/>
      </c>
    </row>
    <row r="2762" spans="1:11">
      <c r="A2762" s="14">
        <v>46171</v>
      </c>
      <c r="B2762" s="15">
        <v>0.7083333333333334</v>
      </c>
      <c r="C2762" s="5">
        <f>IF('96 Werte'!BR34="","",'96 Werte'!BR34)</f>
        <v/>
      </c>
      <c r="D2762" t="str">
        <f>IF(IF(Eingaben!$B$21&lt;Eingaben!$B$22,AND(B2762&gt;=Eingaben!$B$21,B2762&lt;Eingaben!$B$22),OR(B2762&gt;=Eingaben!$B$21,B2762&lt;Eingaben!$B$22)),"GO",IF(AND(ISNUMBER(Eingaben!$B$23),ISNUMBER(Eingaben!$B$24),IF(Eingaben!$B$23&lt;Eingaben!$B$24,AND(B2762&gt;=Eingaben!$B$23,B2762&lt;Eingaben!$B$24),OR(B2762&gt;=Eingaben!$B$23,B2762&lt;Eingaben!$B$24))),"HEAT","STANDARD"))</f>
        <v>STANDARD</v>
      </c>
      <c r="E2762" s="9"/>
      <c r="F2762" t="str">
        <f>IF(E2762="",D2762,E2762)</f>
        <v>STANDARD</v>
      </c>
      <c r="G2762" t="str">
        <f>INDEX(Netzzeiten!$B$6:$B$29,HOUR(B2762)+1)</f>
        <v>HT</v>
      </c>
      <c r="H2762" s="6">
        <f>IF(F2762="GO",Eingaben!$B$11,IF(F2762="STANDARD",Eingaben!$B$12,IF(AND(F2762="HEAT",ISNUMBER(Eingaben!$B$13)),Eingaben!$B$13,"")))</f>
        <v>28.2744</v>
      </c>
      <c r="I2762" s="6">
        <f>INDEX(Netzzeiten!$C$6:$C$29,HOUR(B2762)+1)</f>
        <v>10.52</v>
      </c>
      <c r="J2762" t="str">
        <f>IF(C2762="","FEHLT",IF(NOT(ISNUMBER(C2762)),"MESSWERT UNGUELTIG",IF(C2762&lt;0,"MESSWERT UNGUELTIG",IF(H2762="","TARIFPREIS FEHLT","OK"))))</f>
        <v>FEHLT</v>
      </c>
      <c r="K2762" s="7">
        <f>IF(J2762&lt;&gt;"OK","",C2762*I2762/100)</f>
        <v/>
      </c>
    </row>
    <row r="2763" spans="1:11">
      <c r="A2763" s="14">
        <v>46171</v>
      </c>
      <c r="B2763" s="15">
        <v>0.71875</v>
      </c>
      <c r="C2763" s="5">
        <f>IF('96 Werte'!BS34="","",'96 Werte'!BS34)</f>
        <v/>
      </c>
      <c r="D2763" t="str">
        <f>IF(IF(Eingaben!$B$21&lt;Eingaben!$B$22,AND(B2763&gt;=Eingaben!$B$21,B2763&lt;Eingaben!$B$22),OR(B2763&gt;=Eingaben!$B$21,B2763&lt;Eingaben!$B$22)),"GO",IF(AND(ISNUMBER(Eingaben!$B$23),ISNUMBER(Eingaben!$B$24),IF(Eingaben!$B$23&lt;Eingaben!$B$24,AND(B2763&gt;=Eingaben!$B$23,B2763&lt;Eingaben!$B$24),OR(B2763&gt;=Eingaben!$B$23,B2763&lt;Eingaben!$B$24))),"HEAT","STANDARD"))</f>
        <v>STANDARD</v>
      </c>
      <c r="E2763" s="9"/>
      <c r="F2763" t="str">
        <f>IF(E2763="",D2763,E2763)</f>
        <v>STANDARD</v>
      </c>
      <c r="G2763" t="str">
        <f>INDEX(Netzzeiten!$B$6:$B$29,HOUR(B2763)+1)</f>
        <v>HT</v>
      </c>
      <c r="H2763" s="6">
        <f>IF(F2763="GO",Eingaben!$B$11,IF(F2763="STANDARD",Eingaben!$B$12,IF(AND(F2763="HEAT",ISNUMBER(Eingaben!$B$13)),Eingaben!$B$13,"")))</f>
        <v>28.2744</v>
      </c>
      <c r="I2763" s="6">
        <f>INDEX(Netzzeiten!$C$6:$C$29,HOUR(B2763)+1)</f>
        <v>10.52</v>
      </c>
      <c r="J2763" t="str">
        <f>IF(C2763="","FEHLT",IF(NOT(ISNUMBER(C2763)),"MESSWERT UNGUELTIG",IF(C2763&lt;0,"MESSWERT UNGUELTIG",IF(H2763="","TARIFPREIS FEHLT","OK"))))</f>
        <v>FEHLT</v>
      </c>
      <c r="K2763" s="7">
        <f>IF(J2763&lt;&gt;"OK","",C2763*I2763/100)</f>
        <v/>
      </c>
    </row>
    <row r="2764" spans="1:11">
      <c r="A2764" s="14">
        <v>46171</v>
      </c>
      <c r="B2764" s="15">
        <v>0.7291666666666666</v>
      </c>
      <c r="C2764" s="5">
        <f>IF('96 Werte'!BT34="","",'96 Werte'!BT34)</f>
        <v/>
      </c>
      <c r="D2764" t="str">
        <f>IF(IF(Eingaben!$B$21&lt;Eingaben!$B$22,AND(B2764&gt;=Eingaben!$B$21,B2764&lt;Eingaben!$B$22),OR(B2764&gt;=Eingaben!$B$21,B2764&lt;Eingaben!$B$22)),"GO",IF(AND(ISNUMBER(Eingaben!$B$23),ISNUMBER(Eingaben!$B$24),IF(Eingaben!$B$23&lt;Eingaben!$B$24,AND(B2764&gt;=Eingaben!$B$23,B2764&lt;Eingaben!$B$24),OR(B2764&gt;=Eingaben!$B$23,B2764&lt;Eingaben!$B$24))),"HEAT","STANDARD"))</f>
        <v>STANDARD</v>
      </c>
      <c r="E2764" s="9"/>
      <c r="F2764" t="str">
        <f>IF(E2764="",D2764,E2764)</f>
        <v>STANDARD</v>
      </c>
      <c r="G2764" t="str">
        <f>INDEX(Netzzeiten!$B$6:$B$29,HOUR(B2764)+1)</f>
        <v>HT</v>
      </c>
      <c r="H2764" s="6">
        <f>IF(F2764="GO",Eingaben!$B$11,IF(F2764="STANDARD",Eingaben!$B$12,IF(AND(F2764="HEAT",ISNUMBER(Eingaben!$B$13)),Eingaben!$B$13,"")))</f>
        <v>28.2744</v>
      </c>
      <c r="I2764" s="6">
        <f>INDEX(Netzzeiten!$C$6:$C$29,HOUR(B2764)+1)</f>
        <v>10.52</v>
      </c>
      <c r="J2764" t="str">
        <f>IF(C2764="","FEHLT",IF(NOT(ISNUMBER(C2764)),"MESSWERT UNGUELTIG",IF(C2764&lt;0,"MESSWERT UNGUELTIG",IF(H2764="","TARIFPREIS FEHLT","OK"))))</f>
        <v>FEHLT</v>
      </c>
      <c r="K2764" s="7">
        <f>IF(J2764&lt;&gt;"OK","",C2764*I2764/100)</f>
        <v/>
      </c>
    </row>
    <row r="2765" spans="1:11">
      <c r="A2765" s="14">
        <v>46171</v>
      </c>
      <c r="B2765" s="15">
        <v>0.7395833333333334</v>
      </c>
      <c r="C2765" s="5">
        <f>IF('96 Werte'!BU34="","",'96 Werte'!BU34)</f>
        <v/>
      </c>
      <c r="D2765" t="str">
        <f>IF(IF(Eingaben!$B$21&lt;Eingaben!$B$22,AND(B2765&gt;=Eingaben!$B$21,B2765&lt;Eingaben!$B$22),OR(B2765&gt;=Eingaben!$B$21,B2765&lt;Eingaben!$B$22)),"GO",IF(AND(ISNUMBER(Eingaben!$B$23),ISNUMBER(Eingaben!$B$24),IF(Eingaben!$B$23&lt;Eingaben!$B$24,AND(B2765&gt;=Eingaben!$B$23,B2765&lt;Eingaben!$B$24),OR(B2765&gt;=Eingaben!$B$23,B2765&lt;Eingaben!$B$24))),"HEAT","STANDARD"))</f>
        <v>STANDARD</v>
      </c>
      <c r="E2765" s="9"/>
      <c r="F2765" t="str">
        <f>IF(E2765="",D2765,E2765)</f>
        <v>STANDARD</v>
      </c>
      <c r="G2765" t="str">
        <f>INDEX(Netzzeiten!$B$6:$B$29,HOUR(B2765)+1)</f>
        <v>HT</v>
      </c>
      <c r="H2765" s="6">
        <f>IF(F2765="GO",Eingaben!$B$11,IF(F2765="STANDARD",Eingaben!$B$12,IF(AND(F2765="HEAT",ISNUMBER(Eingaben!$B$13)),Eingaben!$B$13,"")))</f>
        <v>28.2744</v>
      </c>
      <c r="I2765" s="6">
        <f>INDEX(Netzzeiten!$C$6:$C$29,HOUR(B2765)+1)</f>
        <v>10.52</v>
      </c>
      <c r="J2765" t="str">
        <f>IF(C2765="","FEHLT",IF(NOT(ISNUMBER(C2765)),"MESSWERT UNGUELTIG",IF(C2765&lt;0,"MESSWERT UNGUELTIG",IF(H2765="","TARIFPREIS FEHLT","OK"))))</f>
        <v>FEHLT</v>
      </c>
      <c r="K2765" s="7">
        <f>IF(J2765&lt;&gt;"OK","",C2765*I2765/100)</f>
        <v/>
      </c>
    </row>
    <row r="2766" spans="1:11">
      <c r="A2766" s="14">
        <v>46171</v>
      </c>
      <c r="B2766" s="15">
        <v>0.75</v>
      </c>
      <c r="C2766" s="5">
        <f>IF('96 Werte'!BV34="","",'96 Werte'!BV34)</f>
        <v/>
      </c>
      <c r="D2766" t="str">
        <f>IF(IF(Eingaben!$B$21&lt;Eingaben!$B$22,AND(B2766&gt;=Eingaben!$B$21,B2766&lt;Eingaben!$B$22),OR(B2766&gt;=Eingaben!$B$21,B2766&lt;Eingaben!$B$22)),"GO",IF(AND(ISNUMBER(Eingaben!$B$23),ISNUMBER(Eingaben!$B$24),IF(Eingaben!$B$23&lt;Eingaben!$B$24,AND(B2766&gt;=Eingaben!$B$23,B2766&lt;Eingaben!$B$24),OR(B2766&gt;=Eingaben!$B$23,B2766&lt;Eingaben!$B$24))),"HEAT","STANDARD"))</f>
        <v>STANDARD</v>
      </c>
      <c r="E2766" s="9"/>
      <c r="F2766" t="str">
        <f>IF(E2766="",D2766,E2766)</f>
        <v>STANDARD</v>
      </c>
      <c r="G2766" t="str">
        <f>INDEX(Netzzeiten!$B$6:$B$29,HOUR(B2766)+1)</f>
        <v>HT</v>
      </c>
      <c r="H2766" s="6">
        <f>IF(F2766="GO",Eingaben!$B$11,IF(F2766="STANDARD",Eingaben!$B$12,IF(AND(F2766="HEAT",ISNUMBER(Eingaben!$B$13)),Eingaben!$B$13,"")))</f>
        <v>28.2744</v>
      </c>
      <c r="I2766" s="6">
        <f>INDEX(Netzzeiten!$C$6:$C$29,HOUR(B2766)+1)</f>
        <v>10.52</v>
      </c>
      <c r="J2766" t="str">
        <f>IF(C2766="","FEHLT",IF(NOT(ISNUMBER(C2766)),"MESSWERT UNGUELTIG",IF(C2766&lt;0,"MESSWERT UNGUELTIG",IF(H2766="","TARIFPREIS FEHLT","OK"))))</f>
        <v>FEHLT</v>
      </c>
      <c r="K2766" s="7">
        <f>IF(J2766&lt;&gt;"OK","",C2766*I2766/100)</f>
        <v/>
      </c>
    </row>
    <row r="2767" spans="1:11">
      <c r="A2767" s="14">
        <v>46171</v>
      </c>
      <c r="B2767" s="15">
        <v>0.7604166666666666</v>
      </c>
      <c r="C2767" s="5">
        <f>IF('96 Werte'!BW34="","",'96 Werte'!BW34)</f>
        <v/>
      </c>
      <c r="D2767" t="str">
        <f>IF(IF(Eingaben!$B$21&lt;Eingaben!$B$22,AND(B2767&gt;=Eingaben!$B$21,B2767&lt;Eingaben!$B$22),OR(B2767&gt;=Eingaben!$B$21,B2767&lt;Eingaben!$B$22)),"GO",IF(AND(ISNUMBER(Eingaben!$B$23),ISNUMBER(Eingaben!$B$24),IF(Eingaben!$B$23&lt;Eingaben!$B$24,AND(B2767&gt;=Eingaben!$B$23,B2767&lt;Eingaben!$B$24),OR(B2767&gt;=Eingaben!$B$23,B2767&lt;Eingaben!$B$24))),"HEAT","STANDARD"))</f>
        <v>STANDARD</v>
      </c>
      <c r="E2767" s="9"/>
      <c r="F2767" t="str">
        <f>IF(E2767="",D2767,E2767)</f>
        <v>STANDARD</v>
      </c>
      <c r="G2767" t="str">
        <f>INDEX(Netzzeiten!$B$6:$B$29,HOUR(B2767)+1)</f>
        <v>HT</v>
      </c>
      <c r="H2767" s="6">
        <f>IF(F2767="GO",Eingaben!$B$11,IF(F2767="STANDARD",Eingaben!$B$12,IF(AND(F2767="HEAT",ISNUMBER(Eingaben!$B$13)),Eingaben!$B$13,"")))</f>
        <v>28.2744</v>
      </c>
      <c r="I2767" s="6">
        <f>INDEX(Netzzeiten!$C$6:$C$29,HOUR(B2767)+1)</f>
        <v>10.52</v>
      </c>
      <c r="J2767" t="str">
        <f>IF(C2767="","FEHLT",IF(NOT(ISNUMBER(C2767)),"MESSWERT UNGUELTIG",IF(C2767&lt;0,"MESSWERT UNGUELTIG",IF(H2767="","TARIFPREIS FEHLT","OK"))))</f>
        <v>FEHLT</v>
      </c>
      <c r="K2767" s="7">
        <f>IF(J2767&lt;&gt;"OK","",C2767*I2767/100)</f>
        <v/>
      </c>
    </row>
    <row r="2768" spans="1:11">
      <c r="A2768" s="14">
        <v>46171</v>
      </c>
      <c r="B2768" s="15">
        <v>0.7708333333333334</v>
      </c>
      <c r="C2768" s="5">
        <f>IF('96 Werte'!BX34="","",'96 Werte'!BX34)</f>
        <v/>
      </c>
      <c r="D2768" t="str">
        <f>IF(IF(Eingaben!$B$21&lt;Eingaben!$B$22,AND(B2768&gt;=Eingaben!$B$21,B2768&lt;Eingaben!$B$22),OR(B2768&gt;=Eingaben!$B$21,B2768&lt;Eingaben!$B$22)),"GO",IF(AND(ISNUMBER(Eingaben!$B$23),ISNUMBER(Eingaben!$B$24),IF(Eingaben!$B$23&lt;Eingaben!$B$24,AND(B2768&gt;=Eingaben!$B$23,B2768&lt;Eingaben!$B$24),OR(B2768&gt;=Eingaben!$B$23,B2768&lt;Eingaben!$B$24))),"HEAT","STANDARD"))</f>
        <v>STANDARD</v>
      </c>
      <c r="E2768" s="9"/>
      <c r="F2768" t="str">
        <f>IF(E2768="",D2768,E2768)</f>
        <v>STANDARD</v>
      </c>
      <c r="G2768" t="str">
        <f>INDEX(Netzzeiten!$B$6:$B$29,HOUR(B2768)+1)</f>
        <v>HT</v>
      </c>
      <c r="H2768" s="6">
        <f>IF(F2768="GO",Eingaben!$B$11,IF(F2768="STANDARD",Eingaben!$B$12,IF(AND(F2768="HEAT",ISNUMBER(Eingaben!$B$13)),Eingaben!$B$13,"")))</f>
        <v>28.2744</v>
      </c>
      <c r="I2768" s="6">
        <f>INDEX(Netzzeiten!$C$6:$C$29,HOUR(B2768)+1)</f>
        <v>10.52</v>
      </c>
      <c r="J2768" t="str">
        <f>IF(C2768="","FEHLT",IF(NOT(ISNUMBER(C2768)),"MESSWERT UNGUELTIG",IF(C2768&lt;0,"MESSWERT UNGUELTIG",IF(H2768="","TARIFPREIS FEHLT","OK"))))</f>
        <v>FEHLT</v>
      </c>
      <c r="K2768" s="7">
        <f>IF(J2768&lt;&gt;"OK","",C2768*I2768/100)</f>
        <v/>
      </c>
    </row>
    <row r="2769" spans="1:11">
      <c r="A2769" s="14">
        <v>46171</v>
      </c>
      <c r="B2769" s="15">
        <v>0.78125</v>
      </c>
      <c r="C2769" s="5">
        <f>IF('96 Werte'!BY34="","",'96 Werte'!BY34)</f>
        <v/>
      </c>
      <c r="D2769" t="str">
        <f>IF(IF(Eingaben!$B$21&lt;Eingaben!$B$22,AND(B2769&gt;=Eingaben!$B$21,B2769&lt;Eingaben!$B$22),OR(B2769&gt;=Eingaben!$B$21,B2769&lt;Eingaben!$B$22)),"GO",IF(AND(ISNUMBER(Eingaben!$B$23),ISNUMBER(Eingaben!$B$24),IF(Eingaben!$B$23&lt;Eingaben!$B$24,AND(B2769&gt;=Eingaben!$B$23,B2769&lt;Eingaben!$B$24),OR(B2769&gt;=Eingaben!$B$23,B2769&lt;Eingaben!$B$24))),"HEAT","STANDARD"))</f>
        <v>STANDARD</v>
      </c>
      <c r="E2769" s="9"/>
      <c r="F2769" t="str">
        <f>IF(E2769="",D2769,E2769)</f>
        <v>STANDARD</v>
      </c>
      <c r="G2769" t="str">
        <f>INDEX(Netzzeiten!$B$6:$B$29,HOUR(B2769)+1)</f>
        <v>HT</v>
      </c>
      <c r="H2769" s="6">
        <f>IF(F2769="GO",Eingaben!$B$11,IF(F2769="STANDARD",Eingaben!$B$12,IF(AND(F2769="HEAT",ISNUMBER(Eingaben!$B$13)),Eingaben!$B$13,"")))</f>
        <v>28.2744</v>
      </c>
      <c r="I2769" s="6">
        <f>INDEX(Netzzeiten!$C$6:$C$29,HOUR(B2769)+1)</f>
        <v>10.52</v>
      </c>
      <c r="J2769" t="str">
        <f>IF(C2769="","FEHLT",IF(NOT(ISNUMBER(C2769)),"MESSWERT UNGUELTIG",IF(C2769&lt;0,"MESSWERT UNGUELTIG",IF(H2769="","TARIFPREIS FEHLT","OK"))))</f>
        <v>FEHLT</v>
      </c>
      <c r="K2769" s="7">
        <f>IF(J2769&lt;&gt;"OK","",C2769*I2769/100)</f>
        <v/>
      </c>
    </row>
    <row r="2770" spans="1:11">
      <c r="A2770" s="14">
        <v>46171</v>
      </c>
      <c r="B2770" s="15">
        <v>0.7916666666666666</v>
      </c>
      <c r="C2770" s="5">
        <f>IF('96 Werte'!BZ34="","",'96 Werte'!BZ34)</f>
        <v/>
      </c>
      <c r="D2770" t="str">
        <f>IF(IF(Eingaben!$B$21&lt;Eingaben!$B$22,AND(B2770&gt;=Eingaben!$B$21,B2770&lt;Eingaben!$B$22),OR(B2770&gt;=Eingaben!$B$21,B2770&lt;Eingaben!$B$22)),"GO",IF(AND(ISNUMBER(Eingaben!$B$23),ISNUMBER(Eingaben!$B$24),IF(Eingaben!$B$23&lt;Eingaben!$B$24,AND(B2770&gt;=Eingaben!$B$23,B2770&lt;Eingaben!$B$24),OR(B2770&gt;=Eingaben!$B$23,B2770&lt;Eingaben!$B$24))),"HEAT","STANDARD"))</f>
        <v>STANDARD</v>
      </c>
      <c r="E2770" s="9"/>
      <c r="F2770" t="str">
        <f>IF(E2770="",D2770,E2770)</f>
        <v>STANDARD</v>
      </c>
      <c r="G2770" t="str">
        <f>INDEX(Netzzeiten!$B$6:$B$29,HOUR(B2770)+1)</f>
        <v>HT</v>
      </c>
      <c r="H2770" s="6">
        <f>IF(F2770="GO",Eingaben!$B$11,IF(F2770="STANDARD",Eingaben!$B$12,IF(AND(F2770="HEAT",ISNUMBER(Eingaben!$B$13)),Eingaben!$B$13,"")))</f>
        <v>28.2744</v>
      </c>
      <c r="I2770" s="6">
        <f>INDEX(Netzzeiten!$C$6:$C$29,HOUR(B2770)+1)</f>
        <v>10.52</v>
      </c>
      <c r="J2770" t="str">
        <f>IF(C2770="","FEHLT",IF(NOT(ISNUMBER(C2770)),"MESSWERT UNGUELTIG",IF(C2770&lt;0,"MESSWERT UNGUELTIG",IF(H2770="","TARIFPREIS FEHLT","OK"))))</f>
        <v>FEHLT</v>
      </c>
      <c r="K2770" s="7">
        <f>IF(J2770&lt;&gt;"OK","",C2770*I2770/100)</f>
        <v/>
      </c>
    </row>
    <row r="2771" spans="1:11">
      <c r="A2771" s="14">
        <v>46171</v>
      </c>
      <c r="B2771" s="15">
        <v>0.8020833333333334</v>
      </c>
      <c r="C2771" s="5">
        <f>IF('96 Werte'!CA34="","",'96 Werte'!CA34)</f>
        <v/>
      </c>
      <c r="D2771" t="str">
        <f>IF(IF(Eingaben!$B$21&lt;Eingaben!$B$22,AND(B2771&gt;=Eingaben!$B$21,B2771&lt;Eingaben!$B$22),OR(B2771&gt;=Eingaben!$B$21,B2771&lt;Eingaben!$B$22)),"GO",IF(AND(ISNUMBER(Eingaben!$B$23),ISNUMBER(Eingaben!$B$24),IF(Eingaben!$B$23&lt;Eingaben!$B$24,AND(B2771&gt;=Eingaben!$B$23,B2771&lt;Eingaben!$B$24),OR(B2771&gt;=Eingaben!$B$23,B2771&lt;Eingaben!$B$24))),"HEAT","STANDARD"))</f>
        <v>STANDARD</v>
      </c>
      <c r="E2771" s="9"/>
      <c r="F2771" t="str">
        <f>IF(E2771="",D2771,E2771)</f>
        <v>STANDARD</v>
      </c>
      <c r="G2771" t="str">
        <f>INDEX(Netzzeiten!$B$6:$B$29,HOUR(B2771)+1)</f>
        <v>HT</v>
      </c>
      <c r="H2771" s="6">
        <f>IF(F2771="GO",Eingaben!$B$11,IF(F2771="STANDARD",Eingaben!$B$12,IF(AND(F2771="HEAT",ISNUMBER(Eingaben!$B$13)),Eingaben!$B$13,"")))</f>
        <v>28.2744</v>
      </c>
      <c r="I2771" s="6">
        <f>INDEX(Netzzeiten!$C$6:$C$29,HOUR(B2771)+1)</f>
        <v>10.52</v>
      </c>
      <c r="J2771" t="str">
        <f>IF(C2771="","FEHLT",IF(NOT(ISNUMBER(C2771)),"MESSWERT UNGUELTIG",IF(C2771&lt;0,"MESSWERT UNGUELTIG",IF(H2771="","TARIFPREIS FEHLT","OK"))))</f>
        <v>FEHLT</v>
      </c>
      <c r="K2771" s="7">
        <f>IF(J2771&lt;&gt;"OK","",C2771*I2771/100)</f>
        <v/>
      </c>
    </row>
    <row r="2772" spans="1:11">
      <c r="A2772" s="14">
        <v>46171</v>
      </c>
      <c r="B2772" s="15">
        <v>0.8125</v>
      </c>
      <c r="C2772" s="5">
        <f>IF('96 Werte'!CB34="","",'96 Werte'!CB34)</f>
        <v/>
      </c>
      <c r="D2772" t="str">
        <f>IF(IF(Eingaben!$B$21&lt;Eingaben!$B$22,AND(B2772&gt;=Eingaben!$B$21,B2772&lt;Eingaben!$B$22),OR(B2772&gt;=Eingaben!$B$21,B2772&lt;Eingaben!$B$22)),"GO",IF(AND(ISNUMBER(Eingaben!$B$23),ISNUMBER(Eingaben!$B$24),IF(Eingaben!$B$23&lt;Eingaben!$B$24,AND(B2772&gt;=Eingaben!$B$23,B2772&lt;Eingaben!$B$24),OR(B2772&gt;=Eingaben!$B$23,B2772&lt;Eingaben!$B$24))),"HEAT","STANDARD"))</f>
        <v>STANDARD</v>
      </c>
      <c r="E2772" s="9"/>
      <c r="F2772" t="str">
        <f>IF(E2772="",D2772,E2772)</f>
        <v>STANDARD</v>
      </c>
      <c r="G2772" t="str">
        <f>INDEX(Netzzeiten!$B$6:$B$29,HOUR(B2772)+1)</f>
        <v>HT</v>
      </c>
      <c r="H2772" s="6">
        <f>IF(F2772="GO",Eingaben!$B$11,IF(F2772="STANDARD",Eingaben!$B$12,IF(AND(F2772="HEAT",ISNUMBER(Eingaben!$B$13)),Eingaben!$B$13,"")))</f>
        <v>28.2744</v>
      </c>
      <c r="I2772" s="6">
        <f>INDEX(Netzzeiten!$C$6:$C$29,HOUR(B2772)+1)</f>
        <v>10.52</v>
      </c>
      <c r="J2772" t="str">
        <f>IF(C2772="","FEHLT",IF(NOT(ISNUMBER(C2772)),"MESSWERT UNGUELTIG",IF(C2772&lt;0,"MESSWERT UNGUELTIG",IF(H2772="","TARIFPREIS FEHLT","OK"))))</f>
        <v>FEHLT</v>
      </c>
      <c r="K2772" s="7">
        <f>IF(J2772&lt;&gt;"OK","",C2772*I2772/100)</f>
        <v/>
      </c>
    </row>
    <row r="2773" spans="1:11">
      <c r="A2773" s="14">
        <v>46171</v>
      </c>
      <c r="B2773" s="15">
        <v>0.8229166666666666</v>
      </c>
      <c r="C2773" s="5">
        <f>IF('96 Werte'!CC34="","",'96 Werte'!CC34)</f>
        <v/>
      </c>
      <c r="D2773" t="str">
        <f>IF(IF(Eingaben!$B$21&lt;Eingaben!$B$22,AND(B2773&gt;=Eingaben!$B$21,B2773&lt;Eingaben!$B$22),OR(B2773&gt;=Eingaben!$B$21,B2773&lt;Eingaben!$B$22)),"GO",IF(AND(ISNUMBER(Eingaben!$B$23),ISNUMBER(Eingaben!$B$24),IF(Eingaben!$B$23&lt;Eingaben!$B$24,AND(B2773&gt;=Eingaben!$B$23,B2773&lt;Eingaben!$B$24),OR(B2773&gt;=Eingaben!$B$23,B2773&lt;Eingaben!$B$24))),"HEAT","STANDARD"))</f>
        <v>STANDARD</v>
      </c>
      <c r="E2773" s="9"/>
      <c r="F2773" t="str">
        <f>IF(E2773="",D2773,E2773)</f>
        <v>STANDARD</v>
      </c>
      <c r="G2773" t="str">
        <f>INDEX(Netzzeiten!$B$6:$B$29,HOUR(B2773)+1)</f>
        <v>HT</v>
      </c>
      <c r="H2773" s="6">
        <f>IF(F2773="GO",Eingaben!$B$11,IF(F2773="STANDARD",Eingaben!$B$12,IF(AND(F2773="HEAT",ISNUMBER(Eingaben!$B$13)),Eingaben!$B$13,"")))</f>
        <v>28.2744</v>
      </c>
      <c r="I2773" s="6">
        <f>INDEX(Netzzeiten!$C$6:$C$29,HOUR(B2773)+1)</f>
        <v>10.52</v>
      </c>
      <c r="J2773" t="str">
        <f>IF(C2773="","FEHLT",IF(NOT(ISNUMBER(C2773)),"MESSWERT UNGUELTIG",IF(C2773&lt;0,"MESSWERT UNGUELTIG",IF(H2773="","TARIFPREIS FEHLT","OK"))))</f>
        <v>FEHLT</v>
      </c>
      <c r="K2773" s="7">
        <f>IF(J2773&lt;&gt;"OK","",C2773*I2773/100)</f>
        <v/>
      </c>
    </row>
    <row r="2774" spans="1:11">
      <c r="A2774" s="14">
        <v>46171</v>
      </c>
      <c r="B2774" s="15">
        <v>0.8333333333333334</v>
      </c>
      <c r="C2774" s="5">
        <f>IF('96 Werte'!CD34="","",'96 Werte'!CD34)</f>
        <v/>
      </c>
      <c r="D2774" t="str">
        <f>IF(IF(Eingaben!$B$21&lt;Eingaben!$B$22,AND(B2774&gt;=Eingaben!$B$21,B2774&lt;Eingaben!$B$22),OR(B2774&gt;=Eingaben!$B$21,B2774&lt;Eingaben!$B$22)),"GO",IF(AND(ISNUMBER(Eingaben!$B$23),ISNUMBER(Eingaben!$B$24),IF(Eingaben!$B$23&lt;Eingaben!$B$24,AND(B2774&gt;=Eingaben!$B$23,B2774&lt;Eingaben!$B$24),OR(B2774&gt;=Eingaben!$B$23,B2774&lt;Eingaben!$B$24))),"HEAT","STANDARD"))</f>
        <v>STANDARD</v>
      </c>
      <c r="E2774" s="9"/>
      <c r="F2774" t="str">
        <f>IF(E2774="",D2774,E2774)</f>
        <v>STANDARD</v>
      </c>
      <c r="G2774" t="str">
        <f>INDEX(Netzzeiten!$B$6:$B$29,HOUR(B2774)+1)</f>
        <v>HT</v>
      </c>
      <c r="H2774" s="6">
        <f>IF(F2774="GO",Eingaben!$B$11,IF(F2774="STANDARD",Eingaben!$B$12,IF(AND(F2774="HEAT",ISNUMBER(Eingaben!$B$13)),Eingaben!$B$13,"")))</f>
        <v>28.2744</v>
      </c>
      <c r="I2774" s="6">
        <f>INDEX(Netzzeiten!$C$6:$C$29,HOUR(B2774)+1)</f>
        <v>10.52</v>
      </c>
      <c r="J2774" t="str">
        <f>IF(C2774="","FEHLT",IF(NOT(ISNUMBER(C2774)),"MESSWERT UNGUELTIG",IF(C2774&lt;0,"MESSWERT UNGUELTIG",IF(H2774="","TARIFPREIS FEHLT","OK"))))</f>
        <v>FEHLT</v>
      </c>
      <c r="K2774" s="7">
        <f>IF(J2774&lt;&gt;"OK","",C2774*I2774/100)</f>
        <v/>
      </c>
    </row>
    <row r="2775" spans="1:11">
      <c r="A2775" s="14">
        <v>46171</v>
      </c>
      <c r="B2775" s="15">
        <v>0.84375</v>
      </c>
      <c r="C2775" s="5">
        <f>IF('96 Werte'!CE34="","",'96 Werte'!CE34)</f>
        <v/>
      </c>
      <c r="D2775" t="str">
        <f>IF(IF(Eingaben!$B$21&lt;Eingaben!$B$22,AND(B2775&gt;=Eingaben!$B$21,B2775&lt;Eingaben!$B$22),OR(B2775&gt;=Eingaben!$B$21,B2775&lt;Eingaben!$B$22)),"GO",IF(AND(ISNUMBER(Eingaben!$B$23),ISNUMBER(Eingaben!$B$24),IF(Eingaben!$B$23&lt;Eingaben!$B$24,AND(B2775&gt;=Eingaben!$B$23,B2775&lt;Eingaben!$B$24),OR(B2775&gt;=Eingaben!$B$23,B2775&lt;Eingaben!$B$24))),"HEAT","STANDARD"))</f>
        <v>STANDARD</v>
      </c>
      <c r="E2775" s="9"/>
      <c r="F2775" t="str">
        <f>IF(E2775="",D2775,E2775)</f>
        <v>STANDARD</v>
      </c>
      <c r="G2775" t="str">
        <f>INDEX(Netzzeiten!$B$6:$B$29,HOUR(B2775)+1)</f>
        <v>HT</v>
      </c>
      <c r="H2775" s="6">
        <f>IF(F2775="GO",Eingaben!$B$11,IF(F2775="STANDARD",Eingaben!$B$12,IF(AND(F2775="HEAT",ISNUMBER(Eingaben!$B$13)),Eingaben!$B$13,"")))</f>
        <v>28.2744</v>
      </c>
      <c r="I2775" s="6">
        <f>INDEX(Netzzeiten!$C$6:$C$29,HOUR(B2775)+1)</f>
        <v>10.52</v>
      </c>
      <c r="J2775" t="str">
        <f>IF(C2775="","FEHLT",IF(NOT(ISNUMBER(C2775)),"MESSWERT UNGUELTIG",IF(C2775&lt;0,"MESSWERT UNGUELTIG",IF(H2775="","TARIFPREIS FEHLT","OK"))))</f>
        <v>FEHLT</v>
      </c>
      <c r="K2775" s="7">
        <f>IF(J2775&lt;&gt;"OK","",C2775*I2775/100)</f>
        <v/>
      </c>
    </row>
    <row r="2776" spans="1:11">
      <c r="A2776" s="14">
        <v>46171</v>
      </c>
      <c r="B2776" s="15">
        <v>0.8541666666666666</v>
      </c>
      <c r="C2776" s="5">
        <f>IF('96 Werte'!CF34="","",'96 Werte'!CF34)</f>
        <v/>
      </c>
      <c r="D2776" t="str">
        <f>IF(IF(Eingaben!$B$21&lt;Eingaben!$B$22,AND(B2776&gt;=Eingaben!$B$21,B2776&lt;Eingaben!$B$22),OR(B2776&gt;=Eingaben!$B$21,B2776&lt;Eingaben!$B$22)),"GO",IF(AND(ISNUMBER(Eingaben!$B$23),ISNUMBER(Eingaben!$B$24),IF(Eingaben!$B$23&lt;Eingaben!$B$24,AND(B2776&gt;=Eingaben!$B$23,B2776&lt;Eingaben!$B$24),OR(B2776&gt;=Eingaben!$B$23,B2776&lt;Eingaben!$B$24))),"HEAT","STANDARD"))</f>
        <v>STANDARD</v>
      </c>
      <c r="E2776" s="9"/>
      <c r="F2776" t="str">
        <f>IF(E2776="",D2776,E2776)</f>
        <v>STANDARD</v>
      </c>
      <c r="G2776" t="str">
        <f>INDEX(Netzzeiten!$B$6:$B$29,HOUR(B2776)+1)</f>
        <v>HT</v>
      </c>
      <c r="H2776" s="6">
        <f>IF(F2776="GO",Eingaben!$B$11,IF(F2776="STANDARD",Eingaben!$B$12,IF(AND(F2776="HEAT",ISNUMBER(Eingaben!$B$13)),Eingaben!$B$13,"")))</f>
        <v>28.2744</v>
      </c>
      <c r="I2776" s="6">
        <f>INDEX(Netzzeiten!$C$6:$C$29,HOUR(B2776)+1)</f>
        <v>10.52</v>
      </c>
      <c r="J2776" t="str">
        <f>IF(C2776="","FEHLT",IF(NOT(ISNUMBER(C2776)),"MESSWERT UNGUELTIG",IF(C2776&lt;0,"MESSWERT UNGUELTIG",IF(H2776="","TARIFPREIS FEHLT","OK"))))</f>
        <v>FEHLT</v>
      </c>
      <c r="K2776" s="7">
        <f>IF(J2776&lt;&gt;"OK","",C2776*I2776/100)</f>
        <v/>
      </c>
    </row>
    <row r="2777" spans="1:11">
      <c r="A2777" s="14">
        <v>46171</v>
      </c>
      <c r="B2777" s="15">
        <v>0.8645833333333334</v>
      </c>
      <c r="C2777" s="5">
        <f>IF('96 Werte'!CG34="","",'96 Werte'!CG34)</f>
        <v/>
      </c>
      <c r="D2777" t="str">
        <f>IF(IF(Eingaben!$B$21&lt;Eingaben!$B$22,AND(B2777&gt;=Eingaben!$B$21,B2777&lt;Eingaben!$B$22),OR(B2777&gt;=Eingaben!$B$21,B2777&lt;Eingaben!$B$22)),"GO",IF(AND(ISNUMBER(Eingaben!$B$23),ISNUMBER(Eingaben!$B$24),IF(Eingaben!$B$23&lt;Eingaben!$B$24,AND(B2777&gt;=Eingaben!$B$23,B2777&lt;Eingaben!$B$24),OR(B2777&gt;=Eingaben!$B$23,B2777&lt;Eingaben!$B$24))),"HEAT","STANDARD"))</f>
        <v>STANDARD</v>
      </c>
      <c r="E2777" s="9"/>
      <c r="F2777" t="str">
        <f>IF(E2777="",D2777,E2777)</f>
        <v>STANDARD</v>
      </c>
      <c r="G2777" t="str">
        <f>INDEX(Netzzeiten!$B$6:$B$29,HOUR(B2777)+1)</f>
        <v>HT</v>
      </c>
      <c r="H2777" s="6">
        <f>IF(F2777="GO",Eingaben!$B$11,IF(F2777="STANDARD",Eingaben!$B$12,IF(AND(F2777="HEAT",ISNUMBER(Eingaben!$B$13)),Eingaben!$B$13,"")))</f>
        <v>28.2744</v>
      </c>
      <c r="I2777" s="6">
        <f>INDEX(Netzzeiten!$C$6:$C$29,HOUR(B2777)+1)</f>
        <v>10.52</v>
      </c>
      <c r="J2777" t="str">
        <f>IF(C2777="","FEHLT",IF(NOT(ISNUMBER(C2777)),"MESSWERT UNGUELTIG",IF(C2777&lt;0,"MESSWERT UNGUELTIG",IF(H2777="","TARIFPREIS FEHLT","OK"))))</f>
        <v>FEHLT</v>
      </c>
      <c r="K2777" s="7">
        <f>IF(J2777&lt;&gt;"OK","",C2777*I2777/100)</f>
        <v/>
      </c>
    </row>
    <row r="2778" spans="1:11">
      <c r="A2778" s="14">
        <v>46171</v>
      </c>
      <c r="B2778" s="15">
        <v>0.875</v>
      </c>
      <c r="C2778" s="5">
        <f>IF('96 Werte'!CH34="","",'96 Werte'!CH34)</f>
        <v/>
      </c>
      <c r="D2778" t="str">
        <f>IF(IF(Eingaben!$B$21&lt;Eingaben!$B$22,AND(B2778&gt;=Eingaben!$B$21,B2778&lt;Eingaben!$B$22),OR(B2778&gt;=Eingaben!$B$21,B2778&lt;Eingaben!$B$22)),"GO",IF(AND(ISNUMBER(Eingaben!$B$23),ISNUMBER(Eingaben!$B$24),IF(Eingaben!$B$23&lt;Eingaben!$B$24,AND(B2778&gt;=Eingaben!$B$23,B2778&lt;Eingaben!$B$24),OR(B2778&gt;=Eingaben!$B$23,B2778&lt;Eingaben!$B$24))),"HEAT","STANDARD"))</f>
        <v>STANDARD</v>
      </c>
      <c r="E2778" s="9"/>
      <c r="F2778" t="str">
        <f>IF(E2778="",D2778,E2778)</f>
        <v>STANDARD</v>
      </c>
      <c r="G2778" t="str">
        <f>INDEX(Netzzeiten!$B$6:$B$29,HOUR(B2778)+1)</f>
        <v>HT</v>
      </c>
      <c r="H2778" s="6">
        <f>IF(F2778="GO",Eingaben!$B$11,IF(F2778="STANDARD",Eingaben!$B$12,IF(AND(F2778="HEAT",ISNUMBER(Eingaben!$B$13)),Eingaben!$B$13,"")))</f>
        <v>28.2744</v>
      </c>
      <c r="I2778" s="6">
        <f>INDEX(Netzzeiten!$C$6:$C$29,HOUR(B2778)+1)</f>
        <v>10.52</v>
      </c>
      <c r="J2778" t="str">
        <f>IF(C2778="","FEHLT",IF(NOT(ISNUMBER(C2778)),"MESSWERT UNGUELTIG",IF(C2778&lt;0,"MESSWERT UNGUELTIG",IF(H2778="","TARIFPREIS FEHLT","OK"))))</f>
        <v>FEHLT</v>
      </c>
      <c r="K2778" s="7">
        <f>IF(J2778&lt;&gt;"OK","",C2778*I2778/100)</f>
        <v/>
      </c>
    </row>
    <row r="2779" spans="1:11">
      <c r="A2779" s="14">
        <v>46171</v>
      </c>
      <c r="B2779" s="15">
        <v>0.8854166666666666</v>
      </c>
      <c r="C2779" s="5">
        <f>IF('96 Werte'!CI34="","",'96 Werte'!CI34)</f>
        <v/>
      </c>
      <c r="D2779" t="str">
        <f>IF(IF(Eingaben!$B$21&lt;Eingaben!$B$22,AND(B2779&gt;=Eingaben!$B$21,B2779&lt;Eingaben!$B$22),OR(B2779&gt;=Eingaben!$B$21,B2779&lt;Eingaben!$B$22)),"GO",IF(AND(ISNUMBER(Eingaben!$B$23),ISNUMBER(Eingaben!$B$24),IF(Eingaben!$B$23&lt;Eingaben!$B$24,AND(B2779&gt;=Eingaben!$B$23,B2779&lt;Eingaben!$B$24),OR(B2779&gt;=Eingaben!$B$23,B2779&lt;Eingaben!$B$24))),"HEAT","STANDARD"))</f>
        <v>STANDARD</v>
      </c>
      <c r="E2779" s="9"/>
      <c r="F2779" t="str">
        <f>IF(E2779="",D2779,E2779)</f>
        <v>STANDARD</v>
      </c>
      <c r="G2779" t="str">
        <f>INDEX(Netzzeiten!$B$6:$B$29,HOUR(B2779)+1)</f>
        <v>HT</v>
      </c>
      <c r="H2779" s="6">
        <f>IF(F2779="GO",Eingaben!$B$11,IF(F2779="STANDARD",Eingaben!$B$12,IF(AND(F2779="HEAT",ISNUMBER(Eingaben!$B$13)),Eingaben!$B$13,"")))</f>
        <v>28.2744</v>
      </c>
      <c r="I2779" s="6">
        <f>INDEX(Netzzeiten!$C$6:$C$29,HOUR(B2779)+1)</f>
        <v>10.52</v>
      </c>
      <c r="J2779" t="str">
        <f>IF(C2779="","FEHLT",IF(NOT(ISNUMBER(C2779)),"MESSWERT UNGUELTIG",IF(C2779&lt;0,"MESSWERT UNGUELTIG",IF(H2779="","TARIFPREIS FEHLT","OK"))))</f>
        <v>FEHLT</v>
      </c>
      <c r="K2779" s="7">
        <f>IF(J2779&lt;&gt;"OK","",C2779*I2779/100)</f>
        <v/>
      </c>
    </row>
    <row r="2780" spans="1:11">
      <c r="A2780" s="14">
        <v>46171</v>
      </c>
      <c r="B2780" s="15">
        <v>0.8958333333333334</v>
      </c>
      <c r="C2780" s="5">
        <f>IF('96 Werte'!CJ34="","",'96 Werte'!CJ34)</f>
        <v/>
      </c>
      <c r="D2780" t="str">
        <f>IF(IF(Eingaben!$B$21&lt;Eingaben!$B$22,AND(B2780&gt;=Eingaben!$B$21,B2780&lt;Eingaben!$B$22),OR(B2780&gt;=Eingaben!$B$21,B2780&lt;Eingaben!$B$22)),"GO",IF(AND(ISNUMBER(Eingaben!$B$23),ISNUMBER(Eingaben!$B$24),IF(Eingaben!$B$23&lt;Eingaben!$B$24,AND(B2780&gt;=Eingaben!$B$23,B2780&lt;Eingaben!$B$24),OR(B2780&gt;=Eingaben!$B$23,B2780&lt;Eingaben!$B$24))),"HEAT","STANDARD"))</f>
        <v>STANDARD</v>
      </c>
      <c r="E2780" s="9"/>
      <c r="F2780" t="str">
        <f>IF(E2780="",D2780,E2780)</f>
        <v>STANDARD</v>
      </c>
      <c r="G2780" t="str">
        <f>INDEX(Netzzeiten!$B$6:$B$29,HOUR(B2780)+1)</f>
        <v>HT</v>
      </c>
      <c r="H2780" s="6">
        <f>IF(F2780="GO",Eingaben!$B$11,IF(F2780="STANDARD",Eingaben!$B$12,IF(AND(F2780="HEAT",ISNUMBER(Eingaben!$B$13)),Eingaben!$B$13,"")))</f>
        <v>28.2744</v>
      </c>
      <c r="I2780" s="6">
        <f>INDEX(Netzzeiten!$C$6:$C$29,HOUR(B2780)+1)</f>
        <v>10.52</v>
      </c>
      <c r="J2780" t="str">
        <f>IF(C2780="","FEHLT",IF(NOT(ISNUMBER(C2780)),"MESSWERT UNGUELTIG",IF(C2780&lt;0,"MESSWERT UNGUELTIG",IF(H2780="","TARIFPREIS FEHLT","OK"))))</f>
        <v>FEHLT</v>
      </c>
      <c r="K2780" s="7">
        <f>IF(J2780&lt;&gt;"OK","",C2780*I2780/100)</f>
        <v/>
      </c>
    </row>
    <row r="2781" spans="1:11">
      <c r="A2781" s="14">
        <v>46171</v>
      </c>
      <c r="B2781" s="15">
        <v>0.90625</v>
      </c>
      <c r="C2781" s="5">
        <f>IF('96 Werte'!CK34="","",'96 Werte'!CK34)</f>
        <v/>
      </c>
      <c r="D2781" t="str">
        <f>IF(IF(Eingaben!$B$21&lt;Eingaben!$B$22,AND(B2781&gt;=Eingaben!$B$21,B2781&lt;Eingaben!$B$22),OR(B2781&gt;=Eingaben!$B$21,B2781&lt;Eingaben!$B$22)),"GO",IF(AND(ISNUMBER(Eingaben!$B$23),ISNUMBER(Eingaben!$B$24),IF(Eingaben!$B$23&lt;Eingaben!$B$24,AND(B2781&gt;=Eingaben!$B$23,B2781&lt;Eingaben!$B$24),OR(B2781&gt;=Eingaben!$B$23,B2781&lt;Eingaben!$B$24))),"HEAT","STANDARD"))</f>
        <v>STANDARD</v>
      </c>
      <c r="E2781" s="9"/>
      <c r="F2781" t="str">
        <f>IF(E2781="",D2781,E2781)</f>
        <v>STANDARD</v>
      </c>
      <c r="G2781" t="str">
        <f>INDEX(Netzzeiten!$B$6:$B$29,HOUR(B2781)+1)</f>
        <v>HT</v>
      </c>
      <c r="H2781" s="6">
        <f>IF(F2781="GO",Eingaben!$B$11,IF(F2781="STANDARD",Eingaben!$B$12,IF(AND(F2781="HEAT",ISNUMBER(Eingaben!$B$13)),Eingaben!$B$13,"")))</f>
        <v>28.2744</v>
      </c>
      <c r="I2781" s="6">
        <f>INDEX(Netzzeiten!$C$6:$C$29,HOUR(B2781)+1)</f>
        <v>10.52</v>
      </c>
      <c r="J2781" t="str">
        <f>IF(C2781="","FEHLT",IF(NOT(ISNUMBER(C2781)),"MESSWERT UNGUELTIG",IF(C2781&lt;0,"MESSWERT UNGUELTIG",IF(H2781="","TARIFPREIS FEHLT","OK"))))</f>
        <v>FEHLT</v>
      </c>
      <c r="K2781" s="7">
        <f>IF(J2781&lt;&gt;"OK","",C2781*I2781/100)</f>
        <v/>
      </c>
    </row>
    <row r="2782" spans="1:11">
      <c r="A2782" s="14">
        <v>46171</v>
      </c>
      <c r="B2782" s="15">
        <v>0.9166666666666666</v>
      </c>
      <c r="C2782" s="5">
        <f>IF('96 Werte'!CL34="","",'96 Werte'!CL34)</f>
        <v/>
      </c>
      <c r="D2782" t="str">
        <f>IF(IF(Eingaben!$B$21&lt;Eingaben!$B$22,AND(B2782&gt;=Eingaben!$B$21,B2782&lt;Eingaben!$B$22),OR(B2782&gt;=Eingaben!$B$21,B2782&lt;Eingaben!$B$22)),"GO",IF(AND(ISNUMBER(Eingaben!$B$23),ISNUMBER(Eingaben!$B$24),IF(Eingaben!$B$23&lt;Eingaben!$B$24,AND(B2782&gt;=Eingaben!$B$23,B2782&lt;Eingaben!$B$24),OR(B2782&gt;=Eingaben!$B$23,B2782&lt;Eingaben!$B$24))),"HEAT","STANDARD"))</f>
        <v>STANDARD</v>
      </c>
      <c r="E2782" s="9"/>
      <c r="F2782" t="str">
        <f>IF(E2782="",D2782,E2782)</f>
        <v>STANDARD</v>
      </c>
      <c r="G2782" t="str">
        <f>INDEX(Netzzeiten!$B$6:$B$29,HOUR(B2782)+1)</f>
        <v>ST</v>
      </c>
      <c r="H2782" s="6">
        <f>IF(F2782="GO",Eingaben!$B$11,IF(F2782="STANDARD",Eingaben!$B$12,IF(AND(F2782="HEAT",ISNUMBER(Eingaben!$B$13)),Eingaben!$B$13,"")))</f>
        <v>28.2744</v>
      </c>
      <c r="I2782" s="6">
        <f>INDEX(Netzzeiten!$C$6:$C$29,HOUR(B2782)+1)</f>
        <v>5.48</v>
      </c>
      <c r="J2782" t="str">
        <f>IF(C2782="","FEHLT",IF(NOT(ISNUMBER(C2782)),"MESSWERT UNGUELTIG",IF(C2782&lt;0,"MESSWERT UNGUELTIG",IF(H2782="","TARIFPREIS FEHLT","OK"))))</f>
        <v>FEHLT</v>
      </c>
      <c r="K2782" s="7">
        <f>IF(J2782&lt;&gt;"OK","",C2782*I2782/100)</f>
        <v/>
      </c>
    </row>
    <row r="2783" spans="1:11">
      <c r="A2783" s="14">
        <v>46171</v>
      </c>
      <c r="B2783" s="15">
        <v>0.9270833333333334</v>
      </c>
      <c r="C2783" s="5">
        <f>IF('96 Werte'!CM34="","",'96 Werte'!CM34)</f>
        <v/>
      </c>
      <c r="D2783" t="str">
        <f>IF(IF(Eingaben!$B$21&lt;Eingaben!$B$22,AND(B2783&gt;=Eingaben!$B$21,B2783&lt;Eingaben!$B$22),OR(B2783&gt;=Eingaben!$B$21,B2783&lt;Eingaben!$B$22)),"GO",IF(AND(ISNUMBER(Eingaben!$B$23),ISNUMBER(Eingaben!$B$24),IF(Eingaben!$B$23&lt;Eingaben!$B$24,AND(B2783&gt;=Eingaben!$B$23,B2783&lt;Eingaben!$B$24),OR(B2783&gt;=Eingaben!$B$23,B2783&lt;Eingaben!$B$24))),"HEAT","STANDARD"))</f>
        <v>STANDARD</v>
      </c>
      <c r="E2783" s="9"/>
      <c r="F2783" t="str">
        <f>IF(E2783="",D2783,E2783)</f>
        <v>STANDARD</v>
      </c>
      <c r="G2783" t="str">
        <f>INDEX(Netzzeiten!$B$6:$B$29,HOUR(B2783)+1)</f>
        <v>ST</v>
      </c>
      <c r="H2783" s="6">
        <f>IF(F2783="GO",Eingaben!$B$11,IF(F2783="STANDARD",Eingaben!$B$12,IF(AND(F2783="HEAT",ISNUMBER(Eingaben!$B$13)),Eingaben!$B$13,"")))</f>
        <v>28.2744</v>
      </c>
      <c r="I2783" s="6">
        <f>INDEX(Netzzeiten!$C$6:$C$29,HOUR(B2783)+1)</f>
        <v>5.48</v>
      </c>
      <c r="J2783" t="str">
        <f>IF(C2783="","FEHLT",IF(NOT(ISNUMBER(C2783)),"MESSWERT UNGUELTIG",IF(C2783&lt;0,"MESSWERT UNGUELTIG",IF(H2783="","TARIFPREIS FEHLT","OK"))))</f>
        <v>FEHLT</v>
      </c>
      <c r="K2783" s="7">
        <f>IF(J2783&lt;&gt;"OK","",C2783*I2783/100)</f>
        <v/>
      </c>
    </row>
    <row r="2784" spans="1:11">
      <c r="A2784" s="14">
        <v>46171</v>
      </c>
      <c r="B2784" s="15">
        <v>0.9375</v>
      </c>
      <c r="C2784" s="5">
        <f>IF('96 Werte'!CN34="","",'96 Werte'!CN34)</f>
        <v/>
      </c>
      <c r="D2784" t="str">
        <f>IF(IF(Eingaben!$B$21&lt;Eingaben!$B$22,AND(B2784&gt;=Eingaben!$B$21,B2784&lt;Eingaben!$B$22),OR(B2784&gt;=Eingaben!$B$21,B2784&lt;Eingaben!$B$22)),"GO",IF(AND(ISNUMBER(Eingaben!$B$23),ISNUMBER(Eingaben!$B$24),IF(Eingaben!$B$23&lt;Eingaben!$B$24,AND(B2784&gt;=Eingaben!$B$23,B2784&lt;Eingaben!$B$24),OR(B2784&gt;=Eingaben!$B$23,B2784&lt;Eingaben!$B$24))),"HEAT","STANDARD"))</f>
        <v>STANDARD</v>
      </c>
      <c r="E2784" s="9"/>
      <c r="F2784" t="str">
        <f>IF(E2784="",D2784,E2784)</f>
        <v>STANDARD</v>
      </c>
      <c r="G2784" t="str">
        <f>INDEX(Netzzeiten!$B$6:$B$29,HOUR(B2784)+1)</f>
        <v>ST</v>
      </c>
      <c r="H2784" s="6">
        <f>IF(F2784="GO",Eingaben!$B$11,IF(F2784="STANDARD",Eingaben!$B$12,IF(AND(F2784="HEAT",ISNUMBER(Eingaben!$B$13)),Eingaben!$B$13,"")))</f>
        <v>28.2744</v>
      </c>
      <c r="I2784" s="6">
        <f>INDEX(Netzzeiten!$C$6:$C$29,HOUR(B2784)+1)</f>
        <v>5.48</v>
      </c>
      <c r="J2784" t="str">
        <f>IF(C2784="","FEHLT",IF(NOT(ISNUMBER(C2784)),"MESSWERT UNGUELTIG",IF(C2784&lt;0,"MESSWERT UNGUELTIG",IF(H2784="","TARIFPREIS FEHLT","OK"))))</f>
        <v>FEHLT</v>
      </c>
      <c r="K2784" s="7">
        <f>IF(J2784&lt;&gt;"OK","",C2784*I2784/100)</f>
        <v/>
      </c>
    </row>
    <row r="2785" spans="1:11">
      <c r="A2785" s="14">
        <v>46171</v>
      </c>
      <c r="B2785" s="15">
        <v>0.9479166666666666</v>
      </c>
      <c r="C2785" s="5">
        <f>IF('96 Werte'!CO34="","",'96 Werte'!CO34)</f>
        <v/>
      </c>
      <c r="D2785" t="str">
        <f>IF(IF(Eingaben!$B$21&lt;Eingaben!$B$22,AND(B2785&gt;=Eingaben!$B$21,B2785&lt;Eingaben!$B$22),OR(B2785&gt;=Eingaben!$B$21,B2785&lt;Eingaben!$B$22)),"GO",IF(AND(ISNUMBER(Eingaben!$B$23),ISNUMBER(Eingaben!$B$24),IF(Eingaben!$B$23&lt;Eingaben!$B$24,AND(B2785&gt;=Eingaben!$B$23,B2785&lt;Eingaben!$B$24),OR(B2785&gt;=Eingaben!$B$23,B2785&lt;Eingaben!$B$24))),"HEAT","STANDARD"))</f>
        <v>STANDARD</v>
      </c>
      <c r="E2785" s="9"/>
      <c r="F2785" t="str">
        <f>IF(E2785="",D2785,E2785)</f>
        <v>STANDARD</v>
      </c>
      <c r="G2785" t="str">
        <f>INDEX(Netzzeiten!$B$6:$B$29,HOUR(B2785)+1)</f>
        <v>ST</v>
      </c>
      <c r="H2785" s="6">
        <f>IF(F2785="GO",Eingaben!$B$11,IF(F2785="STANDARD",Eingaben!$B$12,IF(AND(F2785="HEAT",ISNUMBER(Eingaben!$B$13)),Eingaben!$B$13,"")))</f>
        <v>28.2744</v>
      </c>
      <c r="I2785" s="6">
        <f>INDEX(Netzzeiten!$C$6:$C$29,HOUR(B2785)+1)</f>
        <v>5.48</v>
      </c>
      <c r="J2785" t="str">
        <f>IF(C2785="","FEHLT",IF(NOT(ISNUMBER(C2785)),"MESSWERT UNGUELTIG",IF(C2785&lt;0,"MESSWERT UNGUELTIG",IF(H2785="","TARIFPREIS FEHLT","OK"))))</f>
        <v>FEHLT</v>
      </c>
      <c r="K2785" s="7">
        <f>IF(J2785&lt;&gt;"OK","",C2785*I2785/100)</f>
        <v/>
      </c>
    </row>
    <row r="2786" spans="1:11">
      <c r="A2786" s="14">
        <v>46171</v>
      </c>
      <c r="B2786" s="15">
        <v>0.9583333333333334</v>
      </c>
      <c r="C2786" s="5">
        <f>IF('96 Werte'!CP34="","",'96 Werte'!CP34)</f>
        <v/>
      </c>
      <c r="D2786" t="str">
        <f>IF(IF(Eingaben!$B$21&lt;Eingaben!$B$22,AND(B2786&gt;=Eingaben!$B$21,B2786&lt;Eingaben!$B$22),OR(B2786&gt;=Eingaben!$B$21,B2786&lt;Eingaben!$B$22)),"GO",IF(AND(ISNUMBER(Eingaben!$B$23),ISNUMBER(Eingaben!$B$24),IF(Eingaben!$B$23&lt;Eingaben!$B$24,AND(B2786&gt;=Eingaben!$B$23,B2786&lt;Eingaben!$B$24),OR(B2786&gt;=Eingaben!$B$23,B2786&lt;Eingaben!$B$24))),"HEAT","STANDARD"))</f>
        <v>STANDARD</v>
      </c>
      <c r="E2786" s="9"/>
      <c r="F2786" t="str">
        <f>IF(E2786="",D2786,E2786)</f>
        <v>STANDARD</v>
      </c>
      <c r="G2786" t="str">
        <f>INDEX(Netzzeiten!$B$6:$B$29,HOUR(B2786)+1)</f>
        <v>NT</v>
      </c>
      <c r="H2786" s="6">
        <f>IF(F2786="GO",Eingaben!$B$11,IF(F2786="STANDARD",Eingaben!$B$12,IF(AND(F2786="HEAT",ISNUMBER(Eingaben!$B$13)),Eingaben!$B$13,"")))</f>
        <v>28.2744</v>
      </c>
      <c r="I2786" s="6">
        <f>INDEX(Netzzeiten!$C$6:$C$29,HOUR(B2786)+1)</f>
        <v>1.64</v>
      </c>
      <c r="J2786" t="str">
        <f>IF(C2786="","FEHLT",IF(NOT(ISNUMBER(C2786)),"MESSWERT UNGUELTIG",IF(C2786&lt;0,"MESSWERT UNGUELTIG",IF(H2786="","TARIFPREIS FEHLT","OK"))))</f>
        <v>FEHLT</v>
      </c>
      <c r="K2786" s="7">
        <f>IF(J2786&lt;&gt;"OK","",C2786*I2786/100)</f>
        <v/>
      </c>
    </row>
    <row r="2787" spans="1:11">
      <c r="A2787" s="14">
        <v>46171</v>
      </c>
      <c r="B2787" s="15">
        <v>0.96875</v>
      </c>
      <c r="C2787" s="5">
        <f>IF('96 Werte'!CQ34="","",'96 Werte'!CQ34)</f>
        <v/>
      </c>
      <c r="D2787" t="str">
        <f>IF(IF(Eingaben!$B$21&lt;Eingaben!$B$22,AND(B2787&gt;=Eingaben!$B$21,B2787&lt;Eingaben!$B$22),OR(B2787&gt;=Eingaben!$B$21,B2787&lt;Eingaben!$B$22)),"GO",IF(AND(ISNUMBER(Eingaben!$B$23),ISNUMBER(Eingaben!$B$24),IF(Eingaben!$B$23&lt;Eingaben!$B$24,AND(B2787&gt;=Eingaben!$B$23,B2787&lt;Eingaben!$B$24),OR(B2787&gt;=Eingaben!$B$23,B2787&lt;Eingaben!$B$24))),"HEAT","STANDARD"))</f>
        <v>STANDARD</v>
      </c>
      <c r="E2787" s="9"/>
      <c r="F2787" t="str">
        <f>IF(E2787="",D2787,E2787)</f>
        <v>STANDARD</v>
      </c>
      <c r="G2787" t="str">
        <f>INDEX(Netzzeiten!$B$6:$B$29,HOUR(B2787)+1)</f>
        <v>NT</v>
      </c>
      <c r="H2787" s="6">
        <f>IF(F2787="GO",Eingaben!$B$11,IF(F2787="STANDARD",Eingaben!$B$12,IF(AND(F2787="HEAT",ISNUMBER(Eingaben!$B$13)),Eingaben!$B$13,"")))</f>
        <v>28.2744</v>
      </c>
      <c r="I2787" s="6">
        <f>INDEX(Netzzeiten!$C$6:$C$29,HOUR(B2787)+1)</f>
        <v>1.64</v>
      </c>
      <c r="J2787" t="str">
        <f>IF(C2787="","FEHLT",IF(NOT(ISNUMBER(C2787)),"MESSWERT UNGUELTIG",IF(C2787&lt;0,"MESSWERT UNGUELTIG",IF(H2787="","TARIFPREIS FEHLT","OK"))))</f>
        <v>FEHLT</v>
      </c>
      <c r="K2787" s="7">
        <f>IF(J2787&lt;&gt;"OK","",C2787*I2787/100)</f>
        <v/>
      </c>
    </row>
    <row r="2788" spans="1:11">
      <c r="A2788" s="14">
        <v>46171</v>
      </c>
      <c r="B2788" s="15">
        <v>0.9791666666666666</v>
      </c>
      <c r="C2788" s="5">
        <f>IF('96 Werte'!CR34="","",'96 Werte'!CR34)</f>
        <v/>
      </c>
      <c r="D2788" t="str">
        <f>IF(IF(Eingaben!$B$21&lt;Eingaben!$B$22,AND(B2788&gt;=Eingaben!$B$21,B2788&lt;Eingaben!$B$22),OR(B2788&gt;=Eingaben!$B$21,B2788&lt;Eingaben!$B$22)),"GO",IF(AND(ISNUMBER(Eingaben!$B$23),ISNUMBER(Eingaben!$B$24),IF(Eingaben!$B$23&lt;Eingaben!$B$24,AND(B2788&gt;=Eingaben!$B$23,B2788&lt;Eingaben!$B$24),OR(B2788&gt;=Eingaben!$B$23,B2788&lt;Eingaben!$B$24))),"HEAT","STANDARD"))</f>
        <v>STANDARD</v>
      </c>
      <c r="E2788" s="9"/>
      <c r="F2788" t="str">
        <f>IF(E2788="",D2788,E2788)</f>
        <v>STANDARD</v>
      </c>
      <c r="G2788" t="str">
        <f>INDEX(Netzzeiten!$B$6:$B$29,HOUR(B2788)+1)</f>
        <v>NT</v>
      </c>
      <c r="H2788" s="6">
        <f>IF(F2788="GO",Eingaben!$B$11,IF(F2788="STANDARD",Eingaben!$B$12,IF(AND(F2788="HEAT",ISNUMBER(Eingaben!$B$13)),Eingaben!$B$13,"")))</f>
        <v>28.2744</v>
      </c>
      <c r="I2788" s="6">
        <f>INDEX(Netzzeiten!$C$6:$C$29,HOUR(B2788)+1)</f>
        <v>1.64</v>
      </c>
      <c r="J2788" t="str">
        <f>IF(C2788="","FEHLT",IF(NOT(ISNUMBER(C2788)),"MESSWERT UNGUELTIG",IF(C2788&lt;0,"MESSWERT UNGUELTIG",IF(H2788="","TARIFPREIS FEHLT","OK"))))</f>
        <v>FEHLT</v>
      </c>
      <c r="K2788" s="7">
        <f>IF(J2788&lt;&gt;"OK","",C2788*I2788/100)</f>
        <v/>
      </c>
    </row>
    <row r="2789" spans="1:11">
      <c r="A2789" s="14">
        <v>46171</v>
      </c>
      <c r="B2789" s="15">
        <v>0.9895833333333334</v>
      </c>
      <c r="C2789" s="5">
        <f>IF('96 Werte'!CS34="","",'96 Werte'!CS34)</f>
        <v/>
      </c>
      <c r="D2789" t="str">
        <f>IF(IF(Eingaben!$B$21&lt;Eingaben!$B$22,AND(B2789&gt;=Eingaben!$B$21,B2789&lt;Eingaben!$B$22),OR(B2789&gt;=Eingaben!$B$21,B2789&lt;Eingaben!$B$22)),"GO",IF(AND(ISNUMBER(Eingaben!$B$23),ISNUMBER(Eingaben!$B$24),IF(Eingaben!$B$23&lt;Eingaben!$B$24,AND(B2789&gt;=Eingaben!$B$23,B2789&lt;Eingaben!$B$24),OR(B2789&gt;=Eingaben!$B$23,B2789&lt;Eingaben!$B$24))),"HEAT","STANDARD"))</f>
        <v>STANDARD</v>
      </c>
      <c r="E2789" s="9"/>
      <c r="F2789" t="str">
        <f>IF(E2789="",D2789,E2789)</f>
        <v>STANDARD</v>
      </c>
      <c r="G2789" t="str">
        <f>INDEX(Netzzeiten!$B$6:$B$29,HOUR(B2789)+1)</f>
        <v>NT</v>
      </c>
      <c r="H2789" s="6">
        <f>IF(F2789="GO",Eingaben!$B$11,IF(F2789="STANDARD",Eingaben!$B$12,IF(AND(F2789="HEAT",ISNUMBER(Eingaben!$B$13)),Eingaben!$B$13,"")))</f>
        <v>28.2744</v>
      </c>
      <c r="I2789" s="6">
        <f>INDEX(Netzzeiten!$C$6:$C$29,HOUR(B2789)+1)</f>
        <v>1.64</v>
      </c>
      <c r="J2789" t="str">
        <f>IF(C2789="","FEHLT",IF(NOT(ISNUMBER(C2789)),"MESSWERT UNGUELTIG",IF(C2789&lt;0,"MESSWERT UNGUELTIG",IF(H2789="","TARIFPREIS FEHLT","OK"))))</f>
        <v>FEHLT</v>
      </c>
      <c r="K2789" s="7">
        <f>IF(J2789&lt;&gt;"OK","",C2789*I2789/100)</f>
        <v/>
      </c>
    </row>
    <row r="2790" spans="1:11">
      <c r="A2790" s="14">
        <v>46172</v>
      </c>
      <c r="B2790" s="15">
        <v>0</v>
      </c>
      <c r="C2790" s="5">
        <f>IF('96 Werte'!B35="","",'96 Werte'!B35)</f>
        <v/>
      </c>
      <c r="D2790" t="str">
        <f>IF(IF(Eingaben!$B$21&lt;Eingaben!$B$22,AND(B2790&gt;=Eingaben!$B$21,B2790&lt;Eingaben!$B$22),OR(B2790&gt;=Eingaben!$B$21,B2790&lt;Eingaben!$B$22)),"GO",IF(AND(ISNUMBER(Eingaben!$B$23),ISNUMBER(Eingaben!$B$24),IF(Eingaben!$B$23&lt;Eingaben!$B$24,AND(B2790&gt;=Eingaben!$B$23,B2790&lt;Eingaben!$B$24),OR(B2790&gt;=Eingaben!$B$23,B2790&lt;Eingaben!$B$24))),"HEAT","STANDARD"))</f>
        <v>GO</v>
      </c>
      <c r="E2790" s="9"/>
      <c r="F2790" t="str">
        <f>IF(E2790="",D2790,E2790)</f>
        <v>GO</v>
      </c>
      <c r="G2790" t="str">
        <f>INDEX(Netzzeiten!$B$6:$B$29,HOUR(B2790)+1)</f>
        <v>NT</v>
      </c>
      <c r="H2790" s="6">
        <f>IF(F2790="GO",Eingaben!$B$11,IF(F2790="STANDARD",Eingaben!$B$12,IF(AND(F2790="HEAT",ISNUMBER(Eingaben!$B$13)),Eingaben!$B$13,"")))</f>
        <v>15.0654</v>
      </c>
      <c r="I2790" s="6">
        <f>INDEX(Netzzeiten!$C$6:$C$29,HOUR(B2790)+1)</f>
        <v>1.64</v>
      </c>
      <c r="J2790" t="str">
        <f>IF(C2790="","FEHLT",IF(NOT(ISNUMBER(C2790)),"MESSWERT UNGUELTIG",IF(C2790&lt;0,"MESSWERT UNGUELTIG",IF(H2790="","TARIFPREIS FEHLT","OK"))))</f>
        <v>FEHLT</v>
      </c>
      <c r="K2790" s="7">
        <f>IF(J2790&lt;&gt;"OK","",C2790*I2790/100)</f>
        <v/>
      </c>
    </row>
    <row r="2791" spans="1:11">
      <c r="A2791" s="14">
        <v>46172</v>
      </c>
      <c r="B2791" s="15">
        <v>0.01041666666666667</v>
      </c>
      <c r="C2791" s="5">
        <f>IF('96 Werte'!C35="","",'96 Werte'!C35)</f>
        <v/>
      </c>
      <c r="D2791" t="str">
        <f>IF(IF(Eingaben!$B$21&lt;Eingaben!$B$22,AND(B2791&gt;=Eingaben!$B$21,B2791&lt;Eingaben!$B$22),OR(B2791&gt;=Eingaben!$B$21,B2791&lt;Eingaben!$B$22)),"GO",IF(AND(ISNUMBER(Eingaben!$B$23),ISNUMBER(Eingaben!$B$24),IF(Eingaben!$B$23&lt;Eingaben!$B$24,AND(B2791&gt;=Eingaben!$B$23,B2791&lt;Eingaben!$B$24),OR(B2791&gt;=Eingaben!$B$23,B2791&lt;Eingaben!$B$24))),"HEAT","STANDARD"))</f>
        <v>GO</v>
      </c>
      <c r="E2791" s="9"/>
      <c r="F2791" t="str">
        <f>IF(E2791="",D2791,E2791)</f>
        <v>GO</v>
      </c>
      <c r="G2791" t="str">
        <f>INDEX(Netzzeiten!$B$6:$B$29,HOUR(B2791)+1)</f>
        <v>NT</v>
      </c>
      <c r="H2791" s="6">
        <f>IF(F2791="GO",Eingaben!$B$11,IF(F2791="STANDARD",Eingaben!$B$12,IF(AND(F2791="HEAT",ISNUMBER(Eingaben!$B$13)),Eingaben!$B$13,"")))</f>
        <v>15.0654</v>
      </c>
      <c r="I2791" s="6">
        <f>INDEX(Netzzeiten!$C$6:$C$29,HOUR(B2791)+1)</f>
        <v>1.64</v>
      </c>
      <c r="J2791" t="str">
        <f>IF(C2791="","FEHLT",IF(NOT(ISNUMBER(C2791)),"MESSWERT UNGUELTIG",IF(C2791&lt;0,"MESSWERT UNGUELTIG",IF(H2791="","TARIFPREIS FEHLT","OK"))))</f>
        <v>FEHLT</v>
      </c>
      <c r="K2791" s="7">
        <f>IF(J2791&lt;&gt;"OK","",C2791*I2791/100)</f>
        <v/>
      </c>
    </row>
    <row r="2792" spans="1:11">
      <c r="A2792" s="14">
        <v>46172</v>
      </c>
      <c r="B2792" s="15">
        <v>0.02083333333333333</v>
      </c>
      <c r="C2792" s="5">
        <f>IF('96 Werte'!D35="","",'96 Werte'!D35)</f>
        <v/>
      </c>
      <c r="D2792" t="str">
        <f>IF(IF(Eingaben!$B$21&lt;Eingaben!$B$22,AND(B2792&gt;=Eingaben!$B$21,B2792&lt;Eingaben!$B$22),OR(B2792&gt;=Eingaben!$B$21,B2792&lt;Eingaben!$B$22)),"GO",IF(AND(ISNUMBER(Eingaben!$B$23),ISNUMBER(Eingaben!$B$24),IF(Eingaben!$B$23&lt;Eingaben!$B$24,AND(B2792&gt;=Eingaben!$B$23,B2792&lt;Eingaben!$B$24),OR(B2792&gt;=Eingaben!$B$23,B2792&lt;Eingaben!$B$24))),"HEAT","STANDARD"))</f>
        <v>GO</v>
      </c>
      <c r="E2792" s="9"/>
      <c r="F2792" t="str">
        <f>IF(E2792="",D2792,E2792)</f>
        <v>GO</v>
      </c>
      <c r="G2792" t="str">
        <f>INDEX(Netzzeiten!$B$6:$B$29,HOUR(B2792)+1)</f>
        <v>NT</v>
      </c>
      <c r="H2792" s="6">
        <f>IF(F2792="GO",Eingaben!$B$11,IF(F2792="STANDARD",Eingaben!$B$12,IF(AND(F2792="HEAT",ISNUMBER(Eingaben!$B$13)),Eingaben!$B$13,"")))</f>
        <v>15.0654</v>
      </c>
      <c r="I2792" s="6">
        <f>INDEX(Netzzeiten!$C$6:$C$29,HOUR(B2792)+1)</f>
        <v>1.64</v>
      </c>
      <c r="J2792" t="str">
        <f>IF(C2792="","FEHLT",IF(NOT(ISNUMBER(C2792)),"MESSWERT UNGUELTIG",IF(C2792&lt;0,"MESSWERT UNGUELTIG",IF(H2792="","TARIFPREIS FEHLT","OK"))))</f>
        <v>FEHLT</v>
      </c>
      <c r="K2792" s="7">
        <f>IF(J2792&lt;&gt;"OK","",C2792*I2792/100)</f>
        <v/>
      </c>
    </row>
    <row r="2793" spans="1:11">
      <c r="A2793" s="14">
        <v>46172</v>
      </c>
      <c r="B2793" s="15">
        <v>0.03125</v>
      </c>
      <c r="C2793" s="5">
        <f>IF('96 Werte'!E35="","",'96 Werte'!E35)</f>
        <v/>
      </c>
      <c r="D2793" t="str">
        <f>IF(IF(Eingaben!$B$21&lt;Eingaben!$B$22,AND(B2793&gt;=Eingaben!$B$21,B2793&lt;Eingaben!$B$22),OR(B2793&gt;=Eingaben!$B$21,B2793&lt;Eingaben!$B$22)),"GO",IF(AND(ISNUMBER(Eingaben!$B$23),ISNUMBER(Eingaben!$B$24),IF(Eingaben!$B$23&lt;Eingaben!$B$24,AND(B2793&gt;=Eingaben!$B$23,B2793&lt;Eingaben!$B$24),OR(B2793&gt;=Eingaben!$B$23,B2793&lt;Eingaben!$B$24))),"HEAT","STANDARD"))</f>
        <v>GO</v>
      </c>
      <c r="E2793" s="9"/>
      <c r="F2793" t="str">
        <f>IF(E2793="",D2793,E2793)</f>
        <v>GO</v>
      </c>
      <c r="G2793" t="str">
        <f>INDEX(Netzzeiten!$B$6:$B$29,HOUR(B2793)+1)</f>
        <v>NT</v>
      </c>
      <c r="H2793" s="6">
        <f>IF(F2793="GO",Eingaben!$B$11,IF(F2793="STANDARD",Eingaben!$B$12,IF(AND(F2793="HEAT",ISNUMBER(Eingaben!$B$13)),Eingaben!$B$13,"")))</f>
        <v>15.0654</v>
      </c>
      <c r="I2793" s="6">
        <f>INDEX(Netzzeiten!$C$6:$C$29,HOUR(B2793)+1)</f>
        <v>1.64</v>
      </c>
      <c r="J2793" t="str">
        <f>IF(C2793="","FEHLT",IF(NOT(ISNUMBER(C2793)),"MESSWERT UNGUELTIG",IF(C2793&lt;0,"MESSWERT UNGUELTIG",IF(H2793="","TARIFPREIS FEHLT","OK"))))</f>
        <v>FEHLT</v>
      </c>
      <c r="K2793" s="7">
        <f>IF(J2793&lt;&gt;"OK","",C2793*I2793/100)</f>
        <v/>
      </c>
    </row>
    <row r="2794" spans="1:11">
      <c r="A2794" s="14">
        <v>46172</v>
      </c>
      <c r="B2794" s="15">
        <v>0.04166666666666666</v>
      </c>
      <c r="C2794" s="5">
        <f>IF('96 Werte'!F35="","",'96 Werte'!F35)</f>
        <v/>
      </c>
      <c r="D2794" t="str">
        <f>IF(IF(Eingaben!$B$21&lt;Eingaben!$B$22,AND(B2794&gt;=Eingaben!$B$21,B2794&lt;Eingaben!$B$22),OR(B2794&gt;=Eingaben!$B$21,B2794&lt;Eingaben!$B$22)),"GO",IF(AND(ISNUMBER(Eingaben!$B$23),ISNUMBER(Eingaben!$B$24),IF(Eingaben!$B$23&lt;Eingaben!$B$24,AND(B2794&gt;=Eingaben!$B$23,B2794&lt;Eingaben!$B$24),OR(B2794&gt;=Eingaben!$B$23,B2794&lt;Eingaben!$B$24))),"HEAT","STANDARD"))</f>
        <v>GO</v>
      </c>
      <c r="E2794" s="9"/>
      <c r="F2794" t="str">
        <f>IF(E2794="",D2794,E2794)</f>
        <v>GO</v>
      </c>
      <c r="G2794" t="str">
        <f>INDEX(Netzzeiten!$B$6:$B$29,HOUR(B2794)+1)</f>
        <v>NT</v>
      </c>
      <c r="H2794" s="6">
        <f>IF(F2794="GO",Eingaben!$B$11,IF(F2794="STANDARD",Eingaben!$B$12,IF(AND(F2794="HEAT",ISNUMBER(Eingaben!$B$13)),Eingaben!$B$13,"")))</f>
        <v>15.0654</v>
      </c>
      <c r="I2794" s="6">
        <f>INDEX(Netzzeiten!$C$6:$C$29,HOUR(B2794)+1)</f>
        <v>1.64</v>
      </c>
      <c r="J2794" t="str">
        <f>IF(C2794="","FEHLT",IF(NOT(ISNUMBER(C2794)),"MESSWERT UNGUELTIG",IF(C2794&lt;0,"MESSWERT UNGUELTIG",IF(H2794="","TARIFPREIS FEHLT","OK"))))</f>
        <v>FEHLT</v>
      </c>
      <c r="K2794" s="7">
        <f>IF(J2794&lt;&gt;"OK","",C2794*I2794/100)</f>
        <v/>
      </c>
    </row>
    <row r="2795" spans="1:11">
      <c r="A2795" s="14">
        <v>46172</v>
      </c>
      <c r="B2795" s="15">
        <v>0.05208333333333334</v>
      </c>
      <c r="C2795" s="5">
        <f>IF('96 Werte'!G35="","",'96 Werte'!G35)</f>
        <v/>
      </c>
      <c r="D2795" t="str">
        <f>IF(IF(Eingaben!$B$21&lt;Eingaben!$B$22,AND(B2795&gt;=Eingaben!$B$21,B2795&lt;Eingaben!$B$22),OR(B2795&gt;=Eingaben!$B$21,B2795&lt;Eingaben!$B$22)),"GO",IF(AND(ISNUMBER(Eingaben!$B$23),ISNUMBER(Eingaben!$B$24),IF(Eingaben!$B$23&lt;Eingaben!$B$24,AND(B2795&gt;=Eingaben!$B$23,B2795&lt;Eingaben!$B$24),OR(B2795&gt;=Eingaben!$B$23,B2795&lt;Eingaben!$B$24))),"HEAT","STANDARD"))</f>
        <v>GO</v>
      </c>
      <c r="E2795" s="9"/>
      <c r="F2795" t="str">
        <f>IF(E2795="",D2795,E2795)</f>
        <v>GO</v>
      </c>
      <c r="G2795" t="str">
        <f>INDEX(Netzzeiten!$B$6:$B$29,HOUR(B2795)+1)</f>
        <v>NT</v>
      </c>
      <c r="H2795" s="6">
        <f>IF(F2795="GO",Eingaben!$B$11,IF(F2795="STANDARD",Eingaben!$B$12,IF(AND(F2795="HEAT",ISNUMBER(Eingaben!$B$13)),Eingaben!$B$13,"")))</f>
        <v>15.0654</v>
      </c>
      <c r="I2795" s="6">
        <f>INDEX(Netzzeiten!$C$6:$C$29,HOUR(B2795)+1)</f>
        <v>1.64</v>
      </c>
      <c r="J2795" t="str">
        <f>IF(C2795="","FEHLT",IF(NOT(ISNUMBER(C2795)),"MESSWERT UNGUELTIG",IF(C2795&lt;0,"MESSWERT UNGUELTIG",IF(H2795="","TARIFPREIS FEHLT","OK"))))</f>
        <v>FEHLT</v>
      </c>
      <c r="K2795" s="7">
        <f>IF(J2795&lt;&gt;"OK","",C2795*I2795/100)</f>
        <v/>
      </c>
    </row>
    <row r="2796" spans="1:11">
      <c r="A2796" s="14">
        <v>46172</v>
      </c>
      <c r="B2796" s="15">
        <v>0.0625</v>
      </c>
      <c r="C2796" s="5">
        <f>IF('96 Werte'!H35="","",'96 Werte'!H35)</f>
        <v/>
      </c>
      <c r="D2796" t="str">
        <f>IF(IF(Eingaben!$B$21&lt;Eingaben!$B$22,AND(B2796&gt;=Eingaben!$B$21,B2796&lt;Eingaben!$B$22),OR(B2796&gt;=Eingaben!$B$21,B2796&lt;Eingaben!$B$22)),"GO",IF(AND(ISNUMBER(Eingaben!$B$23),ISNUMBER(Eingaben!$B$24),IF(Eingaben!$B$23&lt;Eingaben!$B$24,AND(B2796&gt;=Eingaben!$B$23,B2796&lt;Eingaben!$B$24),OR(B2796&gt;=Eingaben!$B$23,B2796&lt;Eingaben!$B$24))),"HEAT","STANDARD"))</f>
        <v>GO</v>
      </c>
      <c r="E2796" s="9"/>
      <c r="F2796" t="str">
        <f>IF(E2796="",D2796,E2796)</f>
        <v>GO</v>
      </c>
      <c r="G2796" t="str">
        <f>INDEX(Netzzeiten!$B$6:$B$29,HOUR(B2796)+1)</f>
        <v>NT</v>
      </c>
      <c r="H2796" s="6">
        <f>IF(F2796="GO",Eingaben!$B$11,IF(F2796="STANDARD",Eingaben!$B$12,IF(AND(F2796="HEAT",ISNUMBER(Eingaben!$B$13)),Eingaben!$B$13,"")))</f>
        <v>15.0654</v>
      </c>
      <c r="I2796" s="6">
        <f>INDEX(Netzzeiten!$C$6:$C$29,HOUR(B2796)+1)</f>
        <v>1.64</v>
      </c>
      <c r="J2796" t="str">
        <f>IF(C2796="","FEHLT",IF(NOT(ISNUMBER(C2796)),"MESSWERT UNGUELTIG",IF(C2796&lt;0,"MESSWERT UNGUELTIG",IF(H2796="","TARIFPREIS FEHLT","OK"))))</f>
        <v>FEHLT</v>
      </c>
      <c r="K2796" s="7">
        <f>IF(J2796&lt;&gt;"OK","",C2796*I2796/100)</f>
        <v/>
      </c>
    </row>
    <row r="2797" spans="1:11">
      <c r="A2797" s="14">
        <v>46172</v>
      </c>
      <c r="B2797" s="15">
        <v>0.07291666666666667</v>
      </c>
      <c r="C2797" s="5">
        <f>IF('96 Werte'!I35="","",'96 Werte'!I35)</f>
        <v/>
      </c>
      <c r="D2797" t="str">
        <f>IF(IF(Eingaben!$B$21&lt;Eingaben!$B$22,AND(B2797&gt;=Eingaben!$B$21,B2797&lt;Eingaben!$B$22),OR(B2797&gt;=Eingaben!$B$21,B2797&lt;Eingaben!$B$22)),"GO",IF(AND(ISNUMBER(Eingaben!$B$23),ISNUMBER(Eingaben!$B$24),IF(Eingaben!$B$23&lt;Eingaben!$B$24,AND(B2797&gt;=Eingaben!$B$23,B2797&lt;Eingaben!$B$24),OR(B2797&gt;=Eingaben!$B$23,B2797&lt;Eingaben!$B$24))),"HEAT","STANDARD"))</f>
        <v>GO</v>
      </c>
      <c r="E2797" s="9"/>
      <c r="F2797" t="str">
        <f>IF(E2797="",D2797,E2797)</f>
        <v>GO</v>
      </c>
      <c r="G2797" t="str">
        <f>INDEX(Netzzeiten!$B$6:$B$29,HOUR(B2797)+1)</f>
        <v>NT</v>
      </c>
      <c r="H2797" s="6">
        <f>IF(F2797="GO",Eingaben!$B$11,IF(F2797="STANDARD",Eingaben!$B$12,IF(AND(F2797="HEAT",ISNUMBER(Eingaben!$B$13)),Eingaben!$B$13,"")))</f>
        <v>15.0654</v>
      </c>
      <c r="I2797" s="6">
        <f>INDEX(Netzzeiten!$C$6:$C$29,HOUR(B2797)+1)</f>
        <v>1.64</v>
      </c>
      <c r="J2797" t="str">
        <f>IF(C2797="","FEHLT",IF(NOT(ISNUMBER(C2797)),"MESSWERT UNGUELTIG",IF(C2797&lt;0,"MESSWERT UNGUELTIG",IF(H2797="","TARIFPREIS FEHLT","OK"))))</f>
        <v>FEHLT</v>
      </c>
      <c r="K2797" s="7">
        <f>IF(J2797&lt;&gt;"OK","",C2797*I2797/100)</f>
        <v/>
      </c>
    </row>
    <row r="2798" spans="1:11">
      <c r="A2798" s="14">
        <v>46172</v>
      </c>
      <c r="B2798" s="15">
        <v>0.08333333333333333</v>
      </c>
      <c r="C2798" s="5">
        <f>IF('96 Werte'!J35="","",'96 Werte'!J35)</f>
        <v/>
      </c>
      <c r="D2798" t="str">
        <f>IF(IF(Eingaben!$B$21&lt;Eingaben!$B$22,AND(B2798&gt;=Eingaben!$B$21,B2798&lt;Eingaben!$B$22),OR(B2798&gt;=Eingaben!$B$21,B2798&lt;Eingaben!$B$22)),"GO",IF(AND(ISNUMBER(Eingaben!$B$23),ISNUMBER(Eingaben!$B$24),IF(Eingaben!$B$23&lt;Eingaben!$B$24,AND(B2798&gt;=Eingaben!$B$23,B2798&lt;Eingaben!$B$24),OR(B2798&gt;=Eingaben!$B$23,B2798&lt;Eingaben!$B$24))),"HEAT","STANDARD"))</f>
        <v>GO</v>
      </c>
      <c r="E2798" s="9"/>
      <c r="F2798" t="str">
        <f>IF(E2798="",D2798,E2798)</f>
        <v>GO</v>
      </c>
      <c r="G2798" t="str">
        <f>INDEX(Netzzeiten!$B$6:$B$29,HOUR(B2798)+1)</f>
        <v>NT</v>
      </c>
      <c r="H2798" s="6">
        <f>IF(F2798="GO",Eingaben!$B$11,IF(F2798="STANDARD",Eingaben!$B$12,IF(AND(F2798="HEAT",ISNUMBER(Eingaben!$B$13)),Eingaben!$B$13,"")))</f>
        <v>15.0654</v>
      </c>
      <c r="I2798" s="6">
        <f>INDEX(Netzzeiten!$C$6:$C$29,HOUR(B2798)+1)</f>
        <v>1.64</v>
      </c>
      <c r="J2798" t="str">
        <f>IF(C2798="","FEHLT",IF(NOT(ISNUMBER(C2798)),"MESSWERT UNGUELTIG",IF(C2798&lt;0,"MESSWERT UNGUELTIG",IF(H2798="","TARIFPREIS FEHLT","OK"))))</f>
        <v>FEHLT</v>
      </c>
      <c r="K2798" s="7">
        <f>IF(J2798&lt;&gt;"OK","",C2798*I2798/100)</f>
        <v/>
      </c>
    </row>
    <row r="2799" spans="1:11">
      <c r="A2799" s="14">
        <v>46172</v>
      </c>
      <c r="B2799" s="15">
        <v>0.09375</v>
      </c>
      <c r="C2799" s="5">
        <f>IF('96 Werte'!K35="","",'96 Werte'!K35)</f>
        <v/>
      </c>
      <c r="D2799" t="str">
        <f>IF(IF(Eingaben!$B$21&lt;Eingaben!$B$22,AND(B2799&gt;=Eingaben!$B$21,B2799&lt;Eingaben!$B$22),OR(B2799&gt;=Eingaben!$B$21,B2799&lt;Eingaben!$B$22)),"GO",IF(AND(ISNUMBER(Eingaben!$B$23),ISNUMBER(Eingaben!$B$24),IF(Eingaben!$B$23&lt;Eingaben!$B$24,AND(B2799&gt;=Eingaben!$B$23,B2799&lt;Eingaben!$B$24),OR(B2799&gt;=Eingaben!$B$23,B2799&lt;Eingaben!$B$24))),"HEAT","STANDARD"))</f>
        <v>GO</v>
      </c>
      <c r="E2799" s="9"/>
      <c r="F2799" t="str">
        <f>IF(E2799="",D2799,E2799)</f>
        <v>GO</v>
      </c>
      <c r="G2799" t="str">
        <f>INDEX(Netzzeiten!$B$6:$B$29,HOUR(B2799)+1)</f>
        <v>NT</v>
      </c>
      <c r="H2799" s="6">
        <f>IF(F2799="GO",Eingaben!$B$11,IF(F2799="STANDARD",Eingaben!$B$12,IF(AND(F2799="HEAT",ISNUMBER(Eingaben!$B$13)),Eingaben!$B$13,"")))</f>
        <v>15.0654</v>
      </c>
      <c r="I2799" s="6">
        <f>INDEX(Netzzeiten!$C$6:$C$29,HOUR(B2799)+1)</f>
        <v>1.64</v>
      </c>
      <c r="J2799" t="str">
        <f>IF(C2799="","FEHLT",IF(NOT(ISNUMBER(C2799)),"MESSWERT UNGUELTIG",IF(C2799&lt;0,"MESSWERT UNGUELTIG",IF(H2799="","TARIFPREIS FEHLT","OK"))))</f>
        <v>FEHLT</v>
      </c>
      <c r="K2799" s="7">
        <f>IF(J2799&lt;&gt;"OK","",C2799*I2799/100)</f>
        <v/>
      </c>
    </row>
    <row r="2800" spans="1:11">
      <c r="A2800" s="14">
        <v>46172</v>
      </c>
      <c r="B2800" s="15">
        <v>0.1041666666666667</v>
      </c>
      <c r="C2800" s="5">
        <f>IF('96 Werte'!L35="","",'96 Werte'!L35)</f>
        <v/>
      </c>
      <c r="D2800" t="str">
        <f>IF(IF(Eingaben!$B$21&lt;Eingaben!$B$22,AND(B2800&gt;=Eingaben!$B$21,B2800&lt;Eingaben!$B$22),OR(B2800&gt;=Eingaben!$B$21,B2800&lt;Eingaben!$B$22)),"GO",IF(AND(ISNUMBER(Eingaben!$B$23),ISNUMBER(Eingaben!$B$24),IF(Eingaben!$B$23&lt;Eingaben!$B$24,AND(B2800&gt;=Eingaben!$B$23,B2800&lt;Eingaben!$B$24),OR(B2800&gt;=Eingaben!$B$23,B2800&lt;Eingaben!$B$24))),"HEAT","STANDARD"))</f>
        <v>GO</v>
      </c>
      <c r="E2800" s="9"/>
      <c r="F2800" t="str">
        <f>IF(E2800="",D2800,E2800)</f>
        <v>GO</v>
      </c>
      <c r="G2800" t="str">
        <f>INDEX(Netzzeiten!$B$6:$B$29,HOUR(B2800)+1)</f>
        <v>NT</v>
      </c>
      <c r="H2800" s="6">
        <f>IF(F2800="GO",Eingaben!$B$11,IF(F2800="STANDARD",Eingaben!$B$12,IF(AND(F2800="HEAT",ISNUMBER(Eingaben!$B$13)),Eingaben!$B$13,"")))</f>
        <v>15.0654</v>
      </c>
      <c r="I2800" s="6">
        <f>INDEX(Netzzeiten!$C$6:$C$29,HOUR(B2800)+1)</f>
        <v>1.64</v>
      </c>
      <c r="J2800" t="str">
        <f>IF(C2800="","FEHLT",IF(NOT(ISNUMBER(C2800)),"MESSWERT UNGUELTIG",IF(C2800&lt;0,"MESSWERT UNGUELTIG",IF(H2800="","TARIFPREIS FEHLT","OK"))))</f>
        <v>FEHLT</v>
      </c>
      <c r="K2800" s="7">
        <f>IF(J2800&lt;&gt;"OK","",C2800*I2800/100)</f>
        <v/>
      </c>
    </row>
    <row r="2801" spans="1:11">
      <c r="A2801" s="14">
        <v>46172</v>
      </c>
      <c r="B2801" s="15">
        <v>0.1145833333333333</v>
      </c>
      <c r="C2801" s="5">
        <f>IF('96 Werte'!M35="","",'96 Werte'!M35)</f>
        <v/>
      </c>
      <c r="D2801" t="str">
        <f>IF(IF(Eingaben!$B$21&lt;Eingaben!$B$22,AND(B2801&gt;=Eingaben!$B$21,B2801&lt;Eingaben!$B$22),OR(B2801&gt;=Eingaben!$B$21,B2801&lt;Eingaben!$B$22)),"GO",IF(AND(ISNUMBER(Eingaben!$B$23),ISNUMBER(Eingaben!$B$24),IF(Eingaben!$B$23&lt;Eingaben!$B$24,AND(B2801&gt;=Eingaben!$B$23,B2801&lt;Eingaben!$B$24),OR(B2801&gt;=Eingaben!$B$23,B2801&lt;Eingaben!$B$24))),"HEAT","STANDARD"))</f>
        <v>GO</v>
      </c>
      <c r="E2801" s="9"/>
      <c r="F2801" t="str">
        <f>IF(E2801="",D2801,E2801)</f>
        <v>GO</v>
      </c>
      <c r="G2801" t="str">
        <f>INDEX(Netzzeiten!$B$6:$B$29,HOUR(B2801)+1)</f>
        <v>NT</v>
      </c>
      <c r="H2801" s="6">
        <f>IF(F2801="GO",Eingaben!$B$11,IF(F2801="STANDARD",Eingaben!$B$12,IF(AND(F2801="HEAT",ISNUMBER(Eingaben!$B$13)),Eingaben!$B$13,"")))</f>
        <v>15.0654</v>
      </c>
      <c r="I2801" s="6">
        <f>INDEX(Netzzeiten!$C$6:$C$29,HOUR(B2801)+1)</f>
        <v>1.64</v>
      </c>
      <c r="J2801" t="str">
        <f>IF(C2801="","FEHLT",IF(NOT(ISNUMBER(C2801)),"MESSWERT UNGUELTIG",IF(C2801&lt;0,"MESSWERT UNGUELTIG",IF(H2801="","TARIFPREIS FEHLT","OK"))))</f>
        <v>FEHLT</v>
      </c>
      <c r="K2801" s="7">
        <f>IF(J2801&lt;&gt;"OK","",C2801*I2801/100)</f>
        <v/>
      </c>
    </row>
    <row r="2802" spans="1:11">
      <c r="A2802" s="14">
        <v>46172</v>
      </c>
      <c r="B2802" s="15">
        <v>0.125</v>
      </c>
      <c r="C2802" s="5">
        <f>IF('96 Werte'!N35="","",'96 Werte'!N35)</f>
        <v/>
      </c>
      <c r="D2802" t="str">
        <f>IF(IF(Eingaben!$B$21&lt;Eingaben!$B$22,AND(B2802&gt;=Eingaben!$B$21,B2802&lt;Eingaben!$B$22),OR(B2802&gt;=Eingaben!$B$21,B2802&lt;Eingaben!$B$22)),"GO",IF(AND(ISNUMBER(Eingaben!$B$23),ISNUMBER(Eingaben!$B$24),IF(Eingaben!$B$23&lt;Eingaben!$B$24,AND(B2802&gt;=Eingaben!$B$23,B2802&lt;Eingaben!$B$24),OR(B2802&gt;=Eingaben!$B$23,B2802&lt;Eingaben!$B$24))),"HEAT","STANDARD"))</f>
        <v>GO</v>
      </c>
      <c r="E2802" s="9"/>
      <c r="F2802" t="str">
        <f>IF(E2802="",D2802,E2802)</f>
        <v>GO</v>
      </c>
      <c r="G2802" t="str">
        <f>INDEX(Netzzeiten!$B$6:$B$29,HOUR(B2802)+1)</f>
        <v>NT</v>
      </c>
      <c r="H2802" s="6">
        <f>IF(F2802="GO",Eingaben!$B$11,IF(F2802="STANDARD",Eingaben!$B$12,IF(AND(F2802="HEAT",ISNUMBER(Eingaben!$B$13)),Eingaben!$B$13,"")))</f>
        <v>15.0654</v>
      </c>
      <c r="I2802" s="6">
        <f>INDEX(Netzzeiten!$C$6:$C$29,HOUR(B2802)+1)</f>
        <v>1.64</v>
      </c>
      <c r="J2802" t="str">
        <f>IF(C2802="","FEHLT",IF(NOT(ISNUMBER(C2802)),"MESSWERT UNGUELTIG",IF(C2802&lt;0,"MESSWERT UNGUELTIG",IF(H2802="","TARIFPREIS FEHLT","OK"))))</f>
        <v>FEHLT</v>
      </c>
      <c r="K2802" s="7">
        <f>IF(J2802&lt;&gt;"OK","",C2802*I2802/100)</f>
        <v/>
      </c>
    </row>
    <row r="2803" spans="1:11">
      <c r="A2803" s="14">
        <v>46172</v>
      </c>
      <c r="B2803" s="15">
        <v>0.1354166666666667</v>
      </c>
      <c r="C2803" s="5">
        <f>IF('96 Werte'!O35="","",'96 Werte'!O35)</f>
        <v/>
      </c>
      <c r="D2803" t="str">
        <f>IF(IF(Eingaben!$B$21&lt;Eingaben!$B$22,AND(B2803&gt;=Eingaben!$B$21,B2803&lt;Eingaben!$B$22),OR(B2803&gt;=Eingaben!$B$21,B2803&lt;Eingaben!$B$22)),"GO",IF(AND(ISNUMBER(Eingaben!$B$23),ISNUMBER(Eingaben!$B$24),IF(Eingaben!$B$23&lt;Eingaben!$B$24,AND(B2803&gt;=Eingaben!$B$23,B2803&lt;Eingaben!$B$24),OR(B2803&gt;=Eingaben!$B$23,B2803&lt;Eingaben!$B$24))),"HEAT","STANDARD"))</f>
        <v>GO</v>
      </c>
      <c r="E2803" s="9"/>
      <c r="F2803" t="str">
        <f>IF(E2803="",D2803,E2803)</f>
        <v>GO</v>
      </c>
      <c r="G2803" t="str">
        <f>INDEX(Netzzeiten!$B$6:$B$29,HOUR(B2803)+1)</f>
        <v>NT</v>
      </c>
      <c r="H2803" s="6">
        <f>IF(F2803="GO",Eingaben!$B$11,IF(F2803="STANDARD",Eingaben!$B$12,IF(AND(F2803="HEAT",ISNUMBER(Eingaben!$B$13)),Eingaben!$B$13,"")))</f>
        <v>15.0654</v>
      </c>
      <c r="I2803" s="6">
        <f>INDEX(Netzzeiten!$C$6:$C$29,HOUR(B2803)+1)</f>
        <v>1.64</v>
      </c>
      <c r="J2803" t="str">
        <f>IF(C2803="","FEHLT",IF(NOT(ISNUMBER(C2803)),"MESSWERT UNGUELTIG",IF(C2803&lt;0,"MESSWERT UNGUELTIG",IF(H2803="","TARIFPREIS FEHLT","OK"))))</f>
        <v>FEHLT</v>
      </c>
      <c r="K2803" s="7">
        <f>IF(J2803&lt;&gt;"OK","",C2803*I2803/100)</f>
        <v/>
      </c>
    </row>
    <row r="2804" spans="1:11">
      <c r="A2804" s="14">
        <v>46172</v>
      </c>
      <c r="B2804" s="15">
        <v>0.1458333333333333</v>
      </c>
      <c r="C2804" s="5">
        <f>IF('96 Werte'!P35="","",'96 Werte'!P35)</f>
        <v/>
      </c>
      <c r="D2804" t="str">
        <f>IF(IF(Eingaben!$B$21&lt;Eingaben!$B$22,AND(B2804&gt;=Eingaben!$B$21,B2804&lt;Eingaben!$B$22),OR(B2804&gt;=Eingaben!$B$21,B2804&lt;Eingaben!$B$22)),"GO",IF(AND(ISNUMBER(Eingaben!$B$23),ISNUMBER(Eingaben!$B$24),IF(Eingaben!$B$23&lt;Eingaben!$B$24,AND(B2804&gt;=Eingaben!$B$23,B2804&lt;Eingaben!$B$24),OR(B2804&gt;=Eingaben!$B$23,B2804&lt;Eingaben!$B$24))),"HEAT","STANDARD"))</f>
        <v>GO</v>
      </c>
      <c r="E2804" s="9"/>
      <c r="F2804" t="str">
        <f>IF(E2804="",D2804,E2804)</f>
        <v>GO</v>
      </c>
      <c r="G2804" t="str">
        <f>INDEX(Netzzeiten!$B$6:$B$29,HOUR(B2804)+1)</f>
        <v>NT</v>
      </c>
      <c r="H2804" s="6">
        <f>IF(F2804="GO",Eingaben!$B$11,IF(F2804="STANDARD",Eingaben!$B$12,IF(AND(F2804="HEAT",ISNUMBER(Eingaben!$B$13)),Eingaben!$B$13,"")))</f>
        <v>15.0654</v>
      </c>
      <c r="I2804" s="6">
        <f>INDEX(Netzzeiten!$C$6:$C$29,HOUR(B2804)+1)</f>
        <v>1.64</v>
      </c>
      <c r="J2804" t="str">
        <f>IF(C2804="","FEHLT",IF(NOT(ISNUMBER(C2804)),"MESSWERT UNGUELTIG",IF(C2804&lt;0,"MESSWERT UNGUELTIG",IF(H2804="","TARIFPREIS FEHLT","OK"))))</f>
        <v>FEHLT</v>
      </c>
      <c r="K2804" s="7">
        <f>IF(J2804&lt;&gt;"OK","",C2804*I2804/100)</f>
        <v/>
      </c>
    </row>
    <row r="2805" spans="1:11">
      <c r="A2805" s="14">
        <v>46172</v>
      </c>
      <c r="B2805" s="15">
        <v>0.15625</v>
      </c>
      <c r="C2805" s="5">
        <f>IF('96 Werte'!Q35="","",'96 Werte'!Q35)</f>
        <v/>
      </c>
      <c r="D2805" t="str">
        <f>IF(IF(Eingaben!$B$21&lt;Eingaben!$B$22,AND(B2805&gt;=Eingaben!$B$21,B2805&lt;Eingaben!$B$22),OR(B2805&gt;=Eingaben!$B$21,B2805&lt;Eingaben!$B$22)),"GO",IF(AND(ISNUMBER(Eingaben!$B$23),ISNUMBER(Eingaben!$B$24),IF(Eingaben!$B$23&lt;Eingaben!$B$24,AND(B2805&gt;=Eingaben!$B$23,B2805&lt;Eingaben!$B$24),OR(B2805&gt;=Eingaben!$B$23,B2805&lt;Eingaben!$B$24))),"HEAT","STANDARD"))</f>
        <v>GO</v>
      </c>
      <c r="E2805" s="9"/>
      <c r="F2805" t="str">
        <f>IF(E2805="",D2805,E2805)</f>
        <v>GO</v>
      </c>
      <c r="G2805" t="str">
        <f>INDEX(Netzzeiten!$B$6:$B$29,HOUR(B2805)+1)</f>
        <v>NT</v>
      </c>
      <c r="H2805" s="6">
        <f>IF(F2805="GO",Eingaben!$B$11,IF(F2805="STANDARD",Eingaben!$B$12,IF(AND(F2805="HEAT",ISNUMBER(Eingaben!$B$13)),Eingaben!$B$13,"")))</f>
        <v>15.0654</v>
      </c>
      <c r="I2805" s="6">
        <f>INDEX(Netzzeiten!$C$6:$C$29,HOUR(B2805)+1)</f>
        <v>1.64</v>
      </c>
      <c r="J2805" t="str">
        <f>IF(C2805="","FEHLT",IF(NOT(ISNUMBER(C2805)),"MESSWERT UNGUELTIG",IF(C2805&lt;0,"MESSWERT UNGUELTIG",IF(H2805="","TARIFPREIS FEHLT","OK"))))</f>
        <v>FEHLT</v>
      </c>
      <c r="K2805" s="7">
        <f>IF(J2805&lt;&gt;"OK","",C2805*I2805/100)</f>
        <v/>
      </c>
    </row>
    <row r="2806" spans="1:11">
      <c r="A2806" s="14">
        <v>46172</v>
      </c>
      <c r="B2806" s="15">
        <v>0.1666666666666667</v>
      </c>
      <c r="C2806" s="5">
        <f>IF('96 Werte'!R35="","",'96 Werte'!R35)</f>
        <v/>
      </c>
      <c r="D2806" t="str">
        <f>IF(IF(Eingaben!$B$21&lt;Eingaben!$B$22,AND(B2806&gt;=Eingaben!$B$21,B2806&lt;Eingaben!$B$22),OR(B2806&gt;=Eingaben!$B$21,B2806&lt;Eingaben!$B$22)),"GO",IF(AND(ISNUMBER(Eingaben!$B$23),ISNUMBER(Eingaben!$B$24),IF(Eingaben!$B$23&lt;Eingaben!$B$24,AND(B2806&gt;=Eingaben!$B$23,B2806&lt;Eingaben!$B$24),OR(B2806&gt;=Eingaben!$B$23,B2806&lt;Eingaben!$B$24))),"HEAT","STANDARD"))</f>
        <v>GO</v>
      </c>
      <c r="E2806" s="9"/>
      <c r="F2806" t="str">
        <f>IF(E2806="",D2806,E2806)</f>
        <v>GO</v>
      </c>
      <c r="G2806" t="str">
        <f>INDEX(Netzzeiten!$B$6:$B$29,HOUR(B2806)+1)</f>
        <v>NT</v>
      </c>
      <c r="H2806" s="6">
        <f>IF(F2806="GO",Eingaben!$B$11,IF(F2806="STANDARD",Eingaben!$B$12,IF(AND(F2806="HEAT",ISNUMBER(Eingaben!$B$13)),Eingaben!$B$13,"")))</f>
        <v>15.0654</v>
      </c>
      <c r="I2806" s="6">
        <f>INDEX(Netzzeiten!$C$6:$C$29,HOUR(B2806)+1)</f>
        <v>1.64</v>
      </c>
      <c r="J2806" t="str">
        <f>IF(C2806="","FEHLT",IF(NOT(ISNUMBER(C2806)),"MESSWERT UNGUELTIG",IF(C2806&lt;0,"MESSWERT UNGUELTIG",IF(H2806="","TARIFPREIS FEHLT","OK"))))</f>
        <v>FEHLT</v>
      </c>
      <c r="K2806" s="7">
        <f>IF(J2806&lt;&gt;"OK","",C2806*I2806/100)</f>
        <v/>
      </c>
    </row>
    <row r="2807" spans="1:11">
      <c r="A2807" s="14">
        <v>46172</v>
      </c>
      <c r="B2807" s="15">
        <v>0.1770833333333333</v>
      </c>
      <c r="C2807" s="5">
        <f>IF('96 Werte'!S35="","",'96 Werte'!S35)</f>
        <v/>
      </c>
      <c r="D2807" t="str">
        <f>IF(IF(Eingaben!$B$21&lt;Eingaben!$B$22,AND(B2807&gt;=Eingaben!$B$21,B2807&lt;Eingaben!$B$22),OR(B2807&gt;=Eingaben!$B$21,B2807&lt;Eingaben!$B$22)),"GO",IF(AND(ISNUMBER(Eingaben!$B$23),ISNUMBER(Eingaben!$B$24),IF(Eingaben!$B$23&lt;Eingaben!$B$24,AND(B2807&gt;=Eingaben!$B$23,B2807&lt;Eingaben!$B$24),OR(B2807&gt;=Eingaben!$B$23,B2807&lt;Eingaben!$B$24))),"HEAT","STANDARD"))</f>
        <v>GO</v>
      </c>
      <c r="E2807" s="9"/>
      <c r="F2807" t="str">
        <f>IF(E2807="",D2807,E2807)</f>
        <v>GO</v>
      </c>
      <c r="G2807" t="str">
        <f>INDEX(Netzzeiten!$B$6:$B$29,HOUR(B2807)+1)</f>
        <v>NT</v>
      </c>
      <c r="H2807" s="6">
        <f>IF(F2807="GO",Eingaben!$B$11,IF(F2807="STANDARD",Eingaben!$B$12,IF(AND(F2807="HEAT",ISNUMBER(Eingaben!$B$13)),Eingaben!$B$13,"")))</f>
        <v>15.0654</v>
      </c>
      <c r="I2807" s="6">
        <f>INDEX(Netzzeiten!$C$6:$C$29,HOUR(B2807)+1)</f>
        <v>1.64</v>
      </c>
      <c r="J2807" t="str">
        <f>IF(C2807="","FEHLT",IF(NOT(ISNUMBER(C2807)),"MESSWERT UNGUELTIG",IF(C2807&lt;0,"MESSWERT UNGUELTIG",IF(H2807="","TARIFPREIS FEHLT","OK"))))</f>
        <v>FEHLT</v>
      </c>
      <c r="K2807" s="7">
        <f>IF(J2807&lt;&gt;"OK","",C2807*I2807/100)</f>
        <v/>
      </c>
    </row>
    <row r="2808" spans="1:11">
      <c r="A2808" s="14">
        <v>46172</v>
      </c>
      <c r="B2808" s="15">
        <v>0.1875</v>
      </c>
      <c r="C2808" s="5">
        <f>IF('96 Werte'!T35="","",'96 Werte'!T35)</f>
        <v/>
      </c>
      <c r="D2808" t="str">
        <f>IF(IF(Eingaben!$B$21&lt;Eingaben!$B$22,AND(B2808&gt;=Eingaben!$B$21,B2808&lt;Eingaben!$B$22),OR(B2808&gt;=Eingaben!$B$21,B2808&lt;Eingaben!$B$22)),"GO",IF(AND(ISNUMBER(Eingaben!$B$23),ISNUMBER(Eingaben!$B$24),IF(Eingaben!$B$23&lt;Eingaben!$B$24,AND(B2808&gt;=Eingaben!$B$23,B2808&lt;Eingaben!$B$24),OR(B2808&gt;=Eingaben!$B$23,B2808&lt;Eingaben!$B$24))),"HEAT","STANDARD"))</f>
        <v>GO</v>
      </c>
      <c r="E2808" s="9"/>
      <c r="F2808" t="str">
        <f>IF(E2808="",D2808,E2808)</f>
        <v>GO</v>
      </c>
      <c r="G2808" t="str">
        <f>INDEX(Netzzeiten!$B$6:$B$29,HOUR(B2808)+1)</f>
        <v>NT</v>
      </c>
      <c r="H2808" s="6">
        <f>IF(F2808="GO",Eingaben!$B$11,IF(F2808="STANDARD",Eingaben!$B$12,IF(AND(F2808="HEAT",ISNUMBER(Eingaben!$B$13)),Eingaben!$B$13,"")))</f>
        <v>15.0654</v>
      </c>
      <c r="I2808" s="6">
        <f>INDEX(Netzzeiten!$C$6:$C$29,HOUR(B2808)+1)</f>
        <v>1.64</v>
      </c>
      <c r="J2808" t="str">
        <f>IF(C2808="","FEHLT",IF(NOT(ISNUMBER(C2808)),"MESSWERT UNGUELTIG",IF(C2808&lt;0,"MESSWERT UNGUELTIG",IF(H2808="","TARIFPREIS FEHLT","OK"))))</f>
        <v>FEHLT</v>
      </c>
      <c r="K2808" s="7">
        <f>IF(J2808&lt;&gt;"OK","",C2808*I2808/100)</f>
        <v/>
      </c>
    </row>
    <row r="2809" spans="1:11">
      <c r="A2809" s="14">
        <v>46172</v>
      </c>
      <c r="B2809" s="15">
        <v>0.1979166666666667</v>
      </c>
      <c r="C2809" s="5">
        <f>IF('96 Werte'!U35="","",'96 Werte'!U35)</f>
        <v/>
      </c>
      <c r="D2809" t="str">
        <f>IF(IF(Eingaben!$B$21&lt;Eingaben!$B$22,AND(B2809&gt;=Eingaben!$B$21,B2809&lt;Eingaben!$B$22),OR(B2809&gt;=Eingaben!$B$21,B2809&lt;Eingaben!$B$22)),"GO",IF(AND(ISNUMBER(Eingaben!$B$23),ISNUMBER(Eingaben!$B$24),IF(Eingaben!$B$23&lt;Eingaben!$B$24,AND(B2809&gt;=Eingaben!$B$23,B2809&lt;Eingaben!$B$24),OR(B2809&gt;=Eingaben!$B$23,B2809&lt;Eingaben!$B$24))),"HEAT","STANDARD"))</f>
        <v>GO</v>
      </c>
      <c r="E2809" s="9"/>
      <c r="F2809" t="str">
        <f>IF(E2809="",D2809,E2809)</f>
        <v>GO</v>
      </c>
      <c r="G2809" t="str">
        <f>INDEX(Netzzeiten!$B$6:$B$29,HOUR(B2809)+1)</f>
        <v>NT</v>
      </c>
      <c r="H2809" s="6">
        <f>IF(F2809="GO",Eingaben!$B$11,IF(F2809="STANDARD",Eingaben!$B$12,IF(AND(F2809="HEAT",ISNUMBER(Eingaben!$B$13)),Eingaben!$B$13,"")))</f>
        <v>15.0654</v>
      </c>
      <c r="I2809" s="6">
        <f>INDEX(Netzzeiten!$C$6:$C$29,HOUR(B2809)+1)</f>
        <v>1.64</v>
      </c>
      <c r="J2809" t="str">
        <f>IF(C2809="","FEHLT",IF(NOT(ISNUMBER(C2809)),"MESSWERT UNGUELTIG",IF(C2809&lt;0,"MESSWERT UNGUELTIG",IF(H2809="","TARIFPREIS FEHLT","OK"))))</f>
        <v>FEHLT</v>
      </c>
      <c r="K2809" s="7">
        <f>IF(J2809&lt;&gt;"OK","",C2809*I2809/100)</f>
        <v/>
      </c>
    </row>
    <row r="2810" spans="1:11">
      <c r="A2810" s="14">
        <v>46172</v>
      </c>
      <c r="B2810" s="15">
        <v>0.2083333333333333</v>
      </c>
      <c r="C2810" s="5">
        <f>IF('96 Werte'!V35="","",'96 Werte'!V35)</f>
        <v/>
      </c>
      <c r="D2810" t="str">
        <f>IF(IF(Eingaben!$B$21&lt;Eingaben!$B$22,AND(B2810&gt;=Eingaben!$B$21,B2810&lt;Eingaben!$B$22),OR(B2810&gt;=Eingaben!$B$21,B2810&lt;Eingaben!$B$22)),"GO",IF(AND(ISNUMBER(Eingaben!$B$23),ISNUMBER(Eingaben!$B$24),IF(Eingaben!$B$23&lt;Eingaben!$B$24,AND(B2810&gt;=Eingaben!$B$23,B2810&lt;Eingaben!$B$24),OR(B2810&gt;=Eingaben!$B$23,B2810&lt;Eingaben!$B$24))),"HEAT","STANDARD"))</f>
        <v>STANDARD</v>
      </c>
      <c r="E2810" s="9"/>
      <c r="F2810" t="str">
        <f>IF(E2810="",D2810,E2810)</f>
        <v>STANDARD</v>
      </c>
      <c r="G2810" t="str">
        <f>INDEX(Netzzeiten!$B$6:$B$29,HOUR(B2810)+1)</f>
        <v>NT</v>
      </c>
      <c r="H2810" s="6">
        <f>IF(F2810="GO",Eingaben!$B$11,IF(F2810="STANDARD",Eingaben!$B$12,IF(AND(F2810="HEAT",ISNUMBER(Eingaben!$B$13)),Eingaben!$B$13,"")))</f>
        <v>28.2744</v>
      </c>
      <c r="I2810" s="6">
        <f>INDEX(Netzzeiten!$C$6:$C$29,HOUR(B2810)+1)</f>
        <v>1.64</v>
      </c>
      <c r="J2810" t="str">
        <f>IF(C2810="","FEHLT",IF(NOT(ISNUMBER(C2810)),"MESSWERT UNGUELTIG",IF(C2810&lt;0,"MESSWERT UNGUELTIG",IF(H2810="","TARIFPREIS FEHLT","OK"))))</f>
        <v>FEHLT</v>
      </c>
      <c r="K2810" s="7">
        <f>IF(J2810&lt;&gt;"OK","",C2810*I2810/100)</f>
        <v/>
      </c>
    </row>
    <row r="2811" spans="1:11">
      <c r="A2811" s="14">
        <v>46172</v>
      </c>
      <c r="B2811" s="15">
        <v>0.21875</v>
      </c>
      <c r="C2811" s="5">
        <f>IF('96 Werte'!W35="","",'96 Werte'!W35)</f>
        <v/>
      </c>
      <c r="D2811" t="str">
        <f>IF(IF(Eingaben!$B$21&lt;Eingaben!$B$22,AND(B2811&gt;=Eingaben!$B$21,B2811&lt;Eingaben!$B$22),OR(B2811&gt;=Eingaben!$B$21,B2811&lt;Eingaben!$B$22)),"GO",IF(AND(ISNUMBER(Eingaben!$B$23),ISNUMBER(Eingaben!$B$24),IF(Eingaben!$B$23&lt;Eingaben!$B$24,AND(B2811&gt;=Eingaben!$B$23,B2811&lt;Eingaben!$B$24),OR(B2811&gt;=Eingaben!$B$23,B2811&lt;Eingaben!$B$24))),"HEAT","STANDARD"))</f>
        <v>STANDARD</v>
      </c>
      <c r="E2811" s="9"/>
      <c r="F2811" t="str">
        <f>IF(E2811="",D2811,E2811)</f>
        <v>STANDARD</v>
      </c>
      <c r="G2811" t="str">
        <f>INDEX(Netzzeiten!$B$6:$B$29,HOUR(B2811)+1)</f>
        <v>NT</v>
      </c>
      <c r="H2811" s="6">
        <f>IF(F2811="GO",Eingaben!$B$11,IF(F2811="STANDARD",Eingaben!$B$12,IF(AND(F2811="HEAT",ISNUMBER(Eingaben!$B$13)),Eingaben!$B$13,"")))</f>
        <v>28.2744</v>
      </c>
      <c r="I2811" s="6">
        <f>INDEX(Netzzeiten!$C$6:$C$29,HOUR(B2811)+1)</f>
        <v>1.64</v>
      </c>
      <c r="J2811" t="str">
        <f>IF(C2811="","FEHLT",IF(NOT(ISNUMBER(C2811)),"MESSWERT UNGUELTIG",IF(C2811&lt;0,"MESSWERT UNGUELTIG",IF(H2811="","TARIFPREIS FEHLT","OK"))))</f>
        <v>FEHLT</v>
      </c>
      <c r="K2811" s="7">
        <f>IF(J2811&lt;&gt;"OK","",C2811*I2811/100)</f>
        <v/>
      </c>
    </row>
    <row r="2812" spans="1:11">
      <c r="A2812" s="14">
        <v>46172</v>
      </c>
      <c r="B2812" s="15">
        <v>0.2291666666666667</v>
      </c>
      <c r="C2812" s="5">
        <f>IF('96 Werte'!X35="","",'96 Werte'!X35)</f>
        <v/>
      </c>
      <c r="D2812" t="str">
        <f>IF(IF(Eingaben!$B$21&lt;Eingaben!$B$22,AND(B2812&gt;=Eingaben!$B$21,B2812&lt;Eingaben!$B$22),OR(B2812&gt;=Eingaben!$B$21,B2812&lt;Eingaben!$B$22)),"GO",IF(AND(ISNUMBER(Eingaben!$B$23),ISNUMBER(Eingaben!$B$24),IF(Eingaben!$B$23&lt;Eingaben!$B$24,AND(B2812&gt;=Eingaben!$B$23,B2812&lt;Eingaben!$B$24),OR(B2812&gt;=Eingaben!$B$23,B2812&lt;Eingaben!$B$24))),"HEAT","STANDARD"))</f>
        <v>STANDARD</v>
      </c>
      <c r="E2812" s="9"/>
      <c r="F2812" t="str">
        <f>IF(E2812="",D2812,E2812)</f>
        <v>STANDARD</v>
      </c>
      <c r="G2812" t="str">
        <f>INDEX(Netzzeiten!$B$6:$B$29,HOUR(B2812)+1)</f>
        <v>NT</v>
      </c>
      <c r="H2812" s="6">
        <f>IF(F2812="GO",Eingaben!$B$11,IF(F2812="STANDARD",Eingaben!$B$12,IF(AND(F2812="HEAT",ISNUMBER(Eingaben!$B$13)),Eingaben!$B$13,"")))</f>
        <v>28.2744</v>
      </c>
      <c r="I2812" s="6">
        <f>INDEX(Netzzeiten!$C$6:$C$29,HOUR(B2812)+1)</f>
        <v>1.64</v>
      </c>
      <c r="J2812" t="str">
        <f>IF(C2812="","FEHLT",IF(NOT(ISNUMBER(C2812)),"MESSWERT UNGUELTIG",IF(C2812&lt;0,"MESSWERT UNGUELTIG",IF(H2812="","TARIFPREIS FEHLT","OK"))))</f>
        <v>FEHLT</v>
      </c>
      <c r="K2812" s="7">
        <f>IF(J2812&lt;&gt;"OK","",C2812*I2812/100)</f>
        <v/>
      </c>
    </row>
    <row r="2813" spans="1:11">
      <c r="A2813" s="14">
        <v>46172</v>
      </c>
      <c r="B2813" s="15">
        <v>0.2395833333333333</v>
      </c>
      <c r="C2813" s="5">
        <f>IF('96 Werte'!Y35="","",'96 Werte'!Y35)</f>
        <v/>
      </c>
      <c r="D2813" t="str">
        <f>IF(IF(Eingaben!$B$21&lt;Eingaben!$B$22,AND(B2813&gt;=Eingaben!$B$21,B2813&lt;Eingaben!$B$22),OR(B2813&gt;=Eingaben!$B$21,B2813&lt;Eingaben!$B$22)),"GO",IF(AND(ISNUMBER(Eingaben!$B$23),ISNUMBER(Eingaben!$B$24),IF(Eingaben!$B$23&lt;Eingaben!$B$24,AND(B2813&gt;=Eingaben!$B$23,B2813&lt;Eingaben!$B$24),OR(B2813&gt;=Eingaben!$B$23,B2813&lt;Eingaben!$B$24))),"HEAT","STANDARD"))</f>
        <v>STANDARD</v>
      </c>
      <c r="E2813" s="9"/>
      <c r="F2813" t="str">
        <f>IF(E2813="",D2813,E2813)</f>
        <v>STANDARD</v>
      </c>
      <c r="G2813" t="str">
        <f>INDEX(Netzzeiten!$B$6:$B$29,HOUR(B2813)+1)</f>
        <v>NT</v>
      </c>
      <c r="H2813" s="6">
        <f>IF(F2813="GO",Eingaben!$B$11,IF(F2813="STANDARD",Eingaben!$B$12,IF(AND(F2813="HEAT",ISNUMBER(Eingaben!$B$13)),Eingaben!$B$13,"")))</f>
        <v>28.2744</v>
      </c>
      <c r="I2813" s="6">
        <f>INDEX(Netzzeiten!$C$6:$C$29,HOUR(B2813)+1)</f>
        <v>1.64</v>
      </c>
      <c r="J2813" t="str">
        <f>IF(C2813="","FEHLT",IF(NOT(ISNUMBER(C2813)),"MESSWERT UNGUELTIG",IF(C2813&lt;0,"MESSWERT UNGUELTIG",IF(H2813="","TARIFPREIS FEHLT","OK"))))</f>
        <v>FEHLT</v>
      </c>
      <c r="K2813" s="7">
        <f>IF(J2813&lt;&gt;"OK","",C2813*I2813/100)</f>
        <v/>
      </c>
    </row>
    <row r="2814" spans="1:11">
      <c r="A2814" s="14">
        <v>46172</v>
      </c>
      <c r="B2814" s="15">
        <v>0.25</v>
      </c>
      <c r="C2814" s="5">
        <f>IF('96 Werte'!Z35="","",'96 Werte'!Z35)</f>
        <v/>
      </c>
      <c r="D2814" t="str">
        <f>IF(IF(Eingaben!$B$21&lt;Eingaben!$B$22,AND(B2814&gt;=Eingaben!$B$21,B2814&lt;Eingaben!$B$22),OR(B2814&gt;=Eingaben!$B$21,B2814&lt;Eingaben!$B$22)),"GO",IF(AND(ISNUMBER(Eingaben!$B$23),ISNUMBER(Eingaben!$B$24),IF(Eingaben!$B$23&lt;Eingaben!$B$24,AND(B2814&gt;=Eingaben!$B$23,B2814&lt;Eingaben!$B$24),OR(B2814&gt;=Eingaben!$B$23,B2814&lt;Eingaben!$B$24))),"HEAT","STANDARD"))</f>
        <v>STANDARD</v>
      </c>
      <c r="E2814" s="9"/>
      <c r="F2814" t="str">
        <f>IF(E2814="",D2814,E2814)</f>
        <v>STANDARD</v>
      </c>
      <c r="G2814" t="str">
        <f>INDEX(Netzzeiten!$B$6:$B$29,HOUR(B2814)+1)</f>
        <v>ST</v>
      </c>
      <c r="H2814" s="6">
        <f>IF(F2814="GO",Eingaben!$B$11,IF(F2814="STANDARD",Eingaben!$B$12,IF(AND(F2814="HEAT",ISNUMBER(Eingaben!$B$13)),Eingaben!$B$13,"")))</f>
        <v>28.2744</v>
      </c>
      <c r="I2814" s="6">
        <f>INDEX(Netzzeiten!$C$6:$C$29,HOUR(B2814)+1)</f>
        <v>5.48</v>
      </c>
      <c r="J2814" t="str">
        <f>IF(C2814="","FEHLT",IF(NOT(ISNUMBER(C2814)),"MESSWERT UNGUELTIG",IF(C2814&lt;0,"MESSWERT UNGUELTIG",IF(H2814="","TARIFPREIS FEHLT","OK"))))</f>
        <v>FEHLT</v>
      </c>
      <c r="K2814" s="7">
        <f>IF(J2814&lt;&gt;"OK","",C2814*I2814/100)</f>
        <v/>
      </c>
    </row>
    <row r="2815" spans="1:11">
      <c r="A2815" s="14">
        <v>46172</v>
      </c>
      <c r="B2815" s="15">
        <v>0.2604166666666667</v>
      </c>
      <c r="C2815" s="5">
        <f>IF('96 Werte'!AA35="","",'96 Werte'!AA35)</f>
        <v/>
      </c>
      <c r="D2815" t="str">
        <f>IF(IF(Eingaben!$B$21&lt;Eingaben!$B$22,AND(B2815&gt;=Eingaben!$B$21,B2815&lt;Eingaben!$B$22),OR(B2815&gt;=Eingaben!$B$21,B2815&lt;Eingaben!$B$22)),"GO",IF(AND(ISNUMBER(Eingaben!$B$23),ISNUMBER(Eingaben!$B$24),IF(Eingaben!$B$23&lt;Eingaben!$B$24,AND(B2815&gt;=Eingaben!$B$23,B2815&lt;Eingaben!$B$24),OR(B2815&gt;=Eingaben!$B$23,B2815&lt;Eingaben!$B$24))),"HEAT","STANDARD"))</f>
        <v>STANDARD</v>
      </c>
      <c r="E2815" s="9"/>
      <c r="F2815" t="str">
        <f>IF(E2815="",D2815,E2815)</f>
        <v>STANDARD</v>
      </c>
      <c r="G2815" t="str">
        <f>INDEX(Netzzeiten!$B$6:$B$29,HOUR(B2815)+1)</f>
        <v>ST</v>
      </c>
      <c r="H2815" s="6">
        <f>IF(F2815="GO",Eingaben!$B$11,IF(F2815="STANDARD",Eingaben!$B$12,IF(AND(F2815="HEAT",ISNUMBER(Eingaben!$B$13)),Eingaben!$B$13,"")))</f>
        <v>28.2744</v>
      </c>
      <c r="I2815" s="6">
        <f>INDEX(Netzzeiten!$C$6:$C$29,HOUR(B2815)+1)</f>
        <v>5.48</v>
      </c>
      <c r="J2815" t="str">
        <f>IF(C2815="","FEHLT",IF(NOT(ISNUMBER(C2815)),"MESSWERT UNGUELTIG",IF(C2815&lt;0,"MESSWERT UNGUELTIG",IF(H2815="","TARIFPREIS FEHLT","OK"))))</f>
        <v>FEHLT</v>
      </c>
      <c r="K2815" s="7">
        <f>IF(J2815&lt;&gt;"OK","",C2815*I2815/100)</f>
        <v/>
      </c>
    </row>
    <row r="2816" spans="1:11">
      <c r="A2816" s="14">
        <v>46172</v>
      </c>
      <c r="B2816" s="15">
        <v>0.2708333333333333</v>
      </c>
      <c r="C2816" s="5">
        <f>IF('96 Werte'!AB35="","",'96 Werte'!AB35)</f>
        <v/>
      </c>
      <c r="D2816" t="str">
        <f>IF(IF(Eingaben!$B$21&lt;Eingaben!$B$22,AND(B2816&gt;=Eingaben!$B$21,B2816&lt;Eingaben!$B$22),OR(B2816&gt;=Eingaben!$B$21,B2816&lt;Eingaben!$B$22)),"GO",IF(AND(ISNUMBER(Eingaben!$B$23),ISNUMBER(Eingaben!$B$24),IF(Eingaben!$B$23&lt;Eingaben!$B$24,AND(B2816&gt;=Eingaben!$B$23,B2816&lt;Eingaben!$B$24),OR(B2816&gt;=Eingaben!$B$23,B2816&lt;Eingaben!$B$24))),"HEAT","STANDARD"))</f>
        <v>STANDARD</v>
      </c>
      <c r="E2816" s="9"/>
      <c r="F2816" t="str">
        <f>IF(E2816="",D2816,E2816)</f>
        <v>STANDARD</v>
      </c>
      <c r="G2816" t="str">
        <f>INDEX(Netzzeiten!$B$6:$B$29,HOUR(B2816)+1)</f>
        <v>ST</v>
      </c>
      <c r="H2816" s="6">
        <f>IF(F2816="GO",Eingaben!$B$11,IF(F2816="STANDARD",Eingaben!$B$12,IF(AND(F2816="HEAT",ISNUMBER(Eingaben!$B$13)),Eingaben!$B$13,"")))</f>
        <v>28.2744</v>
      </c>
      <c r="I2816" s="6">
        <f>INDEX(Netzzeiten!$C$6:$C$29,HOUR(B2816)+1)</f>
        <v>5.48</v>
      </c>
      <c r="J2816" t="str">
        <f>IF(C2816="","FEHLT",IF(NOT(ISNUMBER(C2816)),"MESSWERT UNGUELTIG",IF(C2816&lt;0,"MESSWERT UNGUELTIG",IF(H2816="","TARIFPREIS FEHLT","OK"))))</f>
        <v>FEHLT</v>
      </c>
      <c r="K2816" s="7">
        <f>IF(J2816&lt;&gt;"OK","",C2816*I2816/100)</f>
        <v/>
      </c>
    </row>
    <row r="2817" spans="1:11">
      <c r="A2817" s="14">
        <v>46172</v>
      </c>
      <c r="B2817" s="15">
        <v>0.28125</v>
      </c>
      <c r="C2817" s="5">
        <f>IF('96 Werte'!AC35="","",'96 Werte'!AC35)</f>
        <v/>
      </c>
      <c r="D2817" t="str">
        <f>IF(IF(Eingaben!$B$21&lt;Eingaben!$B$22,AND(B2817&gt;=Eingaben!$B$21,B2817&lt;Eingaben!$B$22),OR(B2817&gt;=Eingaben!$B$21,B2817&lt;Eingaben!$B$22)),"GO",IF(AND(ISNUMBER(Eingaben!$B$23),ISNUMBER(Eingaben!$B$24),IF(Eingaben!$B$23&lt;Eingaben!$B$24,AND(B2817&gt;=Eingaben!$B$23,B2817&lt;Eingaben!$B$24),OR(B2817&gt;=Eingaben!$B$23,B2817&lt;Eingaben!$B$24))),"HEAT","STANDARD"))</f>
        <v>STANDARD</v>
      </c>
      <c r="E2817" s="9"/>
      <c r="F2817" t="str">
        <f>IF(E2817="",D2817,E2817)</f>
        <v>STANDARD</v>
      </c>
      <c r="G2817" t="str">
        <f>INDEX(Netzzeiten!$B$6:$B$29,HOUR(B2817)+1)</f>
        <v>ST</v>
      </c>
      <c r="H2817" s="6">
        <f>IF(F2817="GO",Eingaben!$B$11,IF(F2817="STANDARD",Eingaben!$B$12,IF(AND(F2817="HEAT",ISNUMBER(Eingaben!$B$13)),Eingaben!$B$13,"")))</f>
        <v>28.2744</v>
      </c>
      <c r="I2817" s="6">
        <f>INDEX(Netzzeiten!$C$6:$C$29,HOUR(B2817)+1)</f>
        <v>5.48</v>
      </c>
      <c r="J2817" t="str">
        <f>IF(C2817="","FEHLT",IF(NOT(ISNUMBER(C2817)),"MESSWERT UNGUELTIG",IF(C2817&lt;0,"MESSWERT UNGUELTIG",IF(H2817="","TARIFPREIS FEHLT","OK"))))</f>
        <v>FEHLT</v>
      </c>
      <c r="K2817" s="7">
        <f>IF(J2817&lt;&gt;"OK","",C2817*I2817/100)</f>
        <v/>
      </c>
    </row>
    <row r="2818" spans="1:11">
      <c r="A2818" s="14">
        <v>46172</v>
      </c>
      <c r="B2818" s="15">
        <v>0.2916666666666667</v>
      </c>
      <c r="C2818" s="5">
        <f>IF('96 Werte'!AD35="","",'96 Werte'!AD35)</f>
        <v/>
      </c>
      <c r="D2818" t="str">
        <f>IF(IF(Eingaben!$B$21&lt;Eingaben!$B$22,AND(B2818&gt;=Eingaben!$B$21,B2818&lt;Eingaben!$B$22),OR(B2818&gt;=Eingaben!$B$21,B2818&lt;Eingaben!$B$22)),"GO",IF(AND(ISNUMBER(Eingaben!$B$23),ISNUMBER(Eingaben!$B$24),IF(Eingaben!$B$23&lt;Eingaben!$B$24,AND(B2818&gt;=Eingaben!$B$23,B2818&lt;Eingaben!$B$24),OR(B2818&gt;=Eingaben!$B$23,B2818&lt;Eingaben!$B$24))),"HEAT","STANDARD"))</f>
        <v>STANDARD</v>
      </c>
      <c r="E2818" s="9"/>
      <c r="F2818" t="str">
        <f>IF(E2818="",D2818,E2818)</f>
        <v>STANDARD</v>
      </c>
      <c r="G2818" t="str">
        <f>INDEX(Netzzeiten!$B$6:$B$29,HOUR(B2818)+1)</f>
        <v>ST</v>
      </c>
      <c r="H2818" s="6">
        <f>IF(F2818="GO",Eingaben!$B$11,IF(F2818="STANDARD",Eingaben!$B$12,IF(AND(F2818="HEAT",ISNUMBER(Eingaben!$B$13)),Eingaben!$B$13,"")))</f>
        <v>28.2744</v>
      </c>
      <c r="I2818" s="6">
        <f>INDEX(Netzzeiten!$C$6:$C$29,HOUR(B2818)+1)</f>
        <v>5.48</v>
      </c>
      <c r="J2818" t="str">
        <f>IF(C2818="","FEHLT",IF(NOT(ISNUMBER(C2818)),"MESSWERT UNGUELTIG",IF(C2818&lt;0,"MESSWERT UNGUELTIG",IF(H2818="","TARIFPREIS FEHLT","OK"))))</f>
        <v>FEHLT</v>
      </c>
      <c r="K2818" s="7">
        <f>IF(J2818&lt;&gt;"OK","",C2818*I2818/100)</f>
        <v/>
      </c>
    </row>
    <row r="2819" spans="1:11">
      <c r="A2819" s="14">
        <v>46172</v>
      </c>
      <c r="B2819" s="15">
        <v>0.3020833333333333</v>
      </c>
      <c r="C2819" s="5">
        <f>IF('96 Werte'!AE35="","",'96 Werte'!AE35)</f>
        <v/>
      </c>
      <c r="D2819" t="str">
        <f>IF(IF(Eingaben!$B$21&lt;Eingaben!$B$22,AND(B2819&gt;=Eingaben!$B$21,B2819&lt;Eingaben!$B$22),OR(B2819&gt;=Eingaben!$B$21,B2819&lt;Eingaben!$B$22)),"GO",IF(AND(ISNUMBER(Eingaben!$B$23),ISNUMBER(Eingaben!$B$24),IF(Eingaben!$B$23&lt;Eingaben!$B$24,AND(B2819&gt;=Eingaben!$B$23,B2819&lt;Eingaben!$B$24),OR(B2819&gt;=Eingaben!$B$23,B2819&lt;Eingaben!$B$24))),"HEAT","STANDARD"))</f>
        <v>STANDARD</v>
      </c>
      <c r="E2819" s="9"/>
      <c r="F2819" t="str">
        <f>IF(E2819="",D2819,E2819)</f>
        <v>STANDARD</v>
      </c>
      <c r="G2819" t="str">
        <f>INDEX(Netzzeiten!$B$6:$B$29,HOUR(B2819)+1)</f>
        <v>ST</v>
      </c>
      <c r="H2819" s="6">
        <f>IF(F2819="GO",Eingaben!$B$11,IF(F2819="STANDARD",Eingaben!$B$12,IF(AND(F2819="HEAT",ISNUMBER(Eingaben!$B$13)),Eingaben!$B$13,"")))</f>
        <v>28.2744</v>
      </c>
      <c r="I2819" s="6">
        <f>INDEX(Netzzeiten!$C$6:$C$29,HOUR(B2819)+1)</f>
        <v>5.48</v>
      </c>
      <c r="J2819" t="str">
        <f>IF(C2819="","FEHLT",IF(NOT(ISNUMBER(C2819)),"MESSWERT UNGUELTIG",IF(C2819&lt;0,"MESSWERT UNGUELTIG",IF(H2819="","TARIFPREIS FEHLT","OK"))))</f>
        <v>FEHLT</v>
      </c>
      <c r="K2819" s="7">
        <f>IF(J2819&lt;&gt;"OK","",C2819*I2819/100)</f>
        <v/>
      </c>
    </row>
    <row r="2820" spans="1:11">
      <c r="A2820" s="14">
        <v>46172</v>
      </c>
      <c r="B2820" s="15">
        <v>0.3125</v>
      </c>
      <c r="C2820" s="5">
        <f>IF('96 Werte'!AF35="","",'96 Werte'!AF35)</f>
        <v/>
      </c>
      <c r="D2820" t="str">
        <f>IF(IF(Eingaben!$B$21&lt;Eingaben!$B$22,AND(B2820&gt;=Eingaben!$B$21,B2820&lt;Eingaben!$B$22),OR(B2820&gt;=Eingaben!$B$21,B2820&lt;Eingaben!$B$22)),"GO",IF(AND(ISNUMBER(Eingaben!$B$23),ISNUMBER(Eingaben!$B$24),IF(Eingaben!$B$23&lt;Eingaben!$B$24,AND(B2820&gt;=Eingaben!$B$23,B2820&lt;Eingaben!$B$24),OR(B2820&gt;=Eingaben!$B$23,B2820&lt;Eingaben!$B$24))),"HEAT","STANDARD"))</f>
        <v>STANDARD</v>
      </c>
      <c r="E2820" s="9"/>
      <c r="F2820" t="str">
        <f>IF(E2820="",D2820,E2820)</f>
        <v>STANDARD</v>
      </c>
      <c r="G2820" t="str">
        <f>INDEX(Netzzeiten!$B$6:$B$29,HOUR(B2820)+1)</f>
        <v>ST</v>
      </c>
      <c r="H2820" s="6">
        <f>IF(F2820="GO",Eingaben!$B$11,IF(F2820="STANDARD",Eingaben!$B$12,IF(AND(F2820="HEAT",ISNUMBER(Eingaben!$B$13)),Eingaben!$B$13,"")))</f>
        <v>28.2744</v>
      </c>
      <c r="I2820" s="6">
        <f>INDEX(Netzzeiten!$C$6:$C$29,HOUR(B2820)+1)</f>
        <v>5.48</v>
      </c>
      <c r="J2820" t="str">
        <f>IF(C2820="","FEHLT",IF(NOT(ISNUMBER(C2820)),"MESSWERT UNGUELTIG",IF(C2820&lt;0,"MESSWERT UNGUELTIG",IF(H2820="","TARIFPREIS FEHLT","OK"))))</f>
        <v>FEHLT</v>
      </c>
      <c r="K2820" s="7">
        <f>IF(J2820&lt;&gt;"OK","",C2820*I2820/100)</f>
        <v/>
      </c>
    </row>
    <row r="2821" spans="1:11">
      <c r="A2821" s="14">
        <v>46172</v>
      </c>
      <c r="B2821" s="15">
        <v>0.3229166666666667</v>
      </c>
      <c r="C2821" s="5">
        <f>IF('96 Werte'!AG35="","",'96 Werte'!AG35)</f>
        <v/>
      </c>
      <c r="D2821" t="str">
        <f>IF(IF(Eingaben!$B$21&lt;Eingaben!$B$22,AND(B2821&gt;=Eingaben!$B$21,B2821&lt;Eingaben!$B$22),OR(B2821&gt;=Eingaben!$B$21,B2821&lt;Eingaben!$B$22)),"GO",IF(AND(ISNUMBER(Eingaben!$B$23),ISNUMBER(Eingaben!$B$24),IF(Eingaben!$B$23&lt;Eingaben!$B$24,AND(B2821&gt;=Eingaben!$B$23,B2821&lt;Eingaben!$B$24),OR(B2821&gt;=Eingaben!$B$23,B2821&lt;Eingaben!$B$24))),"HEAT","STANDARD"))</f>
        <v>STANDARD</v>
      </c>
      <c r="E2821" s="9"/>
      <c r="F2821" t="str">
        <f>IF(E2821="",D2821,E2821)</f>
        <v>STANDARD</v>
      </c>
      <c r="G2821" t="str">
        <f>INDEX(Netzzeiten!$B$6:$B$29,HOUR(B2821)+1)</f>
        <v>ST</v>
      </c>
      <c r="H2821" s="6">
        <f>IF(F2821="GO",Eingaben!$B$11,IF(F2821="STANDARD",Eingaben!$B$12,IF(AND(F2821="HEAT",ISNUMBER(Eingaben!$B$13)),Eingaben!$B$13,"")))</f>
        <v>28.2744</v>
      </c>
      <c r="I2821" s="6">
        <f>INDEX(Netzzeiten!$C$6:$C$29,HOUR(B2821)+1)</f>
        <v>5.48</v>
      </c>
      <c r="J2821" t="str">
        <f>IF(C2821="","FEHLT",IF(NOT(ISNUMBER(C2821)),"MESSWERT UNGUELTIG",IF(C2821&lt;0,"MESSWERT UNGUELTIG",IF(H2821="","TARIFPREIS FEHLT","OK"))))</f>
        <v>FEHLT</v>
      </c>
      <c r="K2821" s="7">
        <f>IF(J2821&lt;&gt;"OK","",C2821*I2821/100)</f>
        <v/>
      </c>
    </row>
    <row r="2822" spans="1:11">
      <c r="A2822" s="14">
        <v>46172</v>
      </c>
      <c r="B2822" s="15">
        <v>0.3333333333333333</v>
      </c>
      <c r="C2822" s="5">
        <f>IF('96 Werte'!AH35="","",'96 Werte'!AH35)</f>
        <v/>
      </c>
      <c r="D2822" t="str">
        <f>IF(IF(Eingaben!$B$21&lt;Eingaben!$B$22,AND(B2822&gt;=Eingaben!$B$21,B2822&lt;Eingaben!$B$22),OR(B2822&gt;=Eingaben!$B$21,B2822&lt;Eingaben!$B$22)),"GO",IF(AND(ISNUMBER(Eingaben!$B$23),ISNUMBER(Eingaben!$B$24),IF(Eingaben!$B$23&lt;Eingaben!$B$24,AND(B2822&gt;=Eingaben!$B$23,B2822&lt;Eingaben!$B$24),OR(B2822&gt;=Eingaben!$B$23,B2822&lt;Eingaben!$B$24))),"HEAT","STANDARD"))</f>
        <v>STANDARD</v>
      </c>
      <c r="E2822" s="9"/>
      <c r="F2822" t="str">
        <f>IF(E2822="",D2822,E2822)</f>
        <v>STANDARD</v>
      </c>
      <c r="G2822" t="str">
        <f>INDEX(Netzzeiten!$B$6:$B$29,HOUR(B2822)+1)</f>
        <v>ST</v>
      </c>
      <c r="H2822" s="6">
        <f>IF(F2822="GO",Eingaben!$B$11,IF(F2822="STANDARD",Eingaben!$B$12,IF(AND(F2822="HEAT",ISNUMBER(Eingaben!$B$13)),Eingaben!$B$13,"")))</f>
        <v>28.2744</v>
      </c>
      <c r="I2822" s="6">
        <f>INDEX(Netzzeiten!$C$6:$C$29,HOUR(B2822)+1)</f>
        <v>5.48</v>
      </c>
      <c r="J2822" t="str">
        <f>IF(C2822="","FEHLT",IF(NOT(ISNUMBER(C2822)),"MESSWERT UNGUELTIG",IF(C2822&lt;0,"MESSWERT UNGUELTIG",IF(H2822="","TARIFPREIS FEHLT","OK"))))</f>
        <v>FEHLT</v>
      </c>
      <c r="K2822" s="7">
        <f>IF(J2822&lt;&gt;"OK","",C2822*I2822/100)</f>
        <v/>
      </c>
    </row>
    <row r="2823" spans="1:11">
      <c r="A2823" s="14">
        <v>46172</v>
      </c>
      <c r="B2823" s="15">
        <v>0.34375</v>
      </c>
      <c r="C2823" s="5">
        <f>IF('96 Werte'!AI35="","",'96 Werte'!AI35)</f>
        <v/>
      </c>
      <c r="D2823" t="str">
        <f>IF(IF(Eingaben!$B$21&lt;Eingaben!$B$22,AND(B2823&gt;=Eingaben!$B$21,B2823&lt;Eingaben!$B$22),OR(B2823&gt;=Eingaben!$B$21,B2823&lt;Eingaben!$B$22)),"GO",IF(AND(ISNUMBER(Eingaben!$B$23),ISNUMBER(Eingaben!$B$24),IF(Eingaben!$B$23&lt;Eingaben!$B$24,AND(B2823&gt;=Eingaben!$B$23,B2823&lt;Eingaben!$B$24),OR(B2823&gt;=Eingaben!$B$23,B2823&lt;Eingaben!$B$24))),"HEAT","STANDARD"))</f>
        <v>STANDARD</v>
      </c>
      <c r="E2823" s="9"/>
      <c r="F2823" t="str">
        <f>IF(E2823="",D2823,E2823)</f>
        <v>STANDARD</v>
      </c>
      <c r="G2823" t="str">
        <f>INDEX(Netzzeiten!$B$6:$B$29,HOUR(B2823)+1)</f>
        <v>ST</v>
      </c>
      <c r="H2823" s="6">
        <f>IF(F2823="GO",Eingaben!$B$11,IF(F2823="STANDARD",Eingaben!$B$12,IF(AND(F2823="HEAT",ISNUMBER(Eingaben!$B$13)),Eingaben!$B$13,"")))</f>
        <v>28.2744</v>
      </c>
      <c r="I2823" s="6">
        <f>INDEX(Netzzeiten!$C$6:$C$29,HOUR(B2823)+1)</f>
        <v>5.48</v>
      </c>
      <c r="J2823" t="str">
        <f>IF(C2823="","FEHLT",IF(NOT(ISNUMBER(C2823)),"MESSWERT UNGUELTIG",IF(C2823&lt;0,"MESSWERT UNGUELTIG",IF(H2823="","TARIFPREIS FEHLT","OK"))))</f>
        <v>FEHLT</v>
      </c>
      <c r="K2823" s="7">
        <f>IF(J2823&lt;&gt;"OK","",C2823*I2823/100)</f>
        <v/>
      </c>
    </row>
    <row r="2824" spans="1:11">
      <c r="A2824" s="14">
        <v>46172</v>
      </c>
      <c r="B2824" s="15">
        <v>0.3541666666666667</v>
      </c>
      <c r="C2824" s="5">
        <f>IF('96 Werte'!AJ35="","",'96 Werte'!AJ35)</f>
        <v/>
      </c>
      <c r="D2824" t="str">
        <f>IF(IF(Eingaben!$B$21&lt;Eingaben!$B$22,AND(B2824&gt;=Eingaben!$B$21,B2824&lt;Eingaben!$B$22),OR(B2824&gt;=Eingaben!$B$21,B2824&lt;Eingaben!$B$22)),"GO",IF(AND(ISNUMBER(Eingaben!$B$23),ISNUMBER(Eingaben!$B$24),IF(Eingaben!$B$23&lt;Eingaben!$B$24,AND(B2824&gt;=Eingaben!$B$23,B2824&lt;Eingaben!$B$24),OR(B2824&gt;=Eingaben!$B$23,B2824&lt;Eingaben!$B$24))),"HEAT","STANDARD"))</f>
        <v>STANDARD</v>
      </c>
      <c r="E2824" s="9"/>
      <c r="F2824" t="str">
        <f>IF(E2824="",D2824,E2824)</f>
        <v>STANDARD</v>
      </c>
      <c r="G2824" t="str">
        <f>INDEX(Netzzeiten!$B$6:$B$29,HOUR(B2824)+1)</f>
        <v>ST</v>
      </c>
      <c r="H2824" s="6">
        <f>IF(F2824="GO",Eingaben!$B$11,IF(F2824="STANDARD",Eingaben!$B$12,IF(AND(F2824="HEAT",ISNUMBER(Eingaben!$B$13)),Eingaben!$B$13,"")))</f>
        <v>28.2744</v>
      </c>
      <c r="I2824" s="6">
        <f>INDEX(Netzzeiten!$C$6:$C$29,HOUR(B2824)+1)</f>
        <v>5.48</v>
      </c>
      <c r="J2824" t="str">
        <f>IF(C2824="","FEHLT",IF(NOT(ISNUMBER(C2824)),"MESSWERT UNGUELTIG",IF(C2824&lt;0,"MESSWERT UNGUELTIG",IF(H2824="","TARIFPREIS FEHLT","OK"))))</f>
        <v>FEHLT</v>
      </c>
      <c r="K2824" s="7">
        <f>IF(J2824&lt;&gt;"OK","",C2824*I2824/100)</f>
        <v/>
      </c>
    </row>
    <row r="2825" spans="1:11">
      <c r="A2825" s="14">
        <v>46172</v>
      </c>
      <c r="B2825" s="15">
        <v>0.3645833333333333</v>
      </c>
      <c r="C2825" s="5">
        <f>IF('96 Werte'!AK35="","",'96 Werte'!AK35)</f>
        <v/>
      </c>
      <c r="D2825" t="str">
        <f>IF(IF(Eingaben!$B$21&lt;Eingaben!$B$22,AND(B2825&gt;=Eingaben!$B$21,B2825&lt;Eingaben!$B$22),OR(B2825&gt;=Eingaben!$B$21,B2825&lt;Eingaben!$B$22)),"GO",IF(AND(ISNUMBER(Eingaben!$B$23),ISNUMBER(Eingaben!$B$24),IF(Eingaben!$B$23&lt;Eingaben!$B$24,AND(B2825&gt;=Eingaben!$B$23,B2825&lt;Eingaben!$B$24),OR(B2825&gt;=Eingaben!$B$23,B2825&lt;Eingaben!$B$24))),"HEAT","STANDARD"))</f>
        <v>STANDARD</v>
      </c>
      <c r="E2825" s="9"/>
      <c r="F2825" t="str">
        <f>IF(E2825="",D2825,E2825)</f>
        <v>STANDARD</v>
      </c>
      <c r="G2825" t="str">
        <f>INDEX(Netzzeiten!$B$6:$B$29,HOUR(B2825)+1)</f>
        <v>ST</v>
      </c>
      <c r="H2825" s="6">
        <f>IF(F2825="GO",Eingaben!$B$11,IF(F2825="STANDARD",Eingaben!$B$12,IF(AND(F2825="HEAT",ISNUMBER(Eingaben!$B$13)),Eingaben!$B$13,"")))</f>
        <v>28.2744</v>
      </c>
      <c r="I2825" s="6">
        <f>INDEX(Netzzeiten!$C$6:$C$29,HOUR(B2825)+1)</f>
        <v>5.48</v>
      </c>
      <c r="J2825" t="str">
        <f>IF(C2825="","FEHLT",IF(NOT(ISNUMBER(C2825)),"MESSWERT UNGUELTIG",IF(C2825&lt;0,"MESSWERT UNGUELTIG",IF(H2825="","TARIFPREIS FEHLT","OK"))))</f>
        <v>FEHLT</v>
      </c>
      <c r="K2825" s="7">
        <f>IF(J2825&lt;&gt;"OK","",C2825*I2825/100)</f>
        <v/>
      </c>
    </row>
    <row r="2826" spans="1:11">
      <c r="A2826" s="14">
        <v>46172</v>
      </c>
      <c r="B2826" s="15">
        <v>0.375</v>
      </c>
      <c r="C2826" s="5">
        <f>IF('96 Werte'!AL35="","",'96 Werte'!AL35)</f>
        <v/>
      </c>
      <c r="D2826" t="str">
        <f>IF(IF(Eingaben!$B$21&lt;Eingaben!$B$22,AND(B2826&gt;=Eingaben!$B$21,B2826&lt;Eingaben!$B$22),OR(B2826&gt;=Eingaben!$B$21,B2826&lt;Eingaben!$B$22)),"GO",IF(AND(ISNUMBER(Eingaben!$B$23),ISNUMBER(Eingaben!$B$24),IF(Eingaben!$B$23&lt;Eingaben!$B$24,AND(B2826&gt;=Eingaben!$B$23,B2826&lt;Eingaben!$B$24),OR(B2826&gt;=Eingaben!$B$23,B2826&lt;Eingaben!$B$24))),"HEAT","STANDARD"))</f>
        <v>STANDARD</v>
      </c>
      <c r="E2826" s="9"/>
      <c r="F2826" t="str">
        <f>IF(E2826="",D2826,E2826)</f>
        <v>STANDARD</v>
      </c>
      <c r="G2826" t="str">
        <f>INDEX(Netzzeiten!$B$6:$B$29,HOUR(B2826)+1)</f>
        <v>ST</v>
      </c>
      <c r="H2826" s="6">
        <f>IF(F2826="GO",Eingaben!$B$11,IF(F2826="STANDARD",Eingaben!$B$12,IF(AND(F2826="HEAT",ISNUMBER(Eingaben!$B$13)),Eingaben!$B$13,"")))</f>
        <v>28.2744</v>
      </c>
      <c r="I2826" s="6">
        <f>INDEX(Netzzeiten!$C$6:$C$29,HOUR(B2826)+1)</f>
        <v>5.48</v>
      </c>
      <c r="J2826" t="str">
        <f>IF(C2826="","FEHLT",IF(NOT(ISNUMBER(C2826)),"MESSWERT UNGUELTIG",IF(C2826&lt;0,"MESSWERT UNGUELTIG",IF(H2826="","TARIFPREIS FEHLT","OK"))))</f>
        <v>FEHLT</v>
      </c>
      <c r="K2826" s="7">
        <f>IF(J2826&lt;&gt;"OK","",C2826*I2826/100)</f>
        <v/>
      </c>
    </row>
    <row r="2827" spans="1:11">
      <c r="A2827" s="14">
        <v>46172</v>
      </c>
      <c r="B2827" s="15">
        <v>0.3854166666666667</v>
      </c>
      <c r="C2827" s="5">
        <f>IF('96 Werte'!AM35="","",'96 Werte'!AM35)</f>
        <v/>
      </c>
      <c r="D2827" t="str">
        <f>IF(IF(Eingaben!$B$21&lt;Eingaben!$B$22,AND(B2827&gt;=Eingaben!$B$21,B2827&lt;Eingaben!$B$22),OR(B2827&gt;=Eingaben!$B$21,B2827&lt;Eingaben!$B$22)),"GO",IF(AND(ISNUMBER(Eingaben!$B$23),ISNUMBER(Eingaben!$B$24),IF(Eingaben!$B$23&lt;Eingaben!$B$24,AND(B2827&gt;=Eingaben!$B$23,B2827&lt;Eingaben!$B$24),OR(B2827&gt;=Eingaben!$B$23,B2827&lt;Eingaben!$B$24))),"HEAT","STANDARD"))</f>
        <v>STANDARD</v>
      </c>
      <c r="E2827" s="9"/>
      <c r="F2827" t="str">
        <f>IF(E2827="",D2827,E2827)</f>
        <v>STANDARD</v>
      </c>
      <c r="G2827" t="str">
        <f>INDEX(Netzzeiten!$B$6:$B$29,HOUR(B2827)+1)</f>
        <v>ST</v>
      </c>
      <c r="H2827" s="6">
        <f>IF(F2827="GO",Eingaben!$B$11,IF(F2827="STANDARD",Eingaben!$B$12,IF(AND(F2827="HEAT",ISNUMBER(Eingaben!$B$13)),Eingaben!$B$13,"")))</f>
        <v>28.2744</v>
      </c>
      <c r="I2827" s="6">
        <f>INDEX(Netzzeiten!$C$6:$C$29,HOUR(B2827)+1)</f>
        <v>5.48</v>
      </c>
      <c r="J2827" t="str">
        <f>IF(C2827="","FEHLT",IF(NOT(ISNUMBER(C2827)),"MESSWERT UNGUELTIG",IF(C2827&lt;0,"MESSWERT UNGUELTIG",IF(H2827="","TARIFPREIS FEHLT","OK"))))</f>
        <v>FEHLT</v>
      </c>
      <c r="K2827" s="7">
        <f>IF(J2827&lt;&gt;"OK","",C2827*I2827/100)</f>
        <v/>
      </c>
    </row>
    <row r="2828" spans="1:11">
      <c r="A2828" s="14">
        <v>46172</v>
      </c>
      <c r="B2828" s="15">
        <v>0.3958333333333333</v>
      </c>
      <c r="C2828" s="5">
        <f>IF('96 Werte'!AN35="","",'96 Werte'!AN35)</f>
        <v/>
      </c>
      <c r="D2828" t="str">
        <f>IF(IF(Eingaben!$B$21&lt;Eingaben!$B$22,AND(B2828&gt;=Eingaben!$B$21,B2828&lt;Eingaben!$B$22),OR(B2828&gt;=Eingaben!$B$21,B2828&lt;Eingaben!$B$22)),"GO",IF(AND(ISNUMBER(Eingaben!$B$23),ISNUMBER(Eingaben!$B$24),IF(Eingaben!$B$23&lt;Eingaben!$B$24,AND(B2828&gt;=Eingaben!$B$23,B2828&lt;Eingaben!$B$24),OR(B2828&gt;=Eingaben!$B$23,B2828&lt;Eingaben!$B$24))),"HEAT","STANDARD"))</f>
        <v>STANDARD</v>
      </c>
      <c r="E2828" s="9"/>
      <c r="F2828" t="str">
        <f>IF(E2828="",D2828,E2828)</f>
        <v>STANDARD</v>
      </c>
      <c r="G2828" t="str">
        <f>INDEX(Netzzeiten!$B$6:$B$29,HOUR(B2828)+1)</f>
        <v>ST</v>
      </c>
      <c r="H2828" s="6">
        <f>IF(F2828="GO",Eingaben!$B$11,IF(F2828="STANDARD",Eingaben!$B$12,IF(AND(F2828="HEAT",ISNUMBER(Eingaben!$B$13)),Eingaben!$B$13,"")))</f>
        <v>28.2744</v>
      </c>
      <c r="I2828" s="6">
        <f>INDEX(Netzzeiten!$C$6:$C$29,HOUR(B2828)+1)</f>
        <v>5.48</v>
      </c>
      <c r="J2828" t="str">
        <f>IF(C2828="","FEHLT",IF(NOT(ISNUMBER(C2828)),"MESSWERT UNGUELTIG",IF(C2828&lt;0,"MESSWERT UNGUELTIG",IF(H2828="","TARIFPREIS FEHLT","OK"))))</f>
        <v>FEHLT</v>
      </c>
      <c r="K2828" s="7">
        <f>IF(J2828&lt;&gt;"OK","",C2828*I2828/100)</f>
        <v/>
      </c>
    </row>
    <row r="2829" spans="1:11">
      <c r="A2829" s="14">
        <v>46172</v>
      </c>
      <c r="B2829" s="15">
        <v>0.40625</v>
      </c>
      <c r="C2829" s="5">
        <f>IF('96 Werte'!AO35="","",'96 Werte'!AO35)</f>
        <v/>
      </c>
      <c r="D2829" t="str">
        <f>IF(IF(Eingaben!$B$21&lt;Eingaben!$B$22,AND(B2829&gt;=Eingaben!$B$21,B2829&lt;Eingaben!$B$22),OR(B2829&gt;=Eingaben!$B$21,B2829&lt;Eingaben!$B$22)),"GO",IF(AND(ISNUMBER(Eingaben!$B$23),ISNUMBER(Eingaben!$B$24),IF(Eingaben!$B$23&lt;Eingaben!$B$24,AND(B2829&gt;=Eingaben!$B$23,B2829&lt;Eingaben!$B$24),OR(B2829&gt;=Eingaben!$B$23,B2829&lt;Eingaben!$B$24))),"HEAT","STANDARD"))</f>
        <v>STANDARD</v>
      </c>
      <c r="E2829" s="9"/>
      <c r="F2829" t="str">
        <f>IF(E2829="",D2829,E2829)</f>
        <v>STANDARD</v>
      </c>
      <c r="G2829" t="str">
        <f>INDEX(Netzzeiten!$B$6:$B$29,HOUR(B2829)+1)</f>
        <v>ST</v>
      </c>
      <c r="H2829" s="6">
        <f>IF(F2829="GO",Eingaben!$B$11,IF(F2829="STANDARD",Eingaben!$B$12,IF(AND(F2829="HEAT",ISNUMBER(Eingaben!$B$13)),Eingaben!$B$13,"")))</f>
        <v>28.2744</v>
      </c>
      <c r="I2829" s="6">
        <f>INDEX(Netzzeiten!$C$6:$C$29,HOUR(B2829)+1)</f>
        <v>5.48</v>
      </c>
      <c r="J2829" t="str">
        <f>IF(C2829="","FEHLT",IF(NOT(ISNUMBER(C2829)),"MESSWERT UNGUELTIG",IF(C2829&lt;0,"MESSWERT UNGUELTIG",IF(H2829="","TARIFPREIS FEHLT","OK"))))</f>
        <v>FEHLT</v>
      </c>
      <c r="K2829" s="7">
        <f>IF(J2829&lt;&gt;"OK","",C2829*I2829/100)</f>
        <v/>
      </c>
    </row>
    <row r="2830" spans="1:11">
      <c r="A2830" s="14">
        <v>46172</v>
      </c>
      <c r="B2830" s="15">
        <v>0.4166666666666667</v>
      </c>
      <c r="C2830" s="5">
        <f>IF('96 Werte'!AP35="","",'96 Werte'!AP35)</f>
        <v/>
      </c>
      <c r="D2830" t="str">
        <f>IF(IF(Eingaben!$B$21&lt;Eingaben!$B$22,AND(B2830&gt;=Eingaben!$B$21,B2830&lt;Eingaben!$B$22),OR(B2830&gt;=Eingaben!$B$21,B2830&lt;Eingaben!$B$22)),"GO",IF(AND(ISNUMBER(Eingaben!$B$23),ISNUMBER(Eingaben!$B$24),IF(Eingaben!$B$23&lt;Eingaben!$B$24,AND(B2830&gt;=Eingaben!$B$23,B2830&lt;Eingaben!$B$24),OR(B2830&gt;=Eingaben!$B$23,B2830&lt;Eingaben!$B$24))),"HEAT","STANDARD"))</f>
        <v>STANDARD</v>
      </c>
      <c r="E2830" s="9"/>
      <c r="F2830" t="str">
        <f>IF(E2830="",D2830,E2830)</f>
        <v>STANDARD</v>
      </c>
      <c r="G2830" t="str">
        <f>INDEX(Netzzeiten!$B$6:$B$29,HOUR(B2830)+1)</f>
        <v>ST</v>
      </c>
      <c r="H2830" s="6">
        <f>IF(F2830="GO",Eingaben!$B$11,IF(F2830="STANDARD",Eingaben!$B$12,IF(AND(F2830="HEAT",ISNUMBER(Eingaben!$B$13)),Eingaben!$B$13,"")))</f>
        <v>28.2744</v>
      </c>
      <c r="I2830" s="6">
        <f>INDEX(Netzzeiten!$C$6:$C$29,HOUR(B2830)+1)</f>
        <v>5.48</v>
      </c>
      <c r="J2830" t="str">
        <f>IF(C2830="","FEHLT",IF(NOT(ISNUMBER(C2830)),"MESSWERT UNGUELTIG",IF(C2830&lt;0,"MESSWERT UNGUELTIG",IF(H2830="","TARIFPREIS FEHLT","OK"))))</f>
        <v>FEHLT</v>
      </c>
      <c r="K2830" s="7">
        <f>IF(J2830&lt;&gt;"OK","",C2830*I2830/100)</f>
        <v/>
      </c>
    </row>
    <row r="2831" spans="1:11">
      <c r="A2831" s="14">
        <v>46172</v>
      </c>
      <c r="B2831" s="15">
        <v>0.4270833333333333</v>
      </c>
      <c r="C2831" s="5">
        <f>IF('96 Werte'!AQ35="","",'96 Werte'!AQ35)</f>
        <v/>
      </c>
      <c r="D2831" t="str">
        <f>IF(IF(Eingaben!$B$21&lt;Eingaben!$B$22,AND(B2831&gt;=Eingaben!$B$21,B2831&lt;Eingaben!$B$22),OR(B2831&gt;=Eingaben!$B$21,B2831&lt;Eingaben!$B$22)),"GO",IF(AND(ISNUMBER(Eingaben!$B$23),ISNUMBER(Eingaben!$B$24),IF(Eingaben!$B$23&lt;Eingaben!$B$24,AND(B2831&gt;=Eingaben!$B$23,B2831&lt;Eingaben!$B$24),OR(B2831&gt;=Eingaben!$B$23,B2831&lt;Eingaben!$B$24))),"HEAT","STANDARD"))</f>
        <v>STANDARD</v>
      </c>
      <c r="E2831" s="9"/>
      <c r="F2831" t="str">
        <f>IF(E2831="",D2831,E2831)</f>
        <v>STANDARD</v>
      </c>
      <c r="G2831" t="str">
        <f>INDEX(Netzzeiten!$B$6:$B$29,HOUR(B2831)+1)</f>
        <v>ST</v>
      </c>
      <c r="H2831" s="6">
        <f>IF(F2831="GO",Eingaben!$B$11,IF(F2831="STANDARD",Eingaben!$B$12,IF(AND(F2831="HEAT",ISNUMBER(Eingaben!$B$13)),Eingaben!$B$13,"")))</f>
        <v>28.2744</v>
      </c>
      <c r="I2831" s="6">
        <f>INDEX(Netzzeiten!$C$6:$C$29,HOUR(B2831)+1)</f>
        <v>5.48</v>
      </c>
      <c r="J2831" t="str">
        <f>IF(C2831="","FEHLT",IF(NOT(ISNUMBER(C2831)),"MESSWERT UNGUELTIG",IF(C2831&lt;0,"MESSWERT UNGUELTIG",IF(H2831="","TARIFPREIS FEHLT","OK"))))</f>
        <v>FEHLT</v>
      </c>
      <c r="K2831" s="7">
        <f>IF(J2831&lt;&gt;"OK","",C2831*I2831/100)</f>
        <v/>
      </c>
    </row>
    <row r="2832" spans="1:11">
      <c r="A2832" s="14">
        <v>46172</v>
      </c>
      <c r="B2832" s="15">
        <v>0.4375</v>
      </c>
      <c r="C2832" s="5">
        <f>IF('96 Werte'!AR35="","",'96 Werte'!AR35)</f>
        <v/>
      </c>
      <c r="D2832" t="str">
        <f>IF(IF(Eingaben!$B$21&lt;Eingaben!$B$22,AND(B2832&gt;=Eingaben!$B$21,B2832&lt;Eingaben!$B$22),OR(B2832&gt;=Eingaben!$B$21,B2832&lt;Eingaben!$B$22)),"GO",IF(AND(ISNUMBER(Eingaben!$B$23),ISNUMBER(Eingaben!$B$24),IF(Eingaben!$B$23&lt;Eingaben!$B$24,AND(B2832&gt;=Eingaben!$B$23,B2832&lt;Eingaben!$B$24),OR(B2832&gt;=Eingaben!$B$23,B2832&lt;Eingaben!$B$24))),"HEAT","STANDARD"))</f>
        <v>STANDARD</v>
      </c>
      <c r="E2832" s="9"/>
      <c r="F2832" t="str">
        <f>IF(E2832="",D2832,E2832)</f>
        <v>STANDARD</v>
      </c>
      <c r="G2832" t="str">
        <f>INDEX(Netzzeiten!$B$6:$B$29,HOUR(B2832)+1)</f>
        <v>ST</v>
      </c>
      <c r="H2832" s="6">
        <f>IF(F2832="GO",Eingaben!$B$11,IF(F2832="STANDARD",Eingaben!$B$12,IF(AND(F2832="HEAT",ISNUMBER(Eingaben!$B$13)),Eingaben!$B$13,"")))</f>
        <v>28.2744</v>
      </c>
      <c r="I2832" s="6">
        <f>INDEX(Netzzeiten!$C$6:$C$29,HOUR(B2832)+1)</f>
        <v>5.48</v>
      </c>
      <c r="J2832" t="str">
        <f>IF(C2832="","FEHLT",IF(NOT(ISNUMBER(C2832)),"MESSWERT UNGUELTIG",IF(C2832&lt;0,"MESSWERT UNGUELTIG",IF(H2832="","TARIFPREIS FEHLT","OK"))))</f>
        <v>FEHLT</v>
      </c>
      <c r="K2832" s="7">
        <f>IF(J2832&lt;&gt;"OK","",C2832*I2832/100)</f>
        <v/>
      </c>
    </row>
    <row r="2833" spans="1:11">
      <c r="A2833" s="14">
        <v>46172</v>
      </c>
      <c r="B2833" s="15">
        <v>0.4479166666666667</v>
      </c>
      <c r="C2833" s="5">
        <f>IF('96 Werte'!AS35="","",'96 Werte'!AS35)</f>
        <v/>
      </c>
      <c r="D2833" t="str">
        <f>IF(IF(Eingaben!$B$21&lt;Eingaben!$B$22,AND(B2833&gt;=Eingaben!$B$21,B2833&lt;Eingaben!$B$22),OR(B2833&gt;=Eingaben!$B$21,B2833&lt;Eingaben!$B$22)),"GO",IF(AND(ISNUMBER(Eingaben!$B$23),ISNUMBER(Eingaben!$B$24),IF(Eingaben!$B$23&lt;Eingaben!$B$24,AND(B2833&gt;=Eingaben!$B$23,B2833&lt;Eingaben!$B$24),OR(B2833&gt;=Eingaben!$B$23,B2833&lt;Eingaben!$B$24))),"HEAT","STANDARD"))</f>
        <v>STANDARD</v>
      </c>
      <c r="E2833" s="9"/>
      <c r="F2833" t="str">
        <f>IF(E2833="",D2833,E2833)</f>
        <v>STANDARD</v>
      </c>
      <c r="G2833" t="str">
        <f>INDEX(Netzzeiten!$B$6:$B$29,HOUR(B2833)+1)</f>
        <v>ST</v>
      </c>
      <c r="H2833" s="6">
        <f>IF(F2833="GO",Eingaben!$B$11,IF(F2833="STANDARD",Eingaben!$B$12,IF(AND(F2833="HEAT",ISNUMBER(Eingaben!$B$13)),Eingaben!$B$13,"")))</f>
        <v>28.2744</v>
      </c>
      <c r="I2833" s="6">
        <f>INDEX(Netzzeiten!$C$6:$C$29,HOUR(B2833)+1)</f>
        <v>5.48</v>
      </c>
      <c r="J2833" t="str">
        <f>IF(C2833="","FEHLT",IF(NOT(ISNUMBER(C2833)),"MESSWERT UNGUELTIG",IF(C2833&lt;0,"MESSWERT UNGUELTIG",IF(H2833="","TARIFPREIS FEHLT","OK"))))</f>
        <v>FEHLT</v>
      </c>
      <c r="K2833" s="7">
        <f>IF(J2833&lt;&gt;"OK","",C2833*I2833/100)</f>
        <v/>
      </c>
    </row>
    <row r="2834" spans="1:11">
      <c r="A2834" s="14">
        <v>46172</v>
      </c>
      <c r="B2834" s="15">
        <v>0.4583333333333333</v>
      </c>
      <c r="C2834" s="5">
        <f>IF('96 Werte'!AT35="","",'96 Werte'!AT35)</f>
        <v/>
      </c>
      <c r="D2834" t="str">
        <f>IF(IF(Eingaben!$B$21&lt;Eingaben!$B$22,AND(B2834&gt;=Eingaben!$B$21,B2834&lt;Eingaben!$B$22),OR(B2834&gt;=Eingaben!$B$21,B2834&lt;Eingaben!$B$22)),"GO",IF(AND(ISNUMBER(Eingaben!$B$23),ISNUMBER(Eingaben!$B$24),IF(Eingaben!$B$23&lt;Eingaben!$B$24,AND(B2834&gt;=Eingaben!$B$23,B2834&lt;Eingaben!$B$24),OR(B2834&gt;=Eingaben!$B$23,B2834&lt;Eingaben!$B$24))),"HEAT","STANDARD"))</f>
        <v>STANDARD</v>
      </c>
      <c r="E2834" s="9"/>
      <c r="F2834" t="str">
        <f>IF(E2834="",D2834,E2834)</f>
        <v>STANDARD</v>
      </c>
      <c r="G2834" t="str">
        <f>INDEX(Netzzeiten!$B$6:$B$29,HOUR(B2834)+1)</f>
        <v>NT</v>
      </c>
      <c r="H2834" s="6">
        <f>IF(F2834="GO",Eingaben!$B$11,IF(F2834="STANDARD",Eingaben!$B$12,IF(AND(F2834="HEAT",ISNUMBER(Eingaben!$B$13)),Eingaben!$B$13,"")))</f>
        <v>28.2744</v>
      </c>
      <c r="I2834" s="6">
        <f>INDEX(Netzzeiten!$C$6:$C$29,HOUR(B2834)+1)</f>
        <v>1.64</v>
      </c>
      <c r="J2834" t="str">
        <f>IF(C2834="","FEHLT",IF(NOT(ISNUMBER(C2834)),"MESSWERT UNGUELTIG",IF(C2834&lt;0,"MESSWERT UNGUELTIG",IF(H2834="","TARIFPREIS FEHLT","OK"))))</f>
        <v>FEHLT</v>
      </c>
      <c r="K2834" s="7">
        <f>IF(J2834&lt;&gt;"OK","",C2834*I2834/100)</f>
        <v/>
      </c>
    </row>
    <row r="2835" spans="1:11">
      <c r="A2835" s="14">
        <v>46172</v>
      </c>
      <c r="B2835" s="15">
        <v>0.46875</v>
      </c>
      <c r="C2835" s="5">
        <f>IF('96 Werte'!AU35="","",'96 Werte'!AU35)</f>
        <v/>
      </c>
      <c r="D2835" t="str">
        <f>IF(IF(Eingaben!$B$21&lt;Eingaben!$B$22,AND(B2835&gt;=Eingaben!$B$21,B2835&lt;Eingaben!$B$22),OR(B2835&gt;=Eingaben!$B$21,B2835&lt;Eingaben!$B$22)),"GO",IF(AND(ISNUMBER(Eingaben!$B$23),ISNUMBER(Eingaben!$B$24),IF(Eingaben!$B$23&lt;Eingaben!$B$24,AND(B2835&gt;=Eingaben!$B$23,B2835&lt;Eingaben!$B$24),OR(B2835&gt;=Eingaben!$B$23,B2835&lt;Eingaben!$B$24))),"HEAT","STANDARD"))</f>
        <v>STANDARD</v>
      </c>
      <c r="E2835" s="9"/>
      <c r="F2835" t="str">
        <f>IF(E2835="",D2835,E2835)</f>
        <v>STANDARD</v>
      </c>
      <c r="G2835" t="str">
        <f>INDEX(Netzzeiten!$B$6:$B$29,HOUR(B2835)+1)</f>
        <v>NT</v>
      </c>
      <c r="H2835" s="6">
        <f>IF(F2835="GO",Eingaben!$B$11,IF(F2835="STANDARD",Eingaben!$B$12,IF(AND(F2835="HEAT",ISNUMBER(Eingaben!$B$13)),Eingaben!$B$13,"")))</f>
        <v>28.2744</v>
      </c>
      <c r="I2835" s="6">
        <f>INDEX(Netzzeiten!$C$6:$C$29,HOUR(B2835)+1)</f>
        <v>1.64</v>
      </c>
      <c r="J2835" t="str">
        <f>IF(C2835="","FEHLT",IF(NOT(ISNUMBER(C2835)),"MESSWERT UNGUELTIG",IF(C2835&lt;0,"MESSWERT UNGUELTIG",IF(H2835="","TARIFPREIS FEHLT","OK"))))</f>
        <v>FEHLT</v>
      </c>
      <c r="K2835" s="7">
        <f>IF(J2835&lt;&gt;"OK","",C2835*I2835/100)</f>
        <v/>
      </c>
    </row>
    <row r="2836" spans="1:11">
      <c r="A2836" s="14">
        <v>46172</v>
      </c>
      <c r="B2836" s="15">
        <v>0.4791666666666667</v>
      </c>
      <c r="C2836" s="5">
        <f>IF('96 Werte'!AV35="","",'96 Werte'!AV35)</f>
        <v/>
      </c>
      <c r="D2836" t="str">
        <f>IF(IF(Eingaben!$B$21&lt;Eingaben!$B$22,AND(B2836&gt;=Eingaben!$B$21,B2836&lt;Eingaben!$B$22),OR(B2836&gt;=Eingaben!$B$21,B2836&lt;Eingaben!$B$22)),"GO",IF(AND(ISNUMBER(Eingaben!$B$23),ISNUMBER(Eingaben!$B$24),IF(Eingaben!$B$23&lt;Eingaben!$B$24,AND(B2836&gt;=Eingaben!$B$23,B2836&lt;Eingaben!$B$24),OR(B2836&gt;=Eingaben!$B$23,B2836&lt;Eingaben!$B$24))),"HEAT","STANDARD"))</f>
        <v>STANDARD</v>
      </c>
      <c r="E2836" s="9"/>
      <c r="F2836" t="str">
        <f>IF(E2836="",D2836,E2836)</f>
        <v>STANDARD</v>
      </c>
      <c r="G2836" t="str">
        <f>INDEX(Netzzeiten!$B$6:$B$29,HOUR(B2836)+1)</f>
        <v>NT</v>
      </c>
      <c r="H2836" s="6">
        <f>IF(F2836="GO",Eingaben!$B$11,IF(F2836="STANDARD",Eingaben!$B$12,IF(AND(F2836="HEAT",ISNUMBER(Eingaben!$B$13)),Eingaben!$B$13,"")))</f>
        <v>28.2744</v>
      </c>
      <c r="I2836" s="6">
        <f>INDEX(Netzzeiten!$C$6:$C$29,HOUR(B2836)+1)</f>
        <v>1.64</v>
      </c>
      <c r="J2836" t="str">
        <f>IF(C2836="","FEHLT",IF(NOT(ISNUMBER(C2836)),"MESSWERT UNGUELTIG",IF(C2836&lt;0,"MESSWERT UNGUELTIG",IF(H2836="","TARIFPREIS FEHLT","OK"))))</f>
        <v>FEHLT</v>
      </c>
      <c r="K2836" s="7">
        <f>IF(J2836&lt;&gt;"OK","",C2836*I2836/100)</f>
        <v/>
      </c>
    </row>
    <row r="2837" spans="1:11">
      <c r="A2837" s="14">
        <v>46172</v>
      </c>
      <c r="B2837" s="15">
        <v>0.4895833333333333</v>
      </c>
      <c r="C2837" s="5">
        <f>IF('96 Werte'!AW35="","",'96 Werte'!AW35)</f>
        <v/>
      </c>
      <c r="D2837" t="str">
        <f>IF(IF(Eingaben!$B$21&lt;Eingaben!$B$22,AND(B2837&gt;=Eingaben!$B$21,B2837&lt;Eingaben!$B$22),OR(B2837&gt;=Eingaben!$B$21,B2837&lt;Eingaben!$B$22)),"GO",IF(AND(ISNUMBER(Eingaben!$B$23),ISNUMBER(Eingaben!$B$24),IF(Eingaben!$B$23&lt;Eingaben!$B$24,AND(B2837&gt;=Eingaben!$B$23,B2837&lt;Eingaben!$B$24),OR(B2837&gt;=Eingaben!$B$23,B2837&lt;Eingaben!$B$24))),"HEAT","STANDARD"))</f>
        <v>STANDARD</v>
      </c>
      <c r="E2837" s="9"/>
      <c r="F2837" t="str">
        <f>IF(E2837="",D2837,E2837)</f>
        <v>STANDARD</v>
      </c>
      <c r="G2837" t="str">
        <f>INDEX(Netzzeiten!$B$6:$B$29,HOUR(B2837)+1)</f>
        <v>NT</v>
      </c>
      <c r="H2837" s="6">
        <f>IF(F2837="GO",Eingaben!$B$11,IF(F2837="STANDARD",Eingaben!$B$12,IF(AND(F2837="HEAT",ISNUMBER(Eingaben!$B$13)),Eingaben!$B$13,"")))</f>
        <v>28.2744</v>
      </c>
      <c r="I2837" s="6">
        <f>INDEX(Netzzeiten!$C$6:$C$29,HOUR(B2837)+1)</f>
        <v>1.64</v>
      </c>
      <c r="J2837" t="str">
        <f>IF(C2837="","FEHLT",IF(NOT(ISNUMBER(C2837)),"MESSWERT UNGUELTIG",IF(C2837&lt;0,"MESSWERT UNGUELTIG",IF(H2837="","TARIFPREIS FEHLT","OK"))))</f>
        <v>FEHLT</v>
      </c>
      <c r="K2837" s="7">
        <f>IF(J2837&lt;&gt;"OK","",C2837*I2837/100)</f>
        <v/>
      </c>
    </row>
    <row r="2838" spans="1:11">
      <c r="A2838" s="14">
        <v>46172</v>
      </c>
      <c r="B2838" s="15">
        <v>0.5</v>
      </c>
      <c r="C2838" s="5">
        <f>IF('96 Werte'!AX35="","",'96 Werte'!AX35)</f>
        <v/>
      </c>
      <c r="D2838" t="str">
        <f>IF(IF(Eingaben!$B$21&lt;Eingaben!$B$22,AND(B2838&gt;=Eingaben!$B$21,B2838&lt;Eingaben!$B$22),OR(B2838&gt;=Eingaben!$B$21,B2838&lt;Eingaben!$B$22)),"GO",IF(AND(ISNUMBER(Eingaben!$B$23),ISNUMBER(Eingaben!$B$24),IF(Eingaben!$B$23&lt;Eingaben!$B$24,AND(B2838&gt;=Eingaben!$B$23,B2838&lt;Eingaben!$B$24),OR(B2838&gt;=Eingaben!$B$23,B2838&lt;Eingaben!$B$24))),"HEAT","STANDARD"))</f>
        <v>STANDARD</v>
      </c>
      <c r="E2838" s="9"/>
      <c r="F2838" t="str">
        <f>IF(E2838="",D2838,E2838)</f>
        <v>STANDARD</v>
      </c>
      <c r="G2838" t="str">
        <f>INDEX(Netzzeiten!$B$6:$B$29,HOUR(B2838)+1)</f>
        <v>NT</v>
      </c>
      <c r="H2838" s="6">
        <f>IF(F2838="GO",Eingaben!$B$11,IF(F2838="STANDARD",Eingaben!$B$12,IF(AND(F2838="HEAT",ISNUMBER(Eingaben!$B$13)),Eingaben!$B$13,"")))</f>
        <v>28.2744</v>
      </c>
      <c r="I2838" s="6">
        <f>INDEX(Netzzeiten!$C$6:$C$29,HOUR(B2838)+1)</f>
        <v>1.64</v>
      </c>
      <c r="J2838" t="str">
        <f>IF(C2838="","FEHLT",IF(NOT(ISNUMBER(C2838)),"MESSWERT UNGUELTIG",IF(C2838&lt;0,"MESSWERT UNGUELTIG",IF(H2838="","TARIFPREIS FEHLT","OK"))))</f>
        <v>FEHLT</v>
      </c>
      <c r="K2838" s="7">
        <f>IF(J2838&lt;&gt;"OK","",C2838*I2838/100)</f>
        <v/>
      </c>
    </row>
    <row r="2839" spans="1:11">
      <c r="A2839" s="14">
        <v>46172</v>
      </c>
      <c r="B2839" s="15">
        <v>0.5104166666666666</v>
      </c>
      <c r="C2839" s="5">
        <f>IF('96 Werte'!AY35="","",'96 Werte'!AY35)</f>
        <v/>
      </c>
      <c r="D2839" t="str">
        <f>IF(IF(Eingaben!$B$21&lt;Eingaben!$B$22,AND(B2839&gt;=Eingaben!$B$21,B2839&lt;Eingaben!$B$22),OR(B2839&gt;=Eingaben!$B$21,B2839&lt;Eingaben!$B$22)),"GO",IF(AND(ISNUMBER(Eingaben!$B$23),ISNUMBER(Eingaben!$B$24),IF(Eingaben!$B$23&lt;Eingaben!$B$24,AND(B2839&gt;=Eingaben!$B$23,B2839&lt;Eingaben!$B$24),OR(B2839&gt;=Eingaben!$B$23,B2839&lt;Eingaben!$B$24))),"HEAT","STANDARD"))</f>
        <v>STANDARD</v>
      </c>
      <c r="E2839" s="9"/>
      <c r="F2839" t="str">
        <f>IF(E2839="",D2839,E2839)</f>
        <v>STANDARD</v>
      </c>
      <c r="G2839" t="str">
        <f>INDEX(Netzzeiten!$B$6:$B$29,HOUR(B2839)+1)</f>
        <v>NT</v>
      </c>
      <c r="H2839" s="6">
        <f>IF(F2839="GO",Eingaben!$B$11,IF(F2839="STANDARD",Eingaben!$B$12,IF(AND(F2839="HEAT",ISNUMBER(Eingaben!$B$13)),Eingaben!$B$13,"")))</f>
        <v>28.2744</v>
      </c>
      <c r="I2839" s="6">
        <f>INDEX(Netzzeiten!$C$6:$C$29,HOUR(B2839)+1)</f>
        <v>1.64</v>
      </c>
      <c r="J2839" t="str">
        <f>IF(C2839="","FEHLT",IF(NOT(ISNUMBER(C2839)),"MESSWERT UNGUELTIG",IF(C2839&lt;0,"MESSWERT UNGUELTIG",IF(H2839="","TARIFPREIS FEHLT","OK"))))</f>
        <v>FEHLT</v>
      </c>
      <c r="K2839" s="7">
        <f>IF(J2839&lt;&gt;"OK","",C2839*I2839/100)</f>
        <v/>
      </c>
    </row>
    <row r="2840" spans="1:11">
      <c r="A2840" s="14">
        <v>46172</v>
      </c>
      <c r="B2840" s="15">
        <v>0.5208333333333334</v>
      </c>
      <c r="C2840" s="5">
        <f>IF('96 Werte'!AZ35="","",'96 Werte'!AZ35)</f>
        <v/>
      </c>
      <c r="D2840" t="str">
        <f>IF(IF(Eingaben!$B$21&lt;Eingaben!$B$22,AND(B2840&gt;=Eingaben!$B$21,B2840&lt;Eingaben!$B$22),OR(B2840&gt;=Eingaben!$B$21,B2840&lt;Eingaben!$B$22)),"GO",IF(AND(ISNUMBER(Eingaben!$B$23),ISNUMBER(Eingaben!$B$24),IF(Eingaben!$B$23&lt;Eingaben!$B$24,AND(B2840&gt;=Eingaben!$B$23,B2840&lt;Eingaben!$B$24),OR(B2840&gt;=Eingaben!$B$23,B2840&lt;Eingaben!$B$24))),"HEAT","STANDARD"))</f>
        <v>STANDARD</v>
      </c>
      <c r="E2840" s="9"/>
      <c r="F2840" t="str">
        <f>IF(E2840="",D2840,E2840)</f>
        <v>STANDARD</v>
      </c>
      <c r="G2840" t="str">
        <f>INDEX(Netzzeiten!$B$6:$B$29,HOUR(B2840)+1)</f>
        <v>NT</v>
      </c>
      <c r="H2840" s="6">
        <f>IF(F2840="GO",Eingaben!$B$11,IF(F2840="STANDARD",Eingaben!$B$12,IF(AND(F2840="HEAT",ISNUMBER(Eingaben!$B$13)),Eingaben!$B$13,"")))</f>
        <v>28.2744</v>
      </c>
      <c r="I2840" s="6">
        <f>INDEX(Netzzeiten!$C$6:$C$29,HOUR(B2840)+1)</f>
        <v>1.64</v>
      </c>
      <c r="J2840" t="str">
        <f>IF(C2840="","FEHLT",IF(NOT(ISNUMBER(C2840)),"MESSWERT UNGUELTIG",IF(C2840&lt;0,"MESSWERT UNGUELTIG",IF(H2840="","TARIFPREIS FEHLT","OK"))))</f>
        <v>FEHLT</v>
      </c>
      <c r="K2840" s="7">
        <f>IF(J2840&lt;&gt;"OK","",C2840*I2840/100)</f>
        <v/>
      </c>
    </row>
    <row r="2841" spans="1:11">
      <c r="A2841" s="14">
        <v>46172</v>
      </c>
      <c r="B2841" s="15">
        <v>0.53125</v>
      </c>
      <c r="C2841" s="5">
        <f>IF('96 Werte'!BA35="","",'96 Werte'!BA35)</f>
        <v/>
      </c>
      <c r="D2841" t="str">
        <f>IF(IF(Eingaben!$B$21&lt;Eingaben!$B$22,AND(B2841&gt;=Eingaben!$B$21,B2841&lt;Eingaben!$B$22),OR(B2841&gt;=Eingaben!$B$21,B2841&lt;Eingaben!$B$22)),"GO",IF(AND(ISNUMBER(Eingaben!$B$23),ISNUMBER(Eingaben!$B$24),IF(Eingaben!$B$23&lt;Eingaben!$B$24,AND(B2841&gt;=Eingaben!$B$23,B2841&lt;Eingaben!$B$24),OR(B2841&gt;=Eingaben!$B$23,B2841&lt;Eingaben!$B$24))),"HEAT","STANDARD"))</f>
        <v>STANDARD</v>
      </c>
      <c r="E2841" s="9"/>
      <c r="F2841" t="str">
        <f>IF(E2841="",D2841,E2841)</f>
        <v>STANDARD</v>
      </c>
      <c r="G2841" t="str">
        <f>INDEX(Netzzeiten!$B$6:$B$29,HOUR(B2841)+1)</f>
        <v>NT</v>
      </c>
      <c r="H2841" s="6">
        <f>IF(F2841="GO",Eingaben!$B$11,IF(F2841="STANDARD",Eingaben!$B$12,IF(AND(F2841="HEAT",ISNUMBER(Eingaben!$B$13)),Eingaben!$B$13,"")))</f>
        <v>28.2744</v>
      </c>
      <c r="I2841" s="6">
        <f>INDEX(Netzzeiten!$C$6:$C$29,HOUR(B2841)+1)</f>
        <v>1.64</v>
      </c>
      <c r="J2841" t="str">
        <f>IF(C2841="","FEHLT",IF(NOT(ISNUMBER(C2841)),"MESSWERT UNGUELTIG",IF(C2841&lt;0,"MESSWERT UNGUELTIG",IF(H2841="","TARIFPREIS FEHLT","OK"))))</f>
        <v>FEHLT</v>
      </c>
      <c r="K2841" s="7">
        <f>IF(J2841&lt;&gt;"OK","",C2841*I2841/100)</f>
        <v/>
      </c>
    </row>
    <row r="2842" spans="1:11">
      <c r="A2842" s="14">
        <v>46172</v>
      </c>
      <c r="B2842" s="15">
        <v>0.5416666666666666</v>
      </c>
      <c r="C2842" s="5">
        <f>IF('96 Werte'!BB35="","",'96 Werte'!BB35)</f>
        <v/>
      </c>
      <c r="D2842" t="str">
        <f>IF(IF(Eingaben!$B$21&lt;Eingaben!$B$22,AND(B2842&gt;=Eingaben!$B$21,B2842&lt;Eingaben!$B$22),OR(B2842&gt;=Eingaben!$B$21,B2842&lt;Eingaben!$B$22)),"GO",IF(AND(ISNUMBER(Eingaben!$B$23),ISNUMBER(Eingaben!$B$24),IF(Eingaben!$B$23&lt;Eingaben!$B$24,AND(B2842&gt;=Eingaben!$B$23,B2842&lt;Eingaben!$B$24),OR(B2842&gt;=Eingaben!$B$23,B2842&lt;Eingaben!$B$24))),"HEAT","STANDARD"))</f>
        <v>STANDARD</v>
      </c>
      <c r="E2842" s="9"/>
      <c r="F2842" t="str">
        <f>IF(E2842="",D2842,E2842)</f>
        <v>STANDARD</v>
      </c>
      <c r="G2842" t="str">
        <f>INDEX(Netzzeiten!$B$6:$B$29,HOUR(B2842)+1)</f>
        <v>NT</v>
      </c>
      <c r="H2842" s="6">
        <f>IF(F2842="GO",Eingaben!$B$11,IF(F2842="STANDARD",Eingaben!$B$12,IF(AND(F2842="HEAT",ISNUMBER(Eingaben!$B$13)),Eingaben!$B$13,"")))</f>
        <v>28.2744</v>
      </c>
      <c r="I2842" s="6">
        <f>INDEX(Netzzeiten!$C$6:$C$29,HOUR(B2842)+1)</f>
        <v>1.64</v>
      </c>
      <c r="J2842" t="str">
        <f>IF(C2842="","FEHLT",IF(NOT(ISNUMBER(C2842)),"MESSWERT UNGUELTIG",IF(C2842&lt;0,"MESSWERT UNGUELTIG",IF(H2842="","TARIFPREIS FEHLT","OK"))))</f>
        <v>FEHLT</v>
      </c>
      <c r="K2842" s="7">
        <f>IF(J2842&lt;&gt;"OK","",C2842*I2842/100)</f>
        <v/>
      </c>
    </row>
    <row r="2843" spans="1:11">
      <c r="A2843" s="14">
        <v>46172</v>
      </c>
      <c r="B2843" s="15">
        <v>0.5520833333333334</v>
      </c>
      <c r="C2843" s="5">
        <f>IF('96 Werte'!BC35="","",'96 Werte'!BC35)</f>
        <v/>
      </c>
      <c r="D2843" t="str">
        <f>IF(IF(Eingaben!$B$21&lt;Eingaben!$B$22,AND(B2843&gt;=Eingaben!$B$21,B2843&lt;Eingaben!$B$22),OR(B2843&gt;=Eingaben!$B$21,B2843&lt;Eingaben!$B$22)),"GO",IF(AND(ISNUMBER(Eingaben!$B$23),ISNUMBER(Eingaben!$B$24),IF(Eingaben!$B$23&lt;Eingaben!$B$24,AND(B2843&gt;=Eingaben!$B$23,B2843&lt;Eingaben!$B$24),OR(B2843&gt;=Eingaben!$B$23,B2843&lt;Eingaben!$B$24))),"HEAT","STANDARD"))</f>
        <v>STANDARD</v>
      </c>
      <c r="E2843" s="9"/>
      <c r="F2843" t="str">
        <f>IF(E2843="",D2843,E2843)</f>
        <v>STANDARD</v>
      </c>
      <c r="G2843" t="str">
        <f>INDEX(Netzzeiten!$B$6:$B$29,HOUR(B2843)+1)</f>
        <v>NT</v>
      </c>
      <c r="H2843" s="6">
        <f>IF(F2843="GO",Eingaben!$B$11,IF(F2843="STANDARD",Eingaben!$B$12,IF(AND(F2843="HEAT",ISNUMBER(Eingaben!$B$13)),Eingaben!$B$13,"")))</f>
        <v>28.2744</v>
      </c>
      <c r="I2843" s="6">
        <f>INDEX(Netzzeiten!$C$6:$C$29,HOUR(B2843)+1)</f>
        <v>1.64</v>
      </c>
      <c r="J2843" t="str">
        <f>IF(C2843="","FEHLT",IF(NOT(ISNUMBER(C2843)),"MESSWERT UNGUELTIG",IF(C2843&lt;0,"MESSWERT UNGUELTIG",IF(H2843="","TARIFPREIS FEHLT","OK"))))</f>
        <v>FEHLT</v>
      </c>
      <c r="K2843" s="7">
        <f>IF(J2843&lt;&gt;"OK","",C2843*I2843/100)</f>
        <v/>
      </c>
    </row>
    <row r="2844" spans="1:11">
      <c r="A2844" s="14">
        <v>46172</v>
      </c>
      <c r="B2844" s="15">
        <v>0.5625</v>
      </c>
      <c r="C2844" s="5">
        <f>IF('96 Werte'!BD35="","",'96 Werte'!BD35)</f>
        <v/>
      </c>
      <c r="D2844" t="str">
        <f>IF(IF(Eingaben!$B$21&lt;Eingaben!$B$22,AND(B2844&gt;=Eingaben!$B$21,B2844&lt;Eingaben!$B$22),OR(B2844&gt;=Eingaben!$B$21,B2844&lt;Eingaben!$B$22)),"GO",IF(AND(ISNUMBER(Eingaben!$B$23),ISNUMBER(Eingaben!$B$24),IF(Eingaben!$B$23&lt;Eingaben!$B$24,AND(B2844&gt;=Eingaben!$B$23,B2844&lt;Eingaben!$B$24),OR(B2844&gt;=Eingaben!$B$23,B2844&lt;Eingaben!$B$24))),"HEAT","STANDARD"))</f>
        <v>STANDARD</v>
      </c>
      <c r="E2844" s="9"/>
      <c r="F2844" t="str">
        <f>IF(E2844="",D2844,E2844)</f>
        <v>STANDARD</v>
      </c>
      <c r="G2844" t="str">
        <f>INDEX(Netzzeiten!$B$6:$B$29,HOUR(B2844)+1)</f>
        <v>NT</v>
      </c>
      <c r="H2844" s="6">
        <f>IF(F2844="GO",Eingaben!$B$11,IF(F2844="STANDARD",Eingaben!$B$12,IF(AND(F2844="HEAT",ISNUMBER(Eingaben!$B$13)),Eingaben!$B$13,"")))</f>
        <v>28.2744</v>
      </c>
      <c r="I2844" s="6">
        <f>INDEX(Netzzeiten!$C$6:$C$29,HOUR(B2844)+1)</f>
        <v>1.64</v>
      </c>
      <c r="J2844" t="str">
        <f>IF(C2844="","FEHLT",IF(NOT(ISNUMBER(C2844)),"MESSWERT UNGUELTIG",IF(C2844&lt;0,"MESSWERT UNGUELTIG",IF(H2844="","TARIFPREIS FEHLT","OK"))))</f>
        <v>FEHLT</v>
      </c>
      <c r="K2844" s="7">
        <f>IF(J2844&lt;&gt;"OK","",C2844*I2844/100)</f>
        <v/>
      </c>
    </row>
    <row r="2845" spans="1:11">
      <c r="A2845" s="14">
        <v>46172</v>
      </c>
      <c r="B2845" s="15">
        <v>0.5729166666666666</v>
      </c>
      <c r="C2845" s="5">
        <f>IF('96 Werte'!BE35="","",'96 Werte'!BE35)</f>
        <v/>
      </c>
      <c r="D2845" t="str">
        <f>IF(IF(Eingaben!$B$21&lt;Eingaben!$B$22,AND(B2845&gt;=Eingaben!$B$21,B2845&lt;Eingaben!$B$22),OR(B2845&gt;=Eingaben!$B$21,B2845&lt;Eingaben!$B$22)),"GO",IF(AND(ISNUMBER(Eingaben!$B$23),ISNUMBER(Eingaben!$B$24),IF(Eingaben!$B$23&lt;Eingaben!$B$24,AND(B2845&gt;=Eingaben!$B$23,B2845&lt;Eingaben!$B$24),OR(B2845&gt;=Eingaben!$B$23,B2845&lt;Eingaben!$B$24))),"HEAT","STANDARD"))</f>
        <v>STANDARD</v>
      </c>
      <c r="E2845" s="9"/>
      <c r="F2845" t="str">
        <f>IF(E2845="",D2845,E2845)</f>
        <v>STANDARD</v>
      </c>
      <c r="G2845" t="str">
        <f>INDEX(Netzzeiten!$B$6:$B$29,HOUR(B2845)+1)</f>
        <v>NT</v>
      </c>
      <c r="H2845" s="6">
        <f>IF(F2845="GO",Eingaben!$B$11,IF(F2845="STANDARD",Eingaben!$B$12,IF(AND(F2845="HEAT",ISNUMBER(Eingaben!$B$13)),Eingaben!$B$13,"")))</f>
        <v>28.2744</v>
      </c>
      <c r="I2845" s="6">
        <f>INDEX(Netzzeiten!$C$6:$C$29,HOUR(B2845)+1)</f>
        <v>1.64</v>
      </c>
      <c r="J2845" t="str">
        <f>IF(C2845="","FEHLT",IF(NOT(ISNUMBER(C2845)),"MESSWERT UNGUELTIG",IF(C2845&lt;0,"MESSWERT UNGUELTIG",IF(H2845="","TARIFPREIS FEHLT","OK"))))</f>
        <v>FEHLT</v>
      </c>
      <c r="K2845" s="7">
        <f>IF(J2845&lt;&gt;"OK","",C2845*I2845/100)</f>
        <v/>
      </c>
    </row>
    <row r="2846" spans="1:11">
      <c r="A2846" s="14">
        <v>46172</v>
      </c>
      <c r="B2846" s="15">
        <v>0.5833333333333334</v>
      </c>
      <c r="C2846" s="5">
        <f>IF('96 Werte'!BF35="","",'96 Werte'!BF35)</f>
        <v/>
      </c>
      <c r="D2846" t="str">
        <f>IF(IF(Eingaben!$B$21&lt;Eingaben!$B$22,AND(B2846&gt;=Eingaben!$B$21,B2846&lt;Eingaben!$B$22),OR(B2846&gt;=Eingaben!$B$21,B2846&lt;Eingaben!$B$22)),"GO",IF(AND(ISNUMBER(Eingaben!$B$23),ISNUMBER(Eingaben!$B$24),IF(Eingaben!$B$23&lt;Eingaben!$B$24,AND(B2846&gt;=Eingaben!$B$23,B2846&lt;Eingaben!$B$24),OR(B2846&gt;=Eingaben!$B$23,B2846&lt;Eingaben!$B$24))),"HEAT","STANDARD"))</f>
        <v>STANDARD</v>
      </c>
      <c r="E2846" s="9"/>
      <c r="F2846" t="str">
        <f>IF(E2846="",D2846,E2846)</f>
        <v>STANDARD</v>
      </c>
      <c r="G2846" t="str">
        <f>INDEX(Netzzeiten!$B$6:$B$29,HOUR(B2846)+1)</f>
        <v>NT</v>
      </c>
      <c r="H2846" s="6">
        <f>IF(F2846="GO",Eingaben!$B$11,IF(F2846="STANDARD",Eingaben!$B$12,IF(AND(F2846="HEAT",ISNUMBER(Eingaben!$B$13)),Eingaben!$B$13,"")))</f>
        <v>28.2744</v>
      </c>
      <c r="I2846" s="6">
        <f>INDEX(Netzzeiten!$C$6:$C$29,HOUR(B2846)+1)</f>
        <v>1.64</v>
      </c>
      <c r="J2846" t="str">
        <f>IF(C2846="","FEHLT",IF(NOT(ISNUMBER(C2846)),"MESSWERT UNGUELTIG",IF(C2846&lt;0,"MESSWERT UNGUELTIG",IF(H2846="","TARIFPREIS FEHLT","OK"))))</f>
        <v>FEHLT</v>
      </c>
      <c r="K2846" s="7">
        <f>IF(J2846&lt;&gt;"OK","",C2846*I2846/100)</f>
        <v/>
      </c>
    </row>
    <row r="2847" spans="1:11">
      <c r="A2847" s="14">
        <v>46172</v>
      </c>
      <c r="B2847" s="15">
        <v>0.59375</v>
      </c>
      <c r="C2847" s="5">
        <f>IF('96 Werte'!BG35="","",'96 Werte'!BG35)</f>
        <v/>
      </c>
      <c r="D2847" t="str">
        <f>IF(IF(Eingaben!$B$21&lt;Eingaben!$B$22,AND(B2847&gt;=Eingaben!$B$21,B2847&lt;Eingaben!$B$22),OR(B2847&gt;=Eingaben!$B$21,B2847&lt;Eingaben!$B$22)),"GO",IF(AND(ISNUMBER(Eingaben!$B$23),ISNUMBER(Eingaben!$B$24),IF(Eingaben!$B$23&lt;Eingaben!$B$24,AND(B2847&gt;=Eingaben!$B$23,B2847&lt;Eingaben!$B$24),OR(B2847&gt;=Eingaben!$B$23,B2847&lt;Eingaben!$B$24))),"HEAT","STANDARD"))</f>
        <v>STANDARD</v>
      </c>
      <c r="E2847" s="9"/>
      <c r="F2847" t="str">
        <f>IF(E2847="",D2847,E2847)</f>
        <v>STANDARD</v>
      </c>
      <c r="G2847" t="str">
        <f>INDEX(Netzzeiten!$B$6:$B$29,HOUR(B2847)+1)</f>
        <v>NT</v>
      </c>
      <c r="H2847" s="6">
        <f>IF(F2847="GO",Eingaben!$B$11,IF(F2847="STANDARD",Eingaben!$B$12,IF(AND(F2847="HEAT",ISNUMBER(Eingaben!$B$13)),Eingaben!$B$13,"")))</f>
        <v>28.2744</v>
      </c>
      <c r="I2847" s="6">
        <f>INDEX(Netzzeiten!$C$6:$C$29,HOUR(B2847)+1)</f>
        <v>1.64</v>
      </c>
      <c r="J2847" t="str">
        <f>IF(C2847="","FEHLT",IF(NOT(ISNUMBER(C2847)),"MESSWERT UNGUELTIG",IF(C2847&lt;0,"MESSWERT UNGUELTIG",IF(H2847="","TARIFPREIS FEHLT","OK"))))</f>
        <v>FEHLT</v>
      </c>
      <c r="K2847" s="7">
        <f>IF(J2847&lt;&gt;"OK","",C2847*I2847/100)</f>
        <v/>
      </c>
    </row>
    <row r="2848" spans="1:11">
      <c r="A2848" s="14">
        <v>46172</v>
      </c>
      <c r="B2848" s="15">
        <v>0.6041666666666666</v>
      </c>
      <c r="C2848" s="5">
        <f>IF('96 Werte'!BH35="","",'96 Werte'!BH35)</f>
        <v/>
      </c>
      <c r="D2848" t="str">
        <f>IF(IF(Eingaben!$B$21&lt;Eingaben!$B$22,AND(B2848&gt;=Eingaben!$B$21,B2848&lt;Eingaben!$B$22),OR(B2848&gt;=Eingaben!$B$21,B2848&lt;Eingaben!$B$22)),"GO",IF(AND(ISNUMBER(Eingaben!$B$23),ISNUMBER(Eingaben!$B$24),IF(Eingaben!$B$23&lt;Eingaben!$B$24,AND(B2848&gt;=Eingaben!$B$23,B2848&lt;Eingaben!$B$24),OR(B2848&gt;=Eingaben!$B$23,B2848&lt;Eingaben!$B$24))),"HEAT","STANDARD"))</f>
        <v>STANDARD</v>
      </c>
      <c r="E2848" s="9"/>
      <c r="F2848" t="str">
        <f>IF(E2848="",D2848,E2848)</f>
        <v>STANDARD</v>
      </c>
      <c r="G2848" t="str">
        <f>INDEX(Netzzeiten!$B$6:$B$29,HOUR(B2848)+1)</f>
        <v>NT</v>
      </c>
      <c r="H2848" s="6">
        <f>IF(F2848="GO",Eingaben!$B$11,IF(F2848="STANDARD",Eingaben!$B$12,IF(AND(F2848="HEAT",ISNUMBER(Eingaben!$B$13)),Eingaben!$B$13,"")))</f>
        <v>28.2744</v>
      </c>
      <c r="I2848" s="6">
        <f>INDEX(Netzzeiten!$C$6:$C$29,HOUR(B2848)+1)</f>
        <v>1.64</v>
      </c>
      <c r="J2848" t="str">
        <f>IF(C2848="","FEHLT",IF(NOT(ISNUMBER(C2848)),"MESSWERT UNGUELTIG",IF(C2848&lt;0,"MESSWERT UNGUELTIG",IF(H2848="","TARIFPREIS FEHLT","OK"))))</f>
        <v>FEHLT</v>
      </c>
      <c r="K2848" s="7">
        <f>IF(J2848&lt;&gt;"OK","",C2848*I2848/100)</f>
        <v/>
      </c>
    </row>
    <row r="2849" spans="1:11">
      <c r="A2849" s="14">
        <v>46172</v>
      </c>
      <c r="B2849" s="15">
        <v>0.6145833333333334</v>
      </c>
      <c r="C2849" s="5">
        <f>IF('96 Werte'!BI35="","",'96 Werte'!BI35)</f>
        <v/>
      </c>
      <c r="D2849" t="str">
        <f>IF(IF(Eingaben!$B$21&lt;Eingaben!$B$22,AND(B2849&gt;=Eingaben!$B$21,B2849&lt;Eingaben!$B$22),OR(B2849&gt;=Eingaben!$B$21,B2849&lt;Eingaben!$B$22)),"GO",IF(AND(ISNUMBER(Eingaben!$B$23),ISNUMBER(Eingaben!$B$24),IF(Eingaben!$B$23&lt;Eingaben!$B$24,AND(B2849&gt;=Eingaben!$B$23,B2849&lt;Eingaben!$B$24),OR(B2849&gt;=Eingaben!$B$23,B2849&lt;Eingaben!$B$24))),"HEAT","STANDARD"))</f>
        <v>STANDARD</v>
      </c>
      <c r="E2849" s="9"/>
      <c r="F2849" t="str">
        <f>IF(E2849="",D2849,E2849)</f>
        <v>STANDARD</v>
      </c>
      <c r="G2849" t="str">
        <f>INDEX(Netzzeiten!$B$6:$B$29,HOUR(B2849)+1)</f>
        <v>NT</v>
      </c>
      <c r="H2849" s="6">
        <f>IF(F2849="GO",Eingaben!$B$11,IF(F2849="STANDARD",Eingaben!$B$12,IF(AND(F2849="HEAT",ISNUMBER(Eingaben!$B$13)),Eingaben!$B$13,"")))</f>
        <v>28.2744</v>
      </c>
      <c r="I2849" s="6">
        <f>INDEX(Netzzeiten!$C$6:$C$29,HOUR(B2849)+1)</f>
        <v>1.64</v>
      </c>
      <c r="J2849" t="str">
        <f>IF(C2849="","FEHLT",IF(NOT(ISNUMBER(C2849)),"MESSWERT UNGUELTIG",IF(C2849&lt;0,"MESSWERT UNGUELTIG",IF(H2849="","TARIFPREIS FEHLT","OK"))))</f>
        <v>FEHLT</v>
      </c>
      <c r="K2849" s="7">
        <f>IF(J2849&lt;&gt;"OK","",C2849*I2849/100)</f>
        <v/>
      </c>
    </row>
    <row r="2850" spans="1:11">
      <c r="A2850" s="14">
        <v>46172</v>
      </c>
      <c r="B2850" s="15">
        <v>0.625</v>
      </c>
      <c r="C2850" s="5">
        <f>IF('96 Werte'!BJ35="","",'96 Werte'!BJ35)</f>
        <v/>
      </c>
      <c r="D2850" t="str">
        <f>IF(IF(Eingaben!$B$21&lt;Eingaben!$B$22,AND(B2850&gt;=Eingaben!$B$21,B2850&lt;Eingaben!$B$22),OR(B2850&gt;=Eingaben!$B$21,B2850&lt;Eingaben!$B$22)),"GO",IF(AND(ISNUMBER(Eingaben!$B$23),ISNUMBER(Eingaben!$B$24),IF(Eingaben!$B$23&lt;Eingaben!$B$24,AND(B2850&gt;=Eingaben!$B$23,B2850&lt;Eingaben!$B$24),OR(B2850&gt;=Eingaben!$B$23,B2850&lt;Eingaben!$B$24))),"HEAT","STANDARD"))</f>
        <v>STANDARD</v>
      </c>
      <c r="E2850" s="9"/>
      <c r="F2850" t="str">
        <f>IF(E2850="",D2850,E2850)</f>
        <v>STANDARD</v>
      </c>
      <c r="G2850" t="str">
        <f>INDEX(Netzzeiten!$B$6:$B$29,HOUR(B2850)+1)</f>
        <v>ST</v>
      </c>
      <c r="H2850" s="6">
        <f>IF(F2850="GO",Eingaben!$B$11,IF(F2850="STANDARD",Eingaben!$B$12,IF(AND(F2850="HEAT",ISNUMBER(Eingaben!$B$13)),Eingaben!$B$13,"")))</f>
        <v>28.2744</v>
      </c>
      <c r="I2850" s="6">
        <f>INDEX(Netzzeiten!$C$6:$C$29,HOUR(B2850)+1)</f>
        <v>5.48</v>
      </c>
      <c r="J2850" t="str">
        <f>IF(C2850="","FEHLT",IF(NOT(ISNUMBER(C2850)),"MESSWERT UNGUELTIG",IF(C2850&lt;0,"MESSWERT UNGUELTIG",IF(H2850="","TARIFPREIS FEHLT","OK"))))</f>
        <v>FEHLT</v>
      </c>
      <c r="K2850" s="7">
        <f>IF(J2850&lt;&gt;"OK","",C2850*I2850/100)</f>
        <v/>
      </c>
    </row>
    <row r="2851" spans="1:11">
      <c r="A2851" s="14">
        <v>46172</v>
      </c>
      <c r="B2851" s="15">
        <v>0.6354166666666666</v>
      </c>
      <c r="C2851" s="5">
        <f>IF('96 Werte'!BK35="","",'96 Werte'!BK35)</f>
        <v/>
      </c>
      <c r="D2851" t="str">
        <f>IF(IF(Eingaben!$B$21&lt;Eingaben!$B$22,AND(B2851&gt;=Eingaben!$B$21,B2851&lt;Eingaben!$B$22),OR(B2851&gt;=Eingaben!$B$21,B2851&lt;Eingaben!$B$22)),"GO",IF(AND(ISNUMBER(Eingaben!$B$23),ISNUMBER(Eingaben!$B$24),IF(Eingaben!$B$23&lt;Eingaben!$B$24,AND(B2851&gt;=Eingaben!$B$23,B2851&lt;Eingaben!$B$24),OR(B2851&gt;=Eingaben!$B$23,B2851&lt;Eingaben!$B$24))),"HEAT","STANDARD"))</f>
        <v>STANDARD</v>
      </c>
      <c r="E2851" s="9"/>
      <c r="F2851" t="str">
        <f>IF(E2851="",D2851,E2851)</f>
        <v>STANDARD</v>
      </c>
      <c r="G2851" t="str">
        <f>INDEX(Netzzeiten!$B$6:$B$29,HOUR(B2851)+1)</f>
        <v>ST</v>
      </c>
      <c r="H2851" s="6">
        <f>IF(F2851="GO",Eingaben!$B$11,IF(F2851="STANDARD",Eingaben!$B$12,IF(AND(F2851="HEAT",ISNUMBER(Eingaben!$B$13)),Eingaben!$B$13,"")))</f>
        <v>28.2744</v>
      </c>
      <c r="I2851" s="6">
        <f>INDEX(Netzzeiten!$C$6:$C$29,HOUR(B2851)+1)</f>
        <v>5.48</v>
      </c>
      <c r="J2851" t="str">
        <f>IF(C2851="","FEHLT",IF(NOT(ISNUMBER(C2851)),"MESSWERT UNGUELTIG",IF(C2851&lt;0,"MESSWERT UNGUELTIG",IF(H2851="","TARIFPREIS FEHLT","OK"))))</f>
        <v>FEHLT</v>
      </c>
      <c r="K2851" s="7">
        <f>IF(J2851&lt;&gt;"OK","",C2851*I2851/100)</f>
        <v/>
      </c>
    </row>
    <row r="2852" spans="1:11">
      <c r="A2852" s="14">
        <v>46172</v>
      </c>
      <c r="B2852" s="15">
        <v>0.6458333333333334</v>
      </c>
      <c r="C2852" s="5">
        <f>IF('96 Werte'!BL35="","",'96 Werte'!BL35)</f>
        <v/>
      </c>
      <c r="D2852" t="str">
        <f>IF(IF(Eingaben!$B$21&lt;Eingaben!$B$22,AND(B2852&gt;=Eingaben!$B$21,B2852&lt;Eingaben!$B$22),OR(B2852&gt;=Eingaben!$B$21,B2852&lt;Eingaben!$B$22)),"GO",IF(AND(ISNUMBER(Eingaben!$B$23),ISNUMBER(Eingaben!$B$24),IF(Eingaben!$B$23&lt;Eingaben!$B$24,AND(B2852&gt;=Eingaben!$B$23,B2852&lt;Eingaben!$B$24),OR(B2852&gt;=Eingaben!$B$23,B2852&lt;Eingaben!$B$24))),"HEAT","STANDARD"))</f>
        <v>STANDARD</v>
      </c>
      <c r="E2852" s="9"/>
      <c r="F2852" t="str">
        <f>IF(E2852="",D2852,E2852)</f>
        <v>STANDARD</v>
      </c>
      <c r="G2852" t="str">
        <f>INDEX(Netzzeiten!$B$6:$B$29,HOUR(B2852)+1)</f>
        <v>ST</v>
      </c>
      <c r="H2852" s="6">
        <f>IF(F2852="GO",Eingaben!$B$11,IF(F2852="STANDARD",Eingaben!$B$12,IF(AND(F2852="HEAT",ISNUMBER(Eingaben!$B$13)),Eingaben!$B$13,"")))</f>
        <v>28.2744</v>
      </c>
      <c r="I2852" s="6">
        <f>INDEX(Netzzeiten!$C$6:$C$29,HOUR(B2852)+1)</f>
        <v>5.48</v>
      </c>
      <c r="J2852" t="str">
        <f>IF(C2852="","FEHLT",IF(NOT(ISNUMBER(C2852)),"MESSWERT UNGUELTIG",IF(C2852&lt;0,"MESSWERT UNGUELTIG",IF(H2852="","TARIFPREIS FEHLT","OK"))))</f>
        <v>FEHLT</v>
      </c>
      <c r="K2852" s="7">
        <f>IF(J2852&lt;&gt;"OK","",C2852*I2852/100)</f>
        <v/>
      </c>
    </row>
    <row r="2853" spans="1:11">
      <c r="A2853" s="14">
        <v>46172</v>
      </c>
      <c r="B2853" s="15">
        <v>0.65625</v>
      </c>
      <c r="C2853" s="5">
        <f>IF('96 Werte'!BM35="","",'96 Werte'!BM35)</f>
        <v/>
      </c>
      <c r="D2853" t="str">
        <f>IF(IF(Eingaben!$B$21&lt;Eingaben!$B$22,AND(B2853&gt;=Eingaben!$B$21,B2853&lt;Eingaben!$B$22),OR(B2853&gt;=Eingaben!$B$21,B2853&lt;Eingaben!$B$22)),"GO",IF(AND(ISNUMBER(Eingaben!$B$23),ISNUMBER(Eingaben!$B$24),IF(Eingaben!$B$23&lt;Eingaben!$B$24,AND(B2853&gt;=Eingaben!$B$23,B2853&lt;Eingaben!$B$24),OR(B2853&gt;=Eingaben!$B$23,B2853&lt;Eingaben!$B$24))),"HEAT","STANDARD"))</f>
        <v>STANDARD</v>
      </c>
      <c r="E2853" s="9"/>
      <c r="F2853" t="str">
        <f>IF(E2853="",D2853,E2853)</f>
        <v>STANDARD</v>
      </c>
      <c r="G2853" t="str">
        <f>INDEX(Netzzeiten!$B$6:$B$29,HOUR(B2853)+1)</f>
        <v>ST</v>
      </c>
      <c r="H2853" s="6">
        <f>IF(F2853="GO",Eingaben!$B$11,IF(F2853="STANDARD",Eingaben!$B$12,IF(AND(F2853="HEAT",ISNUMBER(Eingaben!$B$13)),Eingaben!$B$13,"")))</f>
        <v>28.2744</v>
      </c>
      <c r="I2853" s="6">
        <f>INDEX(Netzzeiten!$C$6:$C$29,HOUR(B2853)+1)</f>
        <v>5.48</v>
      </c>
      <c r="J2853" t="str">
        <f>IF(C2853="","FEHLT",IF(NOT(ISNUMBER(C2853)),"MESSWERT UNGUELTIG",IF(C2853&lt;0,"MESSWERT UNGUELTIG",IF(H2853="","TARIFPREIS FEHLT","OK"))))</f>
        <v>FEHLT</v>
      </c>
      <c r="K2853" s="7">
        <f>IF(J2853&lt;&gt;"OK","",C2853*I2853/100)</f>
        <v/>
      </c>
    </row>
    <row r="2854" spans="1:11">
      <c r="A2854" s="14">
        <v>46172</v>
      </c>
      <c r="B2854" s="15">
        <v>0.6666666666666666</v>
      </c>
      <c r="C2854" s="5">
        <f>IF('96 Werte'!BN35="","",'96 Werte'!BN35)</f>
        <v/>
      </c>
      <c r="D2854" t="str">
        <f>IF(IF(Eingaben!$B$21&lt;Eingaben!$B$22,AND(B2854&gt;=Eingaben!$B$21,B2854&lt;Eingaben!$B$22),OR(B2854&gt;=Eingaben!$B$21,B2854&lt;Eingaben!$B$22)),"GO",IF(AND(ISNUMBER(Eingaben!$B$23),ISNUMBER(Eingaben!$B$24),IF(Eingaben!$B$23&lt;Eingaben!$B$24,AND(B2854&gt;=Eingaben!$B$23,B2854&lt;Eingaben!$B$24),OR(B2854&gt;=Eingaben!$B$23,B2854&lt;Eingaben!$B$24))),"HEAT","STANDARD"))</f>
        <v>STANDARD</v>
      </c>
      <c r="E2854" s="9"/>
      <c r="F2854" t="str">
        <f>IF(E2854="",D2854,E2854)</f>
        <v>STANDARD</v>
      </c>
      <c r="G2854" t="str">
        <f>INDEX(Netzzeiten!$B$6:$B$29,HOUR(B2854)+1)</f>
        <v>ST</v>
      </c>
      <c r="H2854" s="6">
        <f>IF(F2854="GO",Eingaben!$B$11,IF(F2854="STANDARD",Eingaben!$B$12,IF(AND(F2854="HEAT",ISNUMBER(Eingaben!$B$13)),Eingaben!$B$13,"")))</f>
        <v>28.2744</v>
      </c>
      <c r="I2854" s="6">
        <f>INDEX(Netzzeiten!$C$6:$C$29,HOUR(B2854)+1)</f>
        <v>5.48</v>
      </c>
      <c r="J2854" t="str">
        <f>IF(C2854="","FEHLT",IF(NOT(ISNUMBER(C2854)),"MESSWERT UNGUELTIG",IF(C2854&lt;0,"MESSWERT UNGUELTIG",IF(H2854="","TARIFPREIS FEHLT","OK"))))</f>
        <v>FEHLT</v>
      </c>
      <c r="K2854" s="7">
        <f>IF(J2854&lt;&gt;"OK","",C2854*I2854/100)</f>
        <v/>
      </c>
    </row>
    <row r="2855" spans="1:11">
      <c r="A2855" s="14">
        <v>46172</v>
      </c>
      <c r="B2855" s="15">
        <v>0.6770833333333334</v>
      </c>
      <c r="C2855" s="5">
        <f>IF('96 Werte'!BO35="","",'96 Werte'!BO35)</f>
        <v/>
      </c>
      <c r="D2855" t="str">
        <f>IF(IF(Eingaben!$B$21&lt;Eingaben!$B$22,AND(B2855&gt;=Eingaben!$B$21,B2855&lt;Eingaben!$B$22),OR(B2855&gt;=Eingaben!$B$21,B2855&lt;Eingaben!$B$22)),"GO",IF(AND(ISNUMBER(Eingaben!$B$23),ISNUMBER(Eingaben!$B$24),IF(Eingaben!$B$23&lt;Eingaben!$B$24,AND(B2855&gt;=Eingaben!$B$23,B2855&lt;Eingaben!$B$24),OR(B2855&gt;=Eingaben!$B$23,B2855&lt;Eingaben!$B$24))),"HEAT","STANDARD"))</f>
        <v>STANDARD</v>
      </c>
      <c r="E2855" s="9"/>
      <c r="F2855" t="str">
        <f>IF(E2855="",D2855,E2855)</f>
        <v>STANDARD</v>
      </c>
      <c r="G2855" t="str">
        <f>INDEX(Netzzeiten!$B$6:$B$29,HOUR(B2855)+1)</f>
        <v>ST</v>
      </c>
      <c r="H2855" s="6">
        <f>IF(F2855="GO",Eingaben!$B$11,IF(F2855="STANDARD",Eingaben!$B$12,IF(AND(F2855="HEAT",ISNUMBER(Eingaben!$B$13)),Eingaben!$B$13,"")))</f>
        <v>28.2744</v>
      </c>
      <c r="I2855" s="6">
        <f>INDEX(Netzzeiten!$C$6:$C$29,HOUR(B2855)+1)</f>
        <v>5.48</v>
      </c>
      <c r="J2855" t="str">
        <f>IF(C2855="","FEHLT",IF(NOT(ISNUMBER(C2855)),"MESSWERT UNGUELTIG",IF(C2855&lt;0,"MESSWERT UNGUELTIG",IF(H2855="","TARIFPREIS FEHLT","OK"))))</f>
        <v>FEHLT</v>
      </c>
      <c r="K2855" s="7">
        <f>IF(J2855&lt;&gt;"OK","",C2855*I2855/100)</f>
        <v/>
      </c>
    </row>
    <row r="2856" spans="1:11">
      <c r="A2856" s="14">
        <v>46172</v>
      </c>
      <c r="B2856" s="15">
        <v>0.6875</v>
      </c>
      <c r="C2856" s="5">
        <f>IF('96 Werte'!BP35="","",'96 Werte'!BP35)</f>
        <v/>
      </c>
      <c r="D2856" t="str">
        <f>IF(IF(Eingaben!$B$21&lt;Eingaben!$B$22,AND(B2856&gt;=Eingaben!$B$21,B2856&lt;Eingaben!$B$22),OR(B2856&gt;=Eingaben!$B$21,B2856&lt;Eingaben!$B$22)),"GO",IF(AND(ISNUMBER(Eingaben!$B$23),ISNUMBER(Eingaben!$B$24),IF(Eingaben!$B$23&lt;Eingaben!$B$24,AND(B2856&gt;=Eingaben!$B$23,B2856&lt;Eingaben!$B$24),OR(B2856&gt;=Eingaben!$B$23,B2856&lt;Eingaben!$B$24))),"HEAT","STANDARD"))</f>
        <v>STANDARD</v>
      </c>
      <c r="E2856" s="9"/>
      <c r="F2856" t="str">
        <f>IF(E2856="",D2856,E2856)</f>
        <v>STANDARD</v>
      </c>
      <c r="G2856" t="str">
        <f>INDEX(Netzzeiten!$B$6:$B$29,HOUR(B2856)+1)</f>
        <v>ST</v>
      </c>
      <c r="H2856" s="6">
        <f>IF(F2856="GO",Eingaben!$B$11,IF(F2856="STANDARD",Eingaben!$B$12,IF(AND(F2856="HEAT",ISNUMBER(Eingaben!$B$13)),Eingaben!$B$13,"")))</f>
        <v>28.2744</v>
      </c>
      <c r="I2856" s="6">
        <f>INDEX(Netzzeiten!$C$6:$C$29,HOUR(B2856)+1)</f>
        <v>5.48</v>
      </c>
      <c r="J2856" t="str">
        <f>IF(C2856="","FEHLT",IF(NOT(ISNUMBER(C2856)),"MESSWERT UNGUELTIG",IF(C2856&lt;0,"MESSWERT UNGUELTIG",IF(H2856="","TARIFPREIS FEHLT","OK"))))</f>
        <v>FEHLT</v>
      </c>
      <c r="K2856" s="7">
        <f>IF(J2856&lt;&gt;"OK","",C2856*I2856/100)</f>
        <v/>
      </c>
    </row>
    <row r="2857" spans="1:11">
      <c r="A2857" s="14">
        <v>46172</v>
      </c>
      <c r="B2857" s="15">
        <v>0.6979166666666666</v>
      </c>
      <c r="C2857" s="5">
        <f>IF('96 Werte'!BQ35="","",'96 Werte'!BQ35)</f>
        <v/>
      </c>
      <c r="D2857" t="str">
        <f>IF(IF(Eingaben!$B$21&lt;Eingaben!$B$22,AND(B2857&gt;=Eingaben!$B$21,B2857&lt;Eingaben!$B$22),OR(B2857&gt;=Eingaben!$B$21,B2857&lt;Eingaben!$B$22)),"GO",IF(AND(ISNUMBER(Eingaben!$B$23),ISNUMBER(Eingaben!$B$24),IF(Eingaben!$B$23&lt;Eingaben!$B$24,AND(B2857&gt;=Eingaben!$B$23,B2857&lt;Eingaben!$B$24),OR(B2857&gt;=Eingaben!$B$23,B2857&lt;Eingaben!$B$24))),"HEAT","STANDARD"))</f>
        <v>STANDARD</v>
      </c>
      <c r="E2857" s="9"/>
      <c r="F2857" t="str">
        <f>IF(E2857="",D2857,E2857)</f>
        <v>STANDARD</v>
      </c>
      <c r="G2857" t="str">
        <f>INDEX(Netzzeiten!$B$6:$B$29,HOUR(B2857)+1)</f>
        <v>ST</v>
      </c>
      <c r="H2857" s="6">
        <f>IF(F2857="GO",Eingaben!$B$11,IF(F2857="STANDARD",Eingaben!$B$12,IF(AND(F2857="HEAT",ISNUMBER(Eingaben!$B$13)),Eingaben!$B$13,"")))</f>
        <v>28.2744</v>
      </c>
      <c r="I2857" s="6">
        <f>INDEX(Netzzeiten!$C$6:$C$29,HOUR(B2857)+1)</f>
        <v>5.48</v>
      </c>
      <c r="J2857" t="str">
        <f>IF(C2857="","FEHLT",IF(NOT(ISNUMBER(C2857)),"MESSWERT UNGUELTIG",IF(C2857&lt;0,"MESSWERT UNGUELTIG",IF(H2857="","TARIFPREIS FEHLT","OK"))))</f>
        <v>FEHLT</v>
      </c>
      <c r="K2857" s="7">
        <f>IF(J2857&lt;&gt;"OK","",C2857*I2857/100)</f>
        <v/>
      </c>
    </row>
    <row r="2858" spans="1:11">
      <c r="A2858" s="14">
        <v>46172</v>
      </c>
      <c r="B2858" s="15">
        <v>0.7083333333333334</v>
      </c>
      <c r="C2858" s="5">
        <f>IF('96 Werte'!BR35="","",'96 Werte'!BR35)</f>
        <v/>
      </c>
      <c r="D2858" t="str">
        <f>IF(IF(Eingaben!$B$21&lt;Eingaben!$B$22,AND(B2858&gt;=Eingaben!$B$21,B2858&lt;Eingaben!$B$22),OR(B2858&gt;=Eingaben!$B$21,B2858&lt;Eingaben!$B$22)),"GO",IF(AND(ISNUMBER(Eingaben!$B$23),ISNUMBER(Eingaben!$B$24),IF(Eingaben!$B$23&lt;Eingaben!$B$24,AND(B2858&gt;=Eingaben!$B$23,B2858&lt;Eingaben!$B$24),OR(B2858&gt;=Eingaben!$B$23,B2858&lt;Eingaben!$B$24))),"HEAT","STANDARD"))</f>
        <v>STANDARD</v>
      </c>
      <c r="E2858" s="9"/>
      <c r="F2858" t="str">
        <f>IF(E2858="",D2858,E2858)</f>
        <v>STANDARD</v>
      </c>
      <c r="G2858" t="str">
        <f>INDEX(Netzzeiten!$B$6:$B$29,HOUR(B2858)+1)</f>
        <v>HT</v>
      </c>
      <c r="H2858" s="6">
        <f>IF(F2858="GO",Eingaben!$B$11,IF(F2858="STANDARD",Eingaben!$B$12,IF(AND(F2858="HEAT",ISNUMBER(Eingaben!$B$13)),Eingaben!$B$13,"")))</f>
        <v>28.2744</v>
      </c>
      <c r="I2858" s="6">
        <f>INDEX(Netzzeiten!$C$6:$C$29,HOUR(B2858)+1)</f>
        <v>10.52</v>
      </c>
      <c r="J2858" t="str">
        <f>IF(C2858="","FEHLT",IF(NOT(ISNUMBER(C2858)),"MESSWERT UNGUELTIG",IF(C2858&lt;0,"MESSWERT UNGUELTIG",IF(H2858="","TARIFPREIS FEHLT","OK"))))</f>
        <v>FEHLT</v>
      </c>
      <c r="K2858" s="7">
        <f>IF(J2858&lt;&gt;"OK","",C2858*I2858/100)</f>
        <v/>
      </c>
    </row>
    <row r="2859" spans="1:11">
      <c r="A2859" s="14">
        <v>46172</v>
      </c>
      <c r="B2859" s="15">
        <v>0.71875</v>
      </c>
      <c r="C2859" s="5">
        <f>IF('96 Werte'!BS35="","",'96 Werte'!BS35)</f>
        <v/>
      </c>
      <c r="D2859" t="str">
        <f>IF(IF(Eingaben!$B$21&lt;Eingaben!$B$22,AND(B2859&gt;=Eingaben!$B$21,B2859&lt;Eingaben!$B$22),OR(B2859&gt;=Eingaben!$B$21,B2859&lt;Eingaben!$B$22)),"GO",IF(AND(ISNUMBER(Eingaben!$B$23),ISNUMBER(Eingaben!$B$24),IF(Eingaben!$B$23&lt;Eingaben!$B$24,AND(B2859&gt;=Eingaben!$B$23,B2859&lt;Eingaben!$B$24),OR(B2859&gt;=Eingaben!$B$23,B2859&lt;Eingaben!$B$24))),"HEAT","STANDARD"))</f>
        <v>STANDARD</v>
      </c>
      <c r="E2859" s="9"/>
      <c r="F2859" t="str">
        <f>IF(E2859="",D2859,E2859)</f>
        <v>STANDARD</v>
      </c>
      <c r="G2859" t="str">
        <f>INDEX(Netzzeiten!$B$6:$B$29,HOUR(B2859)+1)</f>
        <v>HT</v>
      </c>
      <c r="H2859" s="6">
        <f>IF(F2859="GO",Eingaben!$B$11,IF(F2859="STANDARD",Eingaben!$B$12,IF(AND(F2859="HEAT",ISNUMBER(Eingaben!$B$13)),Eingaben!$B$13,"")))</f>
        <v>28.2744</v>
      </c>
      <c r="I2859" s="6">
        <f>INDEX(Netzzeiten!$C$6:$C$29,HOUR(B2859)+1)</f>
        <v>10.52</v>
      </c>
      <c r="J2859" t="str">
        <f>IF(C2859="","FEHLT",IF(NOT(ISNUMBER(C2859)),"MESSWERT UNGUELTIG",IF(C2859&lt;0,"MESSWERT UNGUELTIG",IF(H2859="","TARIFPREIS FEHLT","OK"))))</f>
        <v>FEHLT</v>
      </c>
      <c r="K2859" s="7">
        <f>IF(J2859&lt;&gt;"OK","",C2859*I2859/100)</f>
        <v/>
      </c>
    </row>
    <row r="2860" spans="1:11">
      <c r="A2860" s="14">
        <v>46172</v>
      </c>
      <c r="B2860" s="15">
        <v>0.7291666666666666</v>
      </c>
      <c r="C2860" s="5">
        <f>IF('96 Werte'!BT35="","",'96 Werte'!BT35)</f>
        <v/>
      </c>
      <c r="D2860" t="str">
        <f>IF(IF(Eingaben!$B$21&lt;Eingaben!$B$22,AND(B2860&gt;=Eingaben!$B$21,B2860&lt;Eingaben!$B$22),OR(B2860&gt;=Eingaben!$B$21,B2860&lt;Eingaben!$B$22)),"GO",IF(AND(ISNUMBER(Eingaben!$B$23),ISNUMBER(Eingaben!$B$24),IF(Eingaben!$B$23&lt;Eingaben!$B$24,AND(B2860&gt;=Eingaben!$B$23,B2860&lt;Eingaben!$B$24),OR(B2860&gt;=Eingaben!$B$23,B2860&lt;Eingaben!$B$24))),"HEAT","STANDARD"))</f>
        <v>STANDARD</v>
      </c>
      <c r="E2860" s="9"/>
      <c r="F2860" t="str">
        <f>IF(E2860="",D2860,E2860)</f>
        <v>STANDARD</v>
      </c>
      <c r="G2860" t="str">
        <f>INDEX(Netzzeiten!$B$6:$B$29,HOUR(B2860)+1)</f>
        <v>HT</v>
      </c>
      <c r="H2860" s="6">
        <f>IF(F2860="GO",Eingaben!$B$11,IF(F2860="STANDARD",Eingaben!$B$12,IF(AND(F2860="HEAT",ISNUMBER(Eingaben!$B$13)),Eingaben!$B$13,"")))</f>
        <v>28.2744</v>
      </c>
      <c r="I2860" s="6">
        <f>INDEX(Netzzeiten!$C$6:$C$29,HOUR(B2860)+1)</f>
        <v>10.52</v>
      </c>
      <c r="J2860" t="str">
        <f>IF(C2860="","FEHLT",IF(NOT(ISNUMBER(C2860)),"MESSWERT UNGUELTIG",IF(C2860&lt;0,"MESSWERT UNGUELTIG",IF(H2860="","TARIFPREIS FEHLT","OK"))))</f>
        <v>FEHLT</v>
      </c>
      <c r="K2860" s="7">
        <f>IF(J2860&lt;&gt;"OK","",C2860*I2860/100)</f>
        <v/>
      </c>
    </row>
    <row r="2861" spans="1:11">
      <c r="A2861" s="14">
        <v>46172</v>
      </c>
      <c r="B2861" s="15">
        <v>0.7395833333333334</v>
      </c>
      <c r="C2861" s="5">
        <f>IF('96 Werte'!BU35="","",'96 Werte'!BU35)</f>
        <v/>
      </c>
      <c r="D2861" t="str">
        <f>IF(IF(Eingaben!$B$21&lt;Eingaben!$B$22,AND(B2861&gt;=Eingaben!$B$21,B2861&lt;Eingaben!$B$22),OR(B2861&gt;=Eingaben!$B$21,B2861&lt;Eingaben!$B$22)),"GO",IF(AND(ISNUMBER(Eingaben!$B$23),ISNUMBER(Eingaben!$B$24),IF(Eingaben!$B$23&lt;Eingaben!$B$24,AND(B2861&gt;=Eingaben!$B$23,B2861&lt;Eingaben!$B$24),OR(B2861&gt;=Eingaben!$B$23,B2861&lt;Eingaben!$B$24))),"HEAT","STANDARD"))</f>
        <v>STANDARD</v>
      </c>
      <c r="E2861" s="9"/>
      <c r="F2861" t="str">
        <f>IF(E2861="",D2861,E2861)</f>
        <v>STANDARD</v>
      </c>
      <c r="G2861" t="str">
        <f>INDEX(Netzzeiten!$B$6:$B$29,HOUR(B2861)+1)</f>
        <v>HT</v>
      </c>
      <c r="H2861" s="6">
        <f>IF(F2861="GO",Eingaben!$B$11,IF(F2861="STANDARD",Eingaben!$B$12,IF(AND(F2861="HEAT",ISNUMBER(Eingaben!$B$13)),Eingaben!$B$13,"")))</f>
        <v>28.2744</v>
      </c>
      <c r="I2861" s="6">
        <f>INDEX(Netzzeiten!$C$6:$C$29,HOUR(B2861)+1)</f>
        <v>10.52</v>
      </c>
      <c r="J2861" t="str">
        <f>IF(C2861="","FEHLT",IF(NOT(ISNUMBER(C2861)),"MESSWERT UNGUELTIG",IF(C2861&lt;0,"MESSWERT UNGUELTIG",IF(H2861="","TARIFPREIS FEHLT","OK"))))</f>
        <v>FEHLT</v>
      </c>
      <c r="K2861" s="7">
        <f>IF(J2861&lt;&gt;"OK","",C2861*I2861/100)</f>
        <v/>
      </c>
    </row>
    <row r="2862" spans="1:11">
      <c r="A2862" s="14">
        <v>46172</v>
      </c>
      <c r="B2862" s="15">
        <v>0.75</v>
      </c>
      <c r="C2862" s="5">
        <f>IF('96 Werte'!BV35="","",'96 Werte'!BV35)</f>
        <v/>
      </c>
      <c r="D2862" t="str">
        <f>IF(IF(Eingaben!$B$21&lt;Eingaben!$B$22,AND(B2862&gt;=Eingaben!$B$21,B2862&lt;Eingaben!$B$22),OR(B2862&gt;=Eingaben!$B$21,B2862&lt;Eingaben!$B$22)),"GO",IF(AND(ISNUMBER(Eingaben!$B$23),ISNUMBER(Eingaben!$B$24),IF(Eingaben!$B$23&lt;Eingaben!$B$24,AND(B2862&gt;=Eingaben!$B$23,B2862&lt;Eingaben!$B$24),OR(B2862&gt;=Eingaben!$B$23,B2862&lt;Eingaben!$B$24))),"HEAT","STANDARD"))</f>
        <v>STANDARD</v>
      </c>
      <c r="E2862" s="9"/>
      <c r="F2862" t="str">
        <f>IF(E2862="",D2862,E2862)</f>
        <v>STANDARD</v>
      </c>
      <c r="G2862" t="str">
        <f>INDEX(Netzzeiten!$B$6:$B$29,HOUR(B2862)+1)</f>
        <v>HT</v>
      </c>
      <c r="H2862" s="6">
        <f>IF(F2862="GO",Eingaben!$B$11,IF(F2862="STANDARD",Eingaben!$B$12,IF(AND(F2862="HEAT",ISNUMBER(Eingaben!$B$13)),Eingaben!$B$13,"")))</f>
        <v>28.2744</v>
      </c>
      <c r="I2862" s="6">
        <f>INDEX(Netzzeiten!$C$6:$C$29,HOUR(B2862)+1)</f>
        <v>10.52</v>
      </c>
      <c r="J2862" t="str">
        <f>IF(C2862="","FEHLT",IF(NOT(ISNUMBER(C2862)),"MESSWERT UNGUELTIG",IF(C2862&lt;0,"MESSWERT UNGUELTIG",IF(H2862="","TARIFPREIS FEHLT","OK"))))</f>
        <v>FEHLT</v>
      </c>
      <c r="K2862" s="7">
        <f>IF(J2862&lt;&gt;"OK","",C2862*I2862/100)</f>
        <v/>
      </c>
    </row>
    <row r="2863" spans="1:11">
      <c r="A2863" s="14">
        <v>46172</v>
      </c>
      <c r="B2863" s="15">
        <v>0.7604166666666666</v>
      </c>
      <c r="C2863" s="5">
        <f>IF('96 Werte'!BW35="","",'96 Werte'!BW35)</f>
        <v/>
      </c>
      <c r="D2863" t="str">
        <f>IF(IF(Eingaben!$B$21&lt;Eingaben!$B$22,AND(B2863&gt;=Eingaben!$B$21,B2863&lt;Eingaben!$B$22),OR(B2863&gt;=Eingaben!$B$21,B2863&lt;Eingaben!$B$22)),"GO",IF(AND(ISNUMBER(Eingaben!$B$23),ISNUMBER(Eingaben!$B$24),IF(Eingaben!$B$23&lt;Eingaben!$B$24,AND(B2863&gt;=Eingaben!$B$23,B2863&lt;Eingaben!$B$24),OR(B2863&gt;=Eingaben!$B$23,B2863&lt;Eingaben!$B$24))),"HEAT","STANDARD"))</f>
        <v>STANDARD</v>
      </c>
      <c r="E2863" s="9"/>
      <c r="F2863" t="str">
        <f>IF(E2863="",D2863,E2863)</f>
        <v>STANDARD</v>
      </c>
      <c r="G2863" t="str">
        <f>INDEX(Netzzeiten!$B$6:$B$29,HOUR(B2863)+1)</f>
        <v>HT</v>
      </c>
      <c r="H2863" s="6">
        <f>IF(F2863="GO",Eingaben!$B$11,IF(F2863="STANDARD",Eingaben!$B$12,IF(AND(F2863="HEAT",ISNUMBER(Eingaben!$B$13)),Eingaben!$B$13,"")))</f>
        <v>28.2744</v>
      </c>
      <c r="I2863" s="6">
        <f>INDEX(Netzzeiten!$C$6:$C$29,HOUR(B2863)+1)</f>
        <v>10.52</v>
      </c>
      <c r="J2863" t="str">
        <f>IF(C2863="","FEHLT",IF(NOT(ISNUMBER(C2863)),"MESSWERT UNGUELTIG",IF(C2863&lt;0,"MESSWERT UNGUELTIG",IF(H2863="","TARIFPREIS FEHLT","OK"))))</f>
        <v>FEHLT</v>
      </c>
      <c r="K2863" s="7">
        <f>IF(J2863&lt;&gt;"OK","",C2863*I2863/100)</f>
        <v/>
      </c>
    </row>
    <row r="2864" spans="1:11">
      <c r="A2864" s="14">
        <v>46172</v>
      </c>
      <c r="B2864" s="15">
        <v>0.7708333333333334</v>
      </c>
      <c r="C2864" s="5">
        <f>IF('96 Werte'!BX35="","",'96 Werte'!BX35)</f>
        <v/>
      </c>
      <c r="D2864" t="str">
        <f>IF(IF(Eingaben!$B$21&lt;Eingaben!$B$22,AND(B2864&gt;=Eingaben!$B$21,B2864&lt;Eingaben!$B$22),OR(B2864&gt;=Eingaben!$B$21,B2864&lt;Eingaben!$B$22)),"GO",IF(AND(ISNUMBER(Eingaben!$B$23),ISNUMBER(Eingaben!$B$24),IF(Eingaben!$B$23&lt;Eingaben!$B$24,AND(B2864&gt;=Eingaben!$B$23,B2864&lt;Eingaben!$B$24),OR(B2864&gt;=Eingaben!$B$23,B2864&lt;Eingaben!$B$24))),"HEAT","STANDARD"))</f>
        <v>STANDARD</v>
      </c>
      <c r="E2864" s="9"/>
      <c r="F2864" t="str">
        <f>IF(E2864="",D2864,E2864)</f>
        <v>STANDARD</v>
      </c>
      <c r="G2864" t="str">
        <f>INDEX(Netzzeiten!$B$6:$B$29,HOUR(B2864)+1)</f>
        <v>HT</v>
      </c>
      <c r="H2864" s="6">
        <f>IF(F2864="GO",Eingaben!$B$11,IF(F2864="STANDARD",Eingaben!$B$12,IF(AND(F2864="HEAT",ISNUMBER(Eingaben!$B$13)),Eingaben!$B$13,"")))</f>
        <v>28.2744</v>
      </c>
      <c r="I2864" s="6">
        <f>INDEX(Netzzeiten!$C$6:$C$29,HOUR(B2864)+1)</f>
        <v>10.52</v>
      </c>
      <c r="J2864" t="str">
        <f>IF(C2864="","FEHLT",IF(NOT(ISNUMBER(C2864)),"MESSWERT UNGUELTIG",IF(C2864&lt;0,"MESSWERT UNGUELTIG",IF(H2864="","TARIFPREIS FEHLT","OK"))))</f>
        <v>FEHLT</v>
      </c>
      <c r="K2864" s="7">
        <f>IF(J2864&lt;&gt;"OK","",C2864*I2864/100)</f>
        <v/>
      </c>
    </row>
    <row r="2865" spans="1:11">
      <c r="A2865" s="14">
        <v>46172</v>
      </c>
      <c r="B2865" s="15">
        <v>0.78125</v>
      </c>
      <c r="C2865" s="5">
        <f>IF('96 Werte'!BY35="","",'96 Werte'!BY35)</f>
        <v/>
      </c>
      <c r="D2865" t="str">
        <f>IF(IF(Eingaben!$B$21&lt;Eingaben!$B$22,AND(B2865&gt;=Eingaben!$B$21,B2865&lt;Eingaben!$B$22),OR(B2865&gt;=Eingaben!$B$21,B2865&lt;Eingaben!$B$22)),"GO",IF(AND(ISNUMBER(Eingaben!$B$23),ISNUMBER(Eingaben!$B$24),IF(Eingaben!$B$23&lt;Eingaben!$B$24,AND(B2865&gt;=Eingaben!$B$23,B2865&lt;Eingaben!$B$24),OR(B2865&gt;=Eingaben!$B$23,B2865&lt;Eingaben!$B$24))),"HEAT","STANDARD"))</f>
        <v>STANDARD</v>
      </c>
      <c r="E2865" s="9"/>
      <c r="F2865" t="str">
        <f>IF(E2865="",D2865,E2865)</f>
        <v>STANDARD</v>
      </c>
      <c r="G2865" t="str">
        <f>INDEX(Netzzeiten!$B$6:$B$29,HOUR(B2865)+1)</f>
        <v>HT</v>
      </c>
      <c r="H2865" s="6">
        <f>IF(F2865="GO",Eingaben!$B$11,IF(F2865="STANDARD",Eingaben!$B$12,IF(AND(F2865="HEAT",ISNUMBER(Eingaben!$B$13)),Eingaben!$B$13,"")))</f>
        <v>28.2744</v>
      </c>
      <c r="I2865" s="6">
        <f>INDEX(Netzzeiten!$C$6:$C$29,HOUR(B2865)+1)</f>
        <v>10.52</v>
      </c>
      <c r="J2865" t="str">
        <f>IF(C2865="","FEHLT",IF(NOT(ISNUMBER(C2865)),"MESSWERT UNGUELTIG",IF(C2865&lt;0,"MESSWERT UNGUELTIG",IF(H2865="","TARIFPREIS FEHLT","OK"))))</f>
        <v>FEHLT</v>
      </c>
      <c r="K2865" s="7">
        <f>IF(J2865&lt;&gt;"OK","",C2865*I2865/100)</f>
        <v/>
      </c>
    </row>
    <row r="2866" spans="1:11">
      <c r="A2866" s="14">
        <v>46172</v>
      </c>
      <c r="B2866" s="15">
        <v>0.7916666666666666</v>
      </c>
      <c r="C2866" s="5">
        <f>IF('96 Werte'!BZ35="","",'96 Werte'!BZ35)</f>
        <v/>
      </c>
      <c r="D2866" t="str">
        <f>IF(IF(Eingaben!$B$21&lt;Eingaben!$B$22,AND(B2866&gt;=Eingaben!$B$21,B2866&lt;Eingaben!$B$22),OR(B2866&gt;=Eingaben!$B$21,B2866&lt;Eingaben!$B$22)),"GO",IF(AND(ISNUMBER(Eingaben!$B$23),ISNUMBER(Eingaben!$B$24),IF(Eingaben!$B$23&lt;Eingaben!$B$24,AND(B2866&gt;=Eingaben!$B$23,B2866&lt;Eingaben!$B$24),OR(B2866&gt;=Eingaben!$B$23,B2866&lt;Eingaben!$B$24))),"HEAT","STANDARD"))</f>
        <v>STANDARD</v>
      </c>
      <c r="E2866" s="9"/>
      <c r="F2866" t="str">
        <f>IF(E2866="",D2866,E2866)</f>
        <v>STANDARD</v>
      </c>
      <c r="G2866" t="str">
        <f>INDEX(Netzzeiten!$B$6:$B$29,HOUR(B2866)+1)</f>
        <v>HT</v>
      </c>
      <c r="H2866" s="6">
        <f>IF(F2866="GO",Eingaben!$B$11,IF(F2866="STANDARD",Eingaben!$B$12,IF(AND(F2866="HEAT",ISNUMBER(Eingaben!$B$13)),Eingaben!$B$13,"")))</f>
        <v>28.2744</v>
      </c>
      <c r="I2866" s="6">
        <f>INDEX(Netzzeiten!$C$6:$C$29,HOUR(B2866)+1)</f>
        <v>10.52</v>
      </c>
      <c r="J2866" t="str">
        <f>IF(C2866="","FEHLT",IF(NOT(ISNUMBER(C2866)),"MESSWERT UNGUELTIG",IF(C2866&lt;0,"MESSWERT UNGUELTIG",IF(H2866="","TARIFPREIS FEHLT","OK"))))</f>
        <v>FEHLT</v>
      </c>
      <c r="K2866" s="7">
        <f>IF(J2866&lt;&gt;"OK","",C2866*I2866/100)</f>
        <v/>
      </c>
    </row>
    <row r="2867" spans="1:11">
      <c r="A2867" s="14">
        <v>46172</v>
      </c>
      <c r="B2867" s="15">
        <v>0.8020833333333334</v>
      </c>
      <c r="C2867" s="5">
        <f>IF('96 Werte'!CA35="","",'96 Werte'!CA35)</f>
        <v/>
      </c>
      <c r="D2867" t="str">
        <f>IF(IF(Eingaben!$B$21&lt;Eingaben!$B$22,AND(B2867&gt;=Eingaben!$B$21,B2867&lt;Eingaben!$B$22),OR(B2867&gt;=Eingaben!$B$21,B2867&lt;Eingaben!$B$22)),"GO",IF(AND(ISNUMBER(Eingaben!$B$23),ISNUMBER(Eingaben!$B$24),IF(Eingaben!$B$23&lt;Eingaben!$B$24,AND(B2867&gt;=Eingaben!$B$23,B2867&lt;Eingaben!$B$24),OR(B2867&gt;=Eingaben!$B$23,B2867&lt;Eingaben!$B$24))),"HEAT","STANDARD"))</f>
        <v>STANDARD</v>
      </c>
      <c r="E2867" s="9"/>
      <c r="F2867" t="str">
        <f>IF(E2867="",D2867,E2867)</f>
        <v>STANDARD</v>
      </c>
      <c r="G2867" t="str">
        <f>INDEX(Netzzeiten!$B$6:$B$29,HOUR(B2867)+1)</f>
        <v>HT</v>
      </c>
      <c r="H2867" s="6">
        <f>IF(F2867="GO",Eingaben!$B$11,IF(F2867="STANDARD",Eingaben!$B$12,IF(AND(F2867="HEAT",ISNUMBER(Eingaben!$B$13)),Eingaben!$B$13,"")))</f>
        <v>28.2744</v>
      </c>
      <c r="I2867" s="6">
        <f>INDEX(Netzzeiten!$C$6:$C$29,HOUR(B2867)+1)</f>
        <v>10.52</v>
      </c>
      <c r="J2867" t="str">
        <f>IF(C2867="","FEHLT",IF(NOT(ISNUMBER(C2867)),"MESSWERT UNGUELTIG",IF(C2867&lt;0,"MESSWERT UNGUELTIG",IF(H2867="","TARIFPREIS FEHLT","OK"))))</f>
        <v>FEHLT</v>
      </c>
      <c r="K2867" s="7">
        <f>IF(J2867&lt;&gt;"OK","",C2867*I2867/100)</f>
        <v/>
      </c>
    </row>
    <row r="2868" spans="1:11">
      <c r="A2868" s="14">
        <v>46172</v>
      </c>
      <c r="B2868" s="15">
        <v>0.8125</v>
      </c>
      <c r="C2868" s="5">
        <f>IF('96 Werte'!CB35="","",'96 Werte'!CB35)</f>
        <v/>
      </c>
      <c r="D2868" t="str">
        <f>IF(IF(Eingaben!$B$21&lt;Eingaben!$B$22,AND(B2868&gt;=Eingaben!$B$21,B2868&lt;Eingaben!$B$22),OR(B2868&gt;=Eingaben!$B$21,B2868&lt;Eingaben!$B$22)),"GO",IF(AND(ISNUMBER(Eingaben!$B$23),ISNUMBER(Eingaben!$B$24),IF(Eingaben!$B$23&lt;Eingaben!$B$24,AND(B2868&gt;=Eingaben!$B$23,B2868&lt;Eingaben!$B$24),OR(B2868&gt;=Eingaben!$B$23,B2868&lt;Eingaben!$B$24))),"HEAT","STANDARD"))</f>
        <v>STANDARD</v>
      </c>
      <c r="E2868" s="9"/>
      <c r="F2868" t="str">
        <f>IF(E2868="",D2868,E2868)</f>
        <v>STANDARD</v>
      </c>
      <c r="G2868" t="str">
        <f>INDEX(Netzzeiten!$B$6:$B$29,HOUR(B2868)+1)</f>
        <v>HT</v>
      </c>
      <c r="H2868" s="6">
        <f>IF(F2868="GO",Eingaben!$B$11,IF(F2868="STANDARD",Eingaben!$B$12,IF(AND(F2868="HEAT",ISNUMBER(Eingaben!$B$13)),Eingaben!$B$13,"")))</f>
        <v>28.2744</v>
      </c>
      <c r="I2868" s="6">
        <f>INDEX(Netzzeiten!$C$6:$C$29,HOUR(B2868)+1)</f>
        <v>10.52</v>
      </c>
      <c r="J2868" t="str">
        <f>IF(C2868="","FEHLT",IF(NOT(ISNUMBER(C2868)),"MESSWERT UNGUELTIG",IF(C2868&lt;0,"MESSWERT UNGUELTIG",IF(H2868="","TARIFPREIS FEHLT","OK"))))</f>
        <v>FEHLT</v>
      </c>
      <c r="K2868" s="7">
        <f>IF(J2868&lt;&gt;"OK","",C2868*I2868/100)</f>
        <v/>
      </c>
    </row>
    <row r="2869" spans="1:11">
      <c r="A2869" s="14">
        <v>46172</v>
      </c>
      <c r="B2869" s="15">
        <v>0.8229166666666666</v>
      </c>
      <c r="C2869" s="5">
        <f>IF('96 Werte'!CC35="","",'96 Werte'!CC35)</f>
        <v/>
      </c>
      <c r="D2869" t="str">
        <f>IF(IF(Eingaben!$B$21&lt;Eingaben!$B$22,AND(B2869&gt;=Eingaben!$B$21,B2869&lt;Eingaben!$B$22),OR(B2869&gt;=Eingaben!$B$21,B2869&lt;Eingaben!$B$22)),"GO",IF(AND(ISNUMBER(Eingaben!$B$23),ISNUMBER(Eingaben!$B$24),IF(Eingaben!$B$23&lt;Eingaben!$B$24,AND(B2869&gt;=Eingaben!$B$23,B2869&lt;Eingaben!$B$24),OR(B2869&gt;=Eingaben!$B$23,B2869&lt;Eingaben!$B$24))),"HEAT","STANDARD"))</f>
        <v>STANDARD</v>
      </c>
      <c r="E2869" s="9"/>
      <c r="F2869" t="str">
        <f>IF(E2869="",D2869,E2869)</f>
        <v>STANDARD</v>
      </c>
      <c r="G2869" t="str">
        <f>INDEX(Netzzeiten!$B$6:$B$29,HOUR(B2869)+1)</f>
        <v>HT</v>
      </c>
      <c r="H2869" s="6">
        <f>IF(F2869="GO",Eingaben!$B$11,IF(F2869="STANDARD",Eingaben!$B$12,IF(AND(F2869="HEAT",ISNUMBER(Eingaben!$B$13)),Eingaben!$B$13,"")))</f>
        <v>28.2744</v>
      </c>
      <c r="I2869" s="6">
        <f>INDEX(Netzzeiten!$C$6:$C$29,HOUR(B2869)+1)</f>
        <v>10.52</v>
      </c>
      <c r="J2869" t="str">
        <f>IF(C2869="","FEHLT",IF(NOT(ISNUMBER(C2869)),"MESSWERT UNGUELTIG",IF(C2869&lt;0,"MESSWERT UNGUELTIG",IF(H2869="","TARIFPREIS FEHLT","OK"))))</f>
        <v>FEHLT</v>
      </c>
      <c r="K2869" s="7">
        <f>IF(J2869&lt;&gt;"OK","",C2869*I2869/100)</f>
        <v/>
      </c>
    </row>
    <row r="2870" spans="1:11">
      <c r="A2870" s="14">
        <v>46172</v>
      </c>
      <c r="B2870" s="15">
        <v>0.8333333333333334</v>
      </c>
      <c r="C2870" s="5">
        <f>IF('96 Werte'!CD35="","",'96 Werte'!CD35)</f>
        <v/>
      </c>
      <c r="D2870" t="str">
        <f>IF(IF(Eingaben!$B$21&lt;Eingaben!$B$22,AND(B2870&gt;=Eingaben!$B$21,B2870&lt;Eingaben!$B$22),OR(B2870&gt;=Eingaben!$B$21,B2870&lt;Eingaben!$B$22)),"GO",IF(AND(ISNUMBER(Eingaben!$B$23),ISNUMBER(Eingaben!$B$24),IF(Eingaben!$B$23&lt;Eingaben!$B$24,AND(B2870&gt;=Eingaben!$B$23,B2870&lt;Eingaben!$B$24),OR(B2870&gt;=Eingaben!$B$23,B2870&lt;Eingaben!$B$24))),"HEAT","STANDARD"))</f>
        <v>STANDARD</v>
      </c>
      <c r="E2870" s="9"/>
      <c r="F2870" t="str">
        <f>IF(E2870="",D2870,E2870)</f>
        <v>STANDARD</v>
      </c>
      <c r="G2870" t="str">
        <f>INDEX(Netzzeiten!$B$6:$B$29,HOUR(B2870)+1)</f>
        <v>HT</v>
      </c>
      <c r="H2870" s="6">
        <f>IF(F2870="GO",Eingaben!$B$11,IF(F2870="STANDARD",Eingaben!$B$12,IF(AND(F2870="HEAT",ISNUMBER(Eingaben!$B$13)),Eingaben!$B$13,"")))</f>
        <v>28.2744</v>
      </c>
      <c r="I2870" s="6">
        <f>INDEX(Netzzeiten!$C$6:$C$29,HOUR(B2870)+1)</f>
        <v>10.52</v>
      </c>
      <c r="J2870" t="str">
        <f>IF(C2870="","FEHLT",IF(NOT(ISNUMBER(C2870)),"MESSWERT UNGUELTIG",IF(C2870&lt;0,"MESSWERT UNGUELTIG",IF(H2870="","TARIFPREIS FEHLT","OK"))))</f>
        <v>FEHLT</v>
      </c>
      <c r="K2870" s="7">
        <f>IF(J2870&lt;&gt;"OK","",C2870*I2870/100)</f>
        <v/>
      </c>
    </row>
    <row r="2871" spans="1:11">
      <c r="A2871" s="14">
        <v>46172</v>
      </c>
      <c r="B2871" s="15">
        <v>0.84375</v>
      </c>
      <c r="C2871" s="5">
        <f>IF('96 Werte'!CE35="","",'96 Werte'!CE35)</f>
        <v/>
      </c>
      <c r="D2871" t="str">
        <f>IF(IF(Eingaben!$B$21&lt;Eingaben!$B$22,AND(B2871&gt;=Eingaben!$B$21,B2871&lt;Eingaben!$B$22),OR(B2871&gt;=Eingaben!$B$21,B2871&lt;Eingaben!$B$22)),"GO",IF(AND(ISNUMBER(Eingaben!$B$23),ISNUMBER(Eingaben!$B$24),IF(Eingaben!$B$23&lt;Eingaben!$B$24,AND(B2871&gt;=Eingaben!$B$23,B2871&lt;Eingaben!$B$24),OR(B2871&gt;=Eingaben!$B$23,B2871&lt;Eingaben!$B$24))),"HEAT","STANDARD"))</f>
        <v>STANDARD</v>
      </c>
      <c r="E2871" s="9"/>
      <c r="F2871" t="str">
        <f>IF(E2871="",D2871,E2871)</f>
        <v>STANDARD</v>
      </c>
      <c r="G2871" t="str">
        <f>INDEX(Netzzeiten!$B$6:$B$29,HOUR(B2871)+1)</f>
        <v>HT</v>
      </c>
      <c r="H2871" s="6">
        <f>IF(F2871="GO",Eingaben!$B$11,IF(F2871="STANDARD",Eingaben!$B$12,IF(AND(F2871="HEAT",ISNUMBER(Eingaben!$B$13)),Eingaben!$B$13,"")))</f>
        <v>28.2744</v>
      </c>
      <c r="I2871" s="6">
        <f>INDEX(Netzzeiten!$C$6:$C$29,HOUR(B2871)+1)</f>
        <v>10.52</v>
      </c>
      <c r="J2871" t="str">
        <f>IF(C2871="","FEHLT",IF(NOT(ISNUMBER(C2871)),"MESSWERT UNGUELTIG",IF(C2871&lt;0,"MESSWERT UNGUELTIG",IF(H2871="","TARIFPREIS FEHLT","OK"))))</f>
        <v>FEHLT</v>
      </c>
      <c r="K2871" s="7">
        <f>IF(J2871&lt;&gt;"OK","",C2871*I2871/100)</f>
        <v/>
      </c>
    </row>
    <row r="2872" spans="1:11">
      <c r="A2872" s="14">
        <v>46172</v>
      </c>
      <c r="B2872" s="15">
        <v>0.8541666666666666</v>
      </c>
      <c r="C2872" s="5">
        <f>IF('96 Werte'!CF35="","",'96 Werte'!CF35)</f>
        <v/>
      </c>
      <c r="D2872" t="str">
        <f>IF(IF(Eingaben!$B$21&lt;Eingaben!$B$22,AND(B2872&gt;=Eingaben!$B$21,B2872&lt;Eingaben!$B$22),OR(B2872&gt;=Eingaben!$B$21,B2872&lt;Eingaben!$B$22)),"GO",IF(AND(ISNUMBER(Eingaben!$B$23),ISNUMBER(Eingaben!$B$24),IF(Eingaben!$B$23&lt;Eingaben!$B$24,AND(B2872&gt;=Eingaben!$B$23,B2872&lt;Eingaben!$B$24),OR(B2872&gt;=Eingaben!$B$23,B2872&lt;Eingaben!$B$24))),"HEAT","STANDARD"))</f>
        <v>STANDARD</v>
      </c>
      <c r="E2872" s="9"/>
      <c r="F2872" t="str">
        <f>IF(E2872="",D2872,E2872)</f>
        <v>STANDARD</v>
      </c>
      <c r="G2872" t="str">
        <f>INDEX(Netzzeiten!$B$6:$B$29,HOUR(B2872)+1)</f>
        <v>HT</v>
      </c>
      <c r="H2872" s="6">
        <f>IF(F2872="GO",Eingaben!$B$11,IF(F2872="STANDARD",Eingaben!$B$12,IF(AND(F2872="HEAT",ISNUMBER(Eingaben!$B$13)),Eingaben!$B$13,"")))</f>
        <v>28.2744</v>
      </c>
      <c r="I2872" s="6">
        <f>INDEX(Netzzeiten!$C$6:$C$29,HOUR(B2872)+1)</f>
        <v>10.52</v>
      </c>
      <c r="J2872" t="str">
        <f>IF(C2872="","FEHLT",IF(NOT(ISNUMBER(C2872)),"MESSWERT UNGUELTIG",IF(C2872&lt;0,"MESSWERT UNGUELTIG",IF(H2872="","TARIFPREIS FEHLT","OK"))))</f>
        <v>FEHLT</v>
      </c>
      <c r="K2872" s="7">
        <f>IF(J2872&lt;&gt;"OK","",C2872*I2872/100)</f>
        <v/>
      </c>
    </row>
    <row r="2873" spans="1:11">
      <c r="A2873" s="14">
        <v>46172</v>
      </c>
      <c r="B2873" s="15">
        <v>0.8645833333333334</v>
      </c>
      <c r="C2873" s="5">
        <f>IF('96 Werte'!CG35="","",'96 Werte'!CG35)</f>
        <v/>
      </c>
      <c r="D2873" t="str">
        <f>IF(IF(Eingaben!$B$21&lt;Eingaben!$B$22,AND(B2873&gt;=Eingaben!$B$21,B2873&lt;Eingaben!$B$22),OR(B2873&gt;=Eingaben!$B$21,B2873&lt;Eingaben!$B$22)),"GO",IF(AND(ISNUMBER(Eingaben!$B$23),ISNUMBER(Eingaben!$B$24),IF(Eingaben!$B$23&lt;Eingaben!$B$24,AND(B2873&gt;=Eingaben!$B$23,B2873&lt;Eingaben!$B$24),OR(B2873&gt;=Eingaben!$B$23,B2873&lt;Eingaben!$B$24))),"HEAT","STANDARD"))</f>
        <v>STANDARD</v>
      </c>
      <c r="E2873" s="9"/>
      <c r="F2873" t="str">
        <f>IF(E2873="",D2873,E2873)</f>
        <v>STANDARD</v>
      </c>
      <c r="G2873" t="str">
        <f>INDEX(Netzzeiten!$B$6:$B$29,HOUR(B2873)+1)</f>
        <v>HT</v>
      </c>
      <c r="H2873" s="6">
        <f>IF(F2873="GO",Eingaben!$B$11,IF(F2873="STANDARD",Eingaben!$B$12,IF(AND(F2873="HEAT",ISNUMBER(Eingaben!$B$13)),Eingaben!$B$13,"")))</f>
        <v>28.2744</v>
      </c>
      <c r="I2873" s="6">
        <f>INDEX(Netzzeiten!$C$6:$C$29,HOUR(B2873)+1)</f>
        <v>10.52</v>
      </c>
      <c r="J2873" t="str">
        <f>IF(C2873="","FEHLT",IF(NOT(ISNUMBER(C2873)),"MESSWERT UNGUELTIG",IF(C2873&lt;0,"MESSWERT UNGUELTIG",IF(H2873="","TARIFPREIS FEHLT","OK"))))</f>
        <v>FEHLT</v>
      </c>
      <c r="K2873" s="7">
        <f>IF(J2873&lt;&gt;"OK","",C2873*I2873/100)</f>
        <v/>
      </c>
    </row>
    <row r="2874" spans="1:11">
      <c r="A2874" s="14">
        <v>46172</v>
      </c>
      <c r="B2874" s="15">
        <v>0.875</v>
      </c>
      <c r="C2874" s="5">
        <f>IF('96 Werte'!CH35="","",'96 Werte'!CH35)</f>
        <v/>
      </c>
      <c r="D2874" t="str">
        <f>IF(IF(Eingaben!$B$21&lt;Eingaben!$B$22,AND(B2874&gt;=Eingaben!$B$21,B2874&lt;Eingaben!$B$22),OR(B2874&gt;=Eingaben!$B$21,B2874&lt;Eingaben!$B$22)),"GO",IF(AND(ISNUMBER(Eingaben!$B$23),ISNUMBER(Eingaben!$B$24),IF(Eingaben!$B$23&lt;Eingaben!$B$24,AND(B2874&gt;=Eingaben!$B$23,B2874&lt;Eingaben!$B$24),OR(B2874&gt;=Eingaben!$B$23,B2874&lt;Eingaben!$B$24))),"HEAT","STANDARD"))</f>
        <v>STANDARD</v>
      </c>
      <c r="E2874" s="9"/>
      <c r="F2874" t="str">
        <f>IF(E2874="",D2874,E2874)</f>
        <v>STANDARD</v>
      </c>
      <c r="G2874" t="str">
        <f>INDEX(Netzzeiten!$B$6:$B$29,HOUR(B2874)+1)</f>
        <v>HT</v>
      </c>
      <c r="H2874" s="6">
        <f>IF(F2874="GO",Eingaben!$B$11,IF(F2874="STANDARD",Eingaben!$B$12,IF(AND(F2874="HEAT",ISNUMBER(Eingaben!$B$13)),Eingaben!$B$13,"")))</f>
        <v>28.2744</v>
      </c>
      <c r="I2874" s="6">
        <f>INDEX(Netzzeiten!$C$6:$C$29,HOUR(B2874)+1)</f>
        <v>10.52</v>
      </c>
      <c r="J2874" t="str">
        <f>IF(C2874="","FEHLT",IF(NOT(ISNUMBER(C2874)),"MESSWERT UNGUELTIG",IF(C2874&lt;0,"MESSWERT UNGUELTIG",IF(H2874="","TARIFPREIS FEHLT","OK"))))</f>
        <v>FEHLT</v>
      </c>
      <c r="K2874" s="7">
        <f>IF(J2874&lt;&gt;"OK","",C2874*I2874/100)</f>
        <v/>
      </c>
    </row>
    <row r="2875" spans="1:11">
      <c r="A2875" s="14">
        <v>46172</v>
      </c>
      <c r="B2875" s="15">
        <v>0.8854166666666666</v>
      </c>
      <c r="C2875" s="5">
        <f>IF('96 Werte'!CI35="","",'96 Werte'!CI35)</f>
        <v/>
      </c>
      <c r="D2875" t="str">
        <f>IF(IF(Eingaben!$B$21&lt;Eingaben!$B$22,AND(B2875&gt;=Eingaben!$B$21,B2875&lt;Eingaben!$B$22),OR(B2875&gt;=Eingaben!$B$21,B2875&lt;Eingaben!$B$22)),"GO",IF(AND(ISNUMBER(Eingaben!$B$23),ISNUMBER(Eingaben!$B$24),IF(Eingaben!$B$23&lt;Eingaben!$B$24,AND(B2875&gt;=Eingaben!$B$23,B2875&lt;Eingaben!$B$24),OR(B2875&gt;=Eingaben!$B$23,B2875&lt;Eingaben!$B$24))),"HEAT","STANDARD"))</f>
        <v>STANDARD</v>
      </c>
      <c r="E2875" s="9"/>
      <c r="F2875" t="str">
        <f>IF(E2875="",D2875,E2875)</f>
        <v>STANDARD</v>
      </c>
      <c r="G2875" t="str">
        <f>INDEX(Netzzeiten!$B$6:$B$29,HOUR(B2875)+1)</f>
        <v>HT</v>
      </c>
      <c r="H2875" s="6">
        <f>IF(F2875="GO",Eingaben!$B$11,IF(F2875="STANDARD",Eingaben!$B$12,IF(AND(F2875="HEAT",ISNUMBER(Eingaben!$B$13)),Eingaben!$B$13,"")))</f>
        <v>28.2744</v>
      </c>
      <c r="I2875" s="6">
        <f>INDEX(Netzzeiten!$C$6:$C$29,HOUR(B2875)+1)</f>
        <v>10.52</v>
      </c>
      <c r="J2875" t="str">
        <f>IF(C2875="","FEHLT",IF(NOT(ISNUMBER(C2875)),"MESSWERT UNGUELTIG",IF(C2875&lt;0,"MESSWERT UNGUELTIG",IF(H2875="","TARIFPREIS FEHLT","OK"))))</f>
        <v>FEHLT</v>
      </c>
      <c r="K2875" s="7">
        <f>IF(J2875&lt;&gt;"OK","",C2875*I2875/100)</f>
        <v/>
      </c>
    </row>
    <row r="2876" spans="1:11">
      <c r="A2876" s="14">
        <v>46172</v>
      </c>
      <c r="B2876" s="15">
        <v>0.8958333333333334</v>
      </c>
      <c r="C2876" s="5">
        <f>IF('96 Werte'!CJ35="","",'96 Werte'!CJ35)</f>
        <v/>
      </c>
      <c r="D2876" t="str">
        <f>IF(IF(Eingaben!$B$21&lt;Eingaben!$B$22,AND(B2876&gt;=Eingaben!$B$21,B2876&lt;Eingaben!$B$22),OR(B2876&gt;=Eingaben!$B$21,B2876&lt;Eingaben!$B$22)),"GO",IF(AND(ISNUMBER(Eingaben!$B$23),ISNUMBER(Eingaben!$B$24),IF(Eingaben!$B$23&lt;Eingaben!$B$24,AND(B2876&gt;=Eingaben!$B$23,B2876&lt;Eingaben!$B$24),OR(B2876&gt;=Eingaben!$B$23,B2876&lt;Eingaben!$B$24))),"HEAT","STANDARD"))</f>
        <v>STANDARD</v>
      </c>
      <c r="E2876" s="9"/>
      <c r="F2876" t="str">
        <f>IF(E2876="",D2876,E2876)</f>
        <v>STANDARD</v>
      </c>
      <c r="G2876" t="str">
        <f>INDEX(Netzzeiten!$B$6:$B$29,HOUR(B2876)+1)</f>
        <v>HT</v>
      </c>
      <c r="H2876" s="6">
        <f>IF(F2876="GO",Eingaben!$B$11,IF(F2876="STANDARD",Eingaben!$B$12,IF(AND(F2876="HEAT",ISNUMBER(Eingaben!$B$13)),Eingaben!$B$13,"")))</f>
        <v>28.2744</v>
      </c>
      <c r="I2876" s="6">
        <f>INDEX(Netzzeiten!$C$6:$C$29,HOUR(B2876)+1)</f>
        <v>10.52</v>
      </c>
      <c r="J2876" t="str">
        <f>IF(C2876="","FEHLT",IF(NOT(ISNUMBER(C2876)),"MESSWERT UNGUELTIG",IF(C2876&lt;0,"MESSWERT UNGUELTIG",IF(H2876="","TARIFPREIS FEHLT","OK"))))</f>
        <v>FEHLT</v>
      </c>
      <c r="K2876" s="7">
        <f>IF(J2876&lt;&gt;"OK","",C2876*I2876/100)</f>
        <v/>
      </c>
    </row>
    <row r="2877" spans="1:11">
      <c r="A2877" s="14">
        <v>46172</v>
      </c>
      <c r="B2877" s="15">
        <v>0.90625</v>
      </c>
      <c r="C2877" s="5">
        <f>IF('96 Werte'!CK35="","",'96 Werte'!CK35)</f>
        <v/>
      </c>
      <c r="D2877" t="str">
        <f>IF(IF(Eingaben!$B$21&lt;Eingaben!$B$22,AND(B2877&gt;=Eingaben!$B$21,B2877&lt;Eingaben!$B$22),OR(B2877&gt;=Eingaben!$B$21,B2877&lt;Eingaben!$B$22)),"GO",IF(AND(ISNUMBER(Eingaben!$B$23),ISNUMBER(Eingaben!$B$24),IF(Eingaben!$B$23&lt;Eingaben!$B$24,AND(B2877&gt;=Eingaben!$B$23,B2877&lt;Eingaben!$B$24),OR(B2877&gt;=Eingaben!$B$23,B2877&lt;Eingaben!$B$24))),"HEAT","STANDARD"))</f>
        <v>STANDARD</v>
      </c>
      <c r="E2877" s="9"/>
      <c r="F2877" t="str">
        <f>IF(E2877="",D2877,E2877)</f>
        <v>STANDARD</v>
      </c>
      <c r="G2877" t="str">
        <f>INDEX(Netzzeiten!$B$6:$B$29,HOUR(B2877)+1)</f>
        <v>HT</v>
      </c>
      <c r="H2877" s="6">
        <f>IF(F2877="GO",Eingaben!$B$11,IF(F2877="STANDARD",Eingaben!$B$12,IF(AND(F2877="HEAT",ISNUMBER(Eingaben!$B$13)),Eingaben!$B$13,"")))</f>
        <v>28.2744</v>
      </c>
      <c r="I2877" s="6">
        <f>INDEX(Netzzeiten!$C$6:$C$29,HOUR(B2877)+1)</f>
        <v>10.52</v>
      </c>
      <c r="J2877" t="str">
        <f>IF(C2877="","FEHLT",IF(NOT(ISNUMBER(C2877)),"MESSWERT UNGUELTIG",IF(C2877&lt;0,"MESSWERT UNGUELTIG",IF(H2877="","TARIFPREIS FEHLT","OK"))))</f>
        <v>FEHLT</v>
      </c>
      <c r="K2877" s="7">
        <f>IF(J2877&lt;&gt;"OK","",C2877*I2877/100)</f>
        <v/>
      </c>
    </row>
    <row r="2878" spans="1:11">
      <c r="A2878" s="14">
        <v>46172</v>
      </c>
      <c r="B2878" s="15">
        <v>0.9166666666666666</v>
      </c>
      <c r="C2878" s="5">
        <f>IF('96 Werte'!CL35="","",'96 Werte'!CL35)</f>
        <v/>
      </c>
      <c r="D2878" t="str">
        <f>IF(IF(Eingaben!$B$21&lt;Eingaben!$B$22,AND(B2878&gt;=Eingaben!$B$21,B2878&lt;Eingaben!$B$22),OR(B2878&gt;=Eingaben!$B$21,B2878&lt;Eingaben!$B$22)),"GO",IF(AND(ISNUMBER(Eingaben!$B$23),ISNUMBER(Eingaben!$B$24),IF(Eingaben!$B$23&lt;Eingaben!$B$24,AND(B2878&gt;=Eingaben!$B$23,B2878&lt;Eingaben!$B$24),OR(B2878&gt;=Eingaben!$B$23,B2878&lt;Eingaben!$B$24))),"HEAT","STANDARD"))</f>
        <v>STANDARD</v>
      </c>
      <c r="E2878" s="9"/>
      <c r="F2878" t="str">
        <f>IF(E2878="",D2878,E2878)</f>
        <v>STANDARD</v>
      </c>
      <c r="G2878" t="str">
        <f>INDEX(Netzzeiten!$B$6:$B$29,HOUR(B2878)+1)</f>
        <v>ST</v>
      </c>
      <c r="H2878" s="6">
        <f>IF(F2878="GO",Eingaben!$B$11,IF(F2878="STANDARD",Eingaben!$B$12,IF(AND(F2878="HEAT",ISNUMBER(Eingaben!$B$13)),Eingaben!$B$13,"")))</f>
        <v>28.2744</v>
      </c>
      <c r="I2878" s="6">
        <f>INDEX(Netzzeiten!$C$6:$C$29,HOUR(B2878)+1)</f>
        <v>5.48</v>
      </c>
      <c r="J2878" t="str">
        <f>IF(C2878="","FEHLT",IF(NOT(ISNUMBER(C2878)),"MESSWERT UNGUELTIG",IF(C2878&lt;0,"MESSWERT UNGUELTIG",IF(H2878="","TARIFPREIS FEHLT","OK"))))</f>
        <v>FEHLT</v>
      </c>
      <c r="K2878" s="7">
        <f>IF(J2878&lt;&gt;"OK","",C2878*I2878/100)</f>
        <v/>
      </c>
    </row>
    <row r="2879" spans="1:11">
      <c r="A2879" s="14">
        <v>46172</v>
      </c>
      <c r="B2879" s="15">
        <v>0.9270833333333334</v>
      </c>
      <c r="C2879" s="5">
        <f>IF('96 Werte'!CM35="","",'96 Werte'!CM35)</f>
        <v/>
      </c>
      <c r="D2879" t="str">
        <f>IF(IF(Eingaben!$B$21&lt;Eingaben!$B$22,AND(B2879&gt;=Eingaben!$B$21,B2879&lt;Eingaben!$B$22),OR(B2879&gt;=Eingaben!$B$21,B2879&lt;Eingaben!$B$22)),"GO",IF(AND(ISNUMBER(Eingaben!$B$23),ISNUMBER(Eingaben!$B$24),IF(Eingaben!$B$23&lt;Eingaben!$B$24,AND(B2879&gt;=Eingaben!$B$23,B2879&lt;Eingaben!$B$24),OR(B2879&gt;=Eingaben!$B$23,B2879&lt;Eingaben!$B$24))),"HEAT","STANDARD"))</f>
        <v>STANDARD</v>
      </c>
      <c r="E2879" s="9"/>
      <c r="F2879" t="str">
        <f>IF(E2879="",D2879,E2879)</f>
        <v>STANDARD</v>
      </c>
      <c r="G2879" t="str">
        <f>INDEX(Netzzeiten!$B$6:$B$29,HOUR(B2879)+1)</f>
        <v>ST</v>
      </c>
      <c r="H2879" s="6">
        <f>IF(F2879="GO",Eingaben!$B$11,IF(F2879="STANDARD",Eingaben!$B$12,IF(AND(F2879="HEAT",ISNUMBER(Eingaben!$B$13)),Eingaben!$B$13,"")))</f>
        <v>28.2744</v>
      </c>
      <c r="I2879" s="6">
        <f>INDEX(Netzzeiten!$C$6:$C$29,HOUR(B2879)+1)</f>
        <v>5.48</v>
      </c>
      <c r="J2879" t="str">
        <f>IF(C2879="","FEHLT",IF(NOT(ISNUMBER(C2879)),"MESSWERT UNGUELTIG",IF(C2879&lt;0,"MESSWERT UNGUELTIG",IF(H2879="","TARIFPREIS FEHLT","OK"))))</f>
        <v>FEHLT</v>
      </c>
      <c r="K2879" s="7">
        <f>IF(J2879&lt;&gt;"OK","",C2879*I2879/100)</f>
        <v/>
      </c>
    </row>
    <row r="2880" spans="1:11">
      <c r="A2880" s="14">
        <v>46172</v>
      </c>
      <c r="B2880" s="15">
        <v>0.9375</v>
      </c>
      <c r="C2880" s="5">
        <f>IF('96 Werte'!CN35="","",'96 Werte'!CN35)</f>
        <v/>
      </c>
      <c r="D2880" t="str">
        <f>IF(IF(Eingaben!$B$21&lt;Eingaben!$B$22,AND(B2880&gt;=Eingaben!$B$21,B2880&lt;Eingaben!$B$22),OR(B2880&gt;=Eingaben!$B$21,B2880&lt;Eingaben!$B$22)),"GO",IF(AND(ISNUMBER(Eingaben!$B$23),ISNUMBER(Eingaben!$B$24),IF(Eingaben!$B$23&lt;Eingaben!$B$24,AND(B2880&gt;=Eingaben!$B$23,B2880&lt;Eingaben!$B$24),OR(B2880&gt;=Eingaben!$B$23,B2880&lt;Eingaben!$B$24))),"HEAT","STANDARD"))</f>
        <v>STANDARD</v>
      </c>
      <c r="E2880" s="9"/>
      <c r="F2880" t="str">
        <f>IF(E2880="",D2880,E2880)</f>
        <v>STANDARD</v>
      </c>
      <c r="G2880" t="str">
        <f>INDEX(Netzzeiten!$B$6:$B$29,HOUR(B2880)+1)</f>
        <v>ST</v>
      </c>
      <c r="H2880" s="6">
        <f>IF(F2880="GO",Eingaben!$B$11,IF(F2880="STANDARD",Eingaben!$B$12,IF(AND(F2880="HEAT",ISNUMBER(Eingaben!$B$13)),Eingaben!$B$13,"")))</f>
        <v>28.2744</v>
      </c>
      <c r="I2880" s="6">
        <f>INDEX(Netzzeiten!$C$6:$C$29,HOUR(B2880)+1)</f>
        <v>5.48</v>
      </c>
      <c r="J2880" t="str">
        <f>IF(C2880="","FEHLT",IF(NOT(ISNUMBER(C2880)),"MESSWERT UNGUELTIG",IF(C2880&lt;0,"MESSWERT UNGUELTIG",IF(H2880="","TARIFPREIS FEHLT","OK"))))</f>
        <v>FEHLT</v>
      </c>
      <c r="K2880" s="7">
        <f>IF(J2880&lt;&gt;"OK","",C2880*I2880/100)</f>
        <v/>
      </c>
    </row>
    <row r="2881" spans="1:11">
      <c r="A2881" s="14">
        <v>46172</v>
      </c>
      <c r="B2881" s="15">
        <v>0.9479166666666666</v>
      </c>
      <c r="C2881" s="5">
        <f>IF('96 Werte'!CO35="","",'96 Werte'!CO35)</f>
        <v/>
      </c>
      <c r="D2881" t="str">
        <f>IF(IF(Eingaben!$B$21&lt;Eingaben!$B$22,AND(B2881&gt;=Eingaben!$B$21,B2881&lt;Eingaben!$B$22),OR(B2881&gt;=Eingaben!$B$21,B2881&lt;Eingaben!$B$22)),"GO",IF(AND(ISNUMBER(Eingaben!$B$23),ISNUMBER(Eingaben!$B$24),IF(Eingaben!$B$23&lt;Eingaben!$B$24,AND(B2881&gt;=Eingaben!$B$23,B2881&lt;Eingaben!$B$24),OR(B2881&gt;=Eingaben!$B$23,B2881&lt;Eingaben!$B$24))),"HEAT","STANDARD"))</f>
        <v>STANDARD</v>
      </c>
      <c r="E2881" s="9"/>
      <c r="F2881" t="str">
        <f>IF(E2881="",D2881,E2881)</f>
        <v>STANDARD</v>
      </c>
      <c r="G2881" t="str">
        <f>INDEX(Netzzeiten!$B$6:$B$29,HOUR(B2881)+1)</f>
        <v>ST</v>
      </c>
      <c r="H2881" s="6">
        <f>IF(F2881="GO",Eingaben!$B$11,IF(F2881="STANDARD",Eingaben!$B$12,IF(AND(F2881="HEAT",ISNUMBER(Eingaben!$B$13)),Eingaben!$B$13,"")))</f>
        <v>28.2744</v>
      </c>
      <c r="I2881" s="6">
        <f>INDEX(Netzzeiten!$C$6:$C$29,HOUR(B2881)+1)</f>
        <v>5.48</v>
      </c>
      <c r="J2881" t="str">
        <f>IF(C2881="","FEHLT",IF(NOT(ISNUMBER(C2881)),"MESSWERT UNGUELTIG",IF(C2881&lt;0,"MESSWERT UNGUELTIG",IF(H2881="","TARIFPREIS FEHLT","OK"))))</f>
        <v>FEHLT</v>
      </c>
      <c r="K2881" s="7">
        <f>IF(J2881&lt;&gt;"OK","",C2881*I2881/100)</f>
        <v/>
      </c>
    </row>
    <row r="2882" spans="1:11">
      <c r="A2882" s="14">
        <v>46172</v>
      </c>
      <c r="B2882" s="15">
        <v>0.9583333333333334</v>
      </c>
      <c r="C2882" s="5">
        <f>IF('96 Werte'!CP35="","",'96 Werte'!CP35)</f>
        <v/>
      </c>
      <c r="D2882" t="str">
        <f>IF(IF(Eingaben!$B$21&lt;Eingaben!$B$22,AND(B2882&gt;=Eingaben!$B$21,B2882&lt;Eingaben!$B$22),OR(B2882&gt;=Eingaben!$B$21,B2882&lt;Eingaben!$B$22)),"GO",IF(AND(ISNUMBER(Eingaben!$B$23),ISNUMBER(Eingaben!$B$24),IF(Eingaben!$B$23&lt;Eingaben!$B$24,AND(B2882&gt;=Eingaben!$B$23,B2882&lt;Eingaben!$B$24),OR(B2882&gt;=Eingaben!$B$23,B2882&lt;Eingaben!$B$24))),"HEAT","STANDARD"))</f>
        <v>STANDARD</v>
      </c>
      <c r="E2882" s="9"/>
      <c r="F2882" t="str">
        <f>IF(E2882="",D2882,E2882)</f>
        <v>STANDARD</v>
      </c>
      <c r="G2882" t="str">
        <f>INDEX(Netzzeiten!$B$6:$B$29,HOUR(B2882)+1)</f>
        <v>NT</v>
      </c>
      <c r="H2882" s="6">
        <f>IF(F2882="GO",Eingaben!$B$11,IF(F2882="STANDARD",Eingaben!$B$12,IF(AND(F2882="HEAT",ISNUMBER(Eingaben!$B$13)),Eingaben!$B$13,"")))</f>
        <v>28.2744</v>
      </c>
      <c r="I2882" s="6">
        <f>INDEX(Netzzeiten!$C$6:$C$29,HOUR(B2882)+1)</f>
        <v>1.64</v>
      </c>
      <c r="J2882" t="str">
        <f>IF(C2882="","FEHLT",IF(NOT(ISNUMBER(C2882)),"MESSWERT UNGUELTIG",IF(C2882&lt;0,"MESSWERT UNGUELTIG",IF(H2882="","TARIFPREIS FEHLT","OK"))))</f>
        <v>FEHLT</v>
      </c>
      <c r="K2882" s="7">
        <f>IF(J2882&lt;&gt;"OK","",C2882*I2882/100)</f>
        <v/>
      </c>
    </row>
    <row r="2883" spans="1:11">
      <c r="A2883" s="14">
        <v>46172</v>
      </c>
      <c r="B2883" s="15">
        <v>0.96875</v>
      </c>
      <c r="C2883" s="5">
        <f>IF('96 Werte'!CQ35="","",'96 Werte'!CQ35)</f>
        <v/>
      </c>
      <c r="D2883" t="str">
        <f>IF(IF(Eingaben!$B$21&lt;Eingaben!$B$22,AND(B2883&gt;=Eingaben!$B$21,B2883&lt;Eingaben!$B$22),OR(B2883&gt;=Eingaben!$B$21,B2883&lt;Eingaben!$B$22)),"GO",IF(AND(ISNUMBER(Eingaben!$B$23),ISNUMBER(Eingaben!$B$24),IF(Eingaben!$B$23&lt;Eingaben!$B$24,AND(B2883&gt;=Eingaben!$B$23,B2883&lt;Eingaben!$B$24),OR(B2883&gt;=Eingaben!$B$23,B2883&lt;Eingaben!$B$24))),"HEAT","STANDARD"))</f>
        <v>STANDARD</v>
      </c>
      <c r="E2883" s="9"/>
      <c r="F2883" t="str">
        <f>IF(E2883="",D2883,E2883)</f>
        <v>STANDARD</v>
      </c>
      <c r="G2883" t="str">
        <f>INDEX(Netzzeiten!$B$6:$B$29,HOUR(B2883)+1)</f>
        <v>NT</v>
      </c>
      <c r="H2883" s="6">
        <f>IF(F2883="GO",Eingaben!$B$11,IF(F2883="STANDARD",Eingaben!$B$12,IF(AND(F2883="HEAT",ISNUMBER(Eingaben!$B$13)),Eingaben!$B$13,"")))</f>
        <v>28.2744</v>
      </c>
      <c r="I2883" s="6">
        <f>INDEX(Netzzeiten!$C$6:$C$29,HOUR(B2883)+1)</f>
        <v>1.64</v>
      </c>
      <c r="J2883" t="str">
        <f>IF(C2883="","FEHLT",IF(NOT(ISNUMBER(C2883)),"MESSWERT UNGUELTIG",IF(C2883&lt;0,"MESSWERT UNGUELTIG",IF(H2883="","TARIFPREIS FEHLT","OK"))))</f>
        <v>FEHLT</v>
      </c>
      <c r="K2883" s="7">
        <f>IF(J2883&lt;&gt;"OK","",C2883*I2883/100)</f>
        <v/>
      </c>
    </row>
    <row r="2884" spans="1:11">
      <c r="A2884" s="14">
        <v>46172</v>
      </c>
      <c r="B2884" s="15">
        <v>0.9791666666666666</v>
      </c>
      <c r="C2884" s="5">
        <f>IF('96 Werte'!CR35="","",'96 Werte'!CR35)</f>
        <v/>
      </c>
      <c r="D2884" t="str">
        <f>IF(IF(Eingaben!$B$21&lt;Eingaben!$B$22,AND(B2884&gt;=Eingaben!$B$21,B2884&lt;Eingaben!$B$22),OR(B2884&gt;=Eingaben!$B$21,B2884&lt;Eingaben!$B$22)),"GO",IF(AND(ISNUMBER(Eingaben!$B$23),ISNUMBER(Eingaben!$B$24),IF(Eingaben!$B$23&lt;Eingaben!$B$24,AND(B2884&gt;=Eingaben!$B$23,B2884&lt;Eingaben!$B$24),OR(B2884&gt;=Eingaben!$B$23,B2884&lt;Eingaben!$B$24))),"HEAT","STANDARD"))</f>
        <v>STANDARD</v>
      </c>
      <c r="E2884" s="9"/>
      <c r="F2884" t="str">
        <f>IF(E2884="",D2884,E2884)</f>
        <v>STANDARD</v>
      </c>
      <c r="G2884" t="str">
        <f>INDEX(Netzzeiten!$B$6:$B$29,HOUR(B2884)+1)</f>
        <v>NT</v>
      </c>
      <c r="H2884" s="6">
        <f>IF(F2884="GO",Eingaben!$B$11,IF(F2884="STANDARD",Eingaben!$B$12,IF(AND(F2884="HEAT",ISNUMBER(Eingaben!$B$13)),Eingaben!$B$13,"")))</f>
        <v>28.2744</v>
      </c>
      <c r="I2884" s="6">
        <f>INDEX(Netzzeiten!$C$6:$C$29,HOUR(B2884)+1)</f>
        <v>1.64</v>
      </c>
      <c r="J2884" t="str">
        <f>IF(C2884="","FEHLT",IF(NOT(ISNUMBER(C2884)),"MESSWERT UNGUELTIG",IF(C2884&lt;0,"MESSWERT UNGUELTIG",IF(H2884="","TARIFPREIS FEHLT","OK"))))</f>
        <v>FEHLT</v>
      </c>
      <c r="K2884" s="7">
        <f>IF(J2884&lt;&gt;"OK","",C2884*I2884/100)</f>
        <v/>
      </c>
    </row>
    <row r="2885" spans="1:11">
      <c r="A2885" s="14">
        <v>46172</v>
      </c>
      <c r="B2885" s="15">
        <v>0.9895833333333334</v>
      </c>
      <c r="C2885" s="5">
        <f>IF('96 Werte'!CS35="","",'96 Werte'!CS35)</f>
        <v/>
      </c>
      <c r="D2885" t="str">
        <f>IF(IF(Eingaben!$B$21&lt;Eingaben!$B$22,AND(B2885&gt;=Eingaben!$B$21,B2885&lt;Eingaben!$B$22),OR(B2885&gt;=Eingaben!$B$21,B2885&lt;Eingaben!$B$22)),"GO",IF(AND(ISNUMBER(Eingaben!$B$23),ISNUMBER(Eingaben!$B$24),IF(Eingaben!$B$23&lt;Eingaben!$B$24,AND(B2885&gt;=Eingaben!$B$23,B2885&lt;Eingaben!$B$24),OR(B2885&gt;=Eingaben!$B$23,B2885&lt;Eingaben!$B$24))),"HEAT","STANDARD"))</f>
        <v>STANDARD</v>
      </c>
      <c r="E2885" s="9"/>
      <c r="F2885" t="str">
        <f>IF(E2885="",D2885,E2885)</f>
        <v>STANDARD</v>
      </c>
      <c r="G2885" t="str">
        <f>INDEX(Netzzeiten!$B$6:$B$29,HOUR(B2885)+1)</f>
        <v>NT</v>
      </c>
      <c r="H2885" s="6">
        <f>IF(F2885="GO",Eingaben!$B$11,IF(F2885="STANDARD",Eingaben!$B$12,IF(AND(F2885="HEAT",ISNUMBER(Eingaben!$B$13)),Eingaben!$B$13,"")))</f>
        <v>28.2744</v>
      </c>
      <c r="I2885" s="6">
        <f>INDEX(Netzzeiten!$C$6:$C$29,HOUR(B2885)+1)</f>
        <v>1.64</v>
      </c>
      <c r="J2885" t="str">
        <f>IF(C2885="","FEHLT",IF(NOT(ISNUMBER(C2885)),"MESSWERT UNGUELTIG",IF(C2885&lt;0,"MESSWERT UNGUELTIG",IF(H2885="","TARIFPREIS FEHLT","OK"))))</f>
        <v>FEHLT</v>
      </c>
      <c r="K2885" s="7">
        <f>IF(J2885&lt;&gt;"OK","",C2885*I2885/100)</f>
        <v/>
      </c>
    </row>
    <row r="2886" spans="1:11">
      <c r="A2886" s="14">
        <v>46173</v>
      </c>
      <c r="B2886" s="15">
        <v>0</v>
      </c>
      <c r="C2886" s="5">
        <f>IF('96 Werte'!B36="","",'96 Werte'!B36)</f>
        <v/>
      </c>
      <c r="D2886" t="str">
        <f>IF(IF(Eingaben!$B$21&lt;Eingaben!$B$22,AND(B2886&gt;=Eingaben!$B$21,B2886&lt;Eingaben!$B$22),OR(B2886&gt;=Eingaben!$B$21,B2886&lt;Eingaben!$B$22)),"GO",IF(AND(ISNUMBER(Eingaben!$B$23),ISNUMBER(Eingaben!$B$24),IF(Eingaben!$B$23&lt;Eingaben!$B$24,AND(B2886&gt;=Eingaben!$B$23,B2886&lt;Eingaben!$B$24),OR(B2886&gt;=Eingaben!$B$23,B2886&lt;Eingaben!$B$24))),"HEAT","STANDARD"))</f>
        <v>GO</v>
      </c>
      <c r="E2886" s="9"/>
      <c r="F2886" t="str">
        <f>IF(E2886="",D2886,E2886)</f>
        <v>GO</v>
      </c>
      <c r="G2886" t="str">
        <f>INDEX(Netzzeiten!$B$6:$B$29,HOUR(B2886)+1)</f>
        <v>NT</v>
      </c>
      <c r="H2886" s="6">
        <f>IF(F2886="GO",Eingaben!$B$11,IF(F2886="STANDARD",Eingaben!$B$12,IF(AND(F2886="HEAT",ISNUMBER(Eingaben!$B$13)),Eingaben!$B$13,"")))</f>
        <v>15.0654</v>
      </c>
      <c r="I2886" s="6">
        <f>INDEX(Netzzeiten!$C$6:$C$29,HOUR(B2886)+1)</f>
        <v>1.64</v>
      </c>
      <c r="J2886" t="str">
        <f>IF(C2886="","FEHLT",IF(NOT(ISNUMBER(C2886)),"MESSWERT UNGUELTIG",IF(C2886&lt;0,"MESSWERT UNGUELTIG",IF(H2886="","TARIFPREIS FEHLT","OK"))))</f>
        <v>FEHLT</v>
      </c>
      <c r="K2886" s="7">
        <f>IF(J2886&lt;&gt;"OK","",C2886*I2886/100)</f>
        <v/>
      </c>
    </row>
    <row r="2887" spans="1:11">
      <c r="A2887" s="14">
        <v>46173</v>
      </c>
      <c r="B2887" s="15">
        <v>0.01041666666666667</v>
      </c>
      <c r="C2887" s="5">
        <f>IF('96 Werte'!C36="","",'96 Werte'!C36)</f>
        <v/>
      </c>
      <c r="D2887" t="str">
        <f>IF(IF(Eingaben!$B$21&lt;Eingaben!$B$22,AND(B2887&gt;=Eingaben!$B$21,B2887&lt;Eingaben!$B$22),OR(B2887&gt;=Eingaben!$B$21,B2887&lt;Eingaben!$B$22)),"GO",IF(AND(ISNUMBER(Eingaben!$B$23),ISNUMBER(Eingaben!$B$24),IF(Eingaben!$B$23&lt;Eingaben!$B$24,AND(B2887&gt;=Eingaben!$B$23,B2887&lt;Eingaben!$B$24),OR(B2887&gt;=Eingaben!$B$23,B2887&lt;Eingaben!$B$24))),"HEAT","STANDARD"))</f>
        <v>GO</v>
      </c>
      <c r="E2887" s="9"/>
      <c r="F2887" t="str">
        <f>IF(E2887="",D2887,E2887)</f>
        <v>GO</v>
      </c>
      <c r="G2887" t="str">
        <f>INDEX(Netzzeiten!$B$6:$B$29,HOUR(B2887)+1)</f>
        <v>NT</v>
      </c>
      <c r="H2887" s="6">
        <f>IF(F2887="GO",Eingaben!$B$11,IF(F2887="STANDARD",Eingaben!$B$12,IF(AND(F2887="HEAT",ISNUMBER(Eingaben!$B$13)),Eingaben!$B$13,"")))</f>
        <v>15.0654</v>
      </c>
      <c r="I2887" s="6">
        <f>INDEX(Netzzeiten!$C$6:$C$29,HOUR(B2887)+1)</f>
        <v>1.64</v>
      </c>
      <c r="J2887" t="str">
        <f>IF(C2887="","FEHLT",IF(NOT(ISNUMBER(C2887)),"MESSWERT UNGUELTIG",IF(C2887&lt;0,"MESSWERT UNGUELTIG",IF(H2887="","TARIFPREIS FEHLT","OK"))))</f>
        <v>FEHLT</v>
      </c>
      <c r="K2887" s="7">
        <f>IF(J2887&lt;&gt;"OK","",C2887*I2887/100)</f>
        <v/>
      </c>
    </row>
    <row r="2888" spans="1:11">
      <c r="A2888" s="14">
        <v>46173</v>
      </c>
      <c r="B2888" s="15">
        <v>0.02083333333333333</v>
      </c>
      <c r="C2888" s="5">
        <f>IF('96 Werte'!D36="","",'96 Werte'!D36)</f>
        <v/>
      </c>
      <c r="D2888" t="str">
        <f>IF(IF(Eingaben!$B$21&lt;Eingaben!$B$22,AND(B2888&gt;=Eingaben!$B$21,B2888&lt;Eingaben!$B$22),OR(B2888&gt;=Eingaben!$B$21,B2888&lt;Eingaben!$B$22)),"GO",IF(AND(ISNUMBER(Eingaben!$B$23),ISNUMBER(Eingaben!$B$24),IF(Eingaben!$B$23&lt;Eingaben!$B$24,AND(B2888&gt;=Eingaben!$B$23,B2888&lt;Eingaben!$B$24),OR(B2888&gt;=Eingaben!$B$23,B2888&lt;Eingaben!$B$24))),"HEAT","STANDARD"))</f>
        <v>GO</v>
      </c>
      <c r="E2888" s="9"/>
      <c r="F2888" t="str">
        <f>IF(E2888="",D2888,E2888)</f>
        <v>GO</v>
      </c>
      <c r="G2888" t="str">
        <f>INDEX(Netzzeiten!$B$6:$B$29,HOUR(B2888)+1)</f>
        <v>NT</v>
      </c>
      <c r="H2888" s="6">
        <f>IF(F2888="GO",Eingaben!$B$11,IF(F2888="STANDARD",Eingaben!$B$12,IF(AND(F2888="HEAT",ISNUMBER(Eingaben!$B$13)),Eingaben!$B$13,"")))</f>
        <v>15.0654</v>
      </c>
      <c r="I2888" s="6">
        <f>INDEX(Netzzeiten!$C$6:$C$29,HOUR(B2888)+1)</f>
        <v>1.64</v>
      </c>
      <c r="J2888" t="str">
        <f>IF(C2888="","FEHLT",IF(NOT(ISNUMBER(C2888)),"MESSWERT UNGUELTIG",IF(C2888&lt;0,"MESSWERT UNGUELTIG",IF(H2888="","TARIFPREIS FEHLT","OK"))))</f>
        <v>FEHLT</v>
      </c>
      <c r="K2888" s="7">
        <f>IF(J2888&lt;&gt;"OK","",C2888*I2888/100)</f>
        <v/>
      </c>
    </row>
    <row r="2889" spans="1:11">
      <c r="A2889" s="14">
        <v>46173</v>
      </c>
      <c r="B2889" s="15">
        <v>0.03125</v>
      </c>
      <c r="C2889" s="5">
        <f>IF('96 Werte'!E36="","",'96 Werte'!E36)</f>
        <v/>
      </c>
      <c r="D2889" t="str">
        <f>IF(IF(Eingaben!$B$21&lt;Eingaben!$B$22,AND(B2889&gt;=Eingaben!$B$21,B2889&lt;Eingaben!$B$22),OR(B2889&gt;=Eingaben!$B$21,B2889&lt;Eingaben!$B$22)),"GO",IF(AND(ISNUMBER(Eingaben!$B$23),ISNUMBER(Eingaben!$B$24),IF(Eingaben!$B$23&lt;Eingaben!$B$24,AND(B2889&gt;=Eingaben!$B$23,B2889&lt;Eingaben!$B$24),OR(B2889&gt;=Eingaben!$B$23,B2889&lt;Eingaben!$B$24))),"HEAT","STANDARD"))</f>
        <v>GO</v>
      </c>
      <c r="E2889" s="9"/>
      <c r="F2889" t="str">
        <f>IF(E2889="",D2889,E2889)</f>
        <v>GO</v>
      </c>
      <c r="G2889" t="str">
        <f>INDEX(Netzzeiten!$B$6:$B$29,HOUR(B2889)+1)</f>
        <v>NT</v>
      </c>
      <c r="H2889" s="6">
        <f>IF(F2889="GO",Eingaben!$B$11,IF(F2889="STANDARD",Eingaben!$B$12,IF(AND(F2889="HEAT",ISNUMBER(Eingaben!$B$13)),Eingaben!$B$13,"")))</f>
        <v>15.0654</v>
      </c>
      <c r="I2889" s="6">
        <f>INDEX(Netzzeiten!$C$6:$C$29,HOUR(B2889)+1)</f>
        <v>1.64</v>
      </c>
      <c r="J2889" t="str">
        <f>IF(C2889="","FEHLT",IF(NOT(ISNUMBER(C2889)),"MESSWERT UNGUELTIG",IF(C2889&lt;0,"MESSWERT UNGUELTIG",IF(H2889="","TARIFPREIS FEHLT","OK"))))</f>
        <v>FEHLT</v>
      </c>
      <c r="K2889" s="7">
        <f>IF(J2889&lt;&gt;"OK","",C2889*I2889/100)</f>
        <v/>
      </c>
    </row>
    <row r="2890" spans="1:11">
      <c r="A2890" s="14">
        <v>46173</v>
      </c>
      <c r="B2890" s="15">
        <v>0.04166666666666666</v>
      </c>
      <c r="C2890" s="5">
        <f>IF('96 Werte'!F36="","",'96 Werte'!F36)</f>
        <v/>
      </c>
      <c r="D2890" t="str">
        <f>IF(IF(Eingaben!$B$21&lt;Eingaben!$B$22,AND(B2890&gt;=Eingaben!$B$21,B2890&lt;Eingaben!$B$22),OR(B2890&gt;=Eingaben!$B$21,B2890&lt;Eingaben!$B$22)),"GO",IF(AND(ISNUMBER(Eingaben!$B$23),ISNUMBER(Eingaben!$B$24),IF(Eingaben!$B$23&lt;Eingaben!$B$24,AND(B2890&gt;=Eingaben!$B$23,B2890&lt;Eingaben!$B$24),OR(B2890&gt;=Eingaben!$B$23,B2890&lt;Eingaben!$B$24))),"HEAT","STANDARD"))</f>
        <v>GO</v>
      </c>
      <c r="E2890" s="9"/>
      <c r="F2890" t="str">
        <f>IF(E2890="",D2890,E2890)</f>
        <v>GO</v>
      </c>
      <c r="G2890" t="str">
        <f>INDEX(Netzzeiten!$B$6:$B$29,HOUR(B2890)+1)</f>
        <v>NT</v>
      </c>
      <c r="H2890" s="6">
        <f>IF(F2890="GO",Eingaben!$B$11,IF(F2890="STANDARD",Eingaben!$B$12,IF(AND(F2890="HEAT",ISNUMBER(Eingaben!$B$13)),Eingaben!$B$13,"")))</f>
        <v>15.0654</v>
      </c>
      <c r="I2890" s="6">
        <f>INDEX(Netzzeiten!$C$6:$C$29,HOUR(B2890)+1)</f>
        <v>1.64</v>
      </c>
      <c r="J2890" t="str">
        <f>IF(C2890="","FEHLT",IF(NOT(ISNUMBER(C2890)),"MESSWERT UNGUELTIG",IF(C2890&lt;0,"MESSWERT UNGUELTIG",IF(H2890="","TARIFPREIS FEHLT","OK"))))</f>
        <v>FEHLT</v>
      </c>
      <c r="K2890" s="7">
        <f>IF(J2890&lt;&gt;"OK","",C2890*I2890/100)</f>
        <v/>
      </c>
    </row>
    <row r="2891" spans="1:11">
      <c r="A2891" s="14">
        <v>46173</v>
      </c>
      <c r="B2891" s="15">
        <v>0.05208333333333334</v>
      </c>
      <c r="C2891" s="5">
        <f>IF('96 Werte'!G36="","",'96 Werte'!G36)</f>
        <v/>
      </c>
      <c r="D2891" t="str">
        <f>IF(IF(Eingaben!$B$21&lt;Eingaben!$B$22,AND(B2891&gt;=Eingaben!$B$21,B2891&lt;Eingaben!$B$22),OR(B2891&gt;=Eingaben!$B$21,B2891&lt;Eingaben!$B$22)),"GO",IF(AND(ISNUMBER(Eingaben!$B$23),ISNUMBER(Eingaben!$B$24),IF(Eingaben!$B$23&lt;Eingaben!$B$24,AND(B2891&gt;=Eingaben!$B$23,B2891&lt;Eingaben!$B$24),OR(B2891&gt;=Eingaben!$B$23,B2891&lt;Eingaben!$B$24))),"HEAT","STANDARD"))</f>
        <v>GO</v>
      </c>
      <c r="E2891" s="9"/>
      <c r="F2891" t="str">
        <f>IF(E2891="",D2891,E2891)</f>
        <v>GO</v>
      </c>
      <c r="G2891" t="str">
        <f>INDEX(Netzzeiten!$B$6:$B$29,HOUR(B2891)+1)</f>
        <v>NT</v>
      </c>
      <c r="H2891" s="6">
        <f>IF(F2891="GO",Eingaben!$B$11,IF(F2891="STANDARD",Eingaben!$B$12,IF(AND(F2891="HEAT",ISNUMBER(Eingaben!$B$13)),Eingaben!$B$13,"")))</f>
        <v>15.0654</v>
      </c>
      <c r="I2891" s="6">
        <f>INDEX(Netzzeiten!$C$6:$C$29,HOUR(B2891)+1)</f>
        <v>1.64</v>
      </c>
      <c r="J2891" t="str">
        <f>IF(C2891="","FEHLT",IF(NOT(ISNUMBER(C2891)),"MESSWERT UNGUELTIG",IF(C2891&lt;0,"MESSWERT UNGUELTIG",IF(H2891="","TARIFPREIS FEHLT","OK"))))</f>
        <v>FEHLT</v>
      </c>
      <c r="K2891" s="7">
        <f>IF(J2891&lt;&gt;"OK","",C2891*I2891/100)</f>
        <v/>
      </c>
    </row>
    <row r="2892" spans="1:11">
      <c r="A2892" s="14">
        <v>46173</v>
      </c>
      <c r="B2892" s="15">
        <v>0.0625</v>
      </c>
      <c r="C2892" s="5">
        <f>IF('96 Werte'!H36="","",'96 Werte'!H36)</f>
        <v/>
      </c>
      <c r="D2892" t="str">
        <f>IF(IF(Eingaben!$B$21&lt;Eingaben!$B$22,AND(B2892&gt;=Eingaben!$B$21,B2892&lt;Eingaben!$B$22),OR(B2892&gt;=Eingaben!$B$21,B2892&lt;Eingaben!$B$22)),"GO",IF(AND(ISNUMBER(Eingaben!$B$23),ISNUMBER(Eingaben!$B$24),IF(Eingaben!$B$23&lt;Eingaben!$B$24,AND(B2892&gt;=Eingaben!$B$23,B2892&lt;Eingaben!$B$24),OR(B2892&gt;=Eingaben!$B$23,B2892&lt;Eingaben!$B$24))),"HEAT","STANDARD"))</f>
        <v>GO</v>
      </c>
      <c r="E2892" s="9"/>
      <c r="F2892" t="str">
        <f>IF(E2892="",D2892,E2892)</f>
        <v>GO</v>
      </c>
      <c r="G2892" t="str">
        <f>INDEX(Netzzeiten!$B$6:$B$29,HOUR(B2892)+1)</f>
        <v>NT</v>
      </c>
      <c r="H2892" s="6">
        <f>IF(F2892="GO",Eingaben!$B$11,IF(F2892="STANDARD",Eingaben!$B$12,IF(AND(F2892="HEAT",ISNUMBER(Eingaben!$B$13)),Eingaben!$B$13,"")))</f>
        <v>15.0654</v>
      </c>
      <c r="I2892" s="6">
        <f>INDEX(Netzzeiten!$C$6:$C$29,HOUR(B2892)+1)</f>
        <v>1.64</v>
      </c>
      <c r="J2892" t="str">
        <f>IF(C2892="","FEHLT",IF(NOT(ISNUMBER(C2892)),"MESSWERT UNGUELTIG",IF(C2892&lt;0,"MESSWERT UNGUELTIG",IF(H2892="","TARIFPREIS FEHLT","OK"))))</f>
        <v>FEHLT</v>
      </c>
      <c r="K2892" s="7">
        <f>IF(J2892&lt;&gt;"OK","",C2892*I2892/100)</f>
        <v/>
      </c>
    </row>
    <row r="2893" spans="1:11">
      <c r="A2893" s="14">
        <v>46173</v>
      </c>
      <c r="B2893" s="15">
        <v>0.07291666666666667</v>
      </c>
      <c r="C2893" s="5">
        <f>IF('96 Werte'!I36="","",'96 Werte'!I36)</f>
        <v/>
      </c>
      <c r="D2893" t="str">
        <f>IF(IF(Eingaben!$B$21&lt;Eingaben!$B$22,AND(B2893&gt;=Eingaben!$B$21,B2893&lt;Eingaben!$B$22),OR(B2893&gt;=Eingaben!$B$21,B2893&lt;Eingaben!$B$22)),"GO",IF(AND(ISNUMBER(Eingaben!$B$23),ISNUMBER(Eingaben!$B$24),IF(Eingaben!$B$23&lt;Eingaben!$B$24,AND(B2893&gt;=Eingaben!$B$23,B2893&lt;Eingaben!$B$24),OR(B2893&gt;=Eingaben!$B$23,B2893&lt;Eingaben!$B$24))),"HEAT","STANDARD"))</f>
        <v>GO</v>
      </c>
      <c r="E2893" s="9"/>
      <c r="F2893" t="str">
        <f>IF(E2893="",D2893,E2893)</f>
        <v>GO</v>
      </c>
      <c r="G2893" t="str">
        <f>INDEX(Netzzeiten!$B$6:$B$29,HOUR(B2893)+1)</f>
        <v>NT</v>
      </c>
      <c r="H2893" s="6">
        <f>IF(F2893="GO",Eingaben!$B$11,IF(F2893="STANDARD",Eingaben!$B$12,IF(AND(F2893="HEAT",ISNUMBER(Eingaben!$B$13)),Eingaben!$B$13,"")))</f>
        <v>15.0654</v>
      </c>
      <c r="I2893" s="6">
        <f>INDEX(Netzzeiten!$C$6:$C$29,HOUR(B2893)+1)</f>
        <v>1.64</v>
      </c>
      <c r="J2893" t="str">
        <f>IF(C2893="","FEHLT",IF(NOT(ISNUMBER(C2893)),"MESSWERT UNGUELTIG",IF(C2893&lt;0,"MESSWERT UNGUELTIG",IF(H2893="","TARIFPREIS FEHLT","OK"))))</f>
        <v>FEHLT</v>
      </c>
      <c r="K2893" s="7">
        <f>IF(J2893&lt;&gt;"OK","",C2893*I2893/100)</f>
        <v/>
      </c>
    </row>
    <row r="2894" spans="1:11">
      <c r="A2894" s="14">
        <v>46173</v>
      </c>
      <c r="B2894" s="15">
        <v>0.08333333333333333</v>
      </c>
      <c r="C2894" s="5">
        <f>IF('96 Werte'!J36="","",'96 Werte'!J36)</f>
        <v/>
      </c>
      <c r="D2894" t="str">
        <f>IF(IF(Eingaben!$B$21&lt;Eingaben!$B$22,AND(B2894&gt;=Eingaben!$B$21,B2894&lt;Eingaben!$B$22),OR(B2894&gt;=Eingaben!$B$21,B2894&lt;Eingaben!$B$22)),"GO",IF(AND(ISNUMBER(Eingaben!$B$23),ISNUMBER(Eingaben!$B$24),IF(Eingaben!$B$23&lt;Eingaben!$B$24,AND(B2894&gt;=Eingaben!$B$23,B2894&lt;Eingaben!$B$24),OR(B2894&gt;=Eingaben!$B$23,B2894&lt;Eingaben!$B$24))),"HEAT","STANDARD"))</f>
        <v>GO</v>
      </c>
      <c r="E2894" s="9"/>
      <c r="F2894" t="str">
        <f>IF(E2894="",D2894,E2894)</f>
        <v>GO</v>
      </c>
      <c r="G2894" t="str">
        <f>INDEX(Netzzeiten!$B$6:$B$29,HOUR(B2894)+1)</f>
        <v>NT</v>
      </c>
      <c r="H2894" s="6">
        <f>IF(F2894="GO",Eingaben!$B$11,IF(F2894="STANDARD",Eingaben!$B$12,IF(AND(F2894="HEAT",ISNUMBER(Eingaben!$B$13)),Eingaben!$B$13,"")))</f>
        <v>15.0654</v>
      </c>
      <c r="I2894" s="6">
        <f>INDEX(Netzzeiten!$C$6:$C$29,HOUR(B2894)+1)</f>
        <v>1.64</v>
      </c>
      <c r="J2894" t="str">
        <f>IF(C2894="","FEHLT",IF(NOT(ISNUMBER(C2894)),"MESSWERT UNGUELTIG",IF(C2894&lt;0,"MESSWERT UNGUELTIG",IF(H2894="","TARIFPREIS FEHLT","OK"))))</f>
        <v>FEHLT</v>
      </c>
      <c r="K2894" s="7">
        <f>IF(J2894&lt;&gt;"OK","",C2894*I2894/100)</f>
        <v/>
      </c>
    </row>
    <row r="2895" spans="1:11">
      <c r="A2895" s="14">
        <v>46173</v>
      </c>
      <c r="B2895" s="15">
        <v>0.09375</v>
      </c>
      <c r="C2895" s="5">
        <f>IF('96 Werte'!K36="","",'96 Werte'!K36)</f>
        <v/>
      </c>
      <c r="D2895" t="str">
        <f>IF(IF(Eingaben!$B$21&lt;Eingaben!$B$22,AND(B2895&gt;=Eingaben!$B$21,B2895&lt;Eingaben!$B$22),OR(B2895&gt;=Eingaben!$B$21,B2895&lt;Eingaben!$B$22)),"GO",IF(AND(ISNUMBER(Eingaben!$B$23),ISNUMBER(Eingaben!$B$24),IF(Eingaben!$B$23&lt;Eingaben!$B$24,AND(B2895&gt;=Eingaben!$B$23,B2895&lt;Eingaben!$B$24),OR(B2895&gt;=Eingaben!$B$23,B2895&lt;Eingaben!$B$24))),"HEAT","STANDARD"))</f>
        <v>GO</v>
      </c>
      <c r="E2895" s="9"/>
      <c r="F2895" t="str">
        <f>IF(E2895="",D2895,E2895)</f>
        <v>GO</v>
      </c>
      <c r="G2895" t="str">
        <f>INDEX(Netzzeiten!$B$6:$B$29,HOUR(B2895)+1)</f>
        <v>NT</v>
      </c>
      <c r="H2895" s="6">
        <f>IF(F2895="GO",Eingaben!$B$11,IF(F2895="STANDARD",Eingaben!$B$12,IF(AND(F2895="HEAT",ISNUMBER(Eingaben!$B$13)),Eingaben!$B$13,"")))</f>
        <v>15.0654</v>
      </c>
      <c r="I2895" s="6">
        <f>INDEX(Netzzeiten!$C$6:$C$29,HOUR(B2895)+1)</f>
        <v>1.64</v>
      </c>
      <c r="J2895" t="str">
        <f>IF(C2895="","FEHLT",IF(NOT(ISNUMBER(C2895)),"MESSWERT UNGUELTIG",IF(C2895&lt;0,"MESSWERT UNGUELTIG",IF(H2895="","TARIFPREIS FEHLT","OK"))))</f>
        <v>FEHLT</v>
      </c>
      <c r="K2895" s="7">
        <f>IF(J2895&lt;&gt;"OK","",C2895*I2895/100)</f>
        <v/>
      </c>
    </row>
    <row r="2896" spans="1:11">
      <c r="A2896" s="14">
        <v>46173</v>
      </c>
      <c r="B2896" s="15">
        <v>0.1041666666666667</v>
      </c>
      <c r="C2896" s="5">
        <f>IF('96 Werte'!L36="","",'96 Werte'!L36)</f>
        <v/>
      </c>
      <c r="D2896" t="str">
        <f>IF(IF(Eingaben!$B$21&lt;Eingaben!$B$22,AND(B2896&gt;=Eingaben!$B$21,B2896&lt;Eingaben!$B$22),OR(B2896&gt;=Eingaben!$B$21,B2896&lt;Eingaben!$B$22)),"GO",IF(AND(ISNUMBER(Eingaben!$B$23),ISNUMBER(Eingaben!$B$24),IF(Eingaben!$B$23&lt;Eingaben!$B$24,AND(B2896&gt;=Eingaben!$B$23,B2896&lt;Eingaben!$B$24),OR(B2896&gt;=Eingaben!$B$23,B2896&lt;Eingaben!$B$24))),"HEAT","STANDARD"))</f>
        <v>GO</v>
      </c>
      <c r="E2896" s="9"/>
      <c r="F2896" t="str">
        <f>IF(E2896="",D2896,E2896)</f>
        <v>GO</v>
      </c>
      <c r="G2896" t="str">
        <f>INDEX(Netzzeiten!$B$6:$B$29,HOUR(B2896)+1)</f>
        <v>NT</v>
      </c>
      <c r="H2896" s="6">
        <f>IF(F2896="GO",Eingaben!$B$11,IF(F2896="STANDARD",Eingaben!$B$12,IF(AND(F2896="HEAT",ISNUMBER(Eingaben!$B$13)),Eingaben!$B$13,"")))</f>
        <v>15.0654</v>
      </c>
      <c r="I2896" s="6">
        <f>INDEX(Netzzeiten!$C$6:$C$29,HOUR(B2896)+1)</f>
        <v>1.64</v>
      </c>
      <c r="J2896" t="str">
        <f>IF(C2896="","FEHLT",IF(NOT(ISNUMBER(C2896)),"MESSWERT UNGUELTIG",IF(C2896&lt;0,"MESSWERT UNGUELTIG",IF(H2896="","TARIFPREIS FEHLT","OK"))))</f>
        <v>FEHLT</v>
      </c>
      <c r="K2896" s="7">
        <f>IF(J2896&lt;&gt;"OK","",C2896*I2896/100)</f>
        <v/>
      </c>
    </row>
    <row r="2897" spans="1:11">
      <c r="A2897" s="14">
        <v>46173</v>
      </c>
      <c r="B2897" s="15">
        <v>0.1145833333333333</v>
      </c>
      <c r="C2897" s="5">
        <f>IF('96 Werte'!M36="","",'96 Werte'!M36)</f>
        <v/>
      </c>
      <c r="D2897" t="str">
        <f>IF(IF(Eingaben!$B$21&lt;Eingaben!$B$22,AND(B2897&gt;=Eingaben!$B$21,B2897&lt;Eingaben!$B$22),OR(B2897&gt;=Eingaben!$B$21,B2897&lt;Eingaben!$B$22)),"GO",IF(AND(ISNUMBER(Eingaben!$B$23),ISNUMBER(Eingaben!$B$24),IF(Eingaben!$B$23&lt;Eingaben!$B$24,AND(B2897&gt;=Eingaben!$B$23,B2897&lt;Eingaben!$B$24),OR(B2897&gt;=Eingaben!$B$23,B2897&lt;Eingaben!$B$24))),"HEAT","STANDARD"))</f>
        <v>GO</v>
      </c>
      <c r="E2897" s="9"/>
      <c r="F2897" t="str">
        <f>IF(E2897="",D2897,E2897)</f>
        <v>GO</v>
      </c>
      <c r="G2897" t="str">
        <f>INDEX(Netzzeiten!$B$6:$B$29,HOUR(B2897)+1)</f>
        <v>NT</v>
      </c>
      <c r="H2897" s="6">
        <f>IF(F2897="GO",Eingaben!$B$11,IF(F2897="STANDARD",Eingaben!$B$12,IF(AND(F2897="HEAT",ISNUMBER(Eingaben!$B$13)),Eingaben!$B$13,"")))</f>
        <v>15.0654</v>
      </c>
      <c r="I2897" s="6">
        <f>INDEX(Netzzeiten!$C$6:$C$29,HOUR(B2897)+1)</f>
        <v>1.64</v>
      </c>
      <c r="J2897" t="str">
        <f>IF(C2897="","FEHLT",IF(NOT(ISNUMBER(C2897)),"MESSWERT UNGUELTIG",IF(C2897&lt;0,"MESSWERT UNGUELTIG",IF(H2897="","TARIFPREIS FEHLT","OK"))))</f>
        <v>FEHLT</v>
      </c>
      <c r="K2897" s="7">
        <f>IF(J2897&lt;&gt;"OK","",C2897*I2897/100)</f>
        <v/>
      </c>
    </row>
    <row r="2898" spans="1:11">
      <c r="A2898" s="14">
        <v>46173</v>
      </c>
      <c r="B2898" s="15">
        <v>0.125</v>
      </c>
      <c r="C2898" s="5">
        <f>IF('96 Werte'!N36="","",'96 Werte'!N36)</f>
        <v/>
      </c>
      <c r="D2898" t="str">
        <f>IF(IF(Eingaben!$B$21&lt;Eingaben!$B$22,AND(B2898&gt;=Eingaben!$B$21,B2898&lt;Eingaben!$B$22),OR(B2898&gt;=Eingaben!$B$21,B2898&lt;Eingaben!$B$22)),"GO",IF(AND(ISNUMBER(Eingaben!$B$23),ISNUMBER(Eingaben!$B$24),IF(Eingaben!$B$23&lt;Eingaben!$B$24,AND(B2898&gt;=Eingaben!$B$23,B2898&lt;Eingaben!$B$24),OR(B2898&gt;=Eingaben!$B$23,B2898&lt;Eingaben!$B$24))),"HEAT","STANDARD"))</f>
        <v>GO</v>
      </c>
      <c r="E2898" s="9"/>
      <c r="F2898" t="str">
        <f>IF(E2898="",D2898,E2898)</f>
        <v>GO</v>
      </c>
      <c r="G2898" t="str">
        <f>INDEX(Netzzeiten!$B$6:$B$29,HOUR(B2898)+1)</f>
        <v>NT</v>
      </c>
      <c r="H2898" s="6">
        <f>IF(F2898="GO",Eingaben!$B$11,IF(F2898="STANDARD",Eingaben!$B$12,IF(AND(F2898="HEAT",ISNUMBER(Eingaben!$B$13)),Eingaben!$B$13,"")))</f>
        <v>15.0654</v>
      </c>
      <c r="I2898" s="6">
        <f>INDEX(Netzzeiten!$C$6:$C$29,HOUR(B2898)+1)</f>
        <v>1.64</v>
      </c>
      <c r="J2898" t="str">
        <f>IF(C2898="","FEHLT",IF(NOT(ISNUMBER(C2898)),"MESSWERT UNGUELTIG",IF(C2898&lt;0,"MESSWERT UNGUELTIG",IF(H2898="","TARIFPREIS FEHLT","OK"))))</f>
        <v>FEHLT</v>
      </c>
      <c r="K2898" s="7">
        <f>IF(J2898&lt;&gt;"OK","",C2898*I2898/100)</f>
        <v/>
      </c>
    </row>
    <row r="2899" spans="1:11">
      <c r="A2899" s="14">
        <v>46173</v>
      </c>
      <c r="B2899" s="15">
        <v>0.1354166666666667</v>
      </c>
      <c r="C2899" s="5">
        <f>IF('96 Werte'!O36="","",'96 Werte'!O36)</f>
        <v/>
      </c>
      <c r="D2899" t="str">
        <f>IF(IF(Eingaben!$B$21&lt;Eingaben!$B$22,AND(B2899&gt;=Eingaben!$B$21,B2899&lt;Eingaben!$B$22),OR(B2899&gt;=Eingaben!$B$21,B2899&lt;Eingaben!$B$22)),"GO",IF(AND(ISNUMBER(Eingaben!$B$23),ISNUMBER(Eingaben!$B$24),IF(Eingaben!$B$23&lt;Eingaben!$B$24,AND(B2899&gt;=Eingaben!$B$23,B2899&lt;Eingaben!$B$24),OR(B2899&gt;=Eingaben!$B$23,B2899&lt;Eingaben!$B$24))),"HEAT","STANDARD"))</f>
        <v>GO</v>
      </c>
      <c r="E2899" s="9"/>
      <c r="F2899" t="str">
        <f>IF(E2899="",D2899,E2899)</f>
        <v>GO</v>
      </c>
      <c r="G2899" t="str">
        <f>INDEX(Netzzeiten!$B$6:$B$29,HOUR(B2899)+1)</f>
        <v>NT</v>
      </c>
      <c r="H2899" s="6">
        <f>IF(F2899="GO",Eingaben!$B$11,IF(F2899="STANDARD",Eingaben!$B$12,IF(AND(F2899="HEAT",ISNUMBER(Eingaben!$B$13)),Eingaben!$B$13,"")))</f>
        <v>15.0654</v>
      </c>
      <c r="I2899" s="6">
        <f>INDEX(Netzzeiten!$C$6:$C$29,HOUR(B2899)+1)</f>
        <v>1.64</v>
      </c>
      <c r="J2899" t="str">
        <f>IF(C2899="","FEHLT",IF(NOT(ISNUMBER(C2899)),"MESSWERT UNGUELTIG",IF(C2899&lt;0,"MESSWERT UNGUELTIG",IF(H2899="","TARIFPREIS FEHLT","OK"))))</f>
        <v>FEHLT</v>
      </c>
      <c r="K2899" s="7">
        <f>IF(J2899&lt;&gt;"OK","",C2899*I2899/100)</f>
        <v/>
      </c>
    </row>
    <row r="2900" spans="1:11">
      <c r="A2900" s="14">
        <v>46173</v>
      </c>
      <c r="B2900" s="15">
        <v>0.1458333333333333</v>
      </c>
      <c r="C2900" s="5">
        <f>IF('96 Werte'!P36="","",'96 Werte'!P36)</f>
        <v/>
      </c>
      <c r="D2900" t="str">
        <f>IF(IF(Eingaben!$B$21&lt;Eingaben!$B$22,AND(B2900&gt;=Eingaben!$B$21,B2900&lt;Eingaben!$B$22),OR(B2900&gt;=Eingaben!$B$21,B2900&lt;Eingaben!$B$22)),"GO",IF(AND(ISNUMBER(Eingaben!$B$23),ISNUMBER(Eingaben!$B$24),IF(Eingaben!$B$23&lt;Eingaben!$B$24,AND(B2900&gt;=Eingaben!$B$23,B2900&lt;Eingaben!$B$24),OR(B2900&gt;=Eingaben!$B$23,B2900&lt;Eingaben!$B$24))),"HEAT","STANDARD"))</f>
        <v>GO</v>
      </c>
      <c r="E2900" s="9"/>
      <c r="F2900" t="str">
        <f>IF(E2900="",D2900,E2900)</f>
        <v>GO</v>
      </c>
      <c r="G2900" t="str">
        <f>INDEX(Netzzeiten!$B$6:$B$29,HOUR(B2900)+1)</f>
        <v>NT</v>
      </c>
      <c r="H2900" s="6">
        <f>IF(F2900="GO",Eingaben!$B$11,IF(F2900="STANDARD",Eingaben!$B$12,IF(AND(F2900="HEAT",ISNUMBER(Eingaben!$B$13)),Eingaben!$B$13,"")))</f>
        <v>15.0654</v>
      </c>
      <c r="I2900" s="6">
        <f>INDEX(Netzzeiten!$C$6:$C$29,HOUR(B2900)+1)</f>
        <v>1.64</v>
      </c>
      <c r="J2900" t="str">
        <f>IF(C2900="","FEHLT",IF(NOT(ISNUMBER(C2900)),"MESSWERT UNGUELTIG",IF(C2900&lt;0,"MESSWERT UNGUELTIG",IF(H2900="","TARIFPREIS FEHLT","OK"))))</f>
        <v>FEHLT</v>
      </c>
      <c r="K2900" s="7">
        <f>IF(J2900&lt;&gt;"OK","",C2900*I2900/100)</f>
        <v/>
      </c>
    </row>
    <row r="2901" spans="1:11">
      <c r="A2901" s="14">
        <v>46173</v>
      </c>
      <c r="B2901" s="15">
        <v>0.15625</v>
      </c>
      <c r="C2901" s="5">
        <f>IF('96 Werte'!Q36="","",'96 Werte'!Q36)</f>
        <v/>
      </c>
      <c r="D2901" t="str">
        <f>IF(IF(Eingaben!$B$21&lt;Eingaben!$B$22,AND(B2901&gt;=Eingaben!$B$21,B2901&lt;Eingaben!$B$22),OR(B2901&gt;=Eingaben!$B$21,B2901&lt;Eingaben!$B$22)),"GO",IF(AND(ISNUMBER(Eingaben!$B$23),ISNUMBER(Eingaben!$B$24),IF(Eingaben!$B$23&lt;Eingaben!$B$24,AND(B2901&gt;=Eingaben!$B$23,B2901&lt;Eingaben!$B$24),OR(B2901&gt;=Eingaben!$B$23,B2901&lt;Eingaben!$B$24))),"HEAT","STANDARD"))</f>
        <v>GO</v>
      </c>
      <c r="E2901" s="9"/>
      <c r="F2901" t="str">
        <f>IF(E2901="",D2901,E2901)</f>
        <v>GO</v>
      </c>
      <c r="G2901" t="str">
        <f>INDEX(Netzzeiten!$B$6:$B$29,HOUR(B2901)+1)</f>
        <v>NT</v>
      </c>
      <c r="H2901" s="6">
        <f>IF(F2901="GO",Eingaben!$B$11,IF(F2901="STANDARD",Eingaben!$B$12,IF(AND(F2901="HEAT",ISNUMBER(Eingaben!$B$13)),Eingaben!$B$13,"")))</f>
        <v>15.0654</v>
      </c>
      <c r="I2901" s="6">
        <f>INDEX(Netzzeiten!$C$6:$C$29,HOUR(B2901)+1)</f>
        <v>1.64</v>
      </c>
      <c r="J2901" t="str">
        <f>IF(C2901="","FEHLT",IF(NOT(ISNUMBER(C2901)),"MESSWERT UNGUELTIG",IF(C2901&lt;0,"MESSWERT UNGUELTIG",IF(H2901="","TARIFPREIS FEHLT","OK"))))</f>
        <v>FEHLT</v>
      </c>
      <c r="K2901" s="7">
        <f>IF(J2901&lt;&gt;"OK","",C2901*I2901/100)</f>
        <v/>
      </c>
    </row>
    <row r="2902" spans="1:11">
      <c r="A2902" s="14">
        <v>46173</v>
      </c>
      <c r="B2902" s="15">
        <v>0.1666666666666667</v>
      </c>
      <c r="C2902" s="5">
        <f>IF('96 Werte'!R36="","",'96 Werte'!R36)</f>
        <v/>
      </c>
      <c r="D2902" t="str">
        <f>IF(IF(Eingaben!$B$21&lt;Eingaben!$B$22,AND(B2902&gt;=Eingaben!$B$21,B2902&lt;Eingaben!$B$22),OR(B2902&gt;=Eingaben!$B$21,B2902&lt;Eingaben!$B$22)),"GO",IF(AND(ISNUMBER(Eingaben!$B$23),ISNUMBER(Eingaben!$B$24),IF(Eingaben!$B$23&lt;Eingaben!$B$24,AND(B2902&gt;=Eingaben!$B$23,B2902&lt;Eingaben!$B$24),OR(B2902&gt;=Eingaben!$B$23,B2902&lt;Eingaben!$B$24))),"HEAT","STANDARD"))</f>
        <v>GO</v>
      </c>
      <c r="E2902" s="9"/>
      <c r="F2902" t="str">
        <f>IF(E2902="",D2902,E2902)</f>
        <v>GO</v>
      </c>
      <c r="G2902" t="str">
        <f>INDEX(Netzzeiten!$B$6:$B$29,HOUR(B2902)+1)</f>
        <v>NT</v>
      </c>
      <c r="H2902" s="6">
        <f>IF(F2902="GO",Eingaben!$B$11,IF(F2902="STANDARD",Eingaben!$B$12,IF(AND(F2902="HEAT",ISNUMBER(Eingaben!$B$13)),Eingaben!$B$13,"")))</f>
        <v>15.0654</v>
      </c>
      <c r="I2902" s="6">
        <f>INDEX(Netzzeiten!$C$6:$C$29,HOUR(B2902)+1)</f>
        <v>1.64</v>
      </c>
      <c r="J2902" t="str">
        <f>IF(C2902="","FEHLT",IF(NOT(ISNUMBER(C2902)),"MESSWERT UNGUELTIG",IF(C2902&lt;0,"MESSWERT UNGUELTIG",IF(H2902="","TARIFPREIS FEHLT","OK"))))</f>
        <v>FEHLT</v>
      </c>
      <c r="K2902" s="7">
        <f>IF(J2902&lt;&gt;"OK","",C2902*I2902/100)</f>
        <v/>
      </c>
    </row>
    <row r="2903" spans="1:11">
      <c r="A2903" s="14">
        <v>46173</v>
      </c>
      <c r="B2903" s="15">
        <v>0.1770833333333333</v>
      </c>
      <c r="C2903" s="5">
        <f>IF('96 Werte'!S36="","",'96 Werte'!S36)</f>
        <v/>
      </c>
      <c r="D2903" t="str">
        <f>IF(IF(Eingaben!$B$21&lt;Eingaben!$B$22,AND(B2903&gt;=Eingaben!$B$21,B2903&lt;Eingaben!$B$22),OR(B2903&gt;=Eingaben!$B$21,B2903&lt;Eingaben!$B$22)),"GO",IF(AND(ISNUMBER(Eingaben!$B$23),ISNUMBER(Eingaben!$B$24),IF(Eingaben!$B$23&lt;Eingaben!$B$24,AND(B2903&gt;=Eingaben!$B$23,B2903&lt;Eingaben!$B$24),OR(B2903&gt;=Eingaben!$B$23,B2903&lt;Eingaben!$B$24))),"HEAT","STANDARD"))</f>
        <v>GO</v>
      </c>
      <c r="E2903" s="9"/>
      <c r="F2903" t="str">
        <f>IF(E2903="",D2903,E2903)</f>
        <v>GO</v>
      </c>
      <c r="G2903" t="str">
        <f>INDEX(Netzzeiten!$B$6:$B$29,HOUR(B2903)+1)</f>
        <v>NT</v>
      </c>
      <c r="H2903" s="6">
        <f>IF(F2903="GO",Eingaben!$B$11,IF(F2903="STANDARD",Eingaben!$B$12,IF(AND(F2903="HEAT",ISNUMBER(Eingaben!$B$13)),Eingaben!$B$13,"")))</f>
        <v>15.0654</v>
      </c>
      <c r="I2903" s="6">
        <f>INDEX(Netzzeiten!$C$6:$C$29,HOUR(B2903)+1)</f>
        <v>1.64</v>
      </c>
      <c r="J2903" t="str">
        <f>IF(C2903="","FEHLT",IF(NOT(ISNUMBER(C2903)),"MESSWERT UNGUELTIG",IF(C2903&lt;0,"MESSWERT UNGUELTIG",IF(H2903="","TARIFPREIS FEHLT","OK"))))</f>
        <v>FEHLT</v>
      </c>
      <c r="K2903" s="7">
        <f>IF(J2903&lt;&gt;"OK","",C2903*I2903/100)</f>
        <v/>
      </c>
    </row>
    <row r="2904" spans="1:11">
      <c r="A2904" s="14">
        <v>46173</v>
      </c>
      <c r="B2904" s="15">
        <v>0.1875</v>
      </c>
      <c r="C2904" s="5">
        <f>IF('96 Werte'!T36="","",'96 Werte'!T36)</f>
        <v/>
      </c>
      <c r="D2904" t="str">
        <f>IF(IF(Eingaben!$B$21&lt;Eingaben!$B$22,AND(B2904&gt;=Eingaben!$B$21,B2904&lt;Eingaben!$B$22),OR(B2904&gt;=Eingaben!$B$21,B2904&lt;Eingaben!$B$22)),"GO",IF(AND(ISNUMBER(Eingaben!$B$23),ISNUMBER(Eingaben!$B$24),IF(Eingaben!$B$23&lt;Eingaben!$B$24,AND(B2904&gt;=Eingaben!$B$23,B2904&lt;Eingaben!$B$24),OR(B2904&gt;=Eingaben!$B$23,B2904&lt;Eingaben!$B$24))),"HEAT","STANDARD"))</f>
        <v>GO</v>
      </c>
      <c r="E2904" s="9"/>
      <c r="F2904" t="str">
        <f>IF(E2904="",D2904,E2904)</f>
        <v>GO</v>
      </c>
      <c r="G2904" t="str">
        <f>INDEX(Netzzeiten!$B$6:$B$29,HOUR(B2904)+1)</f>
        <v>NT</v>
      </c>
      <c r="H2904" s="6">
        <f>IF(F2904="GO",Eingaben!$B$11,IF(F2904="STANDARD",Eingaben!$B$12,IF(AND(F2904="HEAT",ISNUMBER(Eingaben!$B$13)),Eingaben!$B$13,"")))</f>
        <v>15.0654</v>
      </c>
      <c r="I2904" s="6">
        <f>INDEX(Netzzeiten!$C$6:$C$29,HOUR(B2904)+1)</f>
        <v>1.64</v>
      </c>
      <c r="J2904" t="str">
        <f>IF(C2904="","FEHLT",IF(NOT(ISNUMBER(C2904)),"MESSWERT UNGUELTIG",IF(C2904&lt;0,"MESSWERT UNGUELTIG",IF(H2904="","TARIFPREIS FEHLT","OK"))))</f>
        <v>FEHLT</v>
      </c>
      <c r="K2904" s="7">
        <f>IF(J2904&lt;&gt;"OK","",C2904*I2904/100)</f>
        <v/>
      </c>
    </row>
    <row r="2905" spans="1:11">
      <c r="A2905" s="14">
        <v>46173</v>
      </c>
      <c r="B2905" s="15">
        <v>0.1979166666666667</v>
      </c>
      <c r="C2905" s="5">
        <f>IF('96 Werte'!U36="","",'96 Werte'!U36)</f>
        <v/>
      </c>
      <c r="D2905" t="str">
        <f>IF(IF(Eingaben!$B$21&lt;Eingaben!$B$22,AND(B2905&gt;=Eingaben!$B$21,B2905&lt;Eingaben!$B$22),OR(B2905&gt;=Eingaben!$B$21,B2905&lt;Eingaben!$B$22)),"GO",IF(AND(ISNUMBER(Eingaben!$B$23),ISNUMBER(Eingaben!$B$24),IF(Eingaben!$B$23&lt;Eingaben!$B$24,AND(B2905&gt;=Eingaben!$B$23,B2905&lt;Eingaben!$B$24),OR(B2905&gt;=Eingaben!$B$23,B2905&lt;Eingaben!$B$24))),"HEAT","STANDARD"))</f>
        <v>GO</v>
      </c>
      <c r="E2905" s="9"/>
      <c r="F2905" t="str">
        <f>IF(E2905="",D2905,E2905)</f>
        <v>GO</v>
      </c>
      <c r="G2905" t="str">
        <f>INDEX(Netzzeiten!$B$6:$B$29,HOUR(B2905)+1)</f>
        <v>NT</v>
      </c>
      <c r="H2905" s="6">
        <f>IF(F2905="GO",Eingaben!$B$11,IF(F2905="STANDARD",Eingaben!$B$12,IF(AND(F2905="HEAT",ISNUMBER(Eingaben!$B$13)),Eingaben!$B$13,"")))</f>
        <v>15.0654</v>
      </c>
      <c r="I2905" s="6">
        <f>INDEX(Netzzeiten!$C$6:$C$29,HOUR(B2905)+1)</f>
        <v>1.64</v>
      </c>
      <c r="J2905" t="str">
        <f>IF(C2905="","FEHLT",IF(NOT(ISNUMBER(C2905)),"MESSWERT UNGUELTIG",IF(C2905&lt;0,"MESSWERT UNGUELTIG",IF(H2905="","TARIFPREIS FEHLT","OK"))))</f>
        <v>FEHLT</v>
      </c>
      <c r="K2905" s="7">
        <f>IF(J2905&lt;&gt;"OK","",C2905*I2905/100)</f>
        <v/>
      </c>
    </row>
    <row r="2906" spans="1:11">
      <c r="A2906" s="14">
        <v>46173</v>
      </c>
      <c r="B2906" s="15">
        <v>0.2083333333333333</v>
      </c>
      <c r="C2906" s="5">
        <f>IF('96 Werte'!V36="","",'96 Werte'!V36)</f>
        <v/>
      </c>
      <c r="D2906" t="str">
        <f>IF(IF(Eingaben!$B$21&lt;Eingaben!$B$22,AND(B2906&gt;=Eingaben!$B$21,B2906&lt;Eingaben!$B$22),OR(B2906&gt;=Eingaben!$B$21,B2906&lt;Eingaben!$B$22)),"GO",IF(AND(ISNUMBER(Eingaben!$B$23),ISNUMBER(Eingaben!$B$24),IF(Eingaben!$B$23&lt;Eingaben!$B$24,AND(B2906&gt;=Eingaben!$B$23,B2906&lt;Eingaben!$B$24),OR(B2906&gt;=Eingaben!$B$23,B2906&lt;Eingaben!$B$24))),"HEAT","STANDARD"))</f>
        <v>STANDARD</v>
      </c>
      <c r="E2906" s="9"/>
      <c r="F2906" t="str">
        <f>IF(E2906="",D2906,E2906)</f>
        <v>STANDARD</v>
      </c>
      <c r="G2906" t="str">
        <f>INDEX(Netzzeiten!$B$6:$B$29,HOUR(B2906)+1)</f>
        <v>NT</v>
      </c>
      <c r="H2906" s="6">
        <f>IF(F2906="GO",Eingaben!$B$11,IF(F2906="STANDARD",Eingaben!$B$12,IF(AND(F2906="HEAT",ISNUMBER(Eingaben!$B$13)),Eingaben!$B$13,"")))</f>
        <v>28.2744</v>
      </c>
      <c r="I2906" s="6">
        <f>INDEX(Netzzeiten!$C$6:$C$29,HOUR(B2906)+1)</f>
        <v>1.64</v>
      </c>
      <c r="J2906" t="str">
        <f>IF(C2906="","FEHLT",IF(NOT(ISNUMBER(C2906)),"MESSWERT UNGUELTIG",IF(C2906&lt;0,"MESSWERT UNGUELTIG",IF(H2906="","TARIFPREIS FEHLT","OK"))))</f>
        <v>FEHLT</v>
      </c>
      <c r="K2906" s="7">
        <f>IF(J2906&lt;&gt;"OK","",C2906*I2906/100)</f>
        <v/>
      </c>
    </row>
    <row r="2907" spans="1:11">
      <c r="A2907" s="14">
        <v>46173</v>
      </c>
      <c r="B2907" s="15">
        <v>0.21875</v>
      </c>
      <c r="C2907" s="5">
        <f>IF('96 Werte'!W36="","",'96 Werte'!W36)</f>
        <v/>
      </c>
      <c r="D2907" t="str">
        <f>IF(IF(Eingaben!$B$21&lt;Eingaben!$B$22,AND(B2907&gt;=Eingaben!$B$21,B2907&lt;Eingaben!$B$22),OR(B2907&gt;=Eingaben!$B$21,B2907&lt;Eingaben!$B$22)),"GO",IF(AND(ISNUMBER(Eingaben!$B$23),ISNUMBER(Eingaben!$B$24),IF(Eingaben!$B$23&lt;Eingaben!$B$24,AND(B2907&gt;=Eingaben!$B$23,B2907&lt;Eingaben!$B$24),OR(B2907&gt;=Eingaben!$B$23,B2907&lt;Eingaben!$B$24))),"HEAT","STANDARD"))</f>
        <v>STANDARD</v>
      </c>
      <c r="E2907" s="9"/>
      <c r="F2907" t="str">
        <f>IF(E2907="",D2907,E2907)</f>
        <v>STANDARD</v>
      </c>
      <c r="G2907" t="str">
        <f>INDEX(Netzzeiten!$B$6:$B$29,HOUR(B2907)+1)</f>
        <v>NT</v>
      </c>
      <c r="H2907" s="6">
        <f>IF(F2907="GO",Eingaben!$B$11,IF(F2907="STANDARD",Eingaben!$B$12,IF(AND(F2907="HEAT",ISNUMBER(Eingaben!$B$13)),Eingaben!$B$13,"")))</f>
        <v>28.2744</v>
      </c>
      <c r="I2907" s="6">
        <f>INDEX(Netzzeiten!$C$6:$C$29,HOUR(B2907)+1)</f>
        <v>1.64</v>
      </c>
      <c r="J2907" t="str">
        <f>IF(C2907="","FEHLT",IF(NOT(ISNUMBER(C2907)),"MESSWERT UNGUELTIG",IF(C2907&lt;0,"MESSWERT UNGUELTIG",IF(H2907="","TARIFPREIS FEHLT","OK"))))</f>
        <v>FEHLT</v>
      </c>
      <c r="K2907" s="7">
        <f>IF(J2907&lt;&gt;"OK","",C2907*I2907/100)</f>
        <v/>
      </c>
    </row>
    <row r="2908" spans="1:11">
      <c r="A2908" s="14">
        <v>46173</v>
      </c>
      <c r="B2908" s="15">
        <v>0.2291666666666667</v>
      </c>
      <c r="C2908" s="5">
        <f>IF('96 Werte'!X36="","",'96 Werte'!X36)</f>
        <v/>
      </c>
      <c r="D2908" t="str">
        <f>IF(IF(Eingaben!$B$21&lt;Eingaben!$B$22,AND(B2908&gt;=Eingaben!$B$21,B2908&lt;Eingaben!$B$22),OR(B2908&gt;=Eingaben!$B$21,B2908&lt;Eingaben!$B$22)),"GO",IF(AND(ISNUMBER(Eingaben!$B$23),ISNUMBER(Eingaben!$B$24),IF(Eingaben!$B$23&lt;Eingaben!$B$24,AND(B2908&gt;=Eingaben!$B$23,B2908&lt;Eingaben!$B$24),OR(B2908&gt;=Eingaben!$B$23,B2908&lt;Eingaben!$B$24))),"HEAT","STANDARD"))</f>
        <v>STANDARD</v>
      </c>
      <c r="E2908" s="9"/>
      <c r="F2908" t="str">
        <f>IF(E2908="",D2908,E2908)</f>
        <v>STANDARD</v>
      </c>
      <c r="G2908" t="str">
        <f>INDEX(Netzzeiten!$B$6:$B$29,HOUR(B2908)+1)</f>
        <v>NT</v>
      </c>
      <c r="H2908" s="6">
        <f>IF(F2908="GO",Eingaben!$B$11,IF(F2908="STANDARD",Eingaben!$B$12,IF(AND(F2908="HEAT",ISNUMBER(Eingaben!$B$13)),Eingaben!$B$13,"")))</f>
        <v>28.2744</v>
      </c>
      <c r="I2908" s="6">
        <f>INDEX(Netzzeiten!$C$6:$C$29,HOUR(B2908)+1)</f>
        <v>1.64</v>
      </c>
      <c r="J2908" t="str">
        <f>IF(C2908="","FEHLT",IF(NOT(ISNUMBER(C2908)),"MESSWERT UNGUELTIG",IF(C2908&lt;0,"MESSWERT UNGUELTIG",IF(H2908="","TARIFPREIS FEHLT","OK"))))</f>
        <v>FEHLT</v>
      </c>
      <c r="K2908" s="7">
        <f>IF(J2908&lt;&gt;"OK","",C2908*I2908/100)</f>
        <v/>
      </c>
    </row>
    <row r="2909" spans="1:11">
      <c r="A2909" s="14">
        <v>46173</v>
      </c>
      <c r="B2909" s="15">
        <v>0.2395833333333333</v>
      </c>
      <c r="C2909" s="5">
        <f>IF('96 Werte'!Y36="","",'96 Werte'!Y36)</f>
        <v/>
      </c>
      <c r="D2909" t="str">
        <f>IF(IF(Eingaben!$B$21&lt;Eingaben!$B$22,AND(B2909&gt;=Eingaben!$B$21,B2909&lt;Eingaben!$B$22),OR(B2909&gt;=Eingaben!$B$21,B2909&lt;Eingaben!$B$22)),"GO",IF(AND(ISNUMBER(Eingaben!$B$23),ISNUMBER(Eingaben!$B$24),IF(Eingaben!$B$23&lt;Eingaben!$B$24,AND(B2909&gt;=Eingaben!$B$23,B2909&lt;Eingaben!$B$24),OR(B2909&gt;=Eingaben!$B$23,B2909&lt;Eingaben!$B$24))),"HEAT","STANDARD"))</f>
        <v>STANDARD</v>
      </c>
      <c r="E2909" s="9"/>
      <c r="F2909" t="str">
        <f>IF(E2909="",D2909,E2909)</f>
        <v>STANDARD</v>
      </c>
      <c r="G2909" t="str">
        <f>INDEX(Netzzeiten!$B$6:$B$29,HOUR(B2909)+1)</f>
        <v>NT</v>
      </c>
      <c r="H2909" s="6">
        <f>IF(F2909="GO",Eingaben!$B$11,IF(F2909="STANDARD",Eingaben!$B$12,IF(AND(F2909="HEAT",ISNUMBER(Eingaben!$B$13)),Eingaben!$B$13,"")))</f>
        <v>28.2744</v>
      </c>
      <c r="I2909" s="6">
        <f>INDEX(Netzzeiten!$C$6:$C$29,HOUR(B2909)+1)</f>
        <v>1.64</v>
      </c>
      <c r="J2909" t="str">
        <f>IF(C2909="","FEHLT",IF(NOT(ISNUMBER(C2909)),"MESSWERT UNGUELTIG",IF(C2909&lt;0,"MESSWERT UNGUELTIG",IF(H2909="","TARIFPREIS FEHLT","OK"))))</f>
        <v>FEHLT</v>
      </c>
      <c r="K2909" s="7">
        <f>IF(J2909&lt;&gt;"OK","",C2909*I2909/100)</f>
        <v/>
      </c>
    </row>
    <row r="2910" spans="1:11">
      <c r="A2910" s="14">
        <v>46173</v>
      </c>
      <c r="B2910" s="15">
        <v>0.25</v>
      </c>
      <c r="C2910" s="5">
        <f>IF('96 Werte'!Z36="","",'96 Werte'!Z36)</f>
        <v/>
      </c>
      <c r="D2910" t="str">
        <f>IF(IF(Eingaben!$B$21&lt;Eingaben!$B$22,AND(B2910&gt;=Eingaben!$B$21,B2910&lt;Eingaben!$B$22),OR(B2910&gt;=Eingaben!$B$21,B2910&lt;Eingaben!$B$22)),"GO",IF(AND(ISNUMBER(Eingaben!$B$23),ISNUMBER(Eingaben!$B$24),IF(Eingaben!$B$23&lt;Eingaben!$B$24,AND(B2910&gt;=Eingaben!$B$23,B2910&lt;Eingaben!$B$24),OR(B2910&gt;=Eingaben!$B$23,B2910&lt;Eingaben!$B$24))),"HEAT","STANDARD"))</f>
        <v>STANDARD</v>
      </c>
      <c r="E2910" s="9"/>
      <c r="F2910" t="str">
        <f>IF(E2910="",D2910,E2910)</f>
        <v>STANDARD</v>
      </c>
      <c r="G2910" t="str">
        <f>INDEX(Netzzeiten!$B$6:$B$29,HOUR(B2910)+1)</f>
        <v>ST</v>
      </c>
      <c r="H2910" s="6">
        <f>IF(F2910="GO",Eingaben!$B$11,IF(F2910="STANDARD",Eingaben!$B$12,IF(AND(F2910="HEAT",ISNUMBER(Eingaben!$B$13)),Eingaben!$B$13,"")))</f>
        <v>28.2744</v>
      </c>
      <c r="I2910" s="6">
        <f>INDEX(Netzzeiten!$C$6:$C$29,HOUR(B2910)+1)</f>
        <v>5.48</v>
      </c>
      <c r="J2910" t="str">
        <f>IF(C2910="","FEHLT",IF(NOT(ISNUMBER(C2910)),"MESSWERT UNGUELTIG",IF(C2910&lt;0,"MESSWERT UNGUELTIG",IF(H2910="","TARIFPREIS FEHLT","OK"))))</f>
        <v>FEHLT</v>
      </c>
      <c r="K2910" s="7">
        <f>IF(J2910&lt;&gt;"OK","",C2910*I2910/100)</f>
        <v/>
      </c>
    </row>
    <row r="2911" spans="1:11">
      <c r="A2911" s="14">
        <v>46173</v>
      </c>
      <c r="B2911" s="15">
        <v>0.2604166666666667</v>
      </c>
      <c r="C2911" s="5">
        <f>IF('96 Werte'!AA36="","",'96 Werte'!AA36)</f>
        <v/>
      </c>
      <c r="D2911" t="str">
        <f>IF(IF(Eingaben!$B$21&lt;Eingaben!$B$22,AND(B2911&gt;=Eingaben!$B$21,B2911&lt;Eingaben!$B$22),OR(B2911&gt;=Eingaben!$B$21,B2911&lt;Eingaben!$B$22)),"GO",IF(AND(ISNUMBER(Eingaben!$B$23),ISNUMBER(Eingaben!$B$24),IF(Eingaben!$B$23&lt;Eingaben!$B$24,AND(B2911&gt;=Eingaben!$B$23,B2911&lt;Eingaben!$B$24),OR(B2911&gt;=Eingaben!$B$23,B2911&lt;Eingaben!$B$24))),"HEAT","STANDARD"))</f>
        <v>STANDARD</v>
      </c>
      <c r="E2911" s="9"/>
      <c r="F2911" t="str">
        <f>IF(E2911="",D2911,E2911)</f>
        <v>STANDARD</v>
      </c>
      <c r="G2911" t="str">
        <f>INDEX(Netzzeiten!$B$6:$B$29,HOUR(B2911)+1)</f>
        <v>ST</v>
      </c>
      <c r="H2911" s="6">
        <f>IF(F2911="GO",Eingaben!$B$11,IF(F2911="STANDARD",Eingaben!$B$12,IF(AND(F2911="HEAT",ISNUMBER(Eingaben!$B$13)),Eingaben!$B$13,"")))</f>
        <v>28.2744</v>
      </c>
      <c r="I2911" s="6">
        <f>INDEX(Netzzeiten!$C$6:$C$29,HOUR(B2911)+1)</f>
        <v>5.48</v>
      </c>
      <c r="J2911" t="str">
        <f>IF(C2911="","FEHLT",IF(NOT(ISNUMBER(C2911)),"MESSWERT UNGUELTIG",IF(C2911&lt;0,"MESSWERT UNGUELTIG",IF(H2911="","TARIFPREIS FEHLT","OK"))))</f>
        <v>FEHLT</v>
      </c>
      <c r="K2911" s="7">
        <f>IF(J2911&lt;&gt;"OK","",C2911*I2911/100)</f>
        <v/>
      </c>
    </row>
    <row r="2912" spans="1:11">
      <c r="A2912" s="14">
        <v>46173</v>
      </c>
      <c r="B2912" s="15">
        <v>0.2708333333333333</v>
      </c>
      <c r="C2912" s="5">
        <f>IF('96 Werte'!AB36="","",'96 Werte'!AB36)</f>
        <v/>
      </c>
      <c r="D2912" t="str">
        <f>IF(IF(Eingaben!$B$21&lt;Eingaben!$B$22,AND(B2912&gt;=Eingaben!$B$21,B2912&lt;Eingaben!$B$22),OR(B2912&gt;=Eingaben!$B$21,B2912&lt;Eingaben!$B$22)),"GO",IF(AND(ISNUMBER(Eingaben!$B$23),ISNUMBER(Eingaben!$B$24),IF(Eingaben!$B$23&lt;Eingaben!$B$24,AND(B2912&gt;=Eingaben!$B$23,B2912&lt;Eingaben!$B$24),OR(B2912&gt;=Eingaben!$B$23,B2912&lt;Eingaben!$B$24))),"HEAT","STANDARD"))</f>
        <v>STANDARD</v>
      </c>
      <c r="E2912" s="9"/>
      <c r="F2912" t="str">
        <f>IF(E2912="",D2912,E2912)</f>
        <v>STANDARD</v>
      </c>
      <c r="G2912" t="str">
        <f>INDEX(Netzzeiten!$B$6:$B$29,HOUR(B2912)+1)</f>
        <v>ST</v>
      </c>
      <c r="H2912" s="6">
        <f>IF(F2912="GO",Eingaben!$B$11,IF(F2912="STANDARD",Eingaben!$B$12,IF(AND(F2912="HEAT",ISNUMBER(Eingaben!$B$13)),Eingaben!$B$13,"")))</f>
        <v>28.2744</v>
      </c>
      <c r="I2912" s="6">
        <f>INDEX(Netzzeiten!$C$6:$C$29,HOUR(B2912)+1)</f>
        <v>5.48</v>
      </c>
      <c r="J2912" t="str">
        <f>IF(C2912="","FEHLT",IF(NOT(ISNUMBER(C2912)),"MESSWERT UNGUELTIG",IF(C2912&lt;0,"MESSWERT UNGUELTIG",IF(H2912="","TARIFPREIS FEHLT","OK"))))</f>
        <v>FEHLT</v>
      </c>
      <c r="K2912" s="7">
        <f>IF(J2912&lt;&gt;"OK","",C2912*I2912/100)</f>
        <v/>
      </c>
    </row>
    <row r="2913" spans="1:11">
      <c r="A2913" s="14">
        <v>46173</v>
      </c>
      <c r="B2913" s="15">
        <v>0.28125</v>
      </c>
      <c r="C2913" s="5">
        <f>IF('96 Werte'!AC36="","",'96 Werte'!AC36)</f>
        <v/>
      </c>
      <c r="D2913" t="str">
        <f>IF(IF(Eingaben!$B$21&lt;Eingaben!$B$22,AND(B2913&gt;=Eingaben!$B$21,B2913&lt;Eingaben!$B$22),OR(B2913&gt;=Eingaben!$B$21,B2913&lt;Eingaben!$B$22)),"GO",IF(AND(ISNUMBER(Eingaben!$B$23),ISNUMBER(Eingaben!$B$24),IF(Eingaben!$B$23&lt;Eingaben!$B$24,AND(B2913&gt;=Eingaben!$B$23,B2913&lt;Eingaben!$B$24),OR(B2913&gt;=Eingaben!$B$23,B2913&lt;Eingaben!$B$24))),"HEAT","STANDARD"))</f>
        <v>STANDARD</v>
      </c>
      <c r="E2913" s="9"/>
      <c r="F2913" t="str">
        <f>IF(E2913="",D2913,E2913)</f>
        <v>STANDARD</v>
      </c>
      <c r="G2913" t="str">
        <f>INDEX(Netzzeiten!$B$6:$B$29,HOUR(B2913)+1)</f>
        <v>ST</v>
      </c>
      <c r="H2913" s="6">
        <f>IF(F2913="GO",Eingaben!$B$11,IF(F2913="STANDARD",Eingaben!$B$12,IF(AND(F2913="HEAT",ISNUMBER(Eingaben!$B$13)),Eingaben!$B$13,"")))</f>
        <v>28.2744</v>
      </c>
      <c r="I2913" s="6">
        <f>INDEX(Netzzeiten!$C$6:$C$29,HOUR(B2913)+1)</f>
        <v>5.48</v>
      </c>
      <c r="J2913" t="str">
        <f>IF(C2913="","FEHLT",IF(NOT(ISNUMBER(C2913)),"MESSWERT UNGUELTIG",IF(C2913&lt;0,"MESSWERT UNGUELTIG",IF(H2913="","TARIFPREIS FEHLT","OK"))))</f>
        <v>FEHLT</v>
      </c>
      <c r="K2913" s="7">
        <f>IF(J2913&lt;&gt;"OK","",C2913*I2913/100)</f>
        <v/>
      </c>
    </row>
    <row r="2914" spans="1:11">
      <c r="A2914" s="14">
        <v>46173</v>
      </c>
      <c r="B2914" s="15">
        <v>0.2916666666666667</v>
      </c>
      <c r="C2914" s="5">
        <f>IF('96 Werte'!AD36="","",'96 Werte'!AD36)</f>
        <v/>
      </c>
      <c r="D2914" t="str">
        <f>IF(IF(Eingaben!$B$21&lt;Eingaben!$B$22,AND(B2914&gt;=Eingaben!$B$21,B2914&lt;Eingaben!$B$22),OR(B2914&gt;=Eingaben!$B$21,B2914&lt;Eingaben!$B$22)),"GO",IF(AND(ISNUMBER(Eingaben!$B$23),ISNUMBER(Eingaben!$B$24),IF(Eingaben!$B$23&lt;Eingaben!$B$24,AND(B2914&gt;=Eingaben!$B$23,B2914&lt;Eingaben!$B$24),OR(B2914&gt;=Eingaben!$B$23,B2914&lt;Eingaben!$B$24))),"HEAT","STANDARD"))</f>
        <v>STANDARD</v>
      </c>
      <c r="E2914" s="9"/>
      <c r="F2914" t="str">
        <f>IF(E2914="",D2914,E2914)</f>
        <v>STANDARD</v>
      </c>
      <c r="G2914" t="str">
        <f>INDEX(Netzzeiten!$B$6:$B$29,HOUR(B2914)+1)</f>
        <v>ST</v>
      </c>
      <c r="H2914" s="6">
        <f>IF(F2914="GO",Eingaben!$B$11,IF(F2914="STANDARD",Eingaben!$B$12,IF(AND(F2914="HEAT",ISNUMBER(Eingaben!$B$13)),Eingaben!$B$13,"")))</f>
        <v>28.2744</v>
      </c>
      <c r="I2914" s="6">
        <f>INDEX(Netzzeiten!$C$6:$C$29,HOUR(B2914)+1)</f>
        <v>5.48</v>
      </c>
      <c r="J2914" t="str">
        <f>IF(C2914="","FEHLT",IF(NOT(ISNUMBER(C2914)),"MESSWERT UNGUELTIG",IF(C2914&lt;0,"MESSWERT UNGUELTIG",IF(H2914="","TARIFPREIS FEHLT","OK"))))</f>
        <v>FEHLT</v>
      </c>
      <c r="K2914" s="7">
        <f>IF(J2914&lt;&gt;"OK","",C2914*I2914/100)</f>
        <v/>
      </c>
    </row>
    <row r="2915" spans="1:11">
      <c r="A2915" s="14">
        <v>46173</v>
      </c>
      <c r="B2915" s="15">
        <v>0.3020833333333333</v>
      </c>
      <c r="C2915" s="5">
        <f>IF('96 Werte'!AE36="","",'96 Werte'!AE36)</f>
        <v/>
      </c>
      <c r="D2915" t="str">
        <f>IF(IF(Eingaben!$B$21&lt;Eingaben!$B$22,AND(B2915&gt;=Eingaben!$B$21,B2915&lt;Eingaben!$B$22),OR(B2915&gt;=Eingaben!$B$21,B2915&lt;Eingaben!$B$22)),"GO",IF(AND(ISNUMBER(Eingaben!$B$23),ISNUMBER(Eingaben!$B$24),IF(Eingaben!$B$23&lt;Eingaben!$B$24,AND(B2915&gt;=Eingaben!$B$23,B2915&lt;Eingaben!$B$24),OR(B2915&gt;=Eingaben!$B$23,B2915&lt;Eingaben!$B$24))),"HEAT","STANDARD"))</f>
        <v>STANDARD</v>
      </c>
      <c r="E2915" s="9"/>
      <c r="F2915" t="str">
        <f>IF(E2915="",D2915,E2915)</f>
        <v>STANDARD</v>
      </c>
      <c r="G2915" t="str">
        <f>INDEX(Netzzeiten!$B$6:$B$29,HOUR(B2915)+1)</f>
        <v>ST</v>
      </c>
      <c r="H2915" s="6">
        <f>IF(F2915="GO",Eingaben!$B$11,IF(F2915="STANDARD",Eingaben!$B$12,IF(AND(F2915="HEAT",ISNUMBER(Eingaben!$B$13)),Eingaben!$B$13,"")))</f>
        <v>28.2744</v>
      </c>
      <c r="I2915" s="6">
        <f>INDEX(Netzzeiten!$C$6:$C$29,HOUR(B2915)+1)</f>
        <v>5.48</v>
      </c>
      <c r="J2915" t="str">
        <f>IF(C2915="","FEHLT",IF(NOT(ISNUMBER(C2915)),"MESSWERT UNGUELTIG",IF(C2915&lt;0,"MESSWERT UNGUELTIG",IF(H2915="","TARIFPREIS FEHLT","OK"))))</f>
        <v>FEHLT</v>
      </c>
      <c r="K2915" s="7">
        <f>IF(J2915&lt;&gt;"OK","",C2915*I2915/100)</f>
        <v/>
      </c>
    </row>
    <row r="2916" spans="1:11">
      <c r="A2916" s="14">
        <v>46173</v>
      </c>
      <c r="B2916" s="15">
        <v>0.3125</v>
      </c>
      <c r="C2916" s="5">
        <f>IF('96 Werte'!AF36="","",'96 Werte'!AF36)</f>
        <v/>
      </c>
      <c r="D2916" t="str">
        <f>IF(IF(Eingaben!$B$21&lt;Eingaben!$B$22,AND(B2916&gt;=Eingaben!$B$21,B2916&lt;Eingaben!$B$22),OR(B2916&gt;=Eingaben!$B$21,B2916&lt;Eingaben!$B$22)),"GO",IF(AND(ISNUMBER(Eingaben!$B$23),ISNUMBER(Eingaben!$B$24),IF(Eingaben!$B$23&lt;Eingaben!$B$24,AND(B2916&gt;=Eingaben!$B$23,B2916&lt;Eingaben!$B$24),OR(B2916&gt;=Eingaben!$B$23,B2916&lt;Eingaben!$B$24))),"HEAT","STANDARD"))</f>
        <v>STANDARD</v>
      </c>
      <c r="E2916" s="9"/>
      <c r="F2916" t="str">
        <f>IF(E2916="",D2916,E2916)</f>
        <v>STANDARD</v>
      </c>
      <c r="G2916" t="str">
        <f>INDEX(Netzzeiten!$B$6:$B$29,HOUR(B2916)+1)</f>
        <v>ST</v>
      </c>
      <c r="H2916" s="6">
        <f>IF(F2916="GO",Eingaben!$B$11,IF(F2916="STANDARD",Eingaben!$B$12,IF(AND(F2916="HEAT",ISNUMBER(Eingaben!$B$13)),Eingaben!$B$13,"")))</f>
        <v>28.2744</v>
      </c>
      <c r="I2916" s="6">
        <f>INDEX(Netzzeiten!$C$6:$C$29,HOUR(B2916)+1)</f>
        <v>5.48</v>
      </c>
      <c r="J2916" t="str">
        <f>IF(C2916="","FEHLT",IF(NOT(ISNUMBER(C2916)),"MESSWERT UNGUELTIG",IF(C2916&lt;0,"MESSWERT UNGUELTIG",IF(H2916="","TARIFPREIS FEHLT","OK"))))</f>
        <v>FEHLT</v>
      </c>
      <c r="K2916" s="7">
        <f>IF(J2916&lt;&gt;"OK","",C2916*I2916/100)</f>
        <v/>
      </c>
    </row>
    <row r="2917" spans="1:11">
      <c r="A2917" s="14">
        <v>46173</v>
      </c>
      <c r="B2917" s="15">
        <v>0.3229166666666667</v>
      </c>
      <c r="C2917" s="5">
        <f>IF('96 Werte'!AG36="","",'96 Werte'!AG36)</f>
        <v/>
      </c>
      <c r="D2917" t="str">
        <f>IF(IF(Eingaben!$B$21&lt;Eingaben!$B$22,AND(B2917&gt;=Eingaben!$B$21,B2917&lt;Eingaben!$B$22),OR(B2917&gt;=Eingaben!$B$21,B2917&lt;Eingaben!$B$22)),"GO",IF(AND(ISNUMBER(Eingaben!$B$23),ISNUMBER(Eingaben!$B$24),IF(Eingaben!$B$23&lt;Eingaben!$B$24,AND(B2917&gt;=Eingaben!$B$23,B2917&lt;Eingaben!$B$24),OR(B2917&gt;=Eingaben!$B$23,B2917&lt;Eingaben!$B$24))),"HEAT","STANDARD"))</f>
        <v>STANDARD</v>
      </c>
      <c r="E2917" s="9"/>
      <c r="F2917" t="str">
        <f>IF(E2917="",D2917,E2917)</f>
        <v>STANDARD</v>
      </c>
      <c r="G2917" t="str">
        <f>INDEX(Netzzeiten!$B$6:$B$29,HOUR(B2917)+1)</f>
        <v>ST</v>
      </c>
      <c r="H2917" s="6">
        <f>IF(F2917="GO",Eingaben!$B$11,IF(F2917="STANDARD",Eingaben!$B$12,IF(AND(F2917="HEAT",ISNUMBER(Eingaben!$B$13)),Eingaben!$B$13,"")))</f>
        <v>28.2744</v>
      </c>
      <c r="I2917" s="6">
        <f>INDEX(Netzzeiten!$C$6:$C$29,HOUR(B2917)+1)</f>
        <v>5.48</v>
      </c>
      <c r="J2917" t="str">
        <f>IF(C2917="","FEHLT",IF(NOT(ISNUMBER(C2917)),"MESSWERT UNGUELTIG",IF(C2917&lt;0,"MESSWERT UNGUELTIG",IF(H2917="","TARIFPREIS FEHLT","OK"))))</f>
        <v>FEHLT</v>
      </c>
      <c r="K2917" s="7">
        <f>IF(J2917&lt;&gt;"OK","",C2917*I2917/100)</f>
        <v/>
      </c>
    </row>
    <row r="2918" spans="1:11">
      <c r="A2918" s="14">
        <v>46173</v>
      </c>
      <c r="B2918" s="15">
        <v>0.3333333333333333</v>
      </c>
      <c r="C2918" s="5">
        <f>IF('96 Werte'!AH36="","",'96 Werte'!AH36)</f>
        <v/>
      </c>
      <c r="D2918" t="str">
        <f>IF(IF(Eingaben!$B$21&lt;Eingaben!$B$22,AND(B2918&gt;=Eingaben!$B$21,B2918&lt;Eingaben!$B$22),OR(B2918&gt;=Eingaben!$B$21,B2918&lt;Eingaben!$B$22)),"GO",IF(AND(ISNUMBER(Eingaben!$B$23),ISNUMBER(Eingaben!$B$24),IF(Eingaben!$B$23&lt;Eingaben!$B$24,AND(B2918&gt;=Eingaben!$B$23,B2918&lt;Eingaben!$B$24),OR(B2918&gt;=Eingaben!$B$23,B2918&lt;Eingaben!$B$24))),"HEAT","STANDARD"))</f>
        <v>STANDARD</v>
      </c>
      <c r="E2918" s="9"/>
      <c r="F2918" t="str">
        <f>IF(E2918="",D2918,E2918)</f>
        <v>STANDARD</v>
      </c>
      <c r="G2918" t="str">
        <f>INDEX(Netzzeiten!$B$6:$B$29,HOUR(B2918)+1)</f>
        <v>ST</v>
      </c>
      <c r="H2918" s="6">
        <f>IF(F2918="GO",Eingaben!$B$11,IF(F2918="STANDARD",Eingaben!$B$12,IF(AND(F2918="HEAT",ISNUMBER(Eingaben!$B$13)),Eingaben!$B$13,"")))</f>
        <v>28.2744</v>
      </c>
      <c r="I2918" s="6">
        <f>INDEX(Netzzeiten!$C$6:$C$29,HOUR(B2918)+1)</f>
        <v>5.48</v>
      </c>
      <c r="J2918" t="str">
        <f>IF(C2918="","FEHLT",IF(NOT(ISNUMBER(C2918)),"MESSWERT UNGUELTIG",IF(C2918&lt;0,"MESSWERT UNGUELTIG",IF(H2918="","TARIFPREIS FEHLT","OK"))))</f>
        <v>FEHLT</v>
      </c>
      <c r="K2918" s="7">
        <f>IF(J2918&lt;&gt;"OK","",C2918*I2918/100)</f>
        <v/>
      </c>
    </row>
    <row r="2919" spans="1:11">
      <c r="A2919" s="14">
        <v>46173</v>
      </c>
      <c r="B2919" s="15">
        <v>0.34375</v>
      </c>
      <c r="C2919" s="5">
        <f>IF('96 Werte'!AI36="","",'96 Werte'!AI36)</f>
        <v/>
      </c>
      <c r="D2919" t="str">
        <f>IF(IF(Eingaben!$B$21&lt;Eingaben!$B$22,AND(B2919&gt;=Eingaben!$B$21,B2919&lt;Eingaben!$B$22),OR(B2919&gt;=Eingaben!$B$21,B2919&lt;Eingaben!$B$22)),"GO",IF(AND(ISNUMBER(Eingaben!$B$23),ISNUMBER(Eingaben!$B$24),IF(Eingaben!$B$23&lt;Eingaben!$B$24,AND(B2919&gt;=Eingaben!$B$23,B2919&lt;Eingaben!$B$24),OR(B2919&gt;=Eingaben!$B$23,B2919&lt;Eingaben!$B$24))),"HEAT","STANDARD"))</f>
        <v>STANDARD</v>
      </c>
      <c r="E2919" s="9"/>
      <c r="F2919" t="str">
        <f>IF(E2919="",D2919,E2919)</f>
        <v>STANDARD</v>
      </c>
      <c r="G2919" t="str">
        <f>INDEX(Netzzeiten!$B$6:$B$29,HOUR(B2919)+1)</f>
        <v>ST</v>
      </c>
      <c r="H2919" s="6">
        <f>IF(F2919="GO",Eingaben!$B$11,IF(F2919="STANDARD",Eingaben!$B$12,IF(AND(F2919="HEAT",ISNUMBER(Eingaben!$B$13)),Eingaben!$B$13,"")))</f>
        <v>28.2744</v>
      </c>
      <c r="I2919" s="6">
        <f>INDEX(Netzzeiten!$C$6:$C$29,HOUR(B2919)+1)</f>
        <v>5.48</v>
      </c>
      <c r="J2919" t="str">
        <f>IF(C2919="","FEHLT",IF(NOT(ISNUMBER(C2919)),"MESSWERT UNGUELTIG",IF(C2919&lt;0,"MESSWERT UNGUELTIG",IF(H2919="","TARIFPREIS FEHLT","OK"))))</f>
        <v>FEHLT</v>
      </c>
      <c r="K2919" s="7">
        <f>IF(J2919&lt;&gt;"OK","",C2919*I2919/100)</f>
        <v/>
      </c>
    </row>
    <row r="2920" spans="1:11">
      <c r="A2920" s="14">
        <v>46173</v>
      </c>
      <c r="B2920" s="15">
        <v>0.3541666666666667</v>
      </c>
      <c r="C2920" s="5">
        <f>IF('96 Werte'!AJ36="","",'96 Werte'!AJ36)</f>
        <v/>
      </c>
      <c r="D2920" t="str">
        <f>IF(IF(Eingaben!$B$21&lt;Eingaben!$B$22,AND(B2920&gt;=Eingaben!$B$21,B2920&lt;Eingaben!$B$22),OR(B2920&gt;=Eingaben!$B$21,B2920&lt;Eingaben!$B$22)),"GO",IF(AND(ISNUMBER(Eingaben!$B$23),ISNUMBER(Eingaben!$B$24),IF(Eingaben!$B$23&lt;Eingaben!$B$24,AND(B2920&gt;=Eingaben!$B$23,B2920&lt;Eingaben!$B$24),OR(B2920&gt;=Eingaben!$B$23,B2920&lt;Eingaben!$B$24))),"HEAT","STANDARD"))</f>
        <v>STANDARD</v>
      </c>
      <c r="E2920" s="9"/>
      <c r="F2920" t="str">
        <f>IF(E2920="",D2920,E2920)</f>
        <v>STANDARD</v>
      </c>
      <c r="G2920" t="str">
        <f>INDEX(Netzzeiten!$B$6:$B$29,HOUR(B2920)+1)</f>
        <v>ST</v>
      </c>
      <c r="H2920" s="6">
        <f>IF(F2920="GO",Eingaben!$B$11,IF(F2920="STANDARD",Eingaben!$B$12,IF(AND(F2920="HEAT",ISNUMBER(Eingaben!$B$13)),Eingaben!$B$13,"")))</f>
        <v>28.2744</v>
      </c>
      <c r="I2920" s="6">
        <f>INDEX(Netzzeiten!$C$6:$C$29,HOUR(B2920)+1)</f>
        <v>5.48</v>
      </c>
      <c r="J2920" t="str">
        <f>IF(C2920="","FEHLT",IF(NOT(ISNUMBER(C2920)),"MESSWERT UNGUELTIG",IF(C2920&lt;0,"MESSWERT UNGUELTIG",IF(H2920="","TARIFPREIS FEHLT","OK"))))</f>
        <v>FEHLT</v>
      </c>
      <c r="K2920" s="7">
        <f>IF(J2920&lt;&gt;"OK","",C2920*I2920/100)</f>
        <v/>
      </c>
    </row>
    <row r="2921" spans="1:11">
      <c r="A2921" s="14">
        <v>46173</v>
      </c>
      <c r="B2921" s="15">
        <v>0.3645833333333333</v>
      </c>
      <c r="C2921" s="5">
        <f>IF('96 Werte'!AK36="","",'96 Werte'!AK36)</f>
        <v/>
      </c>
      <c r="D2921" t="str">
        <f>IF(IF(Eingaben!$B$21&lt;Eingaben!$B$22,AND(B2921&gt;=Eingaben!$B$21,B2921&lt;Eingaben!$B$22),OR(B2921&gt;=Eingaben!$B$21,B2921&lt;Eingaben!$B$22)),"GO",IF(AND(ISNUMBER(Eingaben!$B$23),ISNUMBER(Eingaben!$B$24),IF(Eingaben!$B$23&lt;Eingaben!$B$24,AND(B2921&gt;=Eingaben!$B$23,B2921&lt;Eingaben!$B$24),OR(B2921&gt;=Eingaben!$B$23,B2921&lt;Eingaben!$B$24))),"HEAT","STANDARD"))</f>
        <v>STANDARD</v>
      </c>
      <c r="E2921" s="9"/>
      <c r="F2921" t="str">
        <f>IF(E2921="",D2921,E2921)</f>
        <v>STANDARD</v>
      </c>
      <c r="G2921" t="str">
        <f>INDEX(Netzzeiten!$B$6:$B$29,HOUR(B2921)+1)</f>
        <v>ST</v>
      </c>
      <c r="H2921" s="6">
        <f>IF(F2921="GO",Eingaben!$B$11,IF(F2921="STANDARD",Eingaben!$B$12,IF(AND(F2921="HEAT",ISNUMBER(Eingaben!$B$13)),Eingaben!$B$13,"")))</f>
        <v>28.2744</v>
      </c>
      <c r="I2921" s="6">
        <f>INDEX(Netzzeiten!$C$6:$C$29,HOUR(B2921)+1)</f>
        <v>5.48</v>
      </c>
      <c r="J2921" t="str">
        <f>IF(C2921="","FEHLT",IF(NOT(ISNUMBER(C2921)),"MESSWERT UNGUELTIG",IF(C2921&lt;0,"MESSWERT UNGUELTIG",IF(H2921="","TARIFPREIS FEHLT","OK"))))</f>
        <v>FEHLT</v>
      </c>
      <c r="K2921" s="7">
        <f>IF(J2921&lt;&gt;"OK","",C2921*I2921/100)</f>
        <v/>
      </c>
    </row>
    <row r="2922" spans="1:11">
      <c r="A2922" s="14">
        <v>46173</v>
      </c>
      <c r="B2922" s="15">
        <v>0.375</v>
      </c>
      <c r="C2922" s="5">
        <f>IF('96 Werte'!AL36="","",'96 Werte'!AL36)</f>
        <v/>
      </c>
      <c r="D2922" t="str">
        <f>IF(IF(Eingaben!$B$21&lt;Eingaben!$B$22,AND(B2922&gt;=Eingaben!$B$21,B2922&lt;Eingaben!$B$22),OR(B2922&gt;=Eingaben!$B$21,B2922&lt;Eingaben!$B$22)),"GO",IF(AND(ISNUMBER(Eingaben!$B$23),ISNUMBER(Eingaben!$B$24),IF(Eingaben!$B$23&lt;Eingaben!$B$24,AND(B2922&gt;=Eingaben!$B$23,B2922&lt;Eingaben!$B$24),OR(B2922&gt;=Eingaben!$B$23,B2922&lt;Eingaben!$B$24))),"HEAT","STANDARD"))</f>
        <v>STANDARD</v>
      </c>
      <c r="E2922" s="9"/>
      <c r="F2922" t="str">
        <f>IF(E2922="",D2922,E2922)</f>
        <v>STANDARD</v>
      </c>
      <c r="G2922" t="str">
        <f>INDEX(Netzzeiten!$B$6:$B$29,HOUR(B2922)+1)</f>
        <v>ST</v>
      </c>
      <c r="H2922" s="6">
        <f>IF(F2922="GO",Eingaben!$B$11,IF(F2922="STANDARD",Eingaben!$B$12,IF(AND(F2922="HEAT",ISNUMBER(Eingaben!$B$13)),Eingaben!$B$13,"")))</f>
        <v>28.2744</v>
      </c>
      <c r="I2922" s="6">
        <f>INDEX(Netzzeiten!$C$6:$C$29,HOUR(B2922)+1)</f>
        <v>5.48</v>
      </c>
      <c r="J2922" t="str">
        <f>IF(C2922="","FEHLT",IF(NOT(ISNUMBER(C2922)),"MESSWERT UNGUELTIG",IF(C2922&lt;0,"MESSWERT UNGUELTIG",IF(H2922="","TARIFPREIS FEHLT","OK"))))</f>
        <v>FEHLT</v>
      </c>
      <c r="K2922" s="7">
        <f>IF(J2922&lt;&gt;"OK","",C2922*I2922/100)</f>
        <v/>
      </c>
    </row>
    <row r="2923" spans="1:11">
      <c r="A2923" s="14">
        <v>46173</v>
      </c>
      <c r="B2923" s="15">
        <v>0.3854166666666667</v>
      </c>
      <c r="C2923" s="5">
        <f>IF('96 Werte'!AM36="","",'96 Werte'!AM36)</f>
        <v/>
      </c>
      <c r="D2923" t="str">
        <f>IF(IF(Eingaben!$B$21&lt;Eingaben!$B$22,AND(B2923&gt;=Eingaben!$B$21,B2923&lt;Eingaben!$B$22),OR(B2923&gt;=Eingaben!$B$21,B2923&lt;Eingaben!$B$22)),"GO",IF(AND(ISNUMBER(Eingaben!$B$23),ISNUMBER(Eingaben!$B$24),IF(Eingaben!$B$23&lt;Eingaben!$B$24,AND(B2923&gt;=Eingaben!$B$23,B2923&lt;Eingaben!$B$24),OR(B2923&gt;=Eingaben!$B$23,B2923&lt;Eingaben!$B$24))),"HEAT","STANDARD"))</f>
        <v>STANDARD</v>
      </c>
      <c r="E2923" s="9"/>
      <c r="F2923" t="str">
        <f>IF(E2923="",D2923,E2923)</f>
        <v>STANDARD</v>
      </c>
      <c r="G2923" t="str">
        <f>INDEX(Netzzeiten!$B$6:$B$29,HOUR(B2923)+1)</f>
        <v>ST</v>
      </c>
      <c r="H2923" s="6">
        <f>IF(F2923="GO",Eingaben!$B$11,IF(F2923="STANDARD",Eingaben!$B$12,IF(AND(F2923="HEAT",ISNUMBER(Eingaben!$B$13)),Eingaben!$B$13,"")))</f>
        <v>28.2744</v>
      </c>
      <c r="I2923" s="6">
        <f>INDEX(Netzzeiten!$C$6:$C$29,HOUR(B2923)+1)</f>
        <v>5.48</v>
      </c>
      <c r="J2923" t="str">
        <f>IF(C2923="","FEHLT",IF(NOT(ISNUMBER(C2923)),"MESSWERT UNGUELTIG",IF(C2923&lt;0,"MESSWERT UNGUELTIG",IF(H2923="","TARIFPREIS FEHLT","OK"))))</f>
        <v>FEHLT</v>
      </c>
      <c r="K2923" s="7">
        <f>IF(J2923&lt;&gt;"OK","",C2923*I2923/100)</f>
        <v/>
      </c>
    </row>
    <row r="2924" spans="1:11">
      <c r="A2924" s="14">
        <v>46173</v>
      </c>
      <c r="B2924" s="15">
        <v>0.3958333333333333</v>
      </c>
      <c r="C2924" s="5">
        <f>IF('96 Werte'!AN36="","",'96 Werte'!AN36)</f>
        <v/>
      </c>
      <c r="D2924" t="str">
        <f>IF(IF(Eingaben!$B$21&lt;Eingaben!$B$22,AND(B2924&gt;=Eingaben!$B$21,B2924&lt;Eingaben!$B$22),OR(B2924&gt;=Eingaben!$B$21,B2924&lt;Eingaben!$B$22)),"GO",IF(AND(ISNUMBER(Eingaben!$B$23),ISNUMBER(Eingaben!$B$24),IF(Eingaben!$B$23&lt;Eingaben!$B$24,AND(B2924&gt;=Eingaben!$B$23,B2924&lt;Eingaben!$B$24),OR(B2924&gt;=Eingaben!$B$23,B2924&lt;Eingaben!$B$24))),"HEAT","STANDARD"))</f>
        <v>STANDARD</v>
      </c>
      <c r="E2924" s="9"/>
      <c r="F2924" t="str">
        <f>IF(E2924="",D2924,E2924)</f>
        <v>STANDARD</v>
      </c>
      <c r="G2924" t="str">
        <f>INDEX(Netzzeiten!$B$6:$B$29,HOUR(B2924)+1)</f>
        <v>ST</v>
      </c>
      <c r="H2924" s="6">
        <f>IF(F2924="GO",Eingaben!$B$11,IF(F2924="STANDARD",Eingaben!$B$12,IF(AND(F2924="HEAT",ISNUMBER(Eingaben!$B$13)),Eingaben!$B$13,"")))</f>
        <v>28.2744</v>
      </c>
      <c r="I2924" s="6">
        <f>INDEX(Netzzeiten!$C$6:$C$29,HOUR(B2924)+1)</f>
        <v>5.48</v>
      </c>
      <c r="J2924" t="str">
        <f>IF(C2924="","FEHLT",IF(NOT(ISNUMBER(C2924)),"MESSWERT UNGUELTIG",IF(C2924&lt;0,"MESSWERT UNGUELTIG",IF(H2924="","TARIFPREIS FEHLT","OK"))))</f>
        <v>FEHLT</v>
      </c>
      <c r="K2924" s="7">
        <f>IF(J2924&lt;&gt;"OK","",C2924*I2924/100)</f>
        <v/>
      </c>
    </row>
    <row r="2925" spans="1:11">
      <c r="A2925" s="14">
        <v>46173</v>
      </c>
      <c r="B2925" s="15">
        <v>0.40625</v>
      </c>
      <c r="C2925" s="5">
        <f>IF('96 Werte'!AO36="","",'96 Werte'!AO36)</f>
        <v/>
      </c>
      <c r="D2925" t="str">
        <f>IF(IF(Eingaben!$B$21&lt;Eingaben!$B$22,AND(B2925&gt;=Eingaben!$B$21,B2925&lt;Eingaben!$B$22),OR(B2925&gt;=Eingaben!$B$21,B2925&lt;Eingaben!$B$22)),"GO",IF(AND(ISNUMBER(Eingaben!$B$23),ISNUMBER(Eingaben!$B$24),IF(Eingaben!$B$23&lt;Eingaben!$B$24,AND(B2925&gt;=Eingaben!$B$23,B2925&lt;Eingaben!$B$24),OR(B2925&gt;=Eingaben!$B$23,B2925&lt;Eingaben!$B$24))),"HEAT","STANDARD"))</f>
        <v>STANDARD</v>
      </c>
      <c r="E2925" s="9"/>
      <c r="F2925" t="str">
        <f>IF(E2925="",D2925,E2925)</f>
        <v>STANDARD</v>
      </c>
      <c r="G2925" t="str">
        <f>INDEX(Netzzeiten!$B$6:$B$29,HOUR(B2925)+1)</f>
        <v>ST</v>
      </c>
      <c r="H2925" s="6">
        <f>IF(F2925="GO",Eingaben!$B$11,IF(F2925="STANDARD",Eingaben!$B$12,IF(AND(F2925="HEAT",ISNUMBER(Eingaben!$B$13)),Eingaben!$B$13,"")))</f>
        <v>28.2744</v>
      </c>
      <c r="I2925" s="6">
        <f>INDEX(Netzzeiten!$C$6:$C$29,HOUR(B2925)+1)</f>
        <v>5.48</v>
      </c>
      <c r="J2925" t="str">
        <f>IF(C2925="","FEHLT",IF(NOT(ISNUMBER(C2925)),"MESSWERT UNGUELTIG",IF(C2925&lt;0,"MESSWERT UNGUELTIG",IF(H2925="","TARIFPREIS FEHLT","OK"))))</f>
        <v>FEHLT</v>
      </c>
      <c r="K2925" s="7">
        <f>IF(J2925&lt;&gt;"OK","",C2925*I2925/100)</f>
        <v/>
      </c>
    </row>
    <row r="2926" spans="1:11">
      <c r="A2926" s="14">
        <v>46173</v>
      </c>
      <c r="B2926" s="15">
        <v>0.4166666666666667</v>
      </c>
      <c r="C2926" s="5">
        <f>IF('96 Werte'!AP36="","",'96 Werte'!AP36)</f>
        <v/>
      </c>
      <c r="D2926" t="str">
        <f>IF(IF(Eingaben!$B$21&lt;Eingaben!$B$22,AND(B2926&gt;=Eingaben!$B$21,B2926&lt;Eingaben!$B$22),OR(B2926&gt;=Eingaben!$B$21,B2926&lt;Eingaben!$B$22)),"GO",IF(AND(ISNUMBER(Eingaben!$B$23),ISNUMBER(Eingaben!$B$24),IF(Eingaben!$B$23&lt;Eingaben!$B$24,AND(B2926&gt;=Eingaben!$B$23,B2926&lt;Eingaben!$B$24),OR(B2926&gt;=Eingaben!$B$23,B2926&lt;Eingaben!$B$24))),"HEAT","STANDARD"))</f>
        <v>STANDARD</v>
      </c>
      <c r="E2926" s="9"/>
      <c r="F2926" t="str">
        <f>IF(E2926="",D2926,E2926)</f>
        <v>STANDARD</v>
      </c>
      <c r="G2926" t="str">
        <f>INDEX(Netzzeiten!$B$6:$B$29,HOUR(B2926)+1)</f>
        <v>ST</v>
      </c>
      <c r="H2926" s="6">
        <f>IF(F2926="GO",Eingaben!$B$11,IF(F2926="STANDARD",Eingaben!$B$12,IF(AND(F2926="HEAT",ISNUMBER(Eingaben!$B$13)),Eingaben!$B$13,"")))</f>
        <v>28.2744</v>
      </c>
      <c r="I2926" s="6">
        <f>INDEX(Netzzeiten!$C$6:$C$29,HOUR(B2926)+1)</f>
        <v>5.48</v>
      </c>
      <c r="J2926" t="str">
        <f>IF(C2926="","FEHLT",IF(NOT(ISNUMBER(C2926)),"MESSWERT UNGUELTIG",IF(C2926&lt;0,"MESSWERT UNGUELTIG",IF(H2926="","TARIFPREIS FEHLT","OK"))))</f>
        <v>FEHLT</v>
      </c>
      <c r="K2926" s="7">
        <f>IF(J2926&lt;&gt;"OK","",C2926*I2926/100)</f>
        <v/>
      </c>
    </row>
    <row r="2927" spans="1:11">
      <c r="A2927" s="14">
        <v>46173</v>
      </c>
      <c r="B2927" s="15">
        <v>0.4270833333333333</v>
      </c>
      <c r="C2927" s="5">
        <f>IF('96 Werte'!AQ36="","",'96 Werte'!AQ36)</f>
        <v/>
      </c>
      <c r="D2927" t="str">
        <f>IF(IF(Eingaben!$B$21&lt;Eingaben!$B$22,AND(B2927&gt;=Eingaben!$B$21,B2927&lt;Eingaben!$B$22),OR(B2927&gt;=Eingaben!$B$21,B2927&lt;Eingaben!$B$22)),"GO",IF(AND(ISNUMBER(Eingaben!$B$23),ISNUMBER(Eingaben!$B$24),IF(Eingaben!$B$23&lt;Eingaben!$B$24,AND(B2927&gt;=Eingaben!$B$23,B2927&lt;Eingaben!$B$24),OR(B2927&gt;=Eingaben!$B$23,B2927&lt;Eingaben!$B$24))),"HEAT","STANDARD"))</f>
        <v>STANDARD</v>
      </c>
      <c r="E2927" s="9"/>
      <c r="F2927" t="str">
        <f>IF(E2927="",D2927,E2927)</f>
        <v>STANDARD</v>
      </c>
      <c r="G2927" t="str">
        <f>INDEX(Netzzeiten!$B$6:$B$29,HOUR(B2927)+1)</f>
        <v>ST</v>
      </c>
      <c r="H2927" s="6">
        <f>IF(F2927="GO",Eingaben!$B$11,IF(F2927="STANDARD",Eingaben!$B$12,IF(AND(F2927="HEAT",ISNUMBER(Eingaben!$B$13)),Eingaben!$B$13,"")))</f>
        <v>28.2744</v>
      </c>
      <c r="I2927" s="6">
        <f>INDEX(Netzzeiten!$C$6:$C$29,HOUR(B2927)+1)</f>
        <v>5.48</v>
      </c>
      <c r="J2927" t="str">
        <f>IF(C2927="","FEHLT",IF(NOT(ISNUMBER(C2927)),"MESSWERT UNGUELTIG",IF(C2927&lt;0,"MESSWERT UNGUELTIG",IF(H2927="","TARIFPREIS FEHLT","OK"))))</f>
        <v>FEHLT</v>
      </c>
      <c r="K2927" s="7">
        <f>IF(J2927&lt;&gt;"OK","",C2927*I2927/100)</f>
        <v/>
      </c>
    </row>
    <row r="2928" spans="1:11">
      <c r="A2928" s="14">
        <v>46173</v>
      </c>
      <c r="B2928" s="15">
        <v>0.4375</v>
      </c>
      <c r="C2928" s="5">
        <f>IF('96 Werte'!AR36="","",'96 Werte'!AR36)</f>
        <v/>
      </c>
      <c r="D2928" t="str">
        <f>IF(IF(Eingaben!$B$21&lt;Eingaben!$B$22,AND(B2928&gt;=Eingaben!$B$21,B2928&lt;Eingaben!$B$22),OR(B2928&gt;=Eingaben!$B$21,B2928&lt;Eingaben!$B$22)),"GO",IF(AND(ISNUMBER(Eingaben!$B$23),ISNUMBER(Eingaben!$B$24),IF(Eingaben!$B$23&lt;Eingaben!$B$24,AND(B2928&gt;=Eingaben!$B$23,B2928&lt;Eingaben!$B$24),OR(B2928&gt;=Eingaben!$B$23,B2928&lt;Eingaben!$B$24))),"HEAT","STANDARD"))</f>
        <v>STANDARD</v>
      </c>
      <c r="E2928" s="9"/>
      <c r="F2928" t="str">
        <f>IF(E2928="",D2928,E2928)</f>
        <v>STANDARD</v>
      </c>
      <c r="G2928" t="str">
        <f>INDEX(Netzzeiten!$B$6:$B$29,HOUR(B2928)+1)</f>
        <v>ST</v>
      </c>
      <c r="H2928" s="6">
        <f>IF(F2928="GO",Eingaben!$B$11,IF(F2928="STANDARD",Eingaben!$B$12,IF(AND(F2928="HEAT",ISNUMBER(Eingaben!$B$13)),Eingaben!$B$13,"")))</f>
        <v>28.2744</v>
      </c>
      <c r="I2928" s="6">
        <f>INDEX(Netzzeiten!$C$6:$C$29,HOUR(B2928)+1)</f>
        <v>5.48</v>
      </c>
      <c r="J2928" t="str">
        <f>IF(C2928="","FEHLT",IF(NOT(ISNUMBER(C2928)),"MESSWERT UNGUELTIG",IF(C2928&lt;0,"MESSWERT UNGUELTIG",IF(H2928="","TARIFPREIS FEHLT","OK"))))</f>
        <v>FEHLT</v>
      </c>
      <c r="K2928" s="7">
        <f>IF(J2928&lt;&gt;"OK","",C2928*I2928/100)</f>
        <v/>
      </c>
    </row>
    <row r="2929" spans="1:11">
      <c r="A2929" s="14">
        <v>46173</v>
      </c>
      <c r="B2929" s="15">
        <v>0.4479166666666667</v>
      </c>
      <c r="C2929" s="5">
        <f>IF('96 Werte'!AS36="","",'96 Werte'!AS36)</f>
        <v/>
      </c>
      <c r="D2929" t="str">
        <f>IF(IF(Eingaben!$B$21&lt;Eingaben!$B$22,AND(B2929&gt;=Eingaben!$B$21,B2929&lt;Eingaben!$B$22),OR(B2929&gt;=Eingaben!$B$21,B2929&lt;Eingaben!$B$22)),"GO",IF(AND(ISNUMBER(Eingaben!$B$23),ISNUMBER(Eingaben!$B$24),IF(Eingaben!$B$23&lt;Eingaben!$B$24,AND(B2929&gt;=Eingaben!$B$23,B2929&lt;Eingaben!$B$24),OR(B2929&gt;=Eingaben!$B$23,B2929&lt;Eingaben!$B$24))),"HEAT","STANDARD"))</f>
        <v>STANDARD</v>
      </c>
      <c r="E2929" s="9"/>
      <c r="F2929" t="str">
        <f>IF(E2929="",D2929,E2929)</f>
        <v>STANDARD</v>
      </c>
      <c r="G2929" t="str">
        <f>INDEX(Netzzeiten!$B$6:$B$29,HOUR(B2929)+1)</f>
        <v>ST</v>
      </c>
      <c r="H2929" s="6">
        <f>IF(F2929="GO",Eingaben!$B$11,IF(F2929="STANDARD",Eingaben!$B$12,IF(AND(F2929="HEAT",ISNUMBER(Eingaben!$B$13)),Eingaben!$B$13,"")))</f>
        <v>28.2744</v>
      </c>
      <c r="I2929" s="6">
        <f>INDEX(Netzzeiten!$C$6:$C$29,HOUR(B2929)+1)</f>
        <v>5.48</v>
      </c>
      <c r="J2929" t="str">
        <f>IF(C2929="","FEHLT",IF(NOT(ISNUMBER(C2929)),"MESSWERT UNGUELTIG",IF(C2929&lt;0,"MESSWERT UNGUELTIG",IF(H2929="","TARIFPREIS FEHLT","OK"))))</f>
        <v>FEHLT</v>
      </c>
      <c r="K2929" s="7">
        <f>IF(J2929&lt;&gt;"OK","",C2929*I2929/100)</f>
        <v/>
      </c>
    </row>
    <row r="2930" spans="1:11">
      <c r="A2930" s="14">
        <v>46173</v>
      </c>
      <c r="B2930" s="15">
        <v>0.4583333333333333</v>
      </c>
      <c r="C2930" s="5">
        <f>IF('96 Werte'!AT36="","",'96 Werte'!AT36)</f>
        <v/>
      </c>
      <c r="D2930" t="str">
        <f>IF(IF(Eingaben!$B$21&lt;Eingaben!$B$22,AND(B2930&gt;=Eingaben!$B$21,B2930&lt;Eingaben!$B$22),OR(B2930&gt;=Eingaben!$B$21,B2930&lt;Eingaben!$B$22)),"GO",IF(AND(ISNUMBER(Eingaben!$B$23),ISNUMBER(Eingaben!$B$24),IF(Eingaben!$B$23&lt;Eingaben!$B$24,AND(B2930&gt;=Eingaben!$B$23,B2930&lt;Eingaben!$B$24),OR(B2930&gt;=Eingaben!$B$23,B2930&lt;Eingaben!$B$24))),"HEAT","STANDARD"))</f>
        <v>STANDARD</v>
      </c>
      <c r="E2930" s="9"/>
      <c r="F2930" t="str">
        <f>IF(E2930="",D2930,E2930)</f>
        <v>STANDARD</v>
      </c>
      <c r="G2930" t="str">
        <f>INDEX(Netzzeiten!$B$6:$B$29,HOUR(B2930)+1)</f>
        <v>NT</v>
      </c>
      <c r="H2930" s="6">
        <f>IF(F2930="GO",Eingaben!$B$11,IF(F2930="STANDARD",Eingaben!$B$12,IF(AND(F2930="HEAT",ISNUMBER(Eingaben!$B$13)),Eingaben!$B$13,"")))</f>
        <v>28.2744</v>
      </c>
      <c r="I2930" s="6">
        <f>INDEX(Netzzeiten!$C$6:$C$29,HOUR(B2930)+1)</f>
        <v>1.64</v>
      </c>
      <c r="J2930" t="str">
        <f>IF(C2930="","FEHLT",IF(NOT(ISNUMBER(C2930)),"MESSWERT UNGUELTIG",IF(C2930&lt;0,"MESSWERT UNGUELTIG",IF(H2930="","TARIFPREIS FEHLT","OK"))))</f>
        <v>FEHLT</v>
      </c>
      <c r="K2930" s="7">
        <f>IF(J2930&lt;&gt;"OK","",C2930*I2930/100)</f>
        <v/>
      </c>
    </row>
    <row r="2931" spans="1:11">
      <c r="A2931" s="14">
        <v>46173</v>
      </c>
      <c r="B2931" s="15">
        <v>0.46875</v>
      </c>
      <c r="C2931" s="5">
        <f>IF('96 Werte'!AU36="","",'96 Werte'!AU36)</f>
        <v/>
      </c>
      <c r="D2931" t="str">
        <f>IF(IF(Eingaben!$B$21&lt;Eingaben!$B$22,AND(B2931&gt;=Eingaben!$B$21,B2931&lt;Eingaben!$B$22),OR(B2931&gt;=Eingaben!$B$21,B2931&lt;Eingaben!$B$22)),"GO",IF(AND(ISNUMBER(Eingaben!$B$23),ISNUMBER(Eingaben!$B$24),IF(Eingaben!$B$23&lt;Eingaben!$B$24,AND(B2931&gt;=Eingaben!$B$23,B2931&lt;Eingaben!$B$24),OR(B2931&gt;=Eingaben!$B$23,B2931&lt;Eingaben!$B$24))),"HEAT","STANDARD"))</f>
        <v>STANDARD</v>
      </c>
      <c r="E2931" s="9"/>
      <c r="F2931" t="str">
        <f>IF(E2931="",D2931,E2931)</f>
        <v>STANDARD</v>
      </c>
      <c r="G2931" t="str">
        <f>INDEX(Netzzeiten!$B$6:$B$29,HOUR(B2931)+1)</f>
        <v>NT</v>
      </c>
      <c r="H2931" s="6">
        <f>IF(F2931="GO",Eingaben!$B$11,IF(F2931="STANDARD",Eingaben!$B$12,IF(AND(F2931="HEAT",ISNUMBER(Eingaben!$B$13)),Eingaben!$B$13,"")))</f>
        <v>28.2744</v>
      </c>
      <c r="I2931" s="6">
        <f>INDEX(Netzzeiten!$C$6:$C$29,HOUR(B2931)+1)</f>
        <v>1.64</v>
      </c>
      <c r="J2931" t="str">
        <f>IF(C2931="","FEHLT",IF(NOT(ISNUMBER(C2931)),"MESSWERT UNGUELTIG",IF(C2931&lt;0,"MESSWERT UNGUELTIG",IF(H2931="","TARIFPREIS FEHLT","OK"))))</f>
        <v>FEHLT</v>
      </c>
      <c r="K2931" s="7">
        <f>IF(J2931&lt;&gt;"OK","",C2931*I2931/100)</f>
        <v/>
      </c>
    </row>
    <row r="2932" spans="1:11">
      <c r="A2932" s="14">
        <v>46173</v>
      </c>
      <c r="B2932" s="15">
        <v>0.4791666666666667</v>
      </c>
      <c r="C2932" s="5">
        <f>IF('96 Werte'!AV36="","",'96 Werte'!AV36)</f>
        <v/>
      </c>
      <c r="D2932" t="str">
        <f>IF(IF(Eingaben!$B$21&lt;Eingaben!$B$22,AND(B2932&gt;=Eingaben!$B$21,B2932&lt;Eingaben!$B$22),OR(B2932&gt;=Eingaben!$B$21,B2932&lt;Eingaben!$B$22)),"GO",IF(AND(ISNUMBER(Eingaben!$B$23),ISNUMBER(Eingaben!$B$24),IF(Eingaben!$B$23&lt;Eingaben!$B$24,AND(B2932&gt;=Eingaben!$B$23,B2932&lt;Eingaben!$B$24),OR(B2932&gt;=Eingaben!$B$23,B2932&lt;Eingaben!$B$24))),"HEAT","STANDARD"))</f>
        <v>STANDARD</v>
      </c>
      <c r="E2932" s="9"/>
      <c r="F2932" t="str">
        <f>IF(E2932="",D2932,E2932)</f>
        <v>STANDARD</v>
      </c>
      <c r="G2932" t="str">
        <f>INDEX(Netzzeiten!$B$6:$B$29,HOUR(B2932)+1)</f>
        <v>NT</v>
      </c>
      <c r="H2932" s="6">
        <f>IF(F2932="GO",Eingaben!$B$11,IF(F2932="STANDARD",Eingaben!$B$12,IF(AND(F2932="HEAT",ISNUMBER(Eingaben!$B$13)),Eingaben!$B$13,"")))</f>
        <v>28.2744</v>
      </c>
      <c r="I2932" s="6">
        <f>INDEX(Netzzeiten!$C$6:$C$29,HOUR(B2932)+1)</f>
        <v>1.64</v>
      </c>
      <c r="J2932" t="str">
        <f>IF(C2932="","FEHLT",IF(NOT(ISNUMBER(C2932)),"MESSWERT UNGUELTIG",IF(C2932&lt;0,"MESSWERT UNGUELTIG",IF(H2932="","TARIFPREIS FEHLT","OK"))))</f>
        <v>FEHLT</v>
      </c>
      <c r="K2932" s="7">
        <f>IF(J2932&lt;&gt;"OK","",C2932*I2932/100)</f>
        <v/>
      </c>
    </row>
    <row r="2933" spans="1:11">
      <c r="A2933" s="14">
        <v>46173</v>
      </c>
      <c r="B2933" s="15">
        <v>0.4895833333333333</v>
      </c>
      <c r="C2933" s="5">
        <f>IF('96 Werte'!AW36="","",'96 Werte'!AW36)</f>
        <v/>
      </c>
      <c r="D2933" t="str">
        <f>IF(IF(Eingaben!$B$21&lt;Eingaben!$B$22,AND(B2933&gt;=Eingaben!$B$21,B2933&lt;Eingaben!$B$22),OR(B2933&gt;=Eingaben!$B$21,B2933&lt;Eingaben!$B$22)),"GO",IF(AND(ISNUMBER(Eingaben!$B$23),ISNUMBER(Eingaben!$B$24),IF(Eingaben!$B$23&lt;Eingaben!$B$24,AND(B2933&gt;=Eingaben!$B$23,B2933&lt;Eingaben!$B$24),OR(B2933&gt;=Eingaben!$B$23,B2933&lt;Eingaben!$B$24))),"HEAT","STANDARD"))</f>
        <v>STANDARD</v>
      </c>
      <c r="E2933" s="9"/>
      <c r="F2933" t="str">
        <f>IF(E2933="",D2933,E2933)</f>
        <v>STANDARD</v>
      </c>
      <c r="G2933" t="str">
        <f>INDEX(Netzzeiten!$B$6:$B$29,HOUR(B2933)+1)</f>
        <v>NT</v>
      </c>
      <c r="H2933" s="6">
        <f>IF(F2933="GO",Eingaben!$B$11,IF(F2933="STANDARD",Eingaben!$B$12,IF(AND(F2933="HEAT",ISNUMBER(Eingaben!$B$13)),Eingaben!$B$13,"")))</f>
        <v>28.2744</v>
      </c>
      <c r="I2933" s="6">
        <f>INDEX(Netzzeiten!$C$6:$C$29,HOUR(B2933)+1)</f>
        <v>1.64</v>
      </c>
      <c r="J2933" t="str">
        <f>IF(C2933="","FEHLT",IF(NOT(ISNUMBER(C2933)),"MESSWERT UNGUELTIG",IF(C2933&lt;0,"MESSWERT UNGUELTIG",IF(H2933="","TARIFPREIS FEHLT","OK"))))</f>
        <v>FEHLT</v>
      </c>
      <c r="K2933" s="7">
        <f>IF(J2933&lt;&gt;"OK","",C2933*I2933/100)</f>
        <v/>
      </c>
    </row>
    <row r="2934" spans="1:11">
      <c r="A2934" s="14">
        <v>46173</v>
      </c>
      <c r="B2934" s="15">
        <v>0.5</v>
      </c>
      <c r="C2934" s="5">
        <f>IF('96 Werte'!AX36="","",'96 Werte'!AX36)</f>
        <v/>
      </c>
      <c r="D2934" t="str">
        <f>IF(IF(Eingaben!$B$21&lt;Eingaben!$B$22,AND(B2934&gt;=Eingaben!$B$21,B2934&lt;Eingaben!$B$22),OR(B2934&gt;=Eingaben!$B$21,B2934&lt;Eingaben!$B$22)),"GO",IF(AND(ISNUMBER(Eingaben!$B$23),ISNUMBER(Eingaben!$B$24),IF(Eingaben!$B$23&lt;Eingaben!$B$24,AND(B2934&gt;=Eingaben!$B$23,B2934&lt;Eingaben!$B$24),OR(B2934&gt;=Eingaben!$B$23,B2934&lt;Eingaben!$B$24))),"HEAT","STANDARD"))</f>
        <v>STANDARD</v>
      </c>
      <c r="E2934" s="9"/>
      <c r="F2934" t="str">
        <f>IF(E2934="",D2934,E2934)</f>
        <v>STANDARD</v>
      </c>
      <c r="G2934" t="str">
        <f>INDEX(Netzzeiten!$B$6:$B$29,HOUR(B2934)+1)</f>
        <v>NT</v>
      </c>
      <c r="H2934" s="6">
        <f>IF(F2934="GO",Eingaben!$B$11,IF(F2934="STANDARD",Eingaben!$B$12,IF(AND(F2934="HEAT",ISNUMBER(Eingaben!$B$13)),Eingaben!$B$13,"")))</f>
        <v>28.2744</v>
      </c>
      <c r="I2934" s="6">
        <f>INDEX(Netzzeiten!$C$6:$C$29,HOUR(B2934)+1)</f>
        <v>1.64</v>
      </c>
      <c r="J2934" t="str">
        <f>IF(C2934="","FEHLT",IF(NOT(ISNUMBER(C2934)),"MESSWERT UNGUELTIG",IF(C2934&lt;0,"MESSWERT UNGUELTIG",IF(H2934="","TARIFPREIS FEHLT","OK"))))</f>
        <v>FEHLT</v>
      </c>
      <c r="K2934" s="7">
        <f>IF(J2934&lt;&gt;"OK","",C2934*I2934/100)</f>
        <v/>
      </c>
    </row>
    <row r="2935" spans="1:11">
      <c r="A2935" s="14">
        <v>46173</v>
      </c>
      <c r="B2935" s="15">
        <v>0.5104166666666666</v>
      </c>
      <c r="C2935" s="5">
        <f>IF('96 Werte'!AY36="","",'96 Werte'!AY36)</f>
        <v/>
      </c>
      <c r="D2935" t="str">
        <f>IF(IF(Eingaben!$B$21&lt;Eingaben!$B$22,AND(B2935&gt;=Eingaben!$B$21,B2935&lt;Eingaben!$B$22),OR(B2935&gt;=Eingaben!$B$21,B2935&lt;Eingaben!$B$22)),"GO",IF(AND(ISNUMBER(Eingaben!$B$23),ISNUMBER(Eingaben!$B$24),IF(Eingaben!$B$23&lt;Eingaben!$B$24,AND(B2935&gt;=Eingaben!$B$23,B2935&lt;Eingaben!$B$24),OR(B2935&gt;=Eingaben!$B$23,B2935&lt;Eingaben!$B$24))),"HEAT","STANDARD"))</f>
        <v>STANDARD</v>
      </c>
      <c r="E2935" s="9"/>
      <c r="F2935" t="str">
        <f>IF(E2935="",D2935,E2935)</f>
        <v>STANDARD</v>
      </c>
      <c r="G2935" t="str">
        <f>INDEX(Netzzeiten!$B$6:$B$29,HOUR(B2935)+1)</f>
        <v>NT</v>
      </c>
      <c r="H2935" s="6">
        <f>IF(F2935="GO",Eingaben!$B$11,IF(F2935="STANDARD",Eingaben!$B$12,IF(AND(F2935="HEAT",ISNUMBER(Eingaben!$B$13)),Eingaben!$B$13,"")))</f>
        <v>28.2744</v>
      </c>
      <c r="I2935" s="6">
        <f>INDEX(Netzzeiten!$C$6:$C$29,HOUR(B2935)+1)</f>
        <v>1.64</v>
      </c>
      <c r="J2935" t="str">
        <f>IF(C2935="","FEHLT",IF(NOT(ISNUMBER(C2935)),"MESSWERT UNGUELTIG",IF(C2935&lt;0,"MESSWERT UNGUELTIG",IF(H2935="","TARIFPREIS FEHLT","OK"))))</f>
        <v>FEHLT</v>
      </c>
      <c r="K2935" s="7">
        <f>IF(J2935&lt;&gt;"OK","",C2935*I2935/100)</f>
        <v/>
      </c>
    </row>
    <row r="2936" spans="1:11">
      <c r="A2936" s="14">
        <v>46173</v>
      </c>
      <c r="B2936" s="15">
        <v>0.5208333333333334</v>
      </c>
      <c r="C2936" s="5">
        <f>IF('96 Werte'!AZ36="","",'96 Werte'!AZ36)</f>
        <v/>
      </c>
      <c r="D2936" t="str">
        <f>IF(IF(Eingaben!$B$21&lt;Eingaben!$B$22,AND(B2936&gt;=Eingaben!$B$21,B2936&lt;Eingaben!$B$22),OR(B2936&gt;=Eingaben!$B$21,B2936&lt;Eingaben!$B$22)),"GO",IF(AND(ISNUMBER(Eingaben!$B$23),ISNUMBER(Eingaben!$B$24),IF(Eingaben!$B$23&lt;Eingaben!$B$24,AND(B2936&gt;=Eingaben!$B$23,B2936&lt;Eingaben!$B$24),OR(B2936&gt;=Eingaben!$B$23,B2936&lt;Eingaben!$B$24))),"HEAT","STANDARD"))</f>
        <v>STANDARD</v>
      </c>
      <c r="E2936" s="9"/>
      <c r="F2936" t="str">
        <f>IF(E2936="",D2936,E2936)</f>
        <v>STANDARD</v>
      </c>
      <c r="G2936" t="str">
        <f>INDEX(Netzzeiten!$B$6:$B$29,HOUR(B2936)+1)</f>
        <v>NT</v>
      </c>
      <c r="H2936" s="6">
        <f>IF(F2936="GO",Eingaben!$B$11,IF(F2936="STANDARD",Eingaben!$B$12,IF(AND(F2936="HEAT",ISNUMBER(Eingaben!$B$13)),Eingaben!$B$13,"")))</f>
        <v>28.2744</v>
      </c>
      <c r="I2936" s="6">
        <f>INDEX(Netzzeiten!$C$6:$C$29,HOUR(B2936)+1)</f>
        <v>1.64</v>
      </c>
      <c r="J2936" t="str">
        <f>IF(C2936="","FEHLT",IF(NOT(ISNUMBER(C2936)),"MESSWERT UNGUELTIG",IF(C2936&lt;0,"MESSWERT UNGUELTIG",IF(H2936="","TARIFPREIS FEHLT","OK"))))</f>
        <v>FEHLT</v>
      </c>
      <c r="K2936" s="7">
        <f>IF(J2936&lt;&gt;"OK","",C2936*I2936/100)</f>
        <v/>
      </c>
    </row>
    <row r="2937" spans="1:11">
      <c r="A2937" s="14">
        <v>46173</v>
      </c>
      <c r="B2937" s="15">
        <v>0.53125</v>
      </c>
      <c r="C2937" s="5">
        <f>IF('96 Werte'!BA36="","",'96 Werte'!BA36)</f>
        <v/>
      </c>
      <c r="D2937" t="str">
        <f>IF(IF(Eingaben!$B$21&lt;Eingaben!$B$22,AND(B2937&gt;=Eingaben!$B$21,B2937&lt;Eingaben!$B$22),OR(B2937&gt;=Eingaben!$B$21,B2937&lt;Eingaben!$B$22)),"GO",IF(AND(ISNUMBER(Eingaben!$B$23),ISNUMBER(Eingaben!$B$24),IF(Eingaben!$B$23&lt;Eingaben!$B$24,AND(B2937&gt;=Eingaben!$B$23,B2937&lt;Eingaben!$B$24),OR(B2937&gt;=Eingaben!$B$23,B2937&lt;Eingaben!$B$24))),"HEAT","STANDARD"))</f>
        <v>STANDARD</v>
      </c>
      <c r="E2937" s="9"/>
      <c r="F2937" t="str">
        <f>IF(E2937="",D2937,E2937)</f>
        <v>STANDARD</v>
      </c>
      <c r="G2937" t="str">
        <f>INDEX(Netzzeiten!$B$6:$B$29,HOUR(B2937)+1)</f>
        <v>NT</v>
      </c>
      <c r="H2937" s="6">
        <f>IF(F2937="GO",Eingaben!$B$11,IF(F2937="STANDARD",Eingaben!$B$12,IF(AND(F2937="HEAT",ISNUMBER(Eingaben!$B$13)),Eingaben!$B$13,"")))</f>
        <v>28.2744</v>
      </c>
      <c r="I2937" s="6">
        <f>INDEX(Netzzeiten!$C$6:$C$29,HOUR(B2937)+1)</f>
        <v>1.64</v>
      </c>
      <c r="J2937" t="str">
        <f>IF(C2937="","FEHLT",IF(NOT(ISNUMBER(C2937)),"MESSWERT UNGUELTIG",IF(C2937&lt;0,"MESSWERT UNGUELTIG",IF(H2937="","TARIFPREIS FEHLT","OK"))))</f>
        <v>FEHLT</v>
      </c>
      <c r="K2937" s="7">
        <f>IF(J2937&lt;&gt;"OK","",C2937*I2937/100)</f>
        <v/>
      </c>
    </row>
    <row r="2938" spans="1:11">
      <c r="A2938" s="14">
        <v>46173</v>
      </c>
      <c r="B2938" s="15">
        <v>0.5416666666666666</v>
      </c>
      <c r="C2938" s="5">
        <f>IF('96 Werte'!BB36="","",'96 Werte'!BB36)</f>
        <v/>
      </c>
      <c r="D2938" t="str">
        <f>IF(IF(Eingaben!$B$21&lt;Eingaben!$B$22,AND(B2938&gt;=Eingaben!$B$21,B2938&lt;Eingaben!$B$22),OR(B2938&gt;=Eingaben!$B$21,B2938&lt;Eingaben!$B$22)),"GO",IF(AND(ISNUMBER(Eingaben!$B$23),ISNUMBER(Eingaben!$B$24),IF(Eingaben!$B$23&lt;Eingaben!$B$24,AND(B2938&gt;=Eingaben!$B$23,B2938&lt;Eingaben!$B$24),OR(B2938&gt;=Eingaben!$B$23,B2938&lt;Eingaben!$B$24))),"HEAT","STANDARD"))</f>
        <v>STANDARD</v>
      </c>
      <c r="E2938" s="9"/>
      <c r="F2938" t="str">
        <f>IF(E2938="",D2938,E2938)</f>
        <v>STANDARD</v>
      </c>
      <c r="G2938" t="str">
        <f>INDEX(Netzzeiten!$B$6:$B$29,HOUR(B2938)+1)</f>
        <v>NT</v>
      </c>
      <c r="H2938" s="6">
        <f>IF(F2938="GO",Eingaben!$B$11,IF(F2938="STANDARD",Eingaben!$B$12,IF(AND(F2938="HEAT",ISNUMBER(Eingaben!$B$13)),Eingaben!$B$13,"")))</f>
        <v>28.2744</v>
      </c>
      <c r="I2938" s="6">
        <f>INDEX(Netzzeiten!$C$6:$C$29,HOUR(B2938)+1)</f>
        <v>1.64</v>
      </c>
      <c r="J2938" t="str">
        <f>IF(C2938="","FEHLT",IF(NOT(ISNUMBER(C2938)),"MESSWERT UNGUELTIG",IF(C2938&lt;0,"MESSWERT UNGUELTIG",IF(H2938="","TARIFPREIS FEHLT","OK"))))</f>
        <v>FEHLT</v>
      </c>
      <c r="K2938" s="7">
        <f>IF(J2938&lt;&gt;"OK","",C2938*I2938/100)</f>
        <v/>
      </c>
    </row>
    <row r="2939" spans="1:11">
      <c r="A2939" s="14">
        <v>46173</v>
      </c>
      <c r="B2939" s="15">
        <v>0.5520833333333334</v>
      </c>
      <c r="C2939" s="5">
        <f>IF('96 Werte'!BC36="","",'96 Werte'!BC36)</f>
        <v/>
      </c>
      <c r="D2939" t="str">
        <f>IF(IF(Eingaben!$B$21&lt;Eingaben!$B$22,AND(B2939&gt;=Eingaben!$B$21,B2939&lt;Eingaben!$B$22),OR(B2939&gt;=Eingaben!$B$21,B2939&lt;Eingaben!$B$22)),"GO",IF(AND(ISNUMBER(Eingaben!$B$23),ISNUMBER(Eingaben!$B$24),IF(Eingaben!$B$23&lt;Eingaben!$B$24,AND(B2939&gt;=Eingaben!$B$23,B2939&lt;Eingaben!$B$24),OR(B2939&gt;=Eingaben!$B$23,B2939&lt;Eingaben!$B$24))),"HEAT","STANDARD"))</f>
        <v>STANDARD</v>
      </c>
      <c r="E2939" s="9"/>
      <c r="F2939" t="str">
        <f>IF(E2939="",D2939,E2939)</f>
        <v>STANDARD</v>
      </c>
      <c r="G2939" t="str">
        <f>INDEX(Netzzeiten!$B$6:$B$29,HOUR(B2939)+1)</f>
        <v>NT</v>
      </c>
      <c r="H2939" s="6">
        <f>IF(F2939="GO",Eingaben!$B$11,IF(F2939="STANDARD",Eingaben!$B$12,IF(AND(F2939="HEAT",ISNUMBER(Eingaben!$B$13)),Eingaben!$B$13,"")))</f>
        <v>28.2744</v>
      </c>
      <c r="I2939" s="6">
        <f>INDEX(Netzzeiten!$C$6:$C$29,HOUR(B2939)+1)</f>
        <v>1.64</v>
      </c>
      <c r="J2939" t="str">
        <f>IF(C2939="","FEHLT",IF(NOT(ISNUMBER(C2939)),"MESSWERT UNGUELTIG",IF(C2939&lt;0,"MESSWERT UNGUELTIG",IF(H2939="","TARIFPREIS FEHLT","OK"))))</f>
        <v>FEHLT</v>
      </c>
      <c r="K2939" s="7">
        <f>IF(J2939&lt;&gt;"OK","",C2939*I2939/100)</f>
        <v/>
      </c>
    </row>
    <row r="2940" spans="1:11">
      <c r="A2940" s="14">
        <v>46173</v>
      </c>
      <c r="B2940" s="15">
        <v>0.5625</v>
      </c>
      <c r="C2940" s="5">
        <f>IF('96 Werte'!BD36="","",'96 Werte'!BD36)</f>
        <v/>
      </c>
      <c r="D2940" t="str">
        <f>IF(IF(Eingaben!$B$21&lt;Eingaben!$B$22,AND(B2940&gt;=Eingaben!$B$21,B2940&lt;Eingaben!$B$22),OR(B2940&gt;=Eingaben!$B$21,B2940&lt;Eingaben!$B$22)),"GO",IF(AND(ISNUMBER(Eingaben!$B$23),ISNUMBER(Eingaben!$B$24),IF(Eingaben!$B$23&lt;Eingaben!$B$24,AND(B2940&gt;=Eingaben!$B$23,B2940&lt;Eingaben!$B$24),OR(B2940&gt;=Eingaben!$B$23,B2940&lt;Eingaben!$B$24))),"HEAT","STANDARD"))</f>
        <v>STANDARD</v>
      </c>
      <c r="E2940" s="9"/>
      <c r="F2940" t="str">
        <f>IF(E2940="",D2940,E2940)</f>
        <v>STANDARD</v>
      </c>
      <c r="G2940" t="str">
        <f>INDEX(Netzzeiten!$B$6:$B$29,HOUR(B2940)+1)</f>
        <v>NT</v>
      </c>
      <c r="H2940" s="6">
        <f>IF(F2940="GO",Eingaben!$B$11,IF(F2940="STANDARD",Eingaben!$B$12,IF(AND(F2940="HEAT",ISNUMBER(Eingaben!$B$13)),Eingaben!$B$13,"")))</f>
        <v>28.2744</v>
      </c>
      <c r="I2940" s="6">
        <f>INDEX(Netzzeiten!$C$6:$C$29,HOUR(B2940)+1)</f>
        <v>1.64</v>
      </c>
      <c r="J2940" t="str">
        <f>IF(C2940="","FEHLT",IF(NOT(ISNUMBER(C2940)),"MESSWERT UNGUELTIG",IF(C2940&lt;0,"MESSWERT UNGUELTIG",IF(H2940="","TARIFPREIS FEHLT","OK"))))</f>
        <v>FEHLT</v>
      </c>
      <c r="K2940" s="7">
        <f>IF(J2940&lt;&gt;"OK","",C2940*I2940/100)</f>
        <v/>
      </c>
    </row>
    <row r="2941" spans="1:11">
      <c r="A2941" s="14">
        <v>46173</v>
      </c>
      <c r="B2941" s="15">
        <v>0.5729166666666666</v>
      </c>
      <c r="C2941" s="5">
        <f>IF('96 Werte'!BE36="","",'96 Werte'!BE36)</f>
        <v/>
      </c>
      <c r="D2941" t="str">
        <f>IF(IF(Eingaben!$B$21&lt;Eingaben!$B$22,AND(B2941&gt;=Eingaben!$B$21,B2941&lt;Eingaben!$B$22),OR(B2941&gt;=Eingaben!$B$21,B2941&lt;Eingaben!$B$22)),"GO",IF(AND(ISNUMBER(Eingaben!$B$23),ISNUMBER(Eingaben!$B$24),IF(Eingaben!$B$23&lt;Eingaben!$B$24,AND(B2941&gt;=Eingaben!$B$23,B2941&lt;Eingaben!$B$24),OR(B2941&gt;=Eingaben!$B$23,B2941&lt;Eingaben!$B$24))),"HEAT","STANDARD"))</f>
        <v>STANDARD</v>
      </c>
      <c r="E2941" s="9"/>
      <c r="F2941" t="str">
        <f>IF(E2941="",D2941,E2941)</f>
        <v>STANDARD</v>
      </c>
      <c r="G2941" t="str">
        <f>INDEX(Netzzeiten!$B$6:$B$29,HOUR(B2941)+1)</f>
        <v>NT</v>
      </c>
      <c r="H2941" s="6">
        <f>IF(F2941="GO",Eingaben!$B$11,IF(F2941="STANDARD",Eingaben!$B$12,IF(AND(F2941="HEAT",ISNUMBER(Eingaben!$B$13)),Eingaben!$B$13,"")))</f>
        <v>28.2744</v>
      </c>
      <c r="I2941" s="6">
        <f>INDEX(Netzzeiten!$C$6:$C$29,HOUR(B2941)+1)</f>
        <v>1.64</v>
      </c>
      <c r="J2941" t="str">
        <f>IF(C2941="","FEHLT",IF(NOT(ISNUMBER(C2941)),"MESSWERT UNGUELTIG",IF(C2941&lt;0,"MESSWERT UNGUELTIG",IF(H2941="","TARIFPREIS FEHLT","OK"))))</f>
        <v>FEHLT</v>
      </c>
      <c r="K2941" s="7">
        <f>IF(J2941&lt;&gt;"OK","",C2941*I2941/100)</f>
        <v/>
      </c>
    </row>
    <row r="2942" spans="1:11">
      <c r="A2942" s="14">
        <v>46173</v>
      </c>
      <c r="B2942" s="15">
        <v>0.5833333333333334</v>
      </c>
      <c r="C2942" s="5">
        <f>IF('96 Werte'!BF36="","",'96 Werte'!BF36)</f>
        <v/>
      </c>
      <c r="D2942" t="str">
        <f>IF(IF(Eingaben!$B$21&lt;Eingaben!$B$22,AND(B2942&gt;=Eingaben!$B$21,B2942&lt;Eingaben!$B$22),OR(B2942&gt;=Eingaben!$B$21,B2942&lt;Eingaben!$B$22)),"GO",IF(AND(ISNUMBER(Eingaben!$B$23),ISNUMBER(Eingaben!$B$24),IF(Eingaben!$B$23&lt;Eingaben!$B$24,AND(B2942&gt;=Eingaben!$B$23,B2942&lt;Eingaben!$B$24),OR(B2942&gt;=Eingaben!$B$23,B2942&lt;Eingaben!$B$24))),"HEAT","STANDARD"))</f>
        <v>STANDARD</v>
      </c>
      <c r="E2942" s="9"/>
      <c r="F2942" t="str">
        <f>IF(E2942="",D2942,E2942)</f>
        <v>STANDARD</v>
      </c>
      <c r="G2942" t="str">
        <f>INDEX(Netzzeiten!$B$6:$B$29,HOUR(B2942)+1)</f>
        <v>NT</v>
      </c>
      <c r="H2942" s="6">
        <f>IF(F2942="GO",Eingaben!$B$11,IF(F2942="STANDARD",Eingaben!$B$12,IF(AND(F2942="HEAT",ISNUMBER(Eingaben!$B$13)),Eingaben!$B$13,"")))</f>
        <v>28.2744</v>
      </c>
      <c r="I2942" s="6">
        <f>INDEX(Netzzeiten!$C$6:$C$29,HOUR(B2942)+1)</f>
        <v>1.64</v>
      </c>
      <c r="J2942" t="str">
        <f>IF(C2942="","FEHLT",IF(NOT(ISNUMBER(C2942)),"MESSWERT UNGUELTIG",IF(C2942&lt;0,"MESSWERT UNGUELTIG",IF(H2942="","TARIFPREIS FEHLT","OK"))))</f>
        <v>FEHLT</v>
      </c>
      <c r="K2942" s="7">
        <f>IF(J2942&lt;&gt;"OK","",C2942*I2942/100)</f>
        <v/>
      </c>
    </row>
    <row r="2943" spans="1:11">
      <c r="A2943" s="14">
        <v>46173</v>
      </c>
      <c r="B2943" s="15">
        <v>0.59375</v>
      </c>
      <c r="C2943" s="5">
        <f>IF('96 Werte'!BG36="","",'96 Werte'!BG36)</f>
        <v/>
      </c>
      <c r="D2943" t="str">
        <f>IF(IF(Eingaben!$B$21&lt;Eingaben!$B$22,AND(B2943&gt;=Eingaben!$B$21,B2943&lt;Eingaben!$B$22),OR(B2943&gt;=Eingaben!$B$21,B2943&lt;Eingaben!$B$22)),"GO",IF(AND(ISNUMBER(Eingaben!$B$23),ISNUMBER(Eingaben!$B$24),IF(Eingaben!$B$23&lt;Eingaben!$B$24,AND(B2943&gt;=Eingaben!$B$23,B2943&lt;Eingaben!$B$24),OR(B2943&gt;=Eingaben!$B$23,B2943&lt;Eingaben!$B$24))),"HEAT","STANDARD"))</f>
        <v>STANDARD</v>
      </c>
      <c r="E2943" s="9"/>
      <c r="F2943" t="str">
        <f>IF(E2943="",D2943,E2943)</f>
        <v>STANDARD</v>
      </c>
      <c r="G2943" t="str">
        <f>INDEX(Netzzeiten!$B$6:$B$29,HOUR(B2943)+1)</f>
        <v>NT</v>
      </c>
      <c r="H2943" s="6">
        <f>IF(F2943="GO",Eingaben!$B$11,IF(F2943="STANDARD",Eingaben!$B$12,IF(AND(F2943="HEAT",ISNUMBER(Eingaben!$B$13)),Eingaben!$B$13,"")))</f>
        <v>28.2744</v>
      </c>
      <c r="I2943" s="6">
        <f>INDEX(Netzzeiten!$C$6:$C$29,HOUR(B2943)+1)</f>
        <v>1.64</v>
      </c>
      <c r="J2943" t="str">
        <f>IF(C2943="","FEHLT",IF(NOT(ISNUMBER(C2943)),"MESSWERT UNGUELTIG",IF(C2943&lt;0,"MESSWERT UNGUELTIG",IF(H2943="","TARIFPREIS FEHLT","OK"))))</f>
        <v>FEHLT</v>
      </c>
      <c r="K2943" s="7">
        <f>IF(J2943&lt;&gt;"OK","",C2943*I2943/100)</f>
        <v/>
      </c>
    </row>
    <row r="2944" spans="1:11">
      <c r="A2944" s="14">
        <v>46173</v>
      </c>
      <c r="B2944" s="15">
        <v>0.6041666666666666</v>
      </c>
      <c r="C2944" s="5">
        <f>IF('96 Werte'!BH36="","",'96 Werte'!BH36)</f>
        <v/>
      </c>
      <c r="D2944" t="str">
        <f>IF(IF(Eingaben!$B$21&lt;Eingaben!$B$22,AND(B2944&gt;=Eingaben!$B$21,B2944&lt;Eingaben!$B$22),OR(B2944&gt;=Eingaben!$B$21,B2944&lt;Eingaben!$B$22)),"GO",IF(AND(ISNUMBER(Eingaben!$B$23),ISNUMBER(Eingaben!$B$24),IF(Eingaben!$B$23&lt;Eingaben!$B$24,AND(B2944&gt;=Eingaben!$B$23,B2944&lt;Eingaben!$B$24),OR(B2944&gt;=Eingaben!$B$23,B2944&lt;Eingaben!$B$24))),"HEAT","STANDARD"))</f>
        <v>STANDARD</v>
      </c>
      <c r="E2944" s="9"/>
      <c r="F2944" t="str">
        <f>IF(E2944="",D2944,E2944)</f>
        <v>STANDARD</v>
      </c>
      <c r="G2944" t="str">
        <f>INDEX(Netzzeiten!$B$6:$B$29,HOUR(B2944)+1)</f>
        <v>NT</v>
      </c>
      <c r="H2944" s="6">
        <f>IF(F2944="GO",Eingaben!$B$11,IF(F2944="STANDARD",Eingaben!$B$12,IF(AND(F2944="HEAT",ISNUMBER(Eingaben!$B$13)),Eingaben!$B$13,"")))</f>
        <v>28.2744</v>
      </c>
      <c r="I2944" s="6">
        <f>INDEX(Netzzeiten!$C$6:$C$29,HOUR(B2944)+1)</f>
        <v>1.64</v>
      </c>
      <c r="J2944" t="str">
        <f>IF(C2944="","FEHLT",IF(NOT(ISNUMBER(C2944)),"MESSWERT UNGUELTIG",IF(C2944&lt;0,"MESSWERT UNGUELTIG",IF(H2944="","TARIFPREIS FEHLT","OK"))))</f>
        <v>FEHLT</v>
      </c>
      <c r="K2944" s="7">
        <f>IF(J2944&lt;&gt;"OK","",C2944*I2944/100)</f>
        <v/>
      </c>
    </row>
    <row r="2945" spans="1:11">
      <c r="A2945" s="14">
        <v>46173</v>
      </c>
      <c r="B2945" s="15">
        <v>0.6145833333333334</v>
      </c>
      <c r="C2945" s="5">
        <f>IF('96 Werte'!BI36="","",'96 Werte'!BI36)</f>
        <v/>
      </c>
      <c r="D2945" t="str">
        <f>IF(IF(Eingaben!$B$21&lt;Eingaben!$B$22,AND(B2945&gt;=Eingaben!$B$21,B2945&lt;Eingaben!$B$22),OR(B2945&gt;=Eingaben!$B$21,B2945&lt;Eingaben!$B$22)),"GO",IF(AND(ISNUMBER(Eingaben!$B$23),ISNUMBER(Eingaben!$B$24),IF(Eingaben!$B$23&lt;Eingaben!$B$24,AND(B2945&gt;=Eingaben!$B$23,B2945&lt;Eingaben!$B$24),OR(B2945&gt;=Eingaben!$B$23,B2945&lt;Eingaben!$B$24))),"HEAT","STANDARD"))</f>
        <v>STANDARD</v>
      </c>
      <c r="E2945" s="9"/>
      <c r="F2945" t="str">
        <f>IF(E2945="",D2945,E2945)</f>
        <v>STANDARD</v>
      </c>
      <c r="G2945" t="str">
        <f>INDEX(Netzzeiten!$B$6:$B$29,HOUR(B2945)+1)</f>
        <v>NT</v>
      </c>
      <c r="H2945" s="6">
        <f>IF(F2945="GO",Eingaben!$B$11,IF(F2945="STANDARD",Eingaben!$B$12,IF(AND(F2945="HEAT",ISNUMBER(Eingaben!$B$13)),Eingaben!$B$13,"")))</f>
        <v>28.2744</v>
      </c>
      <c r="I2945" s="6">
        <f>INDEX(Netzzeiten!$C$6:$C$29,HOUR(B2945)+1)</f>
        <v>1.64</v>
      </c>
      <c r="J2945" t="str">
        <f>IF(C2945="","FEHLT",IF(NOT(ISNUMBER(C2945)),"MESSWERT UNGUELTIG",IF(C2945&lt;0,"MESSWERT UNGUELTIG",IF(H2945="","TARIFPREIS FEHLT","OK"))))</f>
        <v>FEHLT</v>
      </c>
      <c r="K2945" s="7">
        <f>IF(J2945&lt;&gt;"OK","",C2945*I2945/100)</f>
        <v/>
      </c>
    </row>
    <row r="2946" spans="1:11">
      <c r="A2946" s="14">
        <v>46173</v>
      </c>
      <c r="B2946" s="15">
        <v>0.625</v>
      </c>
      <c r="C2946" s="5">
        <f>IF('96 Werte'!BJ36="","",'96 Werte'!BJ36)</f>
        <v/>
      </c>
      <c r="D2946" t="str">
        <f>IF(IF(Eingaben!$B$21&lt;Eingaben!$B$22,AND(B2946&gt;=Eingaben!$B$21,B2946&lt;Eingaben!$B$22),OR(B2946&gt;=Eingaben!$B$21,B2946&lt;Eingaben!$B$22)),"GO",IF(AND(ISNUMBER(Eingaben!$B$23),ISNUMBER(Eingaben!$B$24),IF(Eingaben!$B$23&lt;Eingaben!$B$24,AND(B2946&gt;=Eingaben!$B$23,B2946&lt;Eingaben!$B$24),OR(B2946&gt;=Eingaben!$B$23,B2946&lt;Eingaben!$B$24))),"HEAT","STANDARD"))</f>
        <v>STANDARD</v>
      </c>
      <c r="E2946" s="9"/>
      <c r="F2946" t="str">
        <f>IF(E2946="",D2946,E2946)</f>
        <v>STANDARD</v>
      </c>
      <c r="G2946" t="str">
        <f>INDEX(Netzzeiten!$B$6:$B$29,HOUR(B2946)+1)</f>
        <v>ST</v>
      </c>
      <c r="H2946" s="6">
        <f>IF(F2946="GO",Eingaben!$B$11,IF(F2946="STANDARD",Eingaben!$B$12,IF(AND(F2946="HEAT",ISNUMBER(Eingaben!$B$13)),Eingaben!$B$13,"")))</f>
        <v>28.2744</v>
      </c>
      <c r="I2946" s="6">
        <f>INDEX(Netzzeiten!$C$6:$C$29,HOUR(B2946)+1)</f>
        <v>5.48</v>
      </c>
      <c r="J2946" t="str">
        <f>IF(C2946="","FEHLT",IF(NOT(ISNUMBER(C2946)),"MESSWERT UNGUELTIG",IF(C2946&lt;0,"MESSWERT UNGUELTIG",IF(H2946="","TARIFPREIS FEHLT","OK"))))</f>
        <v>FEHLT</v>
      </c>
      <c r="K2946" s="7">
        <f>IF(J2946&lt;&gt;"OK","",C2946*I2946/100)</f>
        <v/>
      </c>
    </row>
    <row r="2947" spans="1:11">
      <c r="A2947" s="14">
        <v>46173</v>
      </c>
      <c r="B2947" s="15">
        <v>0.6354166666666666</v>
      </c>
      <c r="C2947" s="5">
        <f>IF('96 Werte'!BK36="","",'96 Werte'!BK36)</f>
        <v/>
      </c>
      <c r="D2947" t="str">
        <f>IF(IF(Eingaben!$B$21&lt;Eingaben!$B$22,AND(B2947&gt;=Eingaben!$B$21,B2947&lt;Eingaben!$B$22),OR(B2947&gt;=Eingaben!$B$21,B2947&lt;Eingaben!$B$22)),"GO",IF(AND(ISNUMBER(Eingaben!$B$23),ISNUMBER(Eingaben!$B$24),IF(Eingaben!$B$23&lt;Eingaben!$B$24,AND(B2947&gt;=Eingaben!$B$23,B2947&lt;Eingaben!$B$24),OR(B2947&gt;=Eingaben!$B$23,B2947&lt;Eingaben!$B$24))),"HEAT","STANDARD"))</f>
        <v>STANDARD</v>
      </c>
      <c r="E2947" s="9"/>
      <c r="F2947" t="str">
        <f>IF(E2947="",D2947,E2947)</f>
        <v>STANDARD</v>
      </c>
      <c r="G2947" t="str">
        <f>INDEX(Netzzeiten!$B$6:$B$29,HOUR(B2947)+1)</f>
        <v>ST</v>
      </c>
      <c r="H2947" s="6">
        <f>IF(F2947="GO",Eingaben!$B$11,IF(F2947="STANDARD",Eingaben!$B$12,IF(AND(F2947="HEAT",ISNUMBER(Eingaben!$B$13)),Eingaben!$B$13,"")))</f>
        <v>28.2744</v>
      </c>
      <c r="I2947" s="6">
        <f>INDEX(Netzzeiten!$C$6:$C$29,HOUR(B2947)+1)</f>
        <v>5.48</v>
      </c>
      <c r="J2947" t="str">
        <f>IF(C2947="","FEHLT",IF(NOT(ISNUMBER(C2947)),"MESSWERT UNGUELTIG",IF(C2947&lt;0,"MESSWERT UNGUELTIG",IF(H2947="","TARIFPREIS FEHLT","OK"))))</f>
        <v>FEHLT</v>
      </c>
      <c r="K2947" s="7">
        <f>IF(J2947&lt;&gt;"OK","",C2947*I2947/100)</f>
        <v/>
      </c>
    </row>
    <row r="2948" spans="1:11">
      <c r="A2948" s="14">
        <v>46173</v>
      </c>
      <c r="B2948" s="15">
        <v>0.6458333333333334</v>
      </c>
      <c r="C2948" s="5">
        <f>IF('96 Werte'!BL36="","",'96 Werte'!BL36)</f>
        <v/>
      </c>
      <c r="D2948" t="str">
        <f>IF(IF(Eingaben!$B$21&lt;Eingaben!$B$22,AND(B2948&gt;=Eingaben!$B$21,B2948&lt;Eingaben!$B$22),OR(B2948&gt;=Eingaben!$B$21,B2948&lt;Eingaben!$B$22)),"GO",IF(AND(ISNUMBER(Eingaben!$B$23),ISNUMBER(Eingaben!$B$24),IF(Eingaben!$B$23&lt;Eingaben!$B$24,AND(B2948&gt;=Eingaben!$B$23,B2948&lt;Eingaben!$B$24),OR(B2948&gt;=Eingaben!$B$23,B2948&lt;Eingaben!$B$24))),"HEAT","STANDARD"))</f>
        <v>STANDARD</v>
      </c>
      <c r="E2948" s="9"/>
      <c r="F2948" t="str">
        <f>IF(E2948="",D2948,E2948)</f>
        <v>STANDARD</v>
      </c>
      <c r="G2948" t="str">
        <f>INDEX(Netzzeiten!$B$6:$B$29,HOUR(B2948)+1)</f>
        <v>ST</v>
      </c>
      <c r="H2948" s="6">
        <f>IF(F2948="GO",Eingaben!$B$11,IF(F2948="STANDARD",Eingaben!$B$12,IF(AND(F2948="HEAT",ISNUMBER(Eingaben!$B$13)),Eingaben!$B$13,"")))</f>
        <v>28.2744</v>
      </c>
      <c r="I2948" s="6">
        <f>INDEX(Netzzeiten!$C$6:$C$29,HOUR(B2948)+1)</f>
        <v>5.48</v>
      </c>
      <c r="J2948" t="str">
        <f>IF(C2948="","FEHLT",IF(NOT(ISNUMBER(C2948)),"MESSWERT UNGUELTIG",IF(C2948&lt;0,"MESSWERT UNGUELTIG",IF(H2948="","TARIFPREIS FEHLT","OK"))))</f>
        <v>FEHLT</v>
      </c>
      <c r="K2948" s="7">
        <f>IF(J2948&lt;&gt;"OK","",C2948*I2948/100)</f>
        <v/>
      </c>
    </row>
    <row r="2949" spans="1:11">
      <c r="A2949" s="14">
        <v>46173</v>
      </c>
      <c r="B2949" s="15">
        <v>0.65625</v>
      </c>
      <c r="C2949" s="5">
        <f>IF('96 Werte'!BM36="","",'96 Werte'!BM36)</f>
        <v/>
      </c>
      <c r="D2949" t="str">
        <f>IF(IF(Eingaben!$B$21&lt;Eingaben!$B$22,AND(B2949&gt;=Eingaben!$B$21,B2949&lt;Eingaben!$B$22),OR(B2949&gt;=Eingaben!$B$21,B2949&lt;Eingaben!$B$22)),"GO",IF(AND(ISNUMBER(Eingaben!$B$23),ISNUMBER(Eingaben!$B$24),IF(Eingaben!$B$23&lt;Eingaben!$B$24,AND(B2949&gt;=Eingaben!$B$23,B2949&lt;Eingaben!$B$24),OR(B2949&gt;=Eingaben!$B$23,B2949&lt;Eingaben!$B$24))),"HEAT","STANDARD"))</f>
        <v>STANDARD</v>
      </c>
      <c r="E2949" s="9"/>
      <c r="F2949" t="str">
        <f>IF(E2949="",D2949,E2949)</f>
        <v>STANDARD</v>
      </c>
      <c r="G2949" t="str">
        <f>INDEX(Netzzeiten!$B$6:$B$29,HOUR(B2949)+1)</f>
        <v>ST</v>
      </c>
      <c r="H2949" s="6">
        <f>IF(F2949="GO",Eingaben!$B$11,IF(F2949="STANDARD",Eingaben!$B$12,IF(AND(F2949="HEAT",ISNUMBER(Eingaben!$B$13)),Eingaben!$B$13,"")))</f>
        <v>28.2744</v>
      </c>
      <c r="I2949" s="6">
        <f>INDEX(Netzzeiten!$C$6:$C$29,HOUR(B2949)+1)</f>
        <v>5.48</v>
      </c>
      <c r="J2949" t="str">
        <f>IF(C2949="","FEHLT",IF(NOT(ISNUMBER(C2949)),"MESSWERT UNGUELTIG",IF(C2949&lt;0,"MESSWERT UNGUELTIG",IF(H2949="","TARIFPREIS FEHLT","OK"))))</f>
        <v>FEHLT</v>
      </c>
      <c r="K2949" s="7">
        <f>IF(J2949&lt;&gt;"OK","",C2949*I2949/100)</f>
        <v/>
      </c>
    </row>
    <row r="2950" spans="1:11">
      <c r="A2950" s="14">
        <v>46173</v>
      </c>
      <c r="B2950" s="15">
        <v>0.6666666666666666</v>
      </c>
      <c r="C2950" s="5">
        <f>IF('96 Werte'!BN36="","",'96 Werte'!BN36)</f>
        <v/>
      </c>
      <c r="D2950" t="str">
        <f>IF(IF(Eingaben!$B$21&lt;Eingaben!$B$22,AND(B2950&gt;=Eingaben!$B$21,B2950&lt;Eingaben!$B$22),OR(B2950&gt;=Eingaben!$B$21,B2950&lt;Eingaben!$B$22)),"GO",IF(AND(ISNUMBER(Eingaben!$B$23),ISNUMBER(Eingaben!$B$24),IF(Eingaben!$B$23&lt;Eingaben!$B$24,AND(B2950&gt;=Eingaben!$B$23,B2950&lt;Eingaben!$B$24),OR(B2950&gt;=Eingaben!$B$23,B2950&lt;Eingaben!$B$24))),"HEAT","STANDARD"))</f>
        <v>STANDARD</v>
      </c>
      <c r="E2950" s="9"/>
      <c r="F2950" t="str">
        <f>IF(E2950="",D2950,E2950)</f>
        <v>STANDARD</v>
      </c>
      <c r="G2950" t="str">
        <f>INDEX(Netzzeiten!$B$6:$B$29,HOUR(B2950)+1)</f>
        <v>ST</v>
      </c>
      <c r="H2950" s="6">
        <f>IF(F2950="GO",Eingaben!$B$11,IF(F2950="STANDARD",Eingaben!$B$12,IF(AND(F2950="HEAT",ISNUMBER(Eingaben!$B$13)),Eingaben!$B$13,"")))</f>
        <v>28.2744</v>
      </c>
      <c r="I2950" s="6">
        <f>INDEX(Netzzeiten!$C$6:$C$29,HOUR(B2950)+1)</f>
        <v>5.48</v>
      </c>
      <c r="J2950" t="str">
        <f>IF(C2950="","FEHLT",IF(NOT(ISNUMBER(C2950)),"MESSWERT UNGUELTIG",IF(C2950&lt;0,"MESSWERT UNGUELTIG",IF(H2950="","TARIFPREIS FEHLT","OK"))))</f>
        <v>FEHLT</v>
      </c>
      <c r="K2950" s="7">
        <f>IF(J2950&lt;&gt;"OK","",C2950*I2950/100)</f>
        <v/>
      </c>
    </row>
    <row r="2951" spans="1:11">
      <c r="A2951" s="14">
        <v>46173</v>
      </c>
      <c r="B2951" s="15">
        <v>0.6770833333333334</v>
      </c>
      <c r="C2951" s="5">
        <f>IF('96 Werte'!BO36="","",'96 Werte'!BO36)</f>
        <v/>
      </c>
      <c r="D2951" t="str">
        <f>IF(IF(Eingaben!$B$21&lt;Eingaben!$B$22,AND(B2951&gt;=Eingaben!$B$21,B2951&lt;Eingaben!$B$22),OR(B2951&gt;=Eingaben!$B$21,B2951&lt;Eingaben!$B$22)),"GO",IF(AND(ISNUMBER(Eingaben!$B$23),ISNUMBER(Eingaben!$B$24),IF(Eingaben!$B$23&lt;Eingaben!$B$24,AND(B2951&gt;=Eingaben!$B$23,B2951&lt;Eingaben!$B$24),OR(B2951&gt;=Eingaben!$B$23,B2951&lt;Eingaben!$B$24))),"HEAT","STANDARD"))</f>
        <v>STANDARD</v>
      </c>
      <c r="E2951" s="9"/>
      <c r="F2951" t="str">
        <f>IF(E2951="",D2951,E2951)</f>
        <v>STANDARD</v>
      </c>
      <c r="G2951" t="str">
        <f>INDEX(Netzzeiten!$B$6:$B$29,HOUR(B2951)+1)</f>
        <v>ST</v>
      </c>
      <c r="H2951" s="6">
        <f>IF(F2951="GO",Eingaben!$B$11,IF(F2951="STANDARD",Eingaben!$B$12,IF(AND(F2951="HEAT",ISNUMBER(Eingaben!$B$13)),Eingaben!$B$13,"")))</f>
        <v>28.2744</v>
      </c>
      <c r="I2951" s="6">
        <f>INDEX(Netzzeiten!$C$6:$C$29,HOUR(B2951)+1)</f>
        <v>5.48</v>
      </c>
      <c r="J2951" t="str">
        <f>IF(C2951="","FEHLT",IF(NOT(ISNUMBER(C2951)),"MESSWERT UNGUELTIG",IF(C2951&lt;0,"MESSWERT UNGUELTIG",IF(H2951="","TARIFPREIS FEHLT","OK"))))</f>
        <v>FEHLT</v>
      </c>
      <c r="K2951" s="7">
        <f>IF(J2951&lt;&gt;"OK","",C2951*I2951/100)</f>
        <v/>
      </c>
    </row>
    <row r="2952" spans="1:11">
      <c r="A2952" s="14">
        <v>46173</v>
      </c>
      <c r="B2952" s="15">
        <v>0.6875</v>
      </c>
      <c r="C2952" s="5">
        <f>IF('96 Werte'!BP36="","",'96 Werte'!BP36)</f>
        <v/>
      </c>
      <c r="D2952" t="str">
        <f>IF(IF(Eingaben!$B$21&lt;Eingaben!$B$22,AND(B2952&gt;=Eingaben!$B$21,B2952&lt;Eingaben!$B$22),OR(B2952&gt;=Eingaben!$B$21,B2952&lt;Eingaben!$B$22)),"GO",IF(AND(ISNUMBER(Eingaben!$B$23),ISNUMBER(Eingaben!$B$24),IF(Eingaben!$B$23&lt;Eingaben!$B$24,AND(B2952&gt;=Eingaben!$B$23,B2952&lt;Eingaben!$B$24),OR(B2952&gt;=Eingaben!$B$23,B2952&lt;Eingaben!$B$24))),"HEAT","STANDARD"))</f>
        <v>STANDARD</v>
      </c>
      <c r="E2952" s="9"/>
      <c r="F2952" t="str">
        <f>IF(E2952="",D2952,E2952)</f>
        <v>STANDARD</v>
      </c>
      <c r="G2952" t="str">
        <f>INDEX(Netzzeiten!$B$6:$B$29,HOUR(B2952)+1)</f>
        <v>ST</v>
      </c>
      <c r="H2952" s="6">
        <f>IF(F2952="GO",Eingaben!$B$11,IF(F2952="STANDARD",Eingaben!$B$12,IF(AND(F2952="HEAT",ISNUMBER(Eingaben!$B$13)),Eingaben!$B$13,"")))</f>
        <v>28.2744</v>
      </c>
      <c r="I2952" s="6">
        <f>INDEX(Netzzeiten!$C$6:$C$29,HOUR(B2952)+1)</f>
        <v>5.48</v>
      </c>
      <c r="J2952" t="str">
        <f>IF(C2952="","FEHLT",IF(NOT(ISNUMBER(C2952)),"MESSWERT UNGUELTIG",IF(C2952&lt;0,"MESSWERT UNGUELTIG",IF(H2952="","TARIFPREIS FEHLT","OK"))))</f>
        <v>FEHLT</v>
      </c>
      <c r="K2952" s="7">
        <f>IF(J2952&lt;&gt;"OK","",C2952*I2952/100)</f>
        <v/>
      </c>
    </row>
    <row r="2953" spans="1:11">
      <c r="A2953" s="14">
        <v>46173</v>
      </c>
      <c r="B2953" s="15">
        <v>0.6979166666666666</v>
      </c>
      <c r="C2953" s="5">
        <f>IF('96 Werte'!BQ36="","",'96 Werte'!BQ36)</f>
        <v/>
      </c>
      <c r="D2953" t="str">
        <f>IF(IF(Eingaben!$B$21&lt;Eingaben!$B$22,AND(B2953&gt;=Eingaben!$B$21,B2953&lt;Eingaben!$B$22),OR(B2953&gt;=Eingaben!$B$21,B2953&lt;Eingaben!$B$22)),"GO",IF(AND(ISNUMBER(Eingaben!$B$23),ISNUMBER(Eingaben!$B$24),IF(Eingaben!$B$23&lt;Eingaben!$B$24,AND(B2953&gt;=Eingaben!$B$23,B2953&lt;Eingaben!$B$24),OR(B2953&gt;=Eingaben!$B$23,B2953&lt;Eingaben!$B$24))),"HEAT","STANDARD"))</f>
        <v>STANDARD</v>
      </c>
      <c r="E2953" s="9"/>
      <c r="F2953" t="str">
        <f>IF(E2953="",D2953,E2953)</f>
        <v>STANDARD</v>
      </c>
      <c r="G2953" t="str">
        <f>INDEX(Netzzeiten!$B$6:$B$29,HOUR(B2953)+1)</f>
        <v>ST</v>
      </c>
      <c r="H2953" s="6">
        <f>IF(F2953="GO",Eingaben!$B$11,IF(F2953="STANDARD",Eingaben!$B$12,IF(AND(F2953="HEAT",ISNUMBER(Eingaben!$B$13)),Eingaben!$B$13,"")))</f>
        <v>28.2744</v>
      </c>
      <c r="I2953" s="6">
        <f>INDEX(Netzzeiten!$C$6:$C$29,HOUR(B2953)+1)</f>
        <v>5.48</v>
      </c>
      <c r="J2953" t="str">
        <f>IF(C2953="","FEHLT",IF(NOT(ISNUMBER(C2953)),"MESSWERT UNGUELTIG",IF(C2953&lt;0,"MESSWERT UNGUELTIG",IF(H2953="","TARIFPREIS FEHLT","OK"))))</f>
        <v>FEHLT</v>
      </c>
      <c r="K2953" s="7">
        <f>IF(J2953&lt;&gt;"OK","",C2953*I2953/100)</f>
        <v/>
      </c>
    </row>
    <row r="2954" spans="1:11">
      <c r="A2954" s="14">
        <v>46173</v>
      </c>
      <c r="B2954" s="15">
        <v>0.7083333333333334</v>
      </c>
      <c r="C2954" s="5">
        <f>IF('96 Werte'!BR36="","",'96 Werte'!BR36)</f>
        <v/>
      </c>
      <c r="D2954" t="str">
        <f>IF(IF(Eingaben!$B$21&lt;Eingaben!$B$22,AND(B2954&gt;=Eingaben!$B$21,B2954&lt;Eingaben!$B$22),OR(B2954&gt;=Eingaben!$B$21,B2954&lt;Eingaben!$B$22)),"GO",IF(AND(ISNUMBER(Eingaben!$B$23),ISNUMBER(Eingaben!$B$24),IF(Eingaben!$B$23&lt;Eingaben!$B$24,AND(B2954&gt;=Eingaben!$B$23,B2954&lt;Eingaben!$B$24),OR(B2954&gt;=Eingaben!$B$23,B2954&lt;Eingaben!$B$24))),"HEAT","STANDARD"))</f>
        <v>STANDARD</v>
      </c>
      <c r="E2954" s="9"/>
      <c r="F2954" t="str">
        <f>IF(E2954="",D2954,E2954)</f>
        <v>STANDARD</v>
      </c>
      <c r="G2954" t="str">
        <f>INDEX(Netzzeiten!$B$6:$B$29,HOUR(B2954)+1)</f>
        <v>HT</v>
      </c>
      <c r="H2954" s="6">
        <f>IF(F2954="GO",Eingaben!$B$11,IF(F2954="STANDARD",Eingaben!$B$12,IF(AND(F2954="HEAT",ISNUMBER(Eingaben!$B$13)),Eingaben!$B$13,"")))</f>
        <v>28.2744</v>
      </c>
      <c r="I2954" s="6">
        <f>INDEX(Netzzeiten!$C$6:$C$29,HOUR(B2954)+1)</f>
        <v>10.52</v>
      </c>
      <c r="J2954" t="str">
        <f>IF(C2954="","FEHLT",IF(NOT(ISNUMBER(C2954)),"MESSWERT UNGUELTIG",IF(C2954&lt;0,"MESSWERT UNGUELTIG",IF(H2954="","TARIFPREIS FEHLT","OK"))))</f>
        <v>FEHLT</v>
      </c>
      <c r="K2954" s="7">
        <f>IF(J2954&lt;&gt;"OK","",C2954*I2954/100)</f>
        <v/>
      </c>
    </row>
    <row r="2955" spans="1:11">
      <c r="A2955" s="14">
        <v>46173</v>
      </c>
      <c r="B2955" s="15">
        <v>0.71875</v>
      </c>
      <c r="C2955" s="5">
        <f>IF('96 Werte'!BS36="","",'96 Werte'!BS36)</f>
        <v/>
      </c>
      <c r="D2955" t="str">
        <f>IF(IF(Eingaben!$B$21&lt;Eingaben!$B$22,AND(B2955&gt;=Eingaben!$B$21,B2955&lt;Eingaben!$B$22),OR(B2955&gt;=Eingaben!$B$21,B2955&lt;Eingaben!$B$22)),"GO",IF(AND(ISNUMBER(Eingaben!$B$23),ISNUMBER(Eingaben!$B$24),IF(Eingaben!$B$23&lt;Eingaben!$B$24,AND(B2955&gt;=Eingaben!$B$23,B2955&lt;Eingaben!$B$24),OR(B2955&gt;=Eingaben!$B$23,B2955&lt;Eingaben!$B$24))),"HEAT","STANDARD"))</f>
        <v>STANDARD</v>
      </c>
      <c r="E2955" s="9"/>
      <c r="F2955" t="str">
        <f>IF(E2955="",D2955,E2955)</f>
        <v>STANDARD</v>
      </c>
      <c r="G2955" t="str">
        <f>INDEX(Netzzeiten!$B$6:$B$29,HOUR(B2955)+1)</f>
        <v>HT</v>
      </c>
      <c r="H2955" s="6">
        <f>IF(F2955="GO",Eingaben!$B$11,IF(F2955="STANDARD",Eingaben!$B$12,IF(AND(F2955="HEAT",ISNUMBER(Eingaben!$B$13)),Eingaben!$B$13,"")))</f>
        <v>28.2744</v>
      </c>
      <c r="I2955" s="6">
        <f>INDEX(Netzzeiten!$C$6:$C$29,HOUR(B2955)+1)</f>
        <v>10.52</v>
      </c>
      <c r="J2955" t="str">
        <f>IF(C2955="","FEHLT",IF(NOT(ISNUMBER(C2955)),"MESSWERT UNGUELTIG",IF(C2955&lt;0,"MESSWERT UNGUELTIG",IF(H2955="","TARIFPREIS FEHLT","OK"))))</f>
        <v>FEHLT</v>
      </c>
      <c r="K2955" s="7">
        <f>IF(J2955&lt;&gt;"OK","",C2955*I2955/100)</f>
        <v/>
      </c>
    </row>
    <row r="2956" spans="1:11">
      <c r="A2956" s="14">
        <v>46173</v>
      </c>
      <c r="B2956" s="15">
        <v>0.7291666666666666</v>
      </c>
      <c r="C2956" s="5">
        <f>IF('96 Werte'!BT36="","",'96 Werte'!BT36)</f>
        <v/>
      </c>
      <c r="D2956" t="str">
        <f>IF(IF(Eingaben!$B$21&lt;Eingaben!$B$22,AND(B2956&gt;=Eingaben!$B$21,B2956&lt;Eingaben!$B$22),OR(B2956&gt;=Eingaben!$B$21,B2956&lt;Eingaben!$B$22)),"GO",IF(AND(ISNUMBER(Eingaben!$B$23),ISNUMBER(Eingaben!$B$24),IF(Eingaben!$B$23&lt;Eingaben!$B$24,AND(B2956&gt;=Eingaben!$B$23,B2956&lt;Eingaben!$B$24),OR(B2956&gt;=Eingaben!$B$23,B2956&lt;Eingaben!$B$24))),"HEAT","STANDARD"))</f>
        <v>STANDARD</v>
      </c>
      <c r="E2956" s="9"/>
      <c r="F2956" t="str">
        <f>IF(E2956="",D2956,E2956)</f>
        <v>STANDARD</v>
      </c>
      <c r="G2956" t="str">
        <f>INDEX(Netzzeiten!$B$6:$B$29,HOUR(B2956)+1)</f>
        <v>HT</v>
      </c>
      <c r="H2956" s="6">
        <f>IF(F2956="GO",Eingaben!$B$11,IF(F2956="STANDARD",Eingaben!$B$12,IF(AND(F2956="HEAT",ISNUMBER(Eingaben!$B$13)),Eingaben!$B$13,"")))</f>
        <v>28.2744</v>
      </c>
      <c r="I2956" s="6">
        <f>INDEX(Netzzeiten!$C$6:$C$29,HOUR(B2956)+1)</f>
        <v>10.52</v>
      </c>
      <c r="J2956" t="str">
        <f>IF(C2956="","FEHLT",IF(NOT(ISNUMBER(C2956)),"MESSWERT UNGUELTIG",IF(C2956&lt;0,"MESSWERT UNGUELTIG",IF(H2956="","TARIFPREIS FEHLT","OK"))))</f>
        <v>FEHLT</v>
      </c>
      <c r="K2956" s="7">
        <f>IF(J2956&lt;&gt;"OK","",C2956*I2956/100)</f>
        <v/>
      </c>
    </row>
    <row r="2957" spans="1:11">
      <c r="A2957" s="14">
        <v>46173</v>
      </c>
      <c r="B2957" s="15">
        <v>0.7395833333333334</v>
      </c>
      <c r="C2957" s="5">
        <f>IF('96 Werte'!BU36="","",'96 Werte'!BU36)</f>
        <v/>
      </c>
      <c r="D2957" t="str">
        <f>IF(IF(Eingaben!$B$21&lt;Eingaben!$B$22,AND(B2957&gt;=Eingaben!$B$21,B2957&lt;Eingaben!$B$22),OR(B2957&gt;=Eingaben!$B$21,B2957&lt;Eingaben!$B$22)),"GO",IF(AND(ISNUMBER(Eingaben!$B$23),ISNUMBER(Eingaben!$B$24),IF(Eingaben!$B$23&lt;Eingaben!$B$24,AND(B2957&gt;=Eingaben!$B$23,B2957&lt;Eingaben!$B$24),OR(B2957&gt;=Eingaben!$B$23,B2957&lt;Eingaben!$B$24))),"HEAT","STANDARD"))</f>
        <v>STANDARD</v>
      </c>
      <c r="E2957" s="9"/>
      <c r="F2957" t="str">
        <f>IF(E2957="",D2957,E2957)</f>
        <v>STANDARD</v>
      </c>
      <c r="G2957" t="str">
        <f>INDEX(Netzzeiten!$B$6:$B$29,HOUR(B2957)+1)</f>
        <v>HT</v>
      </c>
      <c r="H2957" s="6">
        <f>IF(F2957="GO",Eingaben!$B$11,IF(F2957="STANDARD",Eingaben!$B$12,IF(AND(F2957="HEAT",ISNUMBER(Eingaben!$B$13)),Eingaben!$B$13,"")))</f>
        <v>28.2744</v>
      </c>
      <c r="I2957" s="6">
        <f>INDEX(Netzzeiten!$C$6:$C$29,HOUR(B2957)+1)</f>
        <v>10.52</v>
      </c>
      <c r="J2957" t="str">
        <f>IF(C2957="","FEHLT",IF(NOT(ISNUMBER(C2957)),"MESSWERT UNGUELTIG",IF(C2957&lt;0,"MESSWERT UNGUELTIG",IF(H2957="","TARIFPREIS FEHLT","OK"))))</f>
        <v>FEHLT</v>
      </c>
      <c r="K2957" s="7">
        <f>IF(J2957&lt;&gt;"OK","",C2957*I2957/100)</f>
        <v/>
      </c>
    </row>
    <row r="2958" spans="1:11">
      <c r="A2958" s="14">
        <v>46173</v>
      </c>
      <c r="B2958" s="15">
        <v>0.75</v>
      </c>
      <c r="C2958" s="5">
        <f>IF('96 Werte'!BV36="","",'96 Werte'!BV36)</f>
        <v/>
      </c>
      <c r="D2958" t="str">
        <f>IF(IF(Eingaben!$B$21&lt;Eingaben!$B$22,AND(B2958&gt;=Eingaben!$B$21,B2958&lt;Eingaben!$B$22),OR(B2958&gt;=Eingaben!$B$21,B2958&lt;Eingaben!$B$22)),"GO",IF(AND(ISNUMBER(Eingaben!$B$23),ISNUMBER(Eingaben!$B$24),IF(Eingaben!$B$23&lt;Eingaben!$B$24,AND(B2958&gt;=Eingaben!$B$23,B2958&lt;Eingaben!$B$24),OR(B2958&gt;=Eingaben!$B$23,B2958&lt;Eingaben!$B$24))),"HEAT","STANDARD"))</f>
        <v>STANDARD</v>
      </c>
      <c r="E2958" s="9"/>
      <c r="F2958" t="str">
        <f>IF(E2958="",D2958,E2958)</f>
        <v>STANDARD</v>
      </c>
      <c r="G2958" t="str">
        <f>INDEX(Netzzeiten!$B$6:$B$29,HOUR(B2958)+1)</f>
        <v>HT</v>
      </c>
      <c r="H2958" s="6">
        <f>IF(F2958="GO",Eingaben!$B$11,IF(F2958="STANDARD",Eingaben!$B$12,IF(AND(F2958="HEAT",ISNUMBER(Eingaben!$B$13)),Eingaben!$B$13,"")))</f>
        <v>28.2744</v>
      </c>
      <c r="I2958" s="6">
        <f>INDEX(Netzzeiten!$C$6:$C$29,HOUR(B2958)+1)</f>
        <v>10.52</v>
      </c>
      <c r="J2958" t="str">
        <f>IF(C2958="","FEHLT",IF(NOT(ISNUMBER(C2958)),"MESSWERT UNGUELTIG",IF(C2958&lt;0,"MESSWERT UNGUELTIG",IF(H2958="","TARIFPREIS FEHLT","OK"))))</f>
        <v>FEHLT</v>
      </c>
      <c r="K2958" s="7">
        <f>IF(J2958&lt;&gt;"OK","",C2958*I2958/100)</f>
        <v/>
      </c>
    </row>
    <row r="2959" spans="1:11">
      <c r="A2959" s="14">
        <v>46173</v>
      </c>
      <c r="B2959" s="15">
        <v>0.7604166666666666</v>
      </c>
      <c r="C2959" s="5">
        <f>IF('96 Werte'!BW36="","",'96 Werte'!BW36)</f>
        <v/>
      </c>
      <c r="D2959" t="str">
        <f>IF(IF(Eingaben!$B$21&lt;Eingaben!$B$22,AND(B2959&gt;=Eingaben!$B$21,B2959&lt;Eingaben!$B$22),OR(B2959&gt;=Eingaben!$B$21,B2959&lt;Eingaben!$B$22)),"GO",IF(AND(ISNUMBER(Eingaben!$B$23),ISNUMBER(Eingaben!$B$24),IF(Eingaben!$B$23&lt;Eingaben!$B$24,AND(B2959&gt;=Eingaben!$B$23,B2959&lt;Eingaben!$B$24),OR(B2959&gt;=Eingaben!$B$23,B2959&lt;Eingaben!$B$24))),"HEAT","STANDARD"))</f>
        <v>STANDARD</v>
      </c>
      <c r="E2959" s="9"/>
      <c r="F2959" t="str">
        <f>IF(E2959="",D2959,E2959)</f>
        <v>STANDARD</v>
      </c>
      <c r="G2959" t="str">
        <f>INDEX(Netzzeiten!$B$6:$B$29,HOUR(B2959)+1)</f>
        <v>HT</v>
      </c>
      <c r="H2959" s="6">
        <f>IF(F2959="GO",Eingaben!$B$11,IF(F2959="STANDARD",Eingaben!$B$12,IF(AND(F2959="HEAT",ISNUMBER(Eingaben!$B$13)),Eingaben!$B$13,"")))</f>
        <v>28.2744</v>
      </c>
      <c r="I2959" s="6">
        <f>INDEX(Netzzeiten!$C$6:$C$29,HOUR(B2959)+1)</f>
        <v>10.52</v>
      </c>
      <c r="J2959" t="str">
        <f>IF(C2959="","FEHLT",IF(NOT(ISNUMBER(C2959)),"MESSWERT UNGUELTIG",IF(C2959&lt;0,"MESSWERT UNGUELTIG",IF(H2959="","TARIFPREIS FEHLT","OK"))))</f>
        <v>FEHLT</v>
      </c>
      <c r="K2959" s="7">
        <f>IF(J2959&lt;&gt;"OK","",C2959*I2959/100)</f>
        <v/>
      </c>
    </row>
    <row r="2960" spans="1:11">
      <c r="A2960" s="14">
        <v>46173</v>
      </c>
      <c r="B2960" s="15">
        <v>0.7708333333333334</v>
      </c>
      <c r="C2960" s="5">
        <f>IF('96 Werte'!BX36="","",'96 Werte'!BX36)</f>
        <v/>
      </c>
      <c r="D2960" t="str">
        <f>IF(IF(Eingaben!$B$21&lt;Eingaben!$B$22,AND(B2960&gt;=Eingaben!$B$21,B2960&lt;Eingaben!$B$22),OR(B2960&gt;=Eingaben!$B$21,B2960&lt;Eingaben!$B$22)),"GO",IF(AND(ISNUMBER(Eingaben!$B$23),ISNUMBER(Eingaben!$B$24),IF(Eingaben!$B$23&lt;Eingaben!$B$24,AND(B2960&gt;=Eingaben!$B$23,B2960&lt;Eingaben!$B$24),OR(B2960&gt;=Eingaben!$B$23,B2960&lt;Eingaben!$B$24))),"HEAT","STANDARD"))</f>
        <v>STANDARD</v>
      </c>
      <c r="E2960" s="9"/>
      <c r="F2960" t="str">
        <f>IF(E2960="",D2960,E2960)</f>
        <v>STANDARD</v>
      </c>
      <c r="G2960" t="str">
        <f>INDEX(Netzzeiten!$B$6:$B$29,HOUR(B2960)+1)</f>
        <v>HT</v>
      </c>
      <c r="H2960" s="6">
        <f>IF(F2960="GO",Eingaben!$B$11,IF(F2960="STANDARD",Eingaben!$B$12,IF(AND(F2960="HEAT",ISNUMBER(Eingaben!$B$13)),Eingaben!$B$13,"")))</f>
        <v>28.2744</v>
      </c>
      <c r="I2960" s="6">
        <f>INDEX(Netzzeiten!$C$6:$C$29,HOUR(B2960)+1)</f>
        <v>10.52</v>
      </c>
      <c r="J2960" t="str">
        <f>IF(C2960="","FEHLT",IF(NOT(ISNUMBER(C2960)),"MESSWERT UNGUELTIG",IF(C2960&lt;0,"MESSWERT UNGUELTIG",IF(H2960="","TARIFPREIS FEHLT","OK"))))</f>
        <v>FEHLT</v>
      </c>
      <c r="K2960" s="7">
        <f>IF(J2960&lt;&gt;"OK","",C2960*I2960/100)</f>
        <v/>
      </c>
    </row>
    <row r="2961" spans="1:11">
      <c r="A2961" s="14">
        <v>46173</v>
      </c>
      <c r="B2961" s="15">
        <v>0.78125</v>
      </c>
      <c r="C2961" s="5">
        <f>IF('96 Werte'!BY36="","",'96 Werte'!BY36)</f>
        <v/>
      </c>
      <c r="D2961" t="str">
        <f>IF(IF(Eingaben!$B$21&lt;Eingaben!$B$22,AND(B2961&gt;=Eingaben!$B$21,B2961&lt;Eingaben!$B$22),OR(B2961&gt;=Eingaben!$B$21,B2961&lt;Eingaben!$B$22)),"GO",IF(AND(ISNUMBER(Eingaben!$B$23),ISNUMBER(Eingaben!$B$24),IF(Eingaben!$B$23&lt;Eingaben!$B$24,AND(B2961&gt;=Eingaben!$B$23,B2961&lt;Eingaben!$B$24),OR(B2961&gt;=Eingaben!$B$23,B2961&lt;Eingaben!$B$24))),"HEAT","STANDARD"))</f>
        <v>STANDARD</v>
      </c>
      <c r="E2961" s="9"/>
      <c r="F2961" t="str">
        <f>IF(E2961="",D2961,E2961)</f>
        <v>STANDARD</v>
      </c>
      <c r="G2961" t="str">
        <f>INDEX(Netzzeiten!$B$6:$B$29,HOUR(B2961)+1)</f>
        <v>HT</v>
      </c>
      <c r="H2961" s="6">
        <f>IF(F2961="GO",Eingaben!$B$11,IF(F2961="STANDARD",Eingaben!$B$12,IF(AND(F2961="HEAT",ISNUMBER(Eingaben!$B$13)),Eingaben!$B$13,"")))</f>
        <v>28.2744</v>
      </c>
      <c r="I2961" s="6">
        <f>INDEX(Netzzeiten!$C$6:$C$29,HOUR(B2961)+1)</f>
        <v>10.52</v>
      </c>
      <c r="J2961" t="str">
        <f>IF(C2961="","FEHLT",IF(NOT(ISNUMBER(C2961)),"MESSWERT UNGUELTIG",IF(C2961&lt;0,"MESSWERT UNGUELTIG",IF(H2961="","TARIFPREIS FEHLT","OK"))))</f>
        <v>FEHLT</v>
      </c>
      <c r="K2961" s="7">
        <f>IF(J2961&lt;&gt;"OK","",C2961*I2961/100)</f>
        <v/>
      </c>
    </row>
    <row r="2962" spans="1:11">
      <c r="A2962" s="14">
        <v>46173</v>
      </c>
      <c r="B2962" s="15">
        <v>0.7916666666666666</v>
      </c>
      <c r="C2962" s="5">
        <f>IF('96 Werte'!BZ36="","",'96 Werte'!BZ36)</f>
        <v/>
      </c>
      <c r="D2962" t="str">
        <f>IF(IF(Eingaben!$B$21&lt;Eingaben!$B$22,AND(B2962&gt;=Eingaben!$B$21,B2962&lt;Eingaben!$B$22),OR(B2962&gt;=Eingaben!$B$21,B2962&lt;Eingaben!$B$22)),"GO",IF(AND(ISNUMBER(Eingaben!$B$23),ISNUMBER(Eingaben!$B$24),IF(Eingaben!$B$23&lt;Eingaben!$B$24,AND(B2962&gt;=Eingaben!$B$23,B2962&lt;Eingaben!$B$24),OR(B2962&gt;=Eingaben!$B$23,B2962&lt;Eingaben!$B$24))),"HEAT","STANDARD"))</f>
        <v>STANDARD</v>
      </c>
      <c r="E2962" s="9"/>
      <c r="F2962" t="str">
        <f>IF(E2962="",D2962,E2962)</f>
        <v>STANDARD</v>
      </c>
      <c r="G2962" t="str">
        <f>INDEX(Netzzeiten!$B$6:$B$29,HOUR(B2962)+1)</f>
        <v>HT</v>
      </c>
      <c r="H2962" s="6">
        <f>IF(F2962="GO",Eingaben!$B$11,IF(F2962="STANDARD",Eingaben!$B$12,IF(AND(F2962="HEAT",ISNUMBER(Eingaben!$B$13)),Eingaben!$B$13,"")))</f>
        <v>28.2744</v>
      </c>
      <c r="I2962" s="6">
        <f>INDEX(Netzzeiten!$C$6:$C$29,HOUR(B2962)+1)</f>
        <v>10.52</v>
      </c>
      <c r="J2962" t="str">
        <f>IF(C2962="","FEHLT",IF(NOT(ISNUMBER(C2962)),"MESSWERT UNGUELTIG",IF(C2962&lt;0,"MESSWERT UNGUELTIG",IF(H2962="","TARIFPREIS FEHLT","OK"))))</f>
        <v>FEHLT</v>
      </c>
      <c r="K2962" s="7">
        <f>IF(J2962&lt;&gt;"OK","",C2962*I2962/100)</f>
        <v/>
      </c>
    </row>
    <row r="2963" spans="1:11">
      <c r="A2963" s="14">
        <v>46173</v>
      </c>
      <c r="B2963" s="15">
        <v>0.8020833333333334</v>
      </c>
      <c r="C2963" s="5">
        <f>IF('96 Werte'!CA36="","",'96 Werte'!CA36)</f>
        <v/>
      </c>
      <c r="D2963" t="str">
        <f>IF(IF(Eingaben!$B$21&lt;Eingaben!$B$22,AND(B2963&gt;=Eingaben!$B$21,B2963&lt;Eingaben!$B$22),OR(B2963&gt;=Eingaben!$B$21,B2963&lt;Eingaben!$B$22)),"GO",IF(AND(ISNUMBER(Eingaben!$B$23),ISNUMBER(Eingaben!$B$24),IF(Eingaben!$B$23&lt;Eingaben!$B$24,AND(B2963&gt;=Eingaben!$B$23,B2963&lt;Eingaben!$B$24),OR(B2963&gt;=Eingaben!$B$23,B2963&lt;Eingaben!$B$24))),"HEAT","STANDARD"))</f>
        <v>STANDARD</v>
      </c>
      <c r="E2963" s="9"/>
      <c r="F2963" t="str">
        <f>IF(E2963="",D2963,E2963)</f>
        <v>STANDARD</v>
      </c>
      <c r="G2963" t="str">
        <f>INDEX(Netzzeiten!$B$6:$B$29,HOUR(B2963)+1)</f>
        <v>HT</v>
      </c>
      <c r="H2963" s="6">
        <f>IF(F2963="GO",Eingaben!$B$11,IF(F2963="STANDARD",Eingaben!$B$12,IF(AND(F2963="HEAT",ISNUMBER(Eingaben!$B$13)),Eingaben!$B$13,"")))</f>
        <v>28.2744</v>
      </c>
      <c r="I2963" s="6">
        <f>INDEX(Netzzeiten!$C$6:$C$29,HOUR(B2963)+1)</f>
        <v>10.52</v>
      </c>
      <c r="J2963" t="str">
        <f>IF(C2963="","FEHLT",IF(NOT(ISNUMBER(C2963)),"MESSWERT UNGUELTIG",IF(C2963&lt;0,"MESSWERT UNGUELTIG",IF(H2963="","TARIFPREIS FEHLT","OK"))))</f>
        <v>FEHLT</v>
      </c>
      <c r="K2963" s="7">
        <f>IF(J2963&lt;&gt;"OK","",C2963*I2963/100)</f>
        <v/>
      </c>
    </row>
    <row r="2964" spans="1:11">
      <c r="A2964" s="14">
        <v>46173</v>
      </c>
      <c r="B2964" s="15">
        <v>0.8125</v>
      </c>
      <c r="C2964" s="5">
        <f>IF('96 Werte'!CB36="","",'96 Werte'!CB36)</f>
        <v/>
      </c>
      <c r="D2964" t="str">
        <f>IF(IF(Eingaben!$B$21&lt;Eingaben!$B$22,AND(B2964&gt;=Eingaben!$B$21,B2964&lt;Eingaben!$B$22),OR(B2964&gt;=Eingaben!$B$21,B2964&lt;Eingaben!$B$22)),"GO",IF(AND(ISNUMBER(Eingaben!$B$23),ISNUMBER(Eingaben!$B$24),IF(Eingaben!$B$23&lt;Eingaben!$B$24,AND(B2964&gt;=Eingaben!$B$23,B2964&lt;Eingaben!$B$24),OR(B2964&gt;=Eingaben!$B$23,B2964&lt;Eingaben!$B$24))),"HEAT","STANDARD"))</f>
        <v>STANDARD</v>
      </c>
      <c r="E2964" s="9"/>
      <c r="F2964" t="str">
        <f>IF(E2964="",D2964,E2964)</f>
        <v>STANDARD</v>
      </c>
      <c r="G2964" t="str">
        <f>INDEX(Netzzeiten!$B$6:$B$29,HOUR(B2964)+1)</f>
        <v>HT</v>
      </c>
      <c r="H2964" s="6">
        <f>IF(F2964="GO",Eingaben!$B$11,IF(F2964="STANDARD",Eingaben!$B$12,IF(AND(F2964="HEAT",ISNUMBER(Eingaben!$B$13)),Eingaben!$B$13,"")))</f>
        <v>28.2744</v>
      </c>
      <c r="I2964" s="6">
        <f>INDEX(Netzzeiten!$C$6:$C$29,HOUR(B2964)+1)</f>
        <v>10.52</v>
      </c>
      <c r="J2964" t="str">
        <f>IF(C2964="","FEHLT",IF(NOT(ISNUMBER(C2964)),"MESSWERT UNGUELTIG",IF(C2964&lt;0,"MESSWERT UNGUELTIG",IF(H2964="","TARIFPREIS FEHLT","OK"))))</f>
        <v>FEHLT</v>
      </c>
      <c r="K2964" s="7">
        <f>IF(J2964&lt;&gt;"OK","",C2964*I2964/100)</f>
        <v/>
      </c>
    </row>
    <row r="2965" spans="1:11">
      <c r="A2965" s="14">
        <v>46173</v>
      </c>
      <c r="B2965" s="15">
        <v>0.8229166666666666</v>
      </c>
      <c r="C2965" s="5">
        <f>IF('96 Werte'!CC36="","",'96 Werte'!CC36)</f>
        <v/>
      </c>
      <c r="D2965" t="str">
        <f>IF(IF(Eingaben!$B$21&lt;Eingaben!$B$22,AND(B2965&gt;=Eingaben!$B$21,B2965&lt;Eingaben!$B$22),OR(B2965&gt;=Eingaben!$B$21,B2965&lt;Eingaben!$B$22)),"GO",IF(AND(ISNUMBER(Eingaben!$B$23),ISNUMBER(Eingaben!$B$24),IF(Eingaben!$B$23&lt;Eingaben!$B$24,AND(B2965&gt;=Eingaben!$B$23,B2965&lt;Eingaben!$B$24),OR(B2965&gt;=Eingaben!$B$23,B2965&lt;Eingaben!$B$24))),"HEAT","STANDARD"))</f>
        <v>STANDARD</v>
      </c>
      <c r="E2965" s="9"/>
      <c r="F2965" t="str">
        <f>IF(E2965="",D2965,E2965)</f>
        <v>STANDARD</v>
      </c>
      <c r="G2965" t="str">
        <f>INDEX(Netzzeiten!$B$6:$B$29,HOUR(B2965)+1)</f>
        <v>HT</v>
      </c>
      <c r="H2965" s="6">
        <f>IF(F2965="GO",Eingaben!$B$11,IF(F2965="STANDARD",Eingaben!$B$12,IF(AND(F2965="HEAT",ISNUMBER(Eingaben!$B$13)),Eingaben!$B$13,"")))</f>
        <v>28.2744</v>
      </c>
      <c r="I2965" s="6">
        <f>INDEX(Netzzeiten!$C$6:$C$29,HOUR(B2965)+1)</f>
        <v>10.52</v>
      </c>
      <c r="J2965" t="str">
        <f>IF(C2965="","FEHLT",IF(NOT(ISNUMBER(C2965)),"MESSWERT UNGUELTIG",IF(C2965&lt;0,"MESSWERT UNGUELTIG",IF(H2965="","TARIFPREIS FEHLT","OK"))))</f>
        <v>FEHLT</v>
      </c>
      <c r="K2965" s="7">
        <f>IF(J2965&lt;&gt;"OK","",C2965*I2965/100)</f>
        <v/>
      </c>
    </row>
    <row r="2966" spans="1:11">
      <c r="A2966" s="14">
        <v>46173</v>
      </c>
      <c r="B2966" s="15">
        <v>0.8333333333333334</v>
      </c>
      <c r="C2966" s="5">
        <f>IF('96 Werte'!CD36="","",'96 Werte'!CD36)</f>
        <v/>
      </c>
      <c r="D2966" t="str">
        <f>IF(IF(Eingaben!$B$21&lt;Eingaben!$B$22,AND(B2966&gt;=Eingaben!$B$21,B2966&lt;Eingaben!$B$22),OR(B2966&gt;=Eingaben!$B$21,B2966&lt;Eingaben!$B$22)),"GO",IF(AND(ISNUMBER(Eingaben!$B$23),ISNUMBER(Eingaben!$B$24),IF(Eingaben!$B$23&lt;Eingaben!$B$24,AND(B2966&gt;=Eingaben!$B$23,B2966&lt;Eingaben!$B$24),OR(B2966&gt;=Eingaben!$B$23,B2966&lt;Eingaben!$B$24))),"HEAT","STANDARD"))</f>
        <v>STANDARD</v>
      </c>
      <c r="E2966" s="9"/>
      <c r="F2966" t="str">
        <f>IF(E2966="",D2966,E2966)</f>
        <v>STANDARD</v>
      </c>
      <c r="G2966" t="str">
        <f>INDEX(Netzzeiten!$B$6:$B$29,HOUR(B2966)+1)</f>
        <v>HT</v>
      </c>
      <c r="H2966" s="6">
        <f>IF(F2966="GO",Eingaben!$B$11,IF(F2966="STANDARD",Eingaben!$B$12,IF(AND(F2966="HEAT",ISNUMBER(Eingaben!$B$13)),Eingaben!$B$13,"")))</f>
        <v>28.2744</v>
      </c>
      <c r="I2966" s="6">
        <f>INDEX(Netzzeiten!$C$6:$C$29,HOUR(B2966)+1)</f>
        <v>10.52</v>
      </c>
      <c r="J2966" t="str">
        <f>IF(C2966="","FEHLT",IF(NOT(ISNUMBER(C2966)),"MESSWERT UNGUELTIG",IF(C2966&lt;0,"MESSWERT UNGUELTIG",IF(H2966="","TARIFPREIS FEHLT","OK"))))</f>
        <v>FEHLT</v>
      </c>
      <c r="K2966" s="7">
        <f>IF(J2966&lt;&gt;"OK","",C2966*I2966/100)</f>
        <v/>
      </c>
    </row>
    <row r="2967" spans="1:11">
      <c r="A2967" s="14">
        <v>46173</v>
      </c>
      <c r="B2967" s="15">
        <v>0.84375</v>
      </c>
      <c r="C2967" s="5">
        <f>IF('96 Werte'!CE36="","",'96 Werte'!CE36)</f>
        <v/>
      </c>
      <c r="D2967" t="str">
        <f>IF(IF(Eingaben!$B$21&lt;Eingaben!$B$22,AND(B2967&gt;=Eingaben!$B$21,B2967&lt;Eingaben!$B$22),OR(B2967&gt;=Eingaben!$B$21,B2967&lt;Eingaben!$B$22)),"GO",IF(AND(ISNUMBER(Eingaben!$B$23),ISNUMBER(Eingaben!$B$24),IF(Eingaben!$B$23&lt;Eingaben!$B$24,AND(B2967&gt;=Eingaben!$B$23,B2967&lt;Eingaben!$B$24),OR(B2967&gt;=Eingaben!$B$23,B2967&lt;Eingaben!$B$24))),"HEAT","STANDARD"))</f>
        <v>STANDARD</v>
      </c>
      <c r="E2967" s="9"/>
      <c r="F2967" t="str">
        <f>IF(E2967="",D2967,E2967)</f>
        <v>STANDARD</v>
      </c>
      <c r="G2967" t="str">
        <f>INDEX(Netzzeiten!$B$6:$B$29,HOUR(B2967)+1)</f>
        <v>HT</v>
      </c>
      <c r="H2967" s="6">
        <f>IF(F2967="GO",Eingaben!$B$11,IF(F2967="STANDARD",Eingaben!$B$12,IF(AND(F2967="HEAT",ISNUMBER(Eingaben!$B$13)),Eingaben!$B$13,"")))</f>
        <v>28.2744</v>
      </c>
      <c r="I2967" s="6">
        <f>INDEX(Netzzeiten!$C$6:$C$29,HOUR(B2967)+1)</f>
        <v>10.52</v>
      </c>
      <c r="J2967" t="str">
        <f>IF(C2967="","FEHLT",IF(NOT(ISNUMBER(C2967)),"MESSWERT UNGUELTIG",IF(C2967&lt;0,"MESSWERT UNGUELTIG",IF(H2967="","TARIFPREIS FEHLT","OK"))))</f>
        <v>FEHLT</v>
      </c>
      <c r="K2967" s="7">
        <f>IF(J2967&lt;&gt;"OK","",C2967*I2967/100)</f>
        <v/>
      </c>
    </row>
    <row r="2968" spans="1:11">
      <c r="A2968" s="14">
        <v>46173</v>
      </c>
      <c r="B2968" s="15">
        <v>0.8541666666666666</v>
      </c>
      <c r="C2968" s="5">
        <f>IF('96 Werte'!CF36="","",'96 Werte'!CF36)</f>
        <v/>
      </c>
      <c r="D2968" t="str">
        <f>IF(IF(Eingaben!$B$21&lt;Eingaben!$B$22,AND(B2968&gt;=Eingaben!$B$21,B2968&lt;Eingaben!$B$22),OR(B2968&gt;=Eingaben!$B$21,B2968&lt;Eingaben!$B$22)),"GO",IF(AND(ISNUMBER(Eingaben!$B$23),ISNUMBER(Eingaben!$B$24),IF(Eingaben!$B$23&lt;Eingaben!$B$24,AND(B2968&gt;=Eingaben!$B$23,B2968&lt;Eingaben!$B$24),OR(B2968&gt;=Eingaben!$B$23,B2968&lt;Eingaben!$B$24))),"HEAT","STANDARD"))</f>
        <v>STANDARD</v>
      </c>
      <c r="E2968" s="9"/>
      <c r="F2968" t="str">
        <f>IF(E2968="",D2968,E2968)</f>
        <v>STANDARD</v>
      </c>
      <c r="G2968" t="str">
        <f>INDEX(Netzzeiten!$B$6:$B$29,HOUR(B2968)+1)</f>
        <v>HT</v>
      </c>
      <c r="H2968" s="6">
        <f>IF(F2968="GO",Eingaben!$B$11,IF(F2968="STANDARD",Eingaben!$B$12,IF(AND(F2968="HEAT",ISNUMBER(Eingaben!$B$13)),Eingaben!$B$13,"")))</f>
        <v>28.2744</v>
      </c>
      <c r="I2968" s="6">
        <f>INDEX(Netzzeiten!$C$6:$C$29,HOUR(B2968)+1)</f>
        <v>10.52</v>
      </c>
      <c r="J2968" t="str">
        <f>IF(C2968="","FEHLT",IF(NOT(ISNUMBER(C2968)),"MESSWERT UNGUELTIG",IF(C2968&lt;0,"MESSWERT UNGUELTIG",IF(H2968="","TARIFPREIS FEHLT","OK"))))</f>
        <v>FEHLT</v>
      </c>
      <c r="K2968" s="7">
        <f>IF(J2968&lt;&gt;"OK","",C2968*I2968/100)</f>
        <v/>
      </c>
    </row>
    <row r="2969" spans="1:11">
      <c r="A2969" s="14">
        <v>46173</v>
      </c>
      <c r="B2969" s="15">
        <v>0.8645833333333334</v>
      </c>
      <c r="C2969" s="5">
        <f>IF('96 Werte'!CG36="","",'96 Werte'!CG36)</f>
        <v/>
      </c>
      <c r="D2969" t="str">
        <f>IF(IF(Eingaben!$B$21&lt;Eingaben!$B$22,AND(B2969&gt;=Eingaben!$B$21,B2969&lt;Eingaben!$B$22),OR(B2969&gt;=Eingaben!$B$21,B2969&lt;Eingaben!$B$22)),"GO",IF(AND(ISNUMBER(Eingaben!$B$23),ISNUMBER(Eingaben!$B$24),IF(Eingaben!$B$23&lt;Eingaben!$B$24,AND(B2969&gt;=Eingaben!$B$23,B2969&lt;Eingaben!$B$24),OR(B2969&gt;=Eingaben!$B$23,B2969&lt;Eingaben!$B$24))),"HEAT","STANDARD"))</f>
        <v>STANDARD</v>
      </c>
      <c r="E2969" s="9"/>
      <c r="F2969" t="str">
        <f>IF(E2969="",D2969,E2969)</f>
        <v>STANDARD</v>
      </c>
      <c r="G2969" t="str">
        <f>INDEX(Netzzeiten!$B$6:$B$29,HOUR(B2969)+1)</f>
        <v>HT</v>
      </c>
      <c r="H2969" s="6">
        <f>IF(F2969="GO",Eingaben!$B$11,IF(F2969="STANDARD",Eingaben!$B$12,IF(AND(F2969="HEAT",ISNUMBER(Eingaben!$B$13)),Eingaben!$B$13,"")))</f>
        <v>28.2744</v>
      </c>
      <c r="I2969" s="6">
        <f>INDEX(Netzzeiten!$C$6:$C$29,HOUR(B2969)+1)</f>
        <v>10.52</v>
      </c>
      <c r="J2969" t="str">
        <f>IF(C2969="","FEHLT",IF(NOT(ISNUMBER(C2969)),"MESSWERT UNGUELTIG",IF(C2969&lt;0,"MESSWERT UNGUELTIG",IF(H2969="","TARIFPREIS FEHLT","OK"))))</f>
        <v>FEHLT</v>
      </c>
      <c r="K2969" s="7">
        <f>IF(J2969&lt;&gt;"OK","",C2969*I2969/100)</f>
        <v/>
      </c>
    </row>
    <row r="2970" spans="1:11">
      <c r="A2970" s="14">
        <v>46173</v>
      </c>
      <c r="B2970" s="15">
        <v>0.875</v>
      </c>
      <c r="C2970" s="5">
        <f>IF('96 Werte'!CH36="","",'96 Werte'!CH36)</f>
        <v/>
      </c>
      <c r="D2970" t="str">
        <f>IF(IF(Eingaben!$B$21&lt;Eingaben!$B$22,AND(B2970&gt;=Eingaben!$B$21,B2970&lt;Eingaben!$B$22),OR(B2970&gt;=Eingaben!$B$21,B2970&lt;Eingaben!$B$22)),"GO",IF(AND(ISNUMBER(Eingaben!$B$23),ISNUMBER(Eingaben!$B$24),IF(Eingaben!$B$23&lt;Eingaben!$B$24,AND(B2970&gt;=Eingaben!$B$23,B2970&lt;Eingaben!$B$24),OR(B2970&gt;=Eingaben!$B$23,B2970&lt;Eingaben!$B$24))),"HEAT","STANDARD"))</f>
        <v>STANDARD</v>
      </c>
      <c r="E2970" s="9"/>
      <c r="F2970" t="str">
        <f>IF(E2970="",D2970,E2970)</f>
        <v>STANDARD</v>
      </c>
      <c r="G2970" t="str">
        <f>INDEX(Netzzeiten!$B$6:$B$29,HOUR(B2970)+1)</f>
        <v>HT</v>
      </c>
      <c r="H2970" s="6">
        <f>IF(F2970="GO",Eingaben!$B$11,IF(F2970="STANDARD",Eingaben!$B$12,IF(AND(F2970="HEAT",ISNUMBER(Eingaben!$B$13)),Eingaben!$B$13,"")))</f>
        <v>28.2744</v>
      </c>
      <c r="I2970" s="6">
        <f>INDEX(Netzzeiten!$C$6:$C$29,HOUR(B2970)+1)</f>
        <v>10.52</v>
      </c>
      <c r="J2970" t="str">
        <f>IF(C2970="","FEHLT",IF(NOT(ISNUMBER(C2970)),"MESSWERT UNGUELTIG",IF(C2970&lt;0,"MESSWERT UNGUELTIG",IF(H2970="","TARIFPREIS FEHLT","OK"))))</f>
        <v>FEHLT</v>
      </c>
      <c r="K2970" s="7">
        <f>IF(J2970&lt;&gt;"OK","",C2970*I2970/100)</f>
        <v/>
      </c>
    </row>
    <row r="2971" spans="1:11">
      <c r="A2971" s="14">
        <v>46173</v>
      </c>
      <c r="B2971" s="15">
        <v>0.8854166666666666</v>
      </c>
      <c r="C2971" s="5">
        <f>IF('96 Werte'!CI36="","",'96 Werte'!CI36)</f>
        <v/>
      </c>
      <c r="D2971" t="str">
        <f>IF(IF(Eingaben!$B$21&lt;Eingaben!$B$22,AND(B2971&gt;=Eingaben!$B$21,B2971&lt;Eingaben!$B$22),OR(B2971&gt;=Eingaben!$B$21,B2971&lt;Eingaben!$B$22)),"GO",IF(AND(ISNUMBER(Eingaben!$B$23),ISNUMBER(Eingaben!$B$24),IF(Eingaben!$B$23&lt;Eingaben!$B$24,AND(B2971&gt;=Eingaben!$B$23,B2971&lt;Eingaben!$B$24),OR(B2971&gt;=Eingaben!$B$23,B2971&lt;Eingaben!$B$24))),"HEAT","STANDARD"))</f>
        <v>STANDARD</v>
      </c>
      <c r="E2971" s="9"/>
      <c r="F2971" t="str">
        <f>IF(E2971="",D2971,E2971)</f>
        <v>STANDARD</v>
      </c>
      <c r="G2971" t="str">
        <f>INDEX(Netzzeiten!$B$6:$B$29,HOUR(B2971)+1)</f>
        <v>HT</v>
      </c>
      <c r="H2971" s="6">
        <f>IF(F2971="GO",Eingaben!$B$11,IF(F2971="STANDARD",Eingaben!$B$12,IF(AND(F2971="HEAT",ISNUMBER(Eingaben!$B$13)),Eingaben!$B$13,"")))</f>
        <v>28.2744</v>
      </c>
      <c r="I2971" s="6">
        <f>INDEX(Netzzeiten!$C$6:$C$29,HOUR(B2971)+1)</f>
        <v>10.52</v>
      </c>
      <c r="J2971" t="str">
        <f>IF(C2971="","FEHLT",IF(NOT(ISNUMBER(C2971)),"MESSWERT UNGUELTIG",IF(C2971&lt;0,"MESSWERT UNGUELTIG",IF(H2971="","TARIFPREIS FEHLT","OK"))))</f>
        <v>FEHLT</v>
      </c>
      <c r="K2971" s="7">
        <f>IF(J2971&lt;&gt;"OK","",C2971*I2971/100)</f>
        <v/>
      </c>
    </row>
    <row r="2972" spans="1:11">
      <c r="A2972" s="14">
        <v>46173</v>
      </c>
      <c r="B2972" s="15">
        <v>0.8958333333333334</v>
      </c>
      <c r="C2972" s="5">
        <f>IF('96 Werte'!CJ36="","",'96 Werte'!CJ36)</f>
        <v/>
      </c>
      <c r="D2972" t="str">
        <f>IF(IF(Eingaben!$B$21&lt;Eingaben!$B$22,AND(B2972&gt;=Eingaben!$B$21,B2972&lt;Eingaben!$B$22),OR(B2972&gt;=Eingaben!$B$21,B2972&lt;Eingaben!$B$22)),"GO",IF(AND(ISNUMBER(Eingaben!$B$23),ISNUMBER(Eingaben!$B$24),IF(Eingaben!$B$23&lt;Eingaben!$B$24,AND(B2972&gt;=Eingaben!$B$23,B2972&lt;Eingaben!$B$24),OR(B2972&gt;=Eingaben!$B$23,B2972&lt;Eingaben!$B$24))),"HEAT","STANDARD"))</f>
        <v>STANDARD</v>
      </c>
      <c r="E2972" s="9"/>
      <c r="F2972" t="str">
        <f>IF(E2972="",D2972,E2972)</f>
        <v>STANDARD</v>
      </c>
      <c r="G2972" t="str">
        <f>INDEX(Netzzeiten!$B$6:$B$29,HOUR(B2972)+1)</f>
        <v>HT</v>
      </c>
      <c r="H2972" s="6">
        <f>IF(F2972="GO",Eingaben!$B$11,IF(F2972="STANDARD",Eingaben!$B$12,IF(AND(F2972="HEAT",ISNUMBER(Eingaben!$B$13)),Eingaben!$B$13,"")))</f>
        <v>28.2744</v>
      </c>
      <c r="I2972" s="6">
        <f>INDEX(Netzzeiten!$C$6:$C$29,HOUR(B2972)+1)</f>
        <v>10.52</v>
      </c>
      <c r="J2972" t="str">
        <f>IF(C2972="","FEHLT",IF(NOT(ISNUMBER(C2972)),"MESSWERT UNGUELTIG",IF(C2972&lt;0,"MESSWERT UNGUELTIG",IF(H2972="","TARIFPREIS FEHLT","OK"))))</f>
        <v>FEHLT</v>
      </c>
      <c r="K2972" s="7">
        <f>IF(J2972&lt;&gt;"OK","",C2972*I2972/100)</f>
        <v/>
      </c>
    </row>
    <row r="2973" spans="1:11">
      <c r="A2973" s="14">
        <v>46173</v>
      </c>
      <c r="B2973" s="15">
        <v>0.90625</v>
      </c>
      <c r="C2973" s="5">
        <f>IF('96 Werte'!CK36="","",'96 Werte'!CK36)</f>
        <v/>
      </c>
      <c r="D2973" t="str">
        <f>IF(IF(Eingaben!$B$21&lt;Eingaben!$B$22,AND(B2973&gt;=Eingaben!$B$21,B2973&lt;Eingaben!$B$22),OR(B2973&gt;=Eingaben!$B$21,B2973&lt;Eingaben!$B$22)),"GO",IF(AND(ISNUMBER(Eingaben!$B$23),ISNUMBER(Eingaben!$B$24),IF(Eingaben!$B$23&lt;Eingaben!$B$24,AND(B2973&gt;=Eingaben!$B$23,B2973&lt;Eingaben!$B$24),OR(B2973&gt;=Eingaben!$B$23,B2973&lt;Eingaben!$B$24))),"HEAT","STANDARD"))</f>
        <v>STANDARD</v>
      </c>
      <c r="E2973" s="9"/>
      <c r="F2973" t="str">
        <f>IF(E2973="",D2973,E2973)</f>
        <v>STANDARD</v>
      </c>
      <c r="G2973" t="str">
        <f>INDEX(Netzzeiten!$B$6:$B$29,HOUR(B2973)+1)</f>
        <v>HT</v>
      </c>
      <c r="H2973" s="6">
        <f>IF(F2973="GO",Eingaben!$B$11,IF(F2973="STANDARD",Eingaben!$B$12,IF(AND(F2973="HEAT",ISNUMBER(Eingaben!$B$13)),Eingaben!$B$13,"")))</f>
        <v>28.2744</v>
      </c>
      <c r="I2973" s="6">
        <f>INDEX(Netzzeiten!$C$6:$C$29,HOUR(B2973)+1)</f>
        <v>10.52</v>
      </c>
      <c r="J2973" t="str">
        <f>IF(C2973="","FEHLT",IF(NOT(ISNUMBER(C2973)),"MESSWERT UNGUELTIG",IF(C2973&lt;0,"MESSWERT UNGUELTIG",IF(H2973="","TARIFPREIS FEHLT","OK"))))</f>
        <v>FEHLT</v>
      </c>
      <c r="K2973" s="7">
        <f>IF(J2973&lt;&gt;"OK","",C2973*I2973/100)</f>
        <v/>
      </c>
    </row>
    <row r="2974" spans="1:11">
      <c r="A2974" s="14">
        <v>46173</v>
      </c>
      <c r="B2974" s="15">
        <v>0.9166666666666666</v>
      </c>
      <c r="C2974" s="5">
        <f>IF('96 Werte'!CL36="","",'96 Werte'!CL36)</f>
        <v/>
      </c>
      <c r="D2974" t="str">
        <f>IF(IF(Eingaben!$B$21&lt;Eingaben!$B$22,AND(B2974&gt;=Eingaben!$B$21,B2974&lt;Eingaben!$B$22),OR(B2974&gt;=Eingaben!$B$21,B2974&lt;Eingaben!$B$22)),"GO",IF(AND(ISNUMBER(Eingaben!$B$23),ISNUMBER(Eingaben!$B$24),IF(Eingaben!$B$23&lt;Eingaben!$B$24,AND(B2974&gt;=Eingaben!$B$23,B2974&lt;Eingaben!$B$24),OR(B2974&gt;=Eingaben!$B$23,B2974&lt;Eingaben!$B$24))),"HEAT","STANDARD"))</f>
        <v>STANDARD</v>
      </c>
      <c r="E2974" s="9"/>
      <c r="F2974" t="str">
        <f>IF(E2974="",D2974,E2974)</f>
        <v>STANDARD</v>
      </c>
      <c r="G2974" t="str">
        <f>INDEX(Netzzeiten!$B$6:$B$29,HOUR(B2974)+1)</f>
        <v>ST</v>
      </c>
      <c r="H2974" s="6">
        <f>IF(F2974="GO",Eingaben!$B$11,IF(F2974="STANDARD",Eingaben!$B$12,IF(AND(F2974="HEAT",ISNUMBER(Eingaben!$B$13)),Eingaben!$B$13,"")))</f>
        <v>28.2744</v>
      </c>
      <c r="I2974" s="6">
        <f>INDEX(Netzzeiten!$C$6:$C$29,HOUR(B2974)+1)</f>
        <v>5.48</v>
      </c>
      <c r="J2974" t="str">
        <f>IF(C2974="","FEHLT",IF(NOT(ISNUMBER(C2974)),"MESSWERT UNGUELTIG",IF(C2974&lt;0,"MESSWERT UNGUELTIG",IF(H2974="","TARIFPREIS FEHLT","OK"))))</f>
        <v>FEHLT</v>
      </c>
      <c r="K2974" s="7">
        <f>IF(J2974&lt;&gt;"OK","",C2974*I2974/100)</f>
        <v/>
      </c>
    </row>
    <row r="2975" spans="1:11">
      <c r="A2975" s="14">
        <v>46173</v>
      </c>
      <c r="B2975" s="15">
        <v>0.9270833333333334</v>
      </c>
      <c r="C2975" s="5">
        <f>IF('96 Werte'!CM36="","",'96 Werte'!CM36)</f>
        <v/>
      </c>
      <c r="D2975" t="str">
        <f>IF(IF(Eingaben!$B$21&lt;Eingaben!$B$22,AND(B2975&gt;=Eingaben!$B$21,B2975&lt;Eingaben!$B$22),OR(B2975&gt;=Eingaben!$B$21,B2975&lt;Eingaben!$B$22)),"GO",IF(AND(ISNUMBER(Eingaben!$B$23),ISNUMBER(Eingaben!$B$24),IF(Eingaben!$B$23&lt;Eingaben!$B$24,AND(B2975&gt;=Eingaben!$B$23,B2975&lt;Eingaben!$B$24),OR(B2975&gt;=Eingaben!$B$23,B2975&lt;Eingaben!$B$24))),"HEAT","STANDARD"))</f>
        <v>STANDARD</v>
      </c>
      <c r="E2975" s="9"/>
      <c r="F2975" t="str">
        <f>IF(E2975="",D2975,E2975)</f>
        <v>STANDARD</v>
      </c>
      <c r="G2975" t="str">
        <f>INDEX(Netzzeiten!$B$6:$B$29,HOUR(B2975)+1)</f>
        <v>ST</v>
      </c>
      <c r="H2975" s="6">
        <f>IF(F2975="GO",Eingaben!$B$11,IF(F2975="STANDARD",Eingaben!$B$12,IF(AND(F2975="HEAT",ISNUMBER(Eingaben!$B$13)),Eingaben!$B$13,"")))</f>
        <v>28.2744</v>
      </c>
      <c r="I2975" s="6">
        <f>INDEX(Netzzeiten!$C$6:$C$29,HOUR(B2975)+1)</f>
        <v>5.48</v>
      </c>
      <c r="J2975" t="str">
        <f>IF(C2975="","FEHLT",IF(NOT(ISNUMBER(C2975)),"MESSWERT UNGUELTIG",IF(C2975&lt;0,"MESSWERT UNGUELTIG",IF(H2975="","TARIFPREIS FEHLT","OK"))))</f>
        <v>FEHLT</v>
      </c>
      <c r="K2975" s="7">
        <f>IF(J2975&lt;&gt;"OK","",C2975*I2975/100)</f>
        <v/>
      </c>
    </row>
    <row r="2976" spans="1:11">
      <c r="A2976" s="14">
        <v>46173</v>
      </c>
      <c r="B2976" s="15">
        <v>0.9375</v>
      </c>
      <c r="C2976" s="5">
        <f>IF('96 Werte'!CN36="","",'96 Werte'!CN36)</f>
        <v/>
      </c>
      <c r="D2976" t="str">
        <f>IF(IF(Eingaben!$B$21&lt;Eingaben!$B$22,AND(B2976&gt;=Eingaben!$B$21,B2976&lt;Eingaben!$B$22),OR(B2976&gt;=Eingaben!$B$21,B2976&lt;Eingaben!$B$22)),"GO",IF(AND(ISNUMBER(Eingaben!$B$23),ISNUMBER(Eingaben!$B$24),IF(Eingaben!$B$23&lt;Eingaben!$B$24,AND(B2976&gt;=Eingaben!$B$23,B2976&lt;Eingaben!$B$24),OR(B2976&gt;=Eingaben!$B$23,B2976&lt;Eingaben!$B$24))),"HEAT","STANDARD"))</f>
        <v>STANDARD</v>
      </c>
      <c r="E2976" s="9"/>
      <c r="F2976" t="str">
        <f>IF(E2976="",D2976,E2976)</f>
        <v>STANDARD</v>
      </c>
      <c r="G2976" t="str">
        <f>INDEX(Netzzeiten!$B$6:$B$29,HOUR(B2976)+1)</f>
        <v>ST</v>
      </c>
      <c r="H2976" s="6">
        <f>IF(F2976="GO",Eingaben!$B$11,IF(F2976="STANDARD",Eingaben!$B$12,IF(AND(F2976="HEAT",ISNUMBER(Eingaben!$B$13)),Eingaben!$B$13,"")))</f>
        <v>28.2744</v>
      </c>
      <c r="I2976" s="6">
        <f>INDEX(Netzzeiten!$C$6:$C$29,HOUR(B2976)+1)</f>
        <v>5.48</v>
      </c>
      <c r="J2976" t="str">
        <f>IF(C2976="","FEHLT",IF(NOT(ISNUMBER(C2976)),"MESSWERT UNGUELTIG",IF(C2976&lt;0,"MESSWERT UNGUELTIG",IF(H2976="","TARIFPREIS FEHLT","OK"))))</f>
        <v>FEHLT</v>
      </c>
      <c r="K2976" s="7">
        <f>IF(J2976&lt;&gt;"OK","",C2976*I2976/100)</f>
        <v/>
      </c>
    </row>
    <row r="2977" spans="1:11">
      <c r="A2977" s="14">
        <v>46173</v>
      </c>
      <c r="B2977" s="15">
        <v>0.9479166666666666</v>
      </c>
      <c r="C2977" s="5">
        <f>IF('96 Werte'!CO36="","",'96 Werte'!CO36)</f>
        <v/>
      </c>
      <c r="D2977" t="str">
        <f>IF(IF(Eingaben!$B$21&lt;Eingaben!$B$22,AND(B2977&gt;=Eingaben!$B$21,B2977&lt;Eingaben!$B$22),OR(B2977&gt;=Eingaben!$B$21,B2977&lt;Eingaben!$B$22)),"GO",IF(AND(ISNUMBER(Eingaben!$B$23),ISNUMBER(Eingaben!$B$24),IF(Eingaben!$B$23&lt;Eingaben!$B$24,AND(B2977&gt;=Eingaben!$B$23,B2977&lt;Eingaben!$B$24),OR(B2977&gt;=Eingaben!$B$23,B2977&lt;Eingaben!$B$24))),"HEAT","STANDARD"))</f>
        <v>STANDARD</v>
      </c>
      <c r="E2977" s="9"/>
      <c r="F2977" t="str">
        <f>IF(E2977="",D2977,E2977)</f>
        <v>STANDARD</v>
      </c>
      <c r="G2977" t="str">
        <f>INDEX(Netzzeiten!$B$6:$B$29,HOUR(B2977)+1)</f>
        <v>ST</v>
      </c>
      <c r="H2977" s="6">
        <f>IF(F2977="GO",Eingaben!$B$11,IF(F2977="STANDARD",Eingaben!$B$12,IF(AND(F2977="HEAT",ISNUMBER(Eingaben!$B$13)),Eingaben!$B$13,"")))</f>
        <v>28.2744</v>
      </c>
      <c r="I2977" s="6">
        <f>INDEX(Netzzeiten!$C$6:$C$29,HOUR(B2977)+1)</f>
        <v>5.48</v>
      </c>
      <c r="J2977" t="str">
        <f>IF(C2977="","FEHLT",IF(NOT(ISNUMBER(C2977)),"MESSWERT UNGUELTIG",IF(C2977&lt;0,"MESSWERT UNGUELTIG",IF(H2977="","TARIFPREIS FEHLT","OK"))))</f>
        <v>FEHLT</v>
      </c>
      <c r="K2977" s="7">
        <f>IF(J2977&lt;&gt;"OK","",C2977*I2977/100)</f>
        <v/>
      </c>
    </row>
    <row r="2978" spans="1:11">
      <c r="A2978" s="14">
        <v>46173</v>
      </c>
      <c r="B2978" s="15">
        <v>0.9583333333333334</v>
      </c>
      <c r="C2978" s="5">
        <f>IF('96 Werte'!CP36="","",'96 Werte'!CP36)</f>
        <v/>
      </c>
      <c r="D2978" t="str">
        <f>IF(IF(Eingaben!$B$21&lt;Eingaben!$B$22,AND(B2978&gt;=Eingaben!$B$21,B2978&lt;Eingaben!$B$22),OR(B2978&gt;=Eingaben!$B$21,B2978&lt;Eingaben!$B$22)),"GO",IF(AND(ISNUMBER(Eingaben!$B$23),ISNUMBER(Eingaben!$B$24),IF(Eingaben!$B$23&lt;Eingaben!$B$24,AND(B2978&gt;=Eingaben!$B$23,B2978&lt;Eingaben!$B$24),OR(B2978&gt;=Eingaben!$B$23,B2978&lt;Eingaben!$B$24))),"HEAT","STANDARD"))</f>
        <v>STANDARD</v>
      </c>
      <c r="E2978" s="9"/>
      <c r="F2978" t="str">
        <f>IF(E2978="",D2978,E2978)</f>
        <v>STANDARD</v>
      </c>
      <c r="G2978" t="str">
        <f>INDEX(Netzzeiten!$B$6:$B$29,HOUR(B2978)+1)</f>
        <v>NT</v>
      </c>
      <c r="H2978" s="6">
        <f>IF(F2978="GO",Eingaben!$B$11,IF(F2978="STANDARD",Eingaben!$B$12,IF(AND(F2978="HEAT",ISNUMBER(Eingaben!$B$13)),Eingaben!$B$13,"")))</f>
        <v>28.2744</v>
      </c>
      <c r="I2978" s="6">
        <f>INDEX(Netzzeiten!$C$6:$C$29,HOUR(B2978)+1)</f>
        <v>1.64</v>
      </c>
      <c r="J2978" t="str">
        <f>IF(C2978="","FEHLT",IF(NOT(ISNUMBER(C2978)),"MESSWERT UNGUELTIG",IF(C2978&lt;0,"MESSWERT UNGUELTIG",IF(H2978="","TARIFPREIS FEHLT","OK"))))</f>
        <v>FEHLT</v>
      </c>
      <c r="K2978" s="7">
        <f>IF(J2978&lt;&gt;"OK","",C2978*I2978/100)</f>
        <v/>
      </c>
    </row>
    <row r="2979" spans="1:11">
      <c r="A2979" s="14">
        <v>46173</v>
      </c>
      <c r="B2979" s="15">
        <v>0.96875</v>
      </c>
      <c r="C2979" s="5">
        <f>IF('96 Werte'!CQ36="","",'96 Werte'!CQ36)</f>
        <v/>
      </c>
      <c r="D2979" t="str">
        <f>IF(IF(Eingaben!$B$21&lt;Eingaben!$B$22,AND(B2979&gt;=Eingaben!$B$21,B2979&lt;Eingaben!$B$22),OR(B2979&gt;=Eingaben!$B$21,B2979&lt;Eingaben!$B$22)),"GO",IF(AND(ISNUMBER(Eingaben!$B$23),ISNUMBER(Eingaben!$B$24),IF(Eingaben!$B$23&lt;Eingaben!$B$24,AND(B2979&gt;=Eingaben!$B$23,B2979&lt;Eingaben!$B$24),OR(B2979&gt;=Eingaben!$B$23,B2979&lt;Eingaben!$B$24))),"HEAT","STANDARD"))</f>
        <v>STANDARD</v>
      </c>
      <c r="E2979" s="9"/>
      <c r="F2979" t="str">
        <f>IF(E2979="",D2979,E2979)</f>
        <v>STANDARD</v>
      </c>
      <c r="G2979" t="str">
        <f>INDEX(Netzzeiten!$B$6:$B$29,HOUR(B2979)+1)</f>
        <v>NT</v>
      </c>
      <c r="H2979" s="6">
        <f>IF(F2979="GO",Eingaben!$B$11,IF(F2979="STANDARD",Eingaben!$B$12,IF(AND(F2979="HEAT",ISNUMBER(Eingaben!$B$13)),Eingaben!$B$13,"")))</f>
        <v>28.2744</v>
      </c>
      <c r="I2979" s="6">
        <f>INDEX(Netzzeiten!$C$6:$C$29,HOUR(B2979)+1)</f>
        <v>1.64</v>
      </c>
      <c r="J2979" t="str">
        <f>IF(C2979="","FEHLT",IF(NOT(ISNUMBER(C2979)),"MESSWERT UNGUELTIG",IF(C2979&lt;0,"MESSWERT UNGUELTIG",IF(H2979="","TARIFPREIS FEHLT","OK"))))</f>
        <v>FEHLT</v>
      </c>
      <c r="K2979" s="7">
        <f>IF(J2979&lt;&gt;"OK","",C2979*I2979/100)</f>
        <v/>
      </c>
    </row>
    <row r="2980" spans="1:11">
      <c r="A2980" s="14">
        <v>46173</v>
      </c>
      <c r="B2980" s="15">
        <v>0.9791666666666666</v>
      </c>
      <c r="C2980" s="5">
        <f>IF('96 Werte'!CR36="","",'96 Werte'!CR36)</f>
        <v/>
      </c>
      <c r="D2980" t="str">
        <f>IF(IF(Eingaben!$B$21&lt;Eingaben!$B$22,AND(B2980&gt;=Eingaben!$B$21,B2980&lt;Eingaben!$B$22),OR(B2980&gt;=Eingaben!$B$21,B2980&lt;Eingaben!$B$22)),"GO",IF(AND(ISNUMBER(Eingaben!$B$23),ISNUMBER(Eingaben!$B$24),IF(Eingaben!$B$23&lt;Eingaben!$B$24,AND(B2980&gt;=Eingaben!$B$23,B2980&lt;Eingaben!$B$24),OR(B2980&gt;=Eingaben!$B$23,B2980&lt;Eingaben!$B$24))),"HEAT","STANDARD"))</f>
        <v>STANDARD</v>
      </c>
      <c r="E2980" s="9"/>
      <c r="F2980" t="str">
        <f>IF(E2980="",D2980,E2980)</f>
        <v>STANDARD</v>
      </c>
      <c r="G2980" t="str">
        <f>INDEX(Netzzeiten!$B$6:$B$29,HOUR(B2980)+1)</f>
        <v>NT</v>
      </c>
      <c r="H2980" s="6">
        <f>IF(F2980="GO",Eingaben!$B$11,IF(F2980="STANDARD",Eingaben!$B$12,IF(AND(F2980="HEAT",ISNUMBER(Eingaben!$B$13)),Eingaben!$B$13,"")))</f>
        <v>28.2744</v>
      </c>
      <c r="I2980" s="6">
        <f>INDEX(Netzzeiten!$C$6:$C$29,HOUR(B2980)+1)</f>
        <v>1.64</v>
      </c>
      <c r="J2980" t="str">
        <f>IF(C2980="","FEHLT",IF(NOT(ISNUMBER(C2980)),"MESSWERT UNGUELTIG",IF(C2980&lt;0,"MESSWERT UNGUELTIG",IF(H2980="","TARIFPREIS FEHLT","OK"))))</f>
        <v>FEHLT</v>
      </c>
      <c r="K2980" s="7">
        <f>IF(J2980&lt;&gt;"OK","",C2980*I2980/100)</f>
        <v/>
      </c>
    </row>
    <row r="2981" spans="1:11">
      <c r="A2981" s="14">
        <v>46173</v>
      </c>
      <c r="B2981" s="15">
        <v>0.9895833333333334</v>
      </c>
      <c r="C2981" s="5">
        <f>IF('96 Werte'!CS36="","",'96 Werte'!CS36)</f>
        <v/>
      </c>
      <c r="D2981" t="str">
        <f>IF(IF(Eingaben!$B$21&lt;Eingaben!$B$22,AND(B2981&gt;=Eingaben!$B$21,B2981&lt;Eingaben!$B$22),OR(B2981&gt;=Eingaben!$B$21,B2981&lt;Eingaben!$B$22)),"GO",IF(AND(ISNUMBER(Eingaben!$B$23),ISNUMBER(Eingaben!$B$24),IF(Eingaben!$B$23&lt;Eingaben!$B$24,AND(B2981&gt;=Eingaben!$B$23,B2981&lt;Eingaben!$B$24),OR(B2981&gt;=Eingaben!$B$23,B2981&lt;Eingaben!$B$24))),"HEAT","STANDARD"))</f>
        <v>STANDARD</v>
      </c>
      <c r="E2981" s="9"/>
      <c r="F2981" t="str">
        <f>IF(E2981="",D2981,E2981)</f>
        <v>STANDARD</v>
      </c>
      <c r="G2981" t="str">
        <f>INDEX(Netzzeiten!$B$6:$B$29,HOUR(B2981)+1)</f>
        <v>NT</v>
      </c>
      <c r="H2981" s="6">
        <f>IF(F2981="GO",Eingaben!$B$11,IF(F2981="STANDARD",Eingaben!$B$12,IF(AND(F2981="HEAT",ISNUMBER(Eingaben!$B$13)),Eingaben!$B$13,"")))</f>
        <v>28.2744</v>
      </c>
      <c r="I2981" s="6">
        <f>INDEX(Netzzeiten!$C$6:$C$29,HOUR(B2981)+1)</f>
        <v>1.64</v>
      </c>
      <c r="J2981" t="str">
        <f>IF(C2981="","FEHLT",IF(NOT(ISNUMBER(C2981)),"MESSWERT UNGUELTIG",IF(C2981&lt;0,"MESSWERT UNGUELTIG",IF(H2981="","TARIFPREIS FEHLT","OK"))))</f>
        <v>FEHLT</v>
      </c>
      <c r="K2981" s="7">
        <f>IF(J2981&lt;&gt;"OK","",C2981*I2981/100)</f>
        <v/>
      </c>
    </row>
  </sheetData>
  <autoFilter ref="A5:K2981"/>
  <mergeCells count="2">
    <mergeCell ref="A1:K1"/>
    <mergeCell ref="A2:K3"/>
  </mergeCells>
  <dataValidations count="1">
    <dataValidation type="list" allowBlank="1" showInputMessage="1" showErrorMessage="1" errorTitle="Ungueltige Eingabe" error="Bitte einen Listenwert auswaehlen." sqref="E6:E2981">
      <formula1>"GO,STANDARD,HEAT"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4.7109375" customWidth="1"/>
    <col min="2" max="4" width="23.7109375" customWidth="1"/>
    <col min="5" max="5" width="27.7109375" customWidth="1"/>
    <col min="6" max="6" width="60.7109375" customWidth="1"/>
  </cols>
  <sheetData>
    <row r="1" spans="1:6">
      <c r="A1" s="1" t="s">
        <v>56</v>
      </c>
      <c r="B1" s="1"/>
      <c r="C1" s="1"/>
      <c r="D1" s="1"/>
      <c r="E1" s="1"/>
      <c r="F1" s="1"/>
    </row>
    <row r="2" spans="1:6">
      <c r="A2" s="2" t="s">
        <v>57</v>
      </c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5" spans="1:6" ht="38" customHeight="1">
      <c r="A5" s="4" t="s">
        <v>58</v>
      </c>
      <c r="B5" s="4" t="s">
        <v>59</v>
      </c>
      <c r="C5" s="4" t="s">
        <v>60</v>
      </c>
      <c r="D5" s="4" t="s">
        <v>61</v>
      </c>
      <c r="E5" s="4" t="s">
        <v>62</v>
      </c>
      <c r="F5" s="4" t="s">
        <v>63</v>
      </c>
    </row>
    <row r="6" spans="1:6">
      <c r="A6" s="15">
        <v>0</v>
      </c>
      <c r="B6" s="9" t="s">
        <v>64</v>
      </c>
      <c r="C6" s="6">
        <f>IF(ISNUMBER(E6),E6,IF(B6="NT",Eingaben!B30,IF(B6="ST",Eingaben!B31,Eingaben!B32)))</f>
        <v>1.64</v>
      </c>
      <c r="D6" s="6">
        <f>C6*(1+Eingaben!B7)</f>
        <v>1.9516</v>
      </c>
      <c r="E6" s="11"/>
      <c r="F6" s="2" t="s">
        <v>65</v>
      </c>
    </row>
    <row r="7" spans="1:6">
      <c r="A7" s="15">
        <v>0.04166666666666666</v>
      </c>
      <c r="B7" s="9" t="s">
        <v>64</v>
      </c>
      <c r="C7" s="6">
        <f>IF(ISNUMBER(E7),E7,IF(B7="NT",Eingaben!B30,IF(B7="ST",Eingaben!B31,Eingaben!B32)))</f>
        <v>1.64</v>
      </c>
      <c r="D7" s="6">
        <f>C7*(1+Eingaben!B7)</f>
        <v>1.9516</v>
      </c>
      <c r="E7" s="11"/>
      <c r="F7" s="2" t="s">
        <v>65</v>
      </c>
    </row>
    <row r="8" spans="1:6">
      <c r="A8" s="15">
        <v>0.08333333333333333</v>
      </c>
      <c r="B8" s="9" t="s">
        <v>64</v>
      </c>
      <c r="C8" s="6">
        <f>IF(ISNUMBER(E8),E8,IF(B8="NT",Eingaben!B30,IF(B8="ST",Eingaben!B31,Eingaben!B32)))</f>
        <v>1.64</v>
      </c>
      <c r="D8" s="6">
        <f>C8*(1+Eingaben!B7)</f>
        <v>1.9516</v>
      </c>
      <c r="E8" s="11"/>
      <c r="F8" s="2" t="s">
        <v>65</v>
      </c>
    </row>
    <row r="9" spans="1:6">
      <c r="A9" s="15">
        <v>0.125</v>
      </c>
      <c r="B9" s="9" t="s">
        <v>64</v>
      </c>
      <c r="C9" s="6">
        <f>IF(ISNUMBER(E9),E9,IF(B9="NT",Eingaben!B30,IF(B9="ST",Eingaben!B31,Eingaben!B32)))</f>
        <v>1.64</v>
      </c>
      <c r="D9" s="6">
        <f>C9*(1+Eingaben!B7)</f>
        <v>1.9516</v>
      </c>
      <c r="E9" s="11"/>
      <c r="F9" s="2" t="s">
        <v>65</v>
      </c>
    </row>
    <row r="10" spans="1:6">
      <c r="A10" s="15">
        <v>0.1666666666666667</v>
      </c>
      <c r="B10" s="9" t="s">
        <v>64</v>
      </c>
      <c r="C10" s="6">
        <f>IF(ISNUMBER(E10),E10,IF(B10="NT",Eingaben!B30,IF(B10="ST",Eingaben!B31,Eingaben!B32)))</f>
        <v>1.64</v>
      </c>
      <c r="D10" s="6">
        <f>C10*(1+Eingaben!B7)</f>
        <v>1.9516</v>
      </c>
      <c r="E10" s="11"/>
      <c r="F10" s="2" t="s">
        <v>65</v>
      </c>
    </row>
    <row r="11" spans="1:6">
      <c r="A11" s="15">
        <v>0.2083333333333333</v>
      </c>
      <c r="B11" s="9" t="s">
        <v>64</v>
      </c>
      <c r="C11" s="6">
        <f>IF(ISNUMBER(E11),E11,IF(B11="NT",Eingaben!B30,IF(B11="ST",Eingaben!B31,Eingaben!B32)))</f>
        <v>1.64</v>
      </c>
      <c r="D11" s="6">
        <f>C11*(1+Eingaben!B7)</f>
        <v>1.9516</v>
      </c>
      <c r="E11" s="11"/>
      <c r="F11" s="2" t="s">
        <v>65</v>
      </c>
    </row>
    <row r="12" spans="1:6">
      <c r="A12" s="15">
        <v>0.25</v>
      </c>
      <c r="B12" s="9" t="s">
        <v>66</v>
      </c>
      <c r="C12" s="6">
        <f>IF(ISNUMBER(E12),E12,IF(B12="NT",Eingaben!B30,IF(B12="ST",Eingaben!B31,Eingaben!B32)))</f>
        <v>5.48</v>
      </c>
      <c r="D12" s="6">
        <f>C12*(1+Eingaben!B7)</f>
        <v>6.5212</v>
      </c>
      <c r="E12" s="11"/>
      <c r="F12" s="2" t="s">
        <v>65</v>
      </c>
    </row>
    <row r="13" spans="1:6">
      <c r="A13" s="15">
        <v>0.2916666666666667</v>
      </c>
      <c r="B13" s="9" t="s">
        <v>66</v>
      </c>
      <c r="C13" s="6">
        <f>IF(ISNUMBER(E13),E13,IF(B13="NT",Eingaben!B30,IF(B13="ST",Eingaben!B31,Eingaben!B32)))</f>
        <v>5.48</v>
      </c>
      <c r="D13" s="6">
        <f>C13*(1+Eingaben!B7)</f>
        <v>6.5212</v>
      </c>
      <c r="E13" s="11"/>
      <c r="F13" s="2" t="s">
        <v>65</v>
      </c>
    </row>
    <row r="14" spans="1:6">
      <c r="A14" s="15">
        <v>0.3333333333333333</v>
      </c>
      <c r="B14" s="9" t="s">
        <v>66</v>
      </c>
      <c r="C14" s="6">
        <f>IF(ISNUMBER(E14),E14,IF(B14="NT",Eingaben!B30,IF(B14="ST",Eingaben!B31,Eingaben!B32)))</f>
        <v>5.48</v>
      </c>
      <c r="D14" s="6">
        <f>C14*(1+Eingaben!B7)</f>
        <v>6.5212</v>
      </c>
      <c r="E14" s="11"/>
      <c r="F14" s="2" t="s">
        <v>65</v>
      </c>
    </row>
    <row r="15" spans="1:6">
      <c r="A15" s="15">
        <v>0.375</v>
      </c>
      <c r="B15" s="9" t="s">
        <v>66</v>
      </c>
      <c r="C15" s="6">
        <f>IF(ISNUMBER(E15),E15,IF(B15="NT",Eingaben!B30,IF(B15="ST",Eingaben!B31,Eingaben!B32)))</f>
        <v>5.48</v>
      </c>
      <c r="D15" s="6">
        <f>C15*(1+Eingaben!B7)</f>
        <v>6.5212</v>
      </c>
      <c r="E15" s="11"/>
      <c r="F15" s="2" t="s">
        <v>65</v>
      </c>
    </row>
    <row r="16" spans="1:6">
      <c r="A16" s="15">
        <v>0.4166666666666667</v>
      </c>
      <c r="B16" s="9" t="s">
        <v>66</v>
      </c>
      <c r="C16" s="6">
        <f>IF(ISNUMBER(E16),E16,IF(B16="NT",Eingaben!B30,IF(B16="ST",Eingaben!B31,Eingaben!B32)))</f>
        <v>5.48</v>
      </c>
      <c r="D16" s="6">
        <f>C16*(1+Eingaben!B7)</f>
        <v>6.5212</v>
      </c>
      <c r="E16" s="11"/>
      <c r="F16" s="2" t="s">
        <v>65</v>
      </c>
    </row>
    <row r="17" spans="1:6">
      <c r="A17" s="15">
        <v>0.4583333333333333</v>
      </c>
      <c r="B17" s="9" t="s">
        <v>64</v>
      </c>
      <c r="C17" s="6">
        <f>IF(ISNUMBER(E17),E17,IF(B17="NT",Eingaben!B30,IF(B17="ST",Eingaben!B31,Eingaben!B32)))</f>
        <v>1.64</v>
      </c>
      <c r="D17" s="6">
        <f>C17*(1+Eingaben!B7)</f>
        <v>1.9516</v>
      </c>
      <c r="E17" s="11"/>
      <c r="F17" s="2" t="s">
        <v>65</v>
      </c>
    </row>
    <row r="18" spans="1:6">
      <c r="A18" s="15">
        <v>0.5</v>
      </c>
      <c r="B18" s="9" t="s">
        <v>64</v>
      </c>
      <c r="C18" s="6">
        <f>IF(ISNUMBER(E18),E18,IF(B18="NT",Eingaben!B30,IF(B18="ST",Eingaben!B31,Eingaben!B32)))</f>
        <v>1.64</v>
      </c>
      <c r="D18" s="6">
        <f>C18*(1+Eingaben!B7)</f>
        <v>1.9516</v>
      </c>
      <c r="E18" s="11"/>
      <c r="F18" s="2" t="s">
        <v>65</v>
      </c>
    </row>
    <row r="19" spans="1:6">
      <c r="A19" s="15">
        <v>0.5416666666666666</v>
      </c>
      <c r="B19" s="9" t="s">
        <v>64</v>
      </c>
      <c r="C19" s="6">
        <f>IF(ISNUMBER(E19),E19,IF(B19="NT",Eingaben!B30,IF(B19="ST",Eingaben!B31,Eingaben!B32)))</f>
        <v>1.64</v>
      </c>
      <c r="D19" s="6">
        <f>C19*(1+Eingaben!B7)</f>
        <v>1.9516</v>
      </c>
      <c r="E19" s="11"/>
      <c r="F19" s="2" t="s">
        <v>65</v>
      </c>
    </row>
    <row r="20" spans="1:6">
      <c r="A20" s="15">
        <v>0.5833333333333334</v>
      </c>
      <c r="B20" s="9" t="s">
        <v>64</v>
      </c>
      <c r="C20" s="6">
        <f>IF(ISNUMBER(E20),E20,IF(B20="NT",Eingaben!B30,IF(B20="ST",Eingaben!B31,Eingaben!B32)))</f>
        <v>1.64</v>
      </c>
      <c r="D20" s="6">
        <f>C20*(1+Eingaben!B7)</f>
        <v>1.9516</v>
      </c>
      <c r="E20" s="11"/>
      <c r="F20" s="2" t="s">
        <v>65</v>
      </c>
    </row>
    <row r="21" spans="1:6">
      <c r="A21" s="15">
        <v>0.625</v>
      </c>
      <c r="B21" s="9" t="s">
        <v>66</v>
      </c>
      <c r="C21" s="6">
        <f>IF(ISNUMBER(E21),E21,IF(B21="NT",Eingaben!B30,IF(B21="ST",Eingaben!B31,Eingaben!B32)))</f>
        <v>5.48</v>
      </c>
      <c r="D21" s="6">
        <f>C21*(1+Eingaben!B7)</f>
        <v>6.5212</v>
      </c>
      <c r="E21" s="11"/>
      <c r="F21" s="2" t="s">
        <v>65</v>
      </c>
    </row>
    <row r="22" spans="1:6">
      <c r="A22" s="15">
        <v>0.6666666666666666</v>
      </c>
      <c r="B22" s="9" t="s">
        <v>66</v>
      </c>
      <c r="C22" s="6">
        <f>IF(ISNUMBER(E22),E22,IF(B22="NT",Eingaben!B30,IF(B22="ST",Eingaben!B31,Eingaben!B32)))</f>
        <v>5.48</v>
      </c>
      <c r="D22" s="6">
        <f>C22*(1+Eingaben!B7)</f>
        <v>6.5212</v>
      </c>
      <c r="E22" s="11"/>
      <c r="F22" s="2" t="s">
        <v>65</v>
      </c>
    </row>
    <row r="23" spans="1:6">
      <c r="A23" s="15">
        <v>0.7083333333333334</v>
      </c>
      <c r="B23" s="9" t="s">
        <v>67</v>
      </c>
      <c r="C23" s="6">
        <f>IF(ISNUMBER(E23),E23,IF(B23="NT",Eingaben!B30,IF(B23="ST",Eingaben!B31,Eingaben!B32)))</f>
        <v>10.52</v>
      </c>
      <c r="D23" s="6">
        <f>C23*(1+Eingaben!B7)</f>
        <v>12.5188</v>
      </c>
      <c r="E23" s="11"/>
      <c r="F23" s="2" t="s">
        <v>65</v>
      </c>
    </row>
    <row r="24" spans="1:6">
      <c r="A24" s="15">
        <v>0.75</v>
      </c>
      <c r="B24" s="9" t="s">
        <v>67</v>
      </c>
      <c r="C24" s="6">
        <f>IF(ISNUMBER(E24),E24,IF(B24="NT",Eingaben!B30,IF(B24="ST",Eingaben!B31,Eingaben!B32)))</f>
        <v>10.52</v>
      </c>
      <c r="D24" s="6">
        <f>C24*(1+Eingaben!B7)</f>
        <v>12.5188</v>
      </c>
      <c r="E24" s="11"/>
      <c r="F24" s="2" t="s">
        <v>65</v>
      </c>
    </row>
    <row r="25" spans="1:6">
      <c r="A25" s="15">
        <v>0.7916666666666666</v>
      </c>
      <c r="B25" s="9" t="s">
        <v>67</v>
      </c>
      <c r="C25" s="6">
        <f>IF(ISNUMBER(E25),E25,IF(B25="NT",Eingaben!B30,IF(B25="ST",Eingaben!B31,Eingaben!B32)))</f>
        <v>10.52</v>
      </c>
      <c r="D25" s="6">
        <f>C25*(1+Eingaben!B7)</f>
        <v>12.5188</v>
      </c>
      <c r="E25" s="11"/>
      <c r="F25" s="2" t="s">
        <v>65</v>
      </c>
    </row>
    <row r="26" spans="1:6">
      <c r="A26" s="15">
        <v>0.8333333333333334</v>
      </c>
      <c r="B26" s="9" t="s">
        <v>67</v>
      </c>
      <c r="C26" s="6">
        <f>IF(ISNUMBER(E26),E26,IF(B26="NT",Eingaben!B30,IF(B26="ST",Eingaben!B31,Eingaben!B32)))</f>
        <v>10.52</v>
      </c>
      <c r="D26" s="6">
        <f>C26*(1+Eingaben!B7)</f>
        <v>12.5188</v>
      </c>
      <c r="E26" s="11"/>
      <c r="F26" s="2" t="s">
        <v>65</v>
      </c>
    </row>
    <row r="27" spans="1:6">
      <c r="A27" s="15">
        <v>0.875</v>
      </c>
      <c r="B27" s="9" t="s">
        <v>67</v>
      </c>
      <c r="C27" s="6">
        <f>IF(ISNUMBER(E27),E27,IF(B27="NT",Eingaben!B30,IF(B27="ST",Eingaben!B31,Eingaben!B32)))</f>
        <v>10.52</v>
      </c>
      <c r="D27" s="6">
        <f>C27*(1+Eingaben!B7)</f>
        <v>12.5188</v>
      </c>
      <c r="E27" s="11"/>
      <c r="F27" s="2" t="s">
        <v>65</v>
      </c>
    </row>
    <row r="28" spans="1:6">
      <c r="A28" s="15">
        <v>0.9166666666666666</v>
      </c>
      <c r="B28" s="9" t="s">
        <v>66</v>
      </c>
      <c r="C28" s="6">
        <f>IF(ISNUMBER(E28),E28,IF(B28="NT",Eingaben!B30,IF(B28="ST",Eingaben!B31,Eingaben!B32)))</f>
        <v>5.48</v>
      </c>
      <c r="D28" s="6">
        <f>C28*(1+Eingaben!B7)</f>
        <v>6.5212</v>
      </c>
      <c r="E28" s="11"/>
      <c r="F28" s="2" t="s">
        <v>65</v>
      </c>
    </row>
    <row r="29" spans="1:6">
      <c r="A29" s="15">
        <v>0.9583333333333334</v>
      </c>
      <c r="B29" s="9" t="s">
        <v>64</v>
      </c>
      <c r="C29" s="6">
        <f>IF(ISNUMBER(E29),E29,IF(B29="NT",Eingaben!B30,IF(B29="ST",Eingaben!B31,Eingaben!B32)))</f>
        <v>1.64</v>
      </c>
      <c r="D29" s="6">
        <f>C29*(1+Eingaben!B7)</f>
        <v>1.9516</v>
      </c>
      <c r="E29" s="11"/>
      <c r="F29" s="2" t="s">
        <v>65</v>
      </c>
    </row>
  </sheetData>
  <mergeCells count="2">
    <mergeCell ref="A1:F1"/>
    <mergeCell ref="A2:F3"/>
  </mergeCells>
  <dataValidations count="2">
    <dataValidation type="list" allowBlank="1" showInputMessage="1" showErrorMessage="1" errorTitle="Ungueltige Eingabe" error="Bitte einen Listenwert auswaehlen." sqref="B6:B29">
      <formula1>"NT,ST,HT"</formula1>
    </dataValidation>
    <dataValidation type="decimal" operator="greaterThanOrEqual" allowBlank="1" showInputMessage="1" showErrorMessage="1" sqref="E6:E29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15.7109375" customWidth="1"/>
    <col min="2" max="16" width="20.7109375" customWidth="1"/>
    <col min="17" max="17" width="24.7109375" customWidth="1"/>
  </cols>
  <sheetData>
    <row r="1" spans="1:17">
      <c r="A1" s="1" t="s">
        <v>180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 t="s">
        <v>181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5" spans="1:17" ht="38" customHeight="1">
      <c r="A5" s="4" t="s">
        <v>70</v>
      </c>
      <c r="B5" s="4" t="s">
        <v>182</v>
      </c>
      <c r="C5" s="4" t="s">
        <v>183</v>
      </c>
      <c r="D5" s="4" t="s">
        <v>184</v>
      </c>
      <c r="E5" s="4" t="s">
        <v>185</v>
      </c>
      <c r="F5" s="4" t="s">
        <v>186</v>
      </c>
      <c r="G5" s="4" t="s">
        <v>187</v>
      </c>
      <c r="H5" s="4" t="s">
        <v>188</v>
      </c>
      <c r="I5" s="4" t="s">
        <v>189</v>
      </c>
      <c r="J5" s="4" t="s">
        <v>190</v>
      </c>
      <c r="K5" s="4" t="s">
        <v>191</v>
      </c>
      <c r="L5" s="4" t="s">
        <v>192</v>
      </c>
      <c r="M5" s="4" t="s">
        <v>193</v>
      </c>
      <c r="N5" s="4" t="s">
        <v>194</v>
      </c>
      <c r="O5" s="4" t="s">
        <v>195</v>
      </c>
      <c r="P5" s="4" t="s">
        <v>196</v>
      </c>
      <c r="Q5" s="4" t="s">
        <v>197</v>
      </c>
    </row>
    <row r="6" spans="1:17">
      <c r="A6" s="14">
        <v>46143</v>
      </c>
      <c r="B6" s="5">
        <v>0.394</v>
      </c>
      <c r="C6" s="5">
        <v>0.22</v>
      </c>
      <c r="D6" s="5">
        <v>0</v>
      </c>
      <c r="E6" s="5">
        <v>0</v>
      </c>
      <c r="F6" s="5">
        <v>0.02</v>
      </c>
      <c r="G6" s="5">
        <v>0.08599999999999999</v>
      </c>
      <c r="H6" s="5">
        <v>0.068</v>
      </c>
      <c r="I6" s="5">
        <v>0</v>
      </c>
      <c r="J6" s="5">
        <v>0</v>
      </c>
      <c r="K6" s="5">
        <v>0</v>
      </c>
      <c r="L6" s="7">
        <v>0.3</v>
      </c>
      <c r="M6" s="7">
        <v>0.58</v>
      </c>
      <c r="N6" s="7">
        <v>0.35</v>
      </c>
      <c r="O6" s="7">
        <v>-0.02</v>
      </c>
      <c r="P6" s="7">
        <v>0.07000000000000001</v>
      </c>
      <c r="Q6" t="s">
        <v>198</v>
      </c>
    </row>
    <row r="7" spans="1:17">
      <c r="A7" s="14">
        <v>46144</v>
      </c>
      <c r="B7" s="5">
        <v>0.41</v>
      </c>
      <c r="C7" s="5">
        <v>0.06</v>
      </c>
      <c r="D7" s="5">
        <v>0</v>
      </c>
      <c r="E7" s="5">
        <v>0</v>
      </c>
      <c r="F7" s="5">
        <v>0.023</v>
      </c>
      <c r="G7" s="5">
        <v>0.061</v>
      </c>
      <c r="H7" s="5">
        <v>0.266</v>
      </c>
      <c r="I7" s="5">
        <v>0</v>
      </c>
      <c r="J7" s="5">
        <v>0</v>
      </c>
      <c r="K7" s="5">
        <v>0</v>
      </c>
      <c r="L7" s="7">
        <v>0.34</v>
      </c>
      <c r="M7" s="7">
        <v>0.58</v>
      </c>
      <c r="N7" s="7">
        <v>0.35</v>
      </c>
      <c r="O7" s="7">
        <v>0</v>
      </c>
      <c r="P7" s="7">
        <v>0.11</v>
      </c>
      <c r="Q7" t="s">
        <v>198</v>
      </c>
    </row>
    <row r="8" spans="1:17">
      <c r="A8" s="14">
        <v>46145</v>
      </c>
      <c r="B8" s="5">
        <v>0.211</v>
      </c>
      <c r="C8" s="5">
        <v>0.066</v>
      </c>
      <c r="D8" s="5">
        <v>0</v>
      </c>
      <c r="E8" s="5">
        <v>0</v>
      </c>
      <c r="F8" s="5">
        <v>0.024</v>
      </c>
      <c r="G8" s="5">
        <v>0.07000000000000001</v>
      </c>
      <c r="H8" s="5">
        <v>0.051</v>
      </c>
      <c r="I8" s="5">
        <v>0</v>
      </c>
      <c r="J8" s="5">
        <v>0</v>
      </c>
      <c r="K8" s="5">
        <v>0</v>
      </c>
      <c r="L8" s="7">
        <v>0.27</v>
      </c>
      <c r="M8" s="7">
        <v>0.58</v>
      </c>
      <c r="N8" s="7">
        <v>0.35</v>
      </c>
      <c r="O8" s="7">
        <v>-0.01</v>
      </c>
      <c r="P8" s="7">
        <v>0.04</v>
      </c>
      <c r="Q8" t="s">
        <v>198</v>
      </c>
    </row>
    <row r="9" spans="1:17">
      <c r="A9" s="14">
        <v>46146</v>
      </c>
      <c r="B9" s="5">
        <v>0.193</v>
      </c>
      <c r="C9" s="5">
        <v>0.059</v>
      </c>
      <c r="D9" s="5">
        <v>0</v>
      </c>
      <c r="E9" s="5">
        <v>0</v>
      </c>
      <c r="F9" s="5">
        <v>0.018</v>
      </c>
      <c r="G9" s="5">
        <v>0.074</v>
      </c>
      <c r="H9" s="5">
        <v>0.042</v>
      </c>
      <c r="I9" s="5">
        <v>0</v>
      </c>
      <c r="J9" s="5">
        <v>0</v>
      </c>
      <c r="K9" s="5">
        <v>0</v>
      </c>
      <c r="L9" s="7">
        <v>0.27</v>
      </c>
      <c r="M9" s="7">
        <v>0.58</v>
      </c>
      <c r="N9" s="7">
        <v>0.35</v>
      </c>
      <c r="O9" s="7">
        <v>-0.01</v>
      </c>
      <c r="P9" s="7">
        <v>0.04</v>
      </c>
      <c r="Q9" t="s">
        <v>198</v>
      </c>
    </row>
    <row r="10" spans="1:17">
      <c r="A10" s="14">
        <v>46147</v>
      </c>
      <c r="B10" s="5">
        <v>0.5639999999999999</v>
      </c>
      <c r="C10" s="5">
        <v>0.521</v>
      </c>
      <c r="D10" s="5">
        <v>0</v>
      </c>
      <c r="E10" s="5">
        <v>0</v>
      </c>
      <c r="F10" s="5">
        <v>0.003</v>
      </c>
      <c r="G10" s="5">
        <v>0.035</v>
      </c>
      <c r="H10" s="5">
        <v>0.005</v>
      </c>
      <c r="I10" s="5">
        <v>0</v>
      </c>
      <c r="J10" s="5">
        <v>0</v>
      </c>
      <c r="K10" s="5">
        <v>0</v>
      </c>
      <c r="L10" s="7">
        <v>0.28</v>
      </c>
      <c r="M10" s="7">
        <v>0.58</v>
      </c>
      <c r="N10" s="7">
        <v>0.35</v>
      </c>
      <c r="O10" s="7">
        <v>-0.04</v>
      </c>
      <c r="P10" s="7">
        <v>0.05</v>
      </c>
      <c r="Q10" t="s">
        <v>198</v>
      </c>
    </row>
    <row r="11" spans="1:17">
      <c r="A11" s="14">
        <v>46148</v>
      </c>
      <c r="B11" s="5">
        <v>0.446</v>
      </c>
      <c r="C11" s="5">
        <v>0.15</v>
      </c>
      <c r="D11" s="5">
        <v>0</v>
      </c>
      <c r="E11" s="5">
        <v>0</v>
      </c>
      <c r="F11" s="5">
        <v>0.067</v>
      </c>
      <c r="G11" s="5">
        <v>0.188</v>
      </c>
      <c r="H11" s="5">
        <v>0.041</v>
      </c>
      <c r="I11" s="5">
        <v>0</v>
      </c>
      <c r="J11" s="5">
        <v>0</v>
      </c>
      <c r="K11" s="5">
        <v>0</v>
      </c>
      <c r="L11" s="7">
        <v>0.32</v>
      </c>
      <c r="M11" s="7">
        <v>0.58</v>
      </c>
      <c r="N11" s="7">
        <v>0.35</v>
      </c>
      <c r="O11" s="7">
        <v>-0.02</v>
      </c>
      <c r="P11" s="7">
        <v>0.09</v>
      </c>
      <c r="Q11" t="s">
        <v>198</v>
      </c>
    </row>
    <row r="12" spans="1:17">
      <c r="A12" s="14">
        <v>46149</v>
      </c>
      <c r="B12" s="5">
        <v>0.362</v>
      </c>
      <c r="C12" s="5">
        <v>0.066</v>
      </c>
      <c r="D12" s="5">
        <v>0</v>
      </c>
      <c r="E12" s="5">
        <v>0</v>
      </c>
      <c r="F12" s="5">
        <v>0.044</v>
      </c>
      <c r="G12" s="5">
        <v>0.118</v>
      </c>
      <c r="H12" s="5">
        <v>0.134</v>
      </c>
      <c r="I12" s="5">
        <v>0</v>
      </c>
      <c r="J12" s="5">
        <v>0</v>
      </c>
      <c r="K12" s="5">
        <v>0</v>
      </c>
      <c r="L12" s="7">
        <v>0.32</v>
      </c>
      <c r="M12" s="7">
        <v>0.58</v>
      </c>
      <c r="N12" s="7">
        <v>0.35</v>
      </c>
      <c r="O12" s="7">
        <v>-0.01</v>
      </c>
      <c r="P12" s="7">
        <v>0.09</v>
      </c>
      <c r="Q12" t="s">
        <v>198</v>
      </c>
    </row>
    <row r="13" spans="1:17">
      <c r="A13" s="14">
        <v>46150</v>
      </c>
      <c r="B13" s="5">
        <v>0.579</v>
      </c>
      <c r="C13" s="5">
        <v>0.291</v>
      </c>
      <c r="D13" s="5">
        <v>0</v>
      </c>
      <c r="E13" s="5">
        <v>0</v>
      </c>
      <c r="F13" s="5">
        <v>0.052</v>
      </c>
      <c r="G13" s="5">
        <v>0.213</v>
      </c>
      <c r="H13" s="5">
        <v>0.023</v>
      </c>
      <c r="I13" s="5">
        <v>0</v>
      </c>
      <c r="J13" s="5">
        <v>0</v>
      </c>
      <c r="K13" s="5">
        <v>0</v>
      </c>
      <c r="L13" s="7">
        <v>0.33</v>
      </c>
      <c r="M13" s="7">
        <v>0.58</v>
      </c>
      <c r="N13" s="7">
        <v>0.35</v>
      </c>
      <c r="O13" s="7">
        <v>-0.03</v>
      </c>
      <c r="P13" s="7">
        <v>0.1</v>
      </c>
      <c r="Q13" t="s">
        <v>198</v>
      </c>
    </row>
    <row r="14" spans="1:17">
      <c r="A14" s="14">
        <v>46151</v>
      </c>
      <c r="B14" s="5">
        <v>0.316</v>
      </c>
      <c r="C14" s="5">
        <v>0.133</v>
      </c>
      <c r="D14" s="5">
        <v>0</v>
      </c>
      <c r="E14" s="5">
        <v>0</v>
      </c>
      <c r="F14" s="5">
        <v>0.06900000000000001</v>
      </c>
      <c r="G14" s="5">
        <v>0.096</v>
      </c>
      <c r="H14" s="5">
        <v>0.018</v>
      </c>
      <c r="I14" s="5">
        <v>0</v>
      </c>
      <c r="J14" s="5">
        <v>0</v>
      </c>
      <c r="K14" s="5">
        <v>0</v>
      </c>
      <c r="L14" s="7">
        <v>0.29</v>
      </c>
      <c r="M14" s="7">
        <v>0.58</v>
      </c>
      <c r="N14" s="7">
        <v>0.35</v>
      </c>
      <c r="O14" s="7">
        <v>-0.02</v>
      </c>
      <c r="P14" s="7">
        <v>0.06</v>
      </c>
      <c r="Q14" t="s">
        <v>198</v>
      </c>
    </row>
    <row r="15" spans="1:17">
      <c r="A15" s="14">
        <v>46152</v>
      </c>
      <c r="B15" s="5">
        <v>0.2</v>
      </c>
      <c r="C15" s="5">
        <v>0.113</v>
      </c>
      <c r="D15" s="5">
        <v>0</v>
      </c>
      <c r="E15" s="5">
        <v>0</v>
      </c>
      <c r="F15" s="5">
        <v>0.039</v>
      </c>
      <c r="G15" s="5">
        <v>0.024</v>
      </c>
      <c r="H15" s="5">
        <v>0.024</v>
      </c>
      <c r="I15" s="5">
        <v>0</v>
      </c>
      <c r="J15" s="5">
        <v>0</v>
      </c>
      <c r="K15" s="5">
        <v>0</v>
      </c>
      <c r="L15" s="7">
        <v>0.26</v>
      </c>
      <c r="M15" s="7">
        <v>0.58</v>
      </c>
      <c r="N15" s="7">
        <v>0.35</v>
      </c>
      <c r="O15" s="7">
        <v>-0.01</v>
      </c>
      <c r="P15" s="7">
        <v>0.03</v>
      </c>
      <c r="Q15" t="s">
        <v>198</v>
      </c>
    </row>
    <row r="16" spans="1:17">
      <c r="A16" s="14">
        <v>46153</v>
      </c>
      <c r="B16" s="5">
        <v>0.42</v>
      </c>
      <c r="C16" s="5">
        <v>0.064</v>
      </c>
      <c r="D16" s="5">
        <v>0</v>
      </c>
      <c r="E16" s="5">
        <v>0</v>
      </c>
      <c r="F16" s="5">
        <v>0.081</v>
      </c>
      <c r="G16" s="5">
        <v>0.179</v>
      </c>
      <c r="H16" s="5">
        <v>0.096</v>
      </c>
      <c r="I16" s="5">
        <v>0</v>
      </c>
      <c r="J16" s="5">
        <v>0</v>
      </c>
      <c r="K16" s="5">
        <v>0</v>
      </c>
      <c r="L16" s="7">
        <v>0.33</v>
      </c>
      <c r="M16" s="7">
        <v>0.58</v>
      </c>
      <c r="N16" s="7">
        <v>0.35</v>
      </c>
      <c r="O16" s="7">
        <v>-0.01</v>
      </c>
      <c r="P16" s="7">
        <v>0.1</v>
      </c>
      <c r="Q16" t="s">
        <v>198</v>
      </c>
    </row>
    <row r="17" spans="1:17">
      <c r="A17" s="14">
        <v>46154</v>
      </c>
      <c r="B17" s="5">
        <v>0.332</v>
      </c>
      <c r="C17" s="5">
        <v>0.08599999999999999</v>
      </c>
      <c r="D17" s="5">
        <v>0</v>
      </c>
      <c r="E17" s="5">
        <v>0</v>
      </c>
      <c r="F17" s="5">
        <v>0.026</v>
      </c>
      <c r="G17" s="5">
        <v>0.164</v>
      </c>
      <c r="H17" s="5">
        <v>0.056</v>
      </c>
      <c r="I17" s="5">
        <v>0</v>
      </c>
      <c r="J17" s="5">
        <v>0</v>
      </c>
      <c r="K17" s="5">
        <v>0</v>
      </c>
      <c r="L17" s="7">
        <v>0.3</v>
      </c>
      <c r="M17" s="7">
        <v>0.58</v>
      </c>
      <c r="N17" s="7">
        <v>0.35</v>
      </c>
      <c r="O17" s="7">
        <v>-0.01</v>
      </c>
      <c r="P17" s="7">
        <v>0.07000000000000001</v>
      </c>
      <c r="Q17" t="s">
        <v>198</v>
      </c>
    </row>
    <row r="18" spans="1:17">
      <c r="A18" s="14">
        <v>46155</v>
      </c>
      <c r="B18" s="5">
        <v>0.632</v>
      </c>
      <c r="C18" s="5">
        <v>0.07000000000000001</v>
      </c>
      <c r="D18" s="5">
        <v>0</v>
      </c>
      <c r="E18" s="5">
        <v>0</v>
      </c>
      <c r="F18" s="5">
        <v>0.397</v>
      </c>
      <c r="G18" s="5">
        <v>0.137</v>
      </c>
      <c r="H18" s="5">
        <v>0.028</v>
      </c>
      <c r="I18" s="5">
        <v>0</v>
      </c>
      <c r="J18" s="5">
        <v>0</v>
      </c>
      <c r="K18" s="5">
        <v>0</v>
      </c>
      <c r="L18" s="7">
        <v>0.36</v>
      </c>
      <c r="M18" s="7">
        <v>0.58</v>
      </c>
      <c r="N18" s="7">
        <v>0.35</v>
      </c>
      <c r="O18" s="7">
        <v>-0.04</v>
      </c>
      <c r="P18" s="7">
        <v>0.13</v>
      </c>
      <c r="Q18" t="s">
        <v>198</v>
      </c>
    </row>
    <row r="19" spans="1:17">
      <c r="A19" s="14">
        <v>46156</v>
      </c>
      <c r="B19" s="5">
        <v>0.806</v>
      </c>
      <c r="C19" s="5">
        <v>0.08599999999999999</v>
      </c>
      <c r="D19" s="5">
        <v>0</v>
      </c>
      <c r="E19" s="5">
        <v>0</v>
      </c>
      <c r="F19" s="5">
        <v>0.17</v>
      </c>
      <c r="G19" s="5">
        <v>0.511</v>
      </c>
      <c r="H19" s="5">
        <v>0.039</v>
      </c>
      <c r="I19" s="5">
        <v>0</v>
      </c>
      <c r="J19" s="5">
        <v>0</v>
      </c>
      <c r="K19" s="5">
        <v>0</v>
      </c>
      <c r="L19" s="7">
        <v>0.42</v>
      </c>
      <c r="M19" s="7">
        <v>0.58</v>
      </c>
      <c r="N19" s="7">
        <v>0.35</v>
      </c>
      <c r="O19" s="7">
        <v>-0.03</v>
      </c>
      <c r="P19" s="7">
        <v>0.19</v>
      </c>
      <c r="Q19" t="s">
        <v>198</v>
      </c>
    </row>
    <row r="20" spans="1:17">
      <c r="A20" s="14">
        <v>46157</v>
      </c>
      <c r="B20" s="5">
        <v>0.435</v>
      </c>
      <c r="C20" s="5">
        <v>0.058</v>
      </c>
      <c r="D20" s="5">
        <v>0</v>
      </c>
      <c r="E20" s="5">
        <v>0</v>
      </c>
      <c r="F20" s="5">
        <v>0.058</v>
      </c>
      <c r="G20" s="5">
        <v>0.124</v>
      </c>
      <c r="H20" s="5">
        <v>0.195</v>
      </c>
      <c r="I20" s="5">
        <v>0</v>
      </c>
      <c r="J20" s="5">
        <v>0</v>
      </c>
      <c r="K20" s="5">
        <v>0</v>
      </c>
      <c r="L20" s="7">
        <v>0.34</v>
      </c>
      <c r="M20" s="7">
        <v>0.58</v>
      </c>
      <c r="N20" s="7">
        <v>0.35</v>
      </c>
      <c r="O20" s="7">
        <v>0</v>
      </c>
      <c r="P20" s="7">
        <v>0.11</v>
      </c>
      <c r="Q20" t="s">
        <v>198</v>
      </c>
    </row>
    <row r="21" spans="1:17">
      <c r="A21" s="14">
        <v>46158</v>
      </c>
      <c r="B21" s="5">
        <v>1.33</v>
      </c>
      <c r="C21" s="5">
        <v>0.059</v>
      </c>
      <c r="D21" s="5">
        <v>0</v>
      </c>
      <c r="E21" s="5">
        <v>0</v>
      </c>
      <c r="F21" s="5">
        <v>0.093</v>
      </c>
      <c r="G21" s="5">
        <v>0.874</v>
      </c>
      <c r="H21" s="5">
        <v>0.304</v>
      </c>
      <c r="I21" s="5">
        <v>0</v>
      </c>
      <c r="J21" s="5">
        <v>0</v>
      </c>
      <c r="K21" s="5">
        <v>0</v>
      </c>
      <c r="L21" s="7">
        <v>0.58</v>
      </c>
      <c r="M21" s="7">
        <v>0.58</v>
      </c>
      <c r="N21" s="7">
        <v>0.35</v>
      </c>
      <c r="O21" s="7">
        <v>-0.02</v>
      </c>
      <c r="P21" s="7">
        <v>0.35</v>
      </c>
      <c r="Q21" t="s">
        <v>198</v>
      </c>
    </row>
    <row r="22" spans="1:17">
      <c r="A22" s="14">
        <v>46159</v>
      </c>
      <c r="B22" s="5">
        <v>0.208</v>
      </c>
      <c r="C22" s="5">
        <v>0.052</v>
      </c>
      <c r="D22" s="5">
        <v>0</v>
      </c>
      <c r="E22" s="5">
        <v>0</v>
      </c>
      <c r="F22" s="5">
        <v>0.021</v>
      </c>
      <c r="G22" s="5">
        <v>0.057</v>
      </c>
      <c r="H22" s="5">
        <v>0.078</v>
      </c>
      <c r="I22" s="5">
        <v>0</v>
      </c>
      <c r="J22" s="5">
        <v>0</v>
      </c>
      <c r="K22" s="5">
        <v>0</v>
      </c>
      <c r="L22" s="7">
        <v>0.28</v>
      </c>
      <c r="M22" s="7">
        <v>0.58</v>
      </c>
      <c r="N22" s="7">
        <v>0.35</v>
      </c>
      <c r="O22" s="7">
        <v>0</v>
      </c>
      <c r="P22" s="7">
        <v>0.05</v>
      </c>
      <c r="Q22" t="s">
        <v>198</v>
      </c>
    </row>
    <row r="23" spans="1:17">
      <c r="A23" s="14">
        <v>46160</v>
      </c>
      <c r="B23" s="5">
        <v>0.271</v>
      </c>
      <c r="C23" s="5">
        <v>0.065</v>
      </c>
      <c r="D23" s="5">
        <v>0</v>
      </c>
      <c r="E23" s="5">
        <v>0</v>
      </c>
      <c r="F23" s="5">
        <v>0.024</v>
      </c>
      <c r="G23" s="5">
        <v>0.089</v>
      </c>
      <c r="H23" s="5">
        <v>0.093</v>
      </c>
      <c r="I23" s="5">
        <v>0</v>
      </c>
      <c r="J23" s="5">
        <v>0</v>
      </c>
      <c r="K23" s="5">
        <v>0</v>
      </c>
      <c r="L23" s="7">
        <v>0.29</v>
      </c>
      <c r="M23" s="7">
        <v>0.58</v>
      </c>
      <c r="N23" s="7">
        <v>0.35</v>
      </c>
      <c r="O23" s="7">
        <v>-0.01</v>
      </c>
      <c r="P23" s="7">
        <v>0.06</v>
      </c>
      <c r="Q23" t="s">
        <v>198</v>
      </c>
    </row>
    <row r="24" spans="1:17">
      <c r="A24" s="14">
        <v>46161</v>
      </c>
      <c r="B24" s="5">
        <v>0.2</v>
      </c>
      <c r="C24" s="5">
        <v>0.048</v>
      </c>
      <c r="D24" s="5">
        <v>0</v>
      </c>
      <c r="E24" s="5">
        <v>0</v>
      </c>
      <c r="F24" s="5">
        <v>0.03</v>
      </c>
      <c r="G24" s="5">
        <v>0.026</v>
      </c>
      <c r="H24" s="5">
        <v>0.096</v>
      </c>
      <c r="I24" s="5">
        <v>0</v>
      </c>
      <c r="J24" s="5">
        <v>0</v>
      </c>
      <c r="K24" s="5">
        <v>0</v>
      </c>
      <c r="L24" s="7">
        <v>0.28</v>
      </c>
      <c r="M24" s="7">
        <v>0.58</v>
      </c>
      <c r="N24" s="7">
        <v>0.35</v>
      </c>
      <c r="O24" s="7">
        <v>0</v>
      </c>
      <c r="P24" s="7">
        <v>0.05</v>
      </c>
      <c r="Q24" t="s">
        <v>198</v>
      </c>
    </row>
    <row r="25" spans="1:17">
      <c r="A25" s="14">
        <v>46162</v>
      </c>
      <c r="B25" s="5">
        <v>0.435</v>
      </c>
      <c r="C25" s="5">
        <v>0.051</v>
      </c>
      <c r="D25" s="5">
        <v>0</v>
      </c>
      <c r="E25" s="5">
        <v>0</v>
      </c>
      <c r="F25" s="5">
        <v>0.057</v>
      </c>
      <c r="G25" s="5">
        <v>0.291</v>
      </c>
      <c r="H25" s="5">
        <v>0.036</v>
      </c>
      <c r="I25" s="5">
        <v>0</v>
      </c>
      <c r="J25" s="5">
        <v>0</v>
      </c>
      <c r="K25" s="5">
        <v>0</v>
      </c>
      <c r="L25" s="7">
        <v>0.33</v>
      </c>
      <c r="M25" s="7">
        <v>0.58</v>
      </c>
      <c r="N25" s="7">
        <v>0.35</v>
      </c>
      <c r="O25" s="7">
        <v>-0.01</v>
      </c>
      <c r="P25" s="7">
        <v>0.1</v>
      </c>
      <c r="Q25" t="s">
        <v>198</v>
      </c>
    </row>
    <row r="26" spans="1:17">
      <c r="A26" s="14">
        <v>46163</v>
      </c>
      <c r="B26" s="5">
        <v>0.179</v>
      </c>
      <c r="C26" s="5">
        <v>0.062</v>
      </c>
      <c r="D26" s="5">
        <v>0</v>
      </c>
      <c r="E26" s="5">
        <v>0</v>
      </c>
      <c r="F26" s="5">
        <v>0.04</v>
      </c>
      <c r="G26" s="5">
        <v>0.059</v>
      </c>
      <c r="H26" s="5">
        <v>0.018</v>
      </c>
      <c r="I26" s="5">
        <v>0</v>
      </c>
      <c r="J26" s="5">
        <v>0</v>
      </c>
      <c r="K26" s="5">
        <v>0</v>
      </c>
      <c r="L26" s="7">
        <v>0.26</v>
      </c>
      <c r="M26" s="7">
        <v>0.58</v>
      </c>
      <c r="N26" s="7">
        <v>0.35</v>
      </c>
      <c r="O26" s="7">
        <v>-0.01</v>
      </c>
      <c r="P26" s="7">
        <v>0.03</v>
      </c>
      <c r="Q26" t="s">
        <v>198</v>
      </c>
    </row>
    <row r="27" spans="1:17">
      <c r="A27" s="14">
        <v>46164</v>
      </c>
      <c r="B27" s="5">
        <v>0.277</v>
      </c>
      <c r="C27" s="5">
        <v>0.07099999999999999</v>
      </c>
      <c r="D27" s="5">
        <v>0</v>
      </c>
      <c r="E27" s="5">
        <v>0</v>
      </c>
      <c r="F27" s="5">
        <v>0.02</v>
      </c>
      <c r="G27" s="5">
        <v>0.161</v>
      </c>
      <c r="H27" s="5">
        <v>0.025</v>
      </c>
      <c r="I27" s="5">
        <v>0</v>
      </c>
      <c r="J27" s="5">
        <v>0</v>
      </c>
      <c r="K27" s="5">
        <v>0</v>
      </c>
      <c r="L27" s="7">
        <v>0.29</v>
      </c>
      <c r="M27" s="7">
        <v>0.58</v>
      </c>
      <c r="N27" s="7">
        <v>0.35</v>
      </c>
      <c r="O27" s="7">
        <v>-0.01</v>
      </c>
      <c r="P27" s="7">
        <v>0.06</v>
      </c>
      <c r="Q27" t="s">
        <v>198</v>
      </c>
    </row>
    <row r="28" spans="1:17">
      <c r="A28" s="14">
        <v>46165</v>
      </c>
      <c r="B28" s="5">
        <v>0.232</v>
      </c>
      <c r="C28" s="5">
        <v>0.053</v>
      </c>
      <c r="D28" s="5">
        <v>0</v>
      </c>
      <c r="E28" s="5">
        <v>0</v>
      </c>
      <c r="F28" s="5">
        <v>0.042</v>
      </c>
      <c r="G28" s="5">
        <v>0.053</v>
      </c>
      <c r="H28" s="5">
        <v>0.08400000000000001</v>
      </c>
      <c r="I28" s="5">
        <v>0</v>
      </c>
      <c r="J28" s="5">
        <v>0</v>
      </c>
      <c r="K28" s="5">
        <v>0</v>
      </c>
      <c r="L28" s="7">
        <v>0.28</v>
      </c>
      <c r="M28" s="7">
        <v>0.58</v>
      </c>
      <c r="N28" s="7">
        <v>0.35</v>
      </c>
      <c r="O28" s="7">
        <v>-0.01</v>
      </c>
      <c r="P28" s="7">
        <v>0.05</v>
      </c>
      <c r="Q28" t="s">
        <v>198</v>
      </c>
    </row>
    <row r="29" spans="1:17">
      <c r="A29" s="14">
        <v>46166</v>
      </c>
      <c r="B29" s="5">
        <v>0.148</v>
      </c>
      <c r="C29" s="5">
        <v>0.065</v>
      </c>
      <c r="D29" s="5">
        <v>0</v>
      </c>
      <c r="E29" s="5">
        <v>0</v>
      </c>
      <c r="F29" s="5">
        <v>0.025</v>
      </c>
      <c r="G29" s="5">
        <v>0.024</v>
      </c>
      <c r="H29" s="5">
        <v>0.034</v>
      </c>
      <c r="I29" s="5">
        <v>0</v>
      </c>
      <c r="J29" s="5">
        <v>0</v>
      </c>
      <c r="K29" s="5">
        <v>0</v>
      </c>
      <c r="L29" s="7">
        <v>0.26</v>
      </c>
      <c r="M29" s="7">
        <v>0.58</v>
      </c>
      <c r="N29" s="7">
        <v>0.35</v>
      </c>
      <c r="O29" s="7">
        <v>-0.01</v>
      </c>
      <c r="P29" s="7">
        <v>0.03</v>
      </c>
      <c r="Q29" t="s">
        <v>198</v>
      </c>
    </row>
    <row r="30" spans="1:17">
      <c r="A30" s="14">
        <v>46167</v>
      </c>
      <c r="B30" s="5">
        <v>0.624</v>
      </c>
      <c r="C30" s="5">
        <v>0.049</v>
      </c>
      <c r="D30" s="5">
        <v>0</v>
      </c>
      <c r="E30" s="5">
        <v>0</v>
      </c>
      <c r="F30" s="5">
        <v>0.018</v>
      </c>
      <c r="G30" s="5">
        <v>0.294</v>
      </c>
      <c r="H30" s="5">
        <v>0.263</v>
      </c>
      <c r="I30" s="5">
        <v>0</v>
      </c>
      <c r="J30" s="5">
        <v>0</v>
      </c>
      <c r="K30" s="5">
        <v>0</v>
      </c>
      <c r="L30" s="7">
        <v>0.4</v>
      </c>
      <c r="M30" s="7">
        <v>0.58</v>
      </c>
      <c r="N30" s="7">
        <v>0.35</v>
      </c>
      <c r="O30" s="7">
        <v>0</v>
      </c>
      <c r="P30" s="7">
        <v>0.17</v>
      </c>
      <c r="Q30" t="s">
        <v>198</v>
      </c>
    </row>
    <row r="31" spans="1:17">
      <c r="A31" s="14">
        <v>46168</v>
      </c>
      <c r="B31" s="5">
        <v>0.328</v>
      </c>
      <c r="C31" s="5">
        <v>0.054</v>
      </c>
      <c r="D31" s="5">
        <v>0</v>
      </c>
      <c r="E31" s="5">
        <v>0</v>
      </c>
      <c r="F31" s="5">
        <v>0.021</v>
      </c>
      <c r="G31" s="5">
        <v>0.05</v>
      </c>
      <c r="H31" s="5">
        <v>0.203</v>
      </c>
      <c r="I31" s="5">
        <v>0</v>
      </c>
      <c r="J31" s="5">
        <v>0</v>
      </c>
      <c r="K31" s="5">
        <v>0</v>
      </c>
      <c r="L31" s="7">
        <v>0.32</v>
      </c>
      <c r="M31" s="7">
        <v>0.58</v>
      </c>
      <c r="N31" s="7">
        <v>0.35</v>
      </c>
      <c r="O31" s="7">
        <v>0</v>
      </c>
      <c r="P31" s="7">
        <v>0.09</v>
      </c>
      <c r="Q31" t="s">
        <v>198</v>
      </c>
    </row>
    <row r="32" spans="1:17">
      <c r="A32" s="14">
        <v>46169</v>
      </c>
      <c r="B32" s="5">
        <v>0.25</v>
      </c>
      <c r="C32" s="5">
        <v>0.058</v>
      </c>
      <c r="D32" s="5">
        <v>0</v>
      </c>
      <c r="E32" s="5">
        <v>0</v>
      </c>
      <c r="F32" s="5">
        <v>0.019</v>
      </c>
      <c r="G32" s="5">
        <v>0.142</v>
      </c>
      <c r="H32" s="5">
        <v>0.031</v>
      </c>
      <c r="I32" s="5">
        <v>0</v>
      </c>
      <c r="J32" s="5">
        <v>0</v>
      </c>
      <c r="K32" s="5">
        <v>0</v>
      </c>
      <c r="L32" s="7">
        <v>0.29</v>
      </c>
      <c r="M32" s="7">
        <v>0.58</v>
      </c>
      <c r="N32" s="7">
        <v>0.35</v>
      </c>
      <c r="O32" s="7">
        <v>-0.01</v>
      </c>
      <c r="P32" s="7">
        <v>0.05</v>
      </c>
      <c r="Q32" t="s">
        <v>198</v>
      </c>
    </row>
    <row r="33" spans="1:17">
      <c r="A33" s="14">
        <v>46170</v>
      </c>
      <c r="B33" s="5">
        <v>0.292</v>
      </c>
      <c r="C33" s="5">
        <v>0.271</v>
      </c>
      <c r="D33" s="5">
        <v>0</v>
      </c>
      <c r="E33" s="5">
        <v>0</v>
      </c>
      <c r="F33" s="5">
        <v>0.011</v>
      </c>
      <c r="G33" s="5">
        <v>0.007</v>
      </c>
      <c r="H33" s="5">
        <v>0.003</v>
      </c>
      <c r="I33" s="5">
        <v>0</v>
      </c>
      <c r="J33" s="5">
        <v>0</v>
      </c>
      <c r="K33" s="5">
        <v>0</v>
      </c>
      <c r="L33" s="7">
        <v>0.26</v>
      </c>
      <c r="M33" s="7">
        <v>0.58</v>
      </c>
      <c r="N33" s="7">
        <v>0.35</v>
      </c>
      <c r="O33" s="7">
        <v>-0.02</v>
      </c>
      <c r="P33" s="7">
        <v>0.03</v>
      </c>
      <c r="Q33" t="s">
        <v>198</v>
      </c>
    </row>
    <row r="34" spans="1:17">
      <c r="A34" s="14">
        <v>46171</v>
      </c>
      <c r="B34" s="5">
        <v>0.398</v>
      </c>
      <c r="C34" s="5">
        <v>0.063</v>
      </c>
      <c r="D34" s="5">
        <v>0</v>
      </c>
      <c r="E34" s="5">
        <v>0</v>
      </c>
      <c r="F34" s="5">
        <v>0.017</v>
      </c>
      <c r="G34" s="5">
        <v>0.05</v>
      </c>
      <c r="H34" s="5">
        <v>0.268</v>
      </c>
      <c r="I34" s="5">
        <v>0</v>
      </c>
      <c r="J34" s="5">
        <v>0</v>
      </c>
      <c r="K34" s="5">
        <v>0</v>
      </c>
      <c r="L34" s="7">
        <v>0.34</v>
      </c>
      <c r="M34" s="7">
        <v>0.58</v>
      </c>
      <c r="N34" s="7">
        <v>0.35</v>
      </c>
      <c r="O34" s="7">
        <v>0</v>
      </c>
      <c r="P34" s="7">
        <v>0.11</v>
      </c>
      <c r="Q34" t="s">
        <v>198</v>
      </c>
    </row>
    <row r="35" spans="1:17">
      <c r="A35" s="14">
        <v>46172</v>
      </c>
      <c r="B35" s="5">
        <v>0.388</v>
      </c>
      <c r="C35" s="5">
        <v>0.07000000000000001</v>
      </c>
      <c r="D35" s="5">
        <v>0</v>
      </c>
      <c r="E35" s="5">
        <v>0</v>
      </c>
      <c r="F35" s="5">
        <v>0.03</v>
      </c>
      <c r="G35" s="5">
        <v>0.116</v>
      </c>
      <c r="H35" s="5">
        <v>0.172</v>
      </c>
      <c r="I35" s="5">
        <v>0</v>
      </c>
      <c r="J35" s="5">
        <v>0</v>
      </c>
      <c r="K35" s="5">
        <v>0</v>
      </c>
      <c r="L35" s="7">
        <v>0.33</v>
      </c>
      <c r="M35" s="7">
        <v>0.58</v>
      </c>
      <c r="N35" s="7">
        <v>0.35</v>
      </c>
      <c r="O35" s="7">
        <v>0</v>
      </c>
      <c r="P35" s="7">
        <v>0.1</v>
      </c>
      <c r="Q35" t="s">
        <v>198</v>
      </c>
    </row>
    <row r="36" spans="1:17">
      <c r="A36" s="14">
        <v>46173</v>
      </c>
      <c r="B36" s="5">
        <v>0.536</v>
      </c>
      <c r="C36" s="5">
        <v>0.065</v>
      </c>
      <c r="D36" s="5">
        <v>0</v>
      </c>
      <c r="E36" s="5">
        <v>0</v>
      </c>
      <c r="F36" s="5">
        <v>0.022</v>
      </c>
      <c r="G36" s="5">
        <v>0.12</v>
      </c>
      <c r="H36" s="5">
        <v>0.329</v>
      </c>
      <c r="I36" s="5">
        <v>0</v>
      </c>
      <c r="J36" s="5">
        <v>0</v>
      </c>
      <c r="K36" s="5">
        <v>0</v>
      </c>
      <c r="L36" s="7">
        <v>0.38</v>
      </c>
      <c r="M36" s="7">
        <v>0.58</v>
      </c>
      <c r="N36" s="7">
        <v>0.35</v>
      </c>
      <c r="O36" s="7">
        <v>0</v>
      </c>
      <c r="P36" s="7">
        <v>0.14</v>
      </c>
      <c r="Q36" t="s">
        <v>198</v>
      </c>
    </row>
    <row r="39" spans="1:17">
      <c r="A39" t="s">
        <v>199</v>
      </c>
      <c r="L39" s="7">
        <v>9.869999999999999</v>
      </c>
      <c r="M39" s="7">
        <v>18.09</v>
      </c>
      <c r="N39" s="7">
        <v>10.95</v>
      </c>
      <c r="O39" s="7">
        <v>-0.35</v>
      </c>
      <c r="P39" s="7">
        <v>2.73</v>
      </c>
    </row>
  </sheetData>
  <autoFilter ref="A5:Q36"/>
  <mergeCells count="2">
    <mergeCell ref="A1:Q1"/>
    <mergeCell ref="A2:Q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34.7109375" customWidth="1"/>
    <col min="2" max="2" width="115.7109375" customWidth="1"/>
  </cols>
  <sheetData>
    <row r="1" spans="1:2">
      <c r="A1" s="1" t="s">
        <v>267</v>
      </c>
      <c r="B1" s="1"/>
    </row>
    <row r="4" spans="1:2" ht="55" customHeight="1">
      <c r="A4" s="4" t="s">
        <v>268</v>
      </c>
      <c r="B4" s="2" t="s">
        <v>269</v>
      </c>
    </row>
    <row r="5" spans="1:2" ht="55" customHeight="1">
      <c r="A5" s="4" t="s">
        <v>270</v>
      </c>
      <c r="B5" s="2" t="s">
        <v>271</v>
      </c>
    </row>
    <row r="6" spans="1:2" ht="55" customHeight="1">
      <c r="A6" s="4" t="s">
        <v>272</v>
      </c>
      <c r="B6" s="2" t="s">
        <v>273</v>
      </c>
    </row>
    <row r="7" spans="1:2" ht="55" customHeight="1">
      <c r="A7" s="4" t="s">
        <v>274</v>
      </c>
      <c r="B7" s="2" t="s">
        <v>275</v>
      </c>
    </row>
    <row r="8" spans="1:2" ht="55" customHeight="1">
      <c r="A8" s="4" t="s">
        <v>276</v>
      </c>
      <c r="B8" s="2" t="s">
        <v>277</v>
      </c>
    </row>
    <row r="9" spans="1:2" ht="55" customHeight="1">
      <c r="A9" s="4" t="s">
        <v>278</v>
      </c>
      <c r="B9" s="2" t="s">
        <v>279</v>
      </c>
    </row>
    <row r="10" spans="1:2" ht="55" customHeight="1">
      <c r="A10" s="4" t="s">
        <v>280</v>
      </c>
      <c r="B10" s="2" t="s">
        <v>281</v>
      </c>
    </row>
    <row r="11" spans="1:2" ht="55" customHeight="1">
      <c r="A11" s="4" t="s">
        <v>282</v>
      </c>
      <c r="B11" s="2" t="s">
        <v>283</v>
      </c>
    </row>
    <row r="12" spans="1:2" ht="55" customHeight="1">
      <c r="A12" s="4" t="s">
        <v>284</v>
      </c>
      <c r="B12" s="2" t="s">
        <v>285</v>
      </c>
    </row>
    <row r="13" spans="1:2" ht="55" customHeight="1">
      <c r="A13" s="4" t="s">
        <v>286</v>
      </c>
      <c r="B13" s="2" t="s">
        <v>287</v>
      </c>
    </row>
    <row r="14" spans="1:2" ht="55" customHeight="1">
      <c r="A14" s="4" t="s">
        <v>288</v>
      </c>
      <c r="B14" s="2" t="s">
        <v>289</v>
      </c>
    </row>
    <row r="15" spans="1:2" ht="55" customHeight="1">
      <c r="A15" s="4" t="s">
        <v>290</v>
      </c>
      <c r="B15" s="2" t="s">
        <v>291</v>
      </c>
    </row>
    <row r="16" spans="1:2" ht="55" customHeight="1">
      <c r="A16" s="4" t="s">
        <v>292</v>
      </c>
      <c r="B16" s="2" t="s">
        <v>293</v>
      </c>
    </row>
    <row r="17" spans="1:2" ht="55" customHeight="1">
      <c r="A17" s="4" t="s">
        <v>2</v>
      </c>
      <c r="B17" s="2" t="s">
        <v>294</v>
      </c>
    </row>
    <row r="18" spans="1:2" ht="55" customHeight="1">
      <c r="A18" s="4" t="s">
        <v>295</v>
      </c>
      <c r="B18" s="2" t="s">
        <v>296</v>
      </c>
    </row>
    <row r="19" spans="1:2" ht="55" customHeight="1">
      <c r="A19" s="4" t="s">
        <v>297</v>
      </c>
      <c r="B19" s="2" t="s">
        <v>298</v>
      </c>
    </row>
    <row r="20" spans="1:2" ht="55" customHeight="1">
      <c r="A20" s="4" t="s">
        <v>299</v>
      </c>
      <c r="B20" s="2" t="s">
        <v>300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Rechnung</vt:lpstr>
      <vt:lpstr>Eingaben</vt:lpstr>
      <vt:lpstr>Tageswerte</vt:lpstr>
      <vt:lpstr>96 Werte</vt:lpstr>
      <vt:lpstr>Intervalle</vt:lpstr>
      <vt:lpstr>Netzzeiten</vt:lpstr>
      <vt:lpstr>Reportdaten</vt:lpstr>
      <vt:lpstr>Hinweise</vt:lpstr>
      <vt:lpstr>Rechnung!Print_Area</vt:lpstr>
      <vt:lpstr>Rechnung!Print_Titles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Stromkosten Mai 2026 - Excel-Prototyp</dc:title>
  <dc:subject>GO / STANDARD / HEAT, Modul 1 und Modul 3</dc:subject>
  <dc:creator>Octopus Germany - Beispiel</dc:creator>
  <dc:description>Keine Kontonummern. Keine erfundenen Viertelstundenmesswerte.</dc:description>
  <cp:lastModifiedBy>Octopus Germany - Beispiel</cp:lastModifiedBy>
  <dcterms:created xsi:type="dcterms:W3CDTF">2026-10-13T18:48:05Z</dcterms:created>
  <dcterms:modified xsi:type="dcterms:W3CDTF">2026-10-13T18:48:05Z</dcterms:modified>
</cp:coreProperties>
</file>